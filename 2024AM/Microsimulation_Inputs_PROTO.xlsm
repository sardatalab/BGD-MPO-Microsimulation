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activeX/activeX1.xml" ContentType="application/vnd.ms-office.activeX+xml"/>
  <Override PartName="/xl/activeX/activeX1.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https://d.docs.live.net/9f3d9369a3ab00f0/WBG/ETIRI/Projects/FY25/FY25 - SAR MPO AM24/BGD-MPO-Microsimulation/2024AM/"/>
    </mc:Choice>
  </mc:AlternateContent>
  <xr:revisionPtr revIDLastSave="2090" documentId="13_ncr:1_{0A50BEA8-4DDB-4A66-960C-1DA706B2A7D1}" xr6:coauthVersionLast="47" xr6:coauthVersionMax="47" xr10:uidLastSave="{31312144-2A4B-400A-9A09-65B04A5B53E4}"/>
  <bookViews>
    <workbookView xWindow="-120" yWindow="-120" windowWidth="38640" windowHeight="21240" tabRatio="811" activeTab="3" xr2:uid="{2D30CBBE-1971-486C-9ABE-00828DF0AD38}"/>
  </bookViews>
  <sheets>
    <sheet name="Technical Notes" sheetId="42" r:id="rId1"/>
    <sheet name="0. GUIDELINES" sheetId="32" r:id="rId2"/>
    <sheet name="1. GDP" sheetId="45" r:id="rId3"/>
    <sheet name="2.1 LABOR STRUCTURE" sheetId="44" r:id="rId4"/>
    <sheet name="ELASTICITY" sheetId="48" r:id="rId5"/>
    <sheet name="GROWTH RATES" sheetId="47" r:id="rId6"/>
    <sheet name="2.2 LABOR INCOME &amp; PRODUCTIVITY" sheetId="49" r:id="rId7"/>
    <sheet name="3. NON-LABOR INCOME" sheetId="50" r:id="rId8"/>
    <sheet name="4. SUMMARY AND SUBMISSION" sheetId="37" r:id="rId9"/>
    <sheet name="CONTROL " sheetId="36" r:id="rId10"/>
    <sheet name="parameters" sheetId="52" r:id="rId11"/>
    <sheet name="resumen" sheetId="51" r:id="rId12"/>
    <sheet name="POPULATION (hidden)" sheetId="46" r:id="rId13"/>
    <sheet name="input_pop_wdi" sheetId="54" r:id="rId14"/>
    <sheet name="input_setup" sheetId="57" r:id="rId15"/>
    <sheet name="input_gdp " sheetId="55" r:id="rId16"/>
    <sheet name="input_labor" sheetId="58" r:id="rId17"/>
    <sheet name="input_gdp2" sheetId="56" r:id="rId18"/>
    <sheet name="input_nonlabor (2)" sheetId="53" r:id="rId19"/>
    <sheet name="input_informality" sheetId="59" r:id="rId20"/>
    <sheet name="input_pl" sheetId="60" r:id="rId21"/>
    <sheet name="input_population" sheetId="61" r:id="rId22"/>
  </sheets>
  <externalReferences>
    <externalReference r:id="rId23"/>
  </externalReferences>
  <definedNames>
    <definedName name="Click">#REF!</definedName>
    <definedName name="_xlnm.Print_Area" localSheetId="8">'4. SUMMARY AND SUBMISSION'!$A:$R</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32" i="44" l="1" a="1"/>
  <c r="Z32" i="44" s="1"/>
  <c r="Z31" i="44" a="1"/>
  <c r="Z31" i="44" s="1"/>
  <c r="Z30" i="44" a="1"/>
  <c r="Z30" i="44" s="1"/>
  <c r="Z29" i="44" a="1"/>
  <c r="Z29" i="44" s="1"/>
  <c r="Z28" i="44" a="1"/>
  <c r="Z28" i="44" s="1"/>
  <c r="Z27" i="44" a="1"/>
  <c r="Z27" i="44" s="1"/>
  <c r="Z26" i="44" a="1"/>
  <c r="Z26" i="44" s="1"/>
  <c r="Z25" i="44" a="1"/>
  <c r="Z25" i="44" s="1"/>
  <c r="Z24" i="44" a="1"/>
  <c r="Z24" i="44" s="1"/>
  <c r="Z23" i="44" a="1"/>
  <c r="Z23" i="44" s="1"/>
  <c r="Z22" i="44" a="1"/>
  <c r="Z22" i="44" s="1"/>
  <c r="N23" i="48"/>
  <c r="M23" i="48"/>
  <c r="M41" i="48" s="1"/>
  <c r="L23" i="48"/>
  <c r="L41" i="48" s="1"/>
  <c r="K23" i="48"/>
  <c r="K41" i="48" s="1"/>
  <c r="N22" i="48"/>
  <c r="N40" i="48" s="1"/>
  <c r="M22" i="48"/>
  <c r="M40" i="48" s="1"/>
  <c r="L22" i="48"/>
  <c r="L40" i="48" s="1"/>
  <c r="K22" i="48"/>
  <c r="K40" i="48" s="1"/>
  <c r="N21" i="48"/>
  <c r="N39" i="48" s="1"/>
  <c r="M21" i="48"/>
  <c r="M39" i="48" s="1"/>
  <c r="L21" i="48"/>
  <c r="L39" i="48" s="1"/>
  <c r="K21" i="48"/>
  <c r="N20" i="48"/>
  <c r="M20" i="48"/>
  <c r="M38" i="48" s="1"/>
  <c r="L20" i="48"/>
  <c r="L38" i="48" s="1"/>
  <c r="K20" i="48"/>
  <c r="N19" i="48"/>
  <c r="N37" i="48" s="1"/>
  <c r="M19" i="48"/>
  <c r="M37" i="48" s="1"/>
  <c r="L19" i="48"/>
  <c r="L37" i="48" s="1"/>
  <c r="K19" i="48"/>
  <c r="K37" i="48" s="1"/>
  <c r="N18" i="48"/>
  <c r="N36" i="48" s="1"/>
  <c r="M18" i="48"/>
  <c r="M36" i="48" s="1"/>
  <c r="L18" i="48"/>
  <c r="L36" i="48" s="1"/>
  <c r="K18" i="48"/>
  <c r="N17" i="48"/>
  <c r="N35" i="48" s="1"/>
  <c r="M17" i="48"/>
  <c r="M35" i="48" s="1"/>
  <c r="L17" i="48"/>
  <c r="L35" i="48" s="1"/>
  <c r="K17" i="48"/>
  <c r="K35" i="48" s="1"/>
  <c r="N16" i="48"/>
  <c r="N34" i="48" s="1"/>
  <c r="M16" i="48"/>
  <c r="M34" i="48" s="1"/>
  <c r="L16" i="48"/>
  <c r="L34" i="48" s="1"/>
  <c r="K16" i="48"/>
  <c r="N15" i="48"/>
  <c r="N33" i="48" s="1"/>
  <c r="M15" i="48"/>
  <c r="M33" i="48" s="1"/>
  <c r="L15" i="48"/>
  <c r="L33" i="48" s="1"/>
  <c r="K15" i="48"/>
  <c r="K33" i="48" s="1"/>
  <c r="N14" i="48"/>
  <c r="M14" i="48"/>
  <c r="M32" i="48" s="1"/>
  <c r="L14" i="48"/>
  <c r="L32" i="48" s="1"/>
  <c r="K14" i="48"/>
  <c r="K32" i="48" s="1"/>
  <c r="N13" i="48"/>
  <c r="N31" i="48" s="1"/>
  <c r="M13" i="48"/>
  <c r="M31" i="48" s="1"/>
  <c r="L13" i="48"/>
  <c r="L31" i="48" s="1"/>
  <c r="K13" i="48"/>
  <c r="K31" i="48" s="1"/>
  <c r="N12" i="48"/>
  <c r="N30" i="48" s="1"/>
  <c r="M12" i="48"/>
  <c r="M30" i="48" s="1"/>
  <c r="L12" i="48"/>
  <c r="L30" i="48" s="1"/>
  <c r="K12" i="48"/>
  <c r="K30" i="48" s="1"/>
  <c r="N11" i="48"/>
  <c r="M11" i="48"/>
  <c r="L11" i="48"/>
  <c r="K11" i="48"/>
  <c r="N41" i="48"/>
  <c r="K39" i="48"/>
  <c r="N38" i="48"/>
  <c r="K38" i="48"/>
  <c r="K34" i="48"/>
  <c r="N32" i="48"/>
  <c r="T31" i="45" a="1"/>
  <c r="T31" i="45" s="1"/>
  <c r="S31" i="45" a="1"/>
  <c r="S31" i="45" s="1"/>
  <c r="R31" i="45" a="1"/>
  <c r="R31" i="45" s="1"/>
  <c r="Q31" i="45" a="1"/>
  <c r="Q31" i="45" s="1"/>
  <c r="P31" i="45" a="1"/>
  <c r="P31" i="45" s="1"/>
  <c r="O31" i="45" a="1"/>
  <c r="O31" i="45" s="1"/>
  <c r="N31" i="45" a="1"/>
  <c r="N31" i="45" s="1"/>
  <c r="M31" i="45" a="1"/>
  <c r="M31" i="45" s="1"/>
  <c r="L31" i="45" a="1"/>
  <c r="L31" i="45" s="1"/>
  <c r="K31" i="45" a="1"/>
  <c r="K31" i="45" s="1"/>
  <c r="J31" i="45" a="1"/>
  <c r="J31" i="45" s="1"/>
  <c r="I31" i="45" a="1"/>
  <c r="I31" i="45" s="1"/>
  <c r="T30" i="45" a="1"/>
  <c r="T30" i="45" s="1"/>
  <c r="S30" i="45" a="1"/>
  <c r="S30" i="45" s="1"/>
  <c r="R30" i="45" a="1"/>
  <c r="R30" i="45" s="1"/>
  <c r="Q30" i="45" a="1"/>
  <c r="Q30" i="45" s="1"/>
  <c r="P30" i="45" a="1"/>
  <c r="P30" i="45" s="1"/>
  <c r="O30" i="45" a="1"/>
  <c r="O30" i="45" s="1"/>
  <c r="N30" i="45" a="1"/>
  <c r="N30" i="45" s="1"/>
  <c r="M30" i="45" a="1"/>
  <c r="M30" i="45" s="1"/>
  <c r="L30" i="45" a="1"/>
  <c r="L30" i="45" s="1"/>
  <c r="K30" i="45" a="1"/>
  <c r="K30" i="45" s="1"/>
  <c r="J30" i="45" a="1"/>
  <c r="J30" i="45" s="1"/>
  <c r="I30" i="45" a="1"/>
  <c r="I30" i="45" s="1"/>
  <c r="AC31" i="45" a="1"/>
  <c r="AC31" i="45" s="1"/>
  <c r="AB31" i="45" a="1"/>
  <c r="AB31" i="45" s="1"/>
  <c r="AB61" i="45" s="1"/>
  <c r="AA31" i="45" a="1"/>
  <c r="AA31" i="45" s="1"/>
  <c r="Z31" i="45" a="1"/>
  <c r="Z31" i="45" s="1"/>
  <c r="Y31" i="45" a="1"/>
  <c r="Y31" i="45" s="1"/>
  <c r="X31" i="45" a="1"/>
  <c r="X31" i="45" s="1"/>
  <c r="W31" i="45" a="1"/>
  <c r="W31" i="45" s="1"/>
  <c r="V31" i="45" a="1"/>
  <c r="V31" i="45" s="1"/>
  <c r="U31" i="45" a="1"/>
  <c r="U31" i="45" s="1"/>
  <c r="AC30" i="45" a="1"/>
  <c r="AC30" i="45" s="1"/>
  <c r="AC60" i="45" s="1"/>
  <c r="AB30" i="45" a="1"/>
  <c r="AB30" i="45" s="1"/>
  <c r="AA30" i="45" a="1"/>
  <c r="AA30" i="45" s="1"/>
  <c r="Z30" i="45" a="1"/>
  <c r="Z30" i="45" s="1"/>
  <c r="Y30" i="45" a="1"/>
  <c r="Y30" i="45" s="1"/>
  <c r="Y60" i="45" s="1"/>
  <c r="X30" i="45" a="1"/>
  <c r="X30" i="45" s="1"/>
  <c r="W30" i="45" a="1"/>
  <c r="W30" i="45" s="1"/>
  <c r="V30" i="45" a="1"/>
  <c r="V30" i="45" s="1"/>
  <c r="U30" i="45" a="1"/>
  <c r="U30" i="45" s="1"/>
  <c r="K36" i="48"/>
  <c r="T10" i="44" a="1"/>
  <c r="T10" i="44" s="1"/>
  <c r="S10" i="44" a="1"/>
  <c r="S10" i="44" s="1"/>
  <c r="R10" i="44" a="1"/>
  <c r="R10" i="44" s="1"/>
  <c r="O9" i="47" s="1"/>
  <c r="Q10" i="44" a="1"/>
  <c r="Q10" i="44" s="1"/>
  <c r="P10" i="44" a="1"/>
  <c r="P10" i="44" s="1"/>
  <c r="O10" i="44" a="1"/>
  <c r="O10" i="44" s="1"/>
  <c r="N10" i="44" a="1"/>
  <c r="N10" i="44" s="1"/>
  <c r="K9" i="47" s="1"/>
  <c r="M10" i="44" a="1"/>
  <c r="M10" i="44" s="1"/>
  <c r="L10" i="44" a="1"/>
  <c r="L10" i="44" s="1"/>
  <c r="I9" i="47" s="1"/>
  <c r="K10" i="44" a="1"/>
  <c r="K10" i="44" s="1"/>
  <c r="J10" i="44" a="1"/>
  <c r="J10" i="44" s="1"/>
  <c r="G9" i="47" s="1"/>
  <c r="I10" i="44" a="1"/>
  <c r="I10" i="44" s="1"/>
  <c r="Z10" i="44" a="1"/>
  <c r="Z10" i="44" s="1"/>
  <c r="S9" i="47" s="1"/>
  <c r="Z27" i="45" a="1"/>
  <c r="Z27" i="45" s="1"/>
  <c r="AC27" i="45" a="1"/>
  <c r="AC27" i="45" s="1"/>
  <c r="AB27" i="45" a="1"/>
  <c r="AB27" i="45" s="1"/>
  <c r="AA27" i="45" a="1"/>
  <c r="AA27" i="45" s="1"/>
  <c r="Y27" i="45" a="1"/>
  <c r="Y27" i="45" s="1"/>
  <c r="X27" i="45" a="1"/>
  <c r="X27" i="45" s="1"/>
  <c r="W27" i="45" a="1"/>
  <c r="W27" i="45" s="1"/>
  <c r="V27" i="45" a="1"/>
  <c r="V27" i="45" s="1"/>
  <c r="U27" i="45" a="1"/>
  <c r="U27" i="45" s="1"/>
  <c r="T27" i="45" a="1"/>
  <c r="T27" i="45" s="1"/>
  <c r="S27" i="45" a="1"/>
  <c r="S27" i="45" s="1"/>
  <c r="R27" i="45" a="1"/>
  <c r="R27" i="45" s="1"/>
  <c r="Q27" i="45" a="1"/>
  <c r="Q27" i="45" s="1"/>
  <c r="P27" i="45" a="1"/>
  <c r="P27" i="45" s="1"/>
  <c r="O27" i="45" a="1"/>
  <c r="O27" i="45" s="1"/>
  <c r="N27" i="45" a="1"/>
  <c r="N27" i="45" s="1"/>
  <c r="M27" i="45" a="1"/>
  <c r="M27" i="45" s="1"/>
  <c r="L27" i="45" a="1"/>
  <c r="L27" i="45" s="1"/>
  <c r="K27" i="45" a="1"/>
  <c r="K27" i="45" s="1"/>
  <c r="J27" i="45" a="1"/>
  <c r="J27" i="45" s="1"/>
  <c r="I27" i="45" a="1"/>
  <c r="I27" i="45" s="1"/>
  <c r="AC28" i="45" a="1"/>
  <c r="AC28" i="45" s="1"/>
  <c r="AB28" i="45" a="1"/>
  <c r="AB28" i="45" s="1"/>
  <c r="AA28" i="45" a="1"/>
  <c r="AA28" i="45" s="1"/>
  <c r="Z28" i="45" a="1"/>
  <c r="Z28" i="45" s="1"/>
  <c r="Y28" i="45" a="1"/>
  <c r="Y28" i="45" s="1"/>
  <c r="X28" i="45" a="1"/>
  <c r="X28" i="45" s="1"/>
  <c r="W28" i="45" a="1"/>
  <c r="W28" i="45" s="1"/>
  <c r="V28" i="45" a="1"/>
  <c r="V28" i="45" s="1"/>
  <c r="U28" i="45" a="1"/>
  <c r="U28" i="45" s="1"/>
  <c r="T28" i="45" a="1"/>
  <c r="T28" i="45" s="1"/>
  <c r="S28" i="45" a="1"/>
  <c r="S28" i="45" s="1"/>
  <c r="R28" i="45" a="1"/>
  <c r="R28" i="45" s="1"/>
  <c r="Q28" i="45" a="1"/>
  <c r="Q28" i="45" s="1"/>
  <c r="P28" i="45" a="1"/>
  <c r="P28" i="45" s="1"/>
  <c r="O28" i="45" a="1"/>
  <c r="O28" i="45" s="1"/>
  <c r="N28" i="45" a="1"/>
  <c r="N28" i="45" s="1"/>
  <c r="M28" i="45" a="1"/>
  <c r="M28" i="45" s="1"/>
  <c r="L28" i="45" a="1"/>
  <c r="L28" i="45" s="1"/>
  <c r="K28" i="45" a="1"/>
  <c r="K28" i="45" s="1"/>
  <c r="J28" i="45" a="1"/>
  <c r="J28" i="45" s="1"/>
  <c r="I28" i="45" a="1"/>
  <c r="I28" i="45" s="1"/>
  <c r="AC26" i="45" a="1"/>
  <c r="AC26" i="45" s="1"/>
  <c r="AB26" i="45" a="1"/>
  <c r="AB26" i="45" s="1"/>
  <c r="AA26" i="45" a="1"/>
  <c r="AA26" i="45" s="1"/>
  <c r="Z26" i="45" a="1"/>
  <c r="Z26" i="45" s="1"/>
  <c r="Y26" i="45" a="1"/>
  <c r="Y26" i="45" s="1"/>
  <c r="X26" i="45" a="1"/>
  <c r="X26" i="45" s="1"/>
  <c r="W26" i="45" a="1"/>
  <c r="W26" i="45" s="1"/>
  <c r="V26" i="45" a="1"/>
  <c r="V26" i="45" s="1"/>
  <c r="U26" i="45" a="1"/>
  <c r="U26" i="45" s="1"/>
  <c r="T26" i="45" a="1"/>
  <c r="T26" i="45" s="1"/>
  <c r="S26" i="45" a="1"/>
  <c r="S26" i="45" s="1"/>
  <c r="R26" i="45" a="1"/>
  <c r="R26" i="45" s="1"/>
  <c r="Q26" i="45" a="1"/>
  <c r="Q26" i="45" s="1"/>
  <c r="P26" i="45" a="1"/>
  <c r="P26" i="45" s="1"/>
  <c r="O26" i="45" a="1"/>
  <c r="O26" i="45" s="1"/>
  <c r="N26" i="45" a="1"/>
  <c r="N26" i="45" s="1"/>
  <c r="M26" i="45" a="1"/>
  <c r="M26" i="45" s="1"/>
  <c r="L26" i="45" a="1"/>
  <c r="L26" i="45" s="1"/>
  <c r="K26" i="45" a="1"/>
  <c r="K26" i="45" s="1"/>
  <c r="J26" i="45" a="1"/>
  <c r="J26" i="45" s="1"/>
  <c r="I26" i="45" a="1"/>
  <c r="I26" i="45" s="1"/>
  <c r="AC25" i="45" a="1"/>
  <c r="AC25" i="45" s="1"/>
  <c r="AB25" i="45" a="1"/>
  <c r="AB25" i="45" s="1"/>
  <c r="AA25" i="45" a="1"/>
  <c r="AA25" i="45" s="1"/>
  <c r="Z25" i="45" a="1"/>
  <c r="Z25" i="45" s="1"/>
  <c r="Y25" i="45" a="1"/>
  <c r="Y25" i="45" s="1"/>
  <c r="X25" i="45" a="1"/>
  <c r="X25" i="45" s="1"/>
  <c r="W25" i="45" a="1"/>
  <c r="W25" i="45" s="1"/>
  <c r="V25" i="45" a="1"/>
  <c r="V25" i="45" s="1"/>
  <c r="U25" i="45" a="1"/>
  <c r="U25" i="45" s="1"/>
  <c r="T25" i="45" a="1"/>
  <c r="T25" i="45" s="1"/>
  <c r="S25" i="45" a="1"/>
  <c r="S25" i="45" s="1"/>
  <c r="R25" i="45" a="1"/>
  <c r="R25" i="45" s="1"/>
  <c r="Q25" i="45" a="1"/>
  <c r="Q25" i="45" s="1"/>
  <c r="P25" i="45" a="1"/>
  <c r="P25" i="45" s="1"/>
  <c r="O25" i="45" a="1"/>
  <c r="O25" i="45" s="1"/>
  <c r="N25" i="45" a="1"/>
  <c r="N25" i="45" s="1"/>
  <c r="M25" i="45" a="1"/>
  <c r="M25" i="45" s="1"/>
  <c r="L25" i="45" a="1"/>
  <c r="L25" i="45" s="1"/>
  <c r="K25" i="45" a="1"/>
  <c r="K25" i="45" s="1"/>
  <c r="J25" i="45" a="1"/>
  <c r="J25" i="45" s="1"/>
  <c r="I25" i="45" a="1"/>
  <c r="I25" i="45" s="1"/>
  <c r="AC23" i="45" a="1"/>
  <c r="AC23" i="45" s="1"/>
  <c r="AB23" i="45" a="1"/>
  <c r="AB23" i="45" s="1"/>
  <c r="AA23" i="45" a="1"/>
  <c r="AA23" i="45" s="1"/>
  <c r="Z23" i="45" a="1"/>
  <c r="Z23" i="45" s="1"/>
  <c r="Y23" i="45" a="1"/>
  <c r="Y23" i="45" s="1"/>
  <c r="X23" i="45" a="1"/>
  <c r="X23" i="45" s="1"/>
  <c r="W23" i="45" a="1"/>
  <c r="W23" i="45" s="1"/>
  <c r="V23" i="45" a="1"/>
  <c r="V23" i="45" s="1"/>
  <c r="U23" i="45" a="1"/>
  <c r="U23" i="45" s="1"/>
  <c r="T23" i="45" a="1"/>
  <c r="T23" i="45" s="1"/>
  <c r="S23" i="45" a="1"/>
  <c r="S23" i="45" s="1"/>
  <c r="R23" i="45" a="1"/>
  <c r="R23" i="45" s="1"/>
  <c r="Q23" i="45" a="1"/>
  <c r="Q23" i="45" s="1"/>
  <c r="P23" i="45" a="1"/>
  <c r="P23" i="45" s="1"/>
  <c r="O23" i="45" a="1"/>
  <c r="O23" i="45" s="1"/>
  <c r="N23" i="45" a="1"/>
  <c r="N23" i="45" s="1"/>
  <c r="M23" i="45" a="1"/>
  <c r="M23" i="45" s="1"/>
  <c r="L23" i="45" a="1"/>
  <c r="L23" i="45" s="1"/>
  <c r="K23" i="45" a="1"/>
  <c r="K23" i="45" s="1"/>
  <c r="J23" i="45" a="1"/>
  <c r="J23" i="45" s="1"/>
  <c r="I23" i="45" a="1"/>
  <c r="I23" i="45" s="1"/>
  <c r="T22" i="45" a="1"/>
  <c r="T22" i="45" s="1"/>
  <c r="S22" i="45" a="1"/>
  <c r="S22" i="45" s="1"/>
  <c r="R22" i="45" a="1"/>
  <c r="R22" i="45" s="1"/>
  <c r="Q22" i="45" a="1"/>
  <c r="Q22" i="45" s="1"/>
  <c r="P22" i="45" a="1"/>
  <c r="P22" i="45" s="1"/>
  <c r="O22" i="45" a="1"/>
  <c r="O22" i="45" s="1"/>
  <c r="N22" i="45" a="1"/>
  <c r="N22" i="45" s="1"/>
  <c r="M22" i="45" a="1"/>
  <c r="M22" i="45" s="1"/>
  <c r="L22" i="45" a="1"/>
  <c r="L22" i="45" s="1"/>
  <c r="K22" i="45" a="1"/>
  <c r="K22" i="45" s="1"/>
  <c r="J22" i="45" a="1"/>
  <c r="J22" i="45" s="1"/>
  <c r="I22" i="45" a="1"/>
  <c r="I22" i="45" s="1"/>
  <c r="AC22" i="45" a="1"/>
  <c r="AC22" i="45" s="1"/>
  <c r="AB22" i="45" a="1"/>
  <c r="AB22" i="45" s="1"/>
  <c r="AA22" i="45" a="1"/>
  <c r="AA22" i="45" s="1"/>
  <c r="Z22" i="45" a="1"/>
  <c r="Z22" i="45" s="1"/>
  <c r="Y22" i="45" a="1"/>
  <c r="Y22" i="45" s="1"/>
  <c r="X22" i="45" a="1"/>
  <c r="X22" i="45" s="1"/>
  <c r="W22" i="45" a="1"/>
  <c r="W22" i="45" s="1"/>
  <c r="V22" i="45" a="1"/>
  <c r="V22" i="45" s="1"/>
  <c r="U22" i="45" a="1"/>
  <c r="U22" i="45" s="1"/>
  <c r="U52" i="45" s="1"/>
  <c r="T11" i="45" a="1"/>
  <c r="T11" i="45" s="1"/>
  <c r="S11" i="45" a="1"/>
  <c r="S11" i="45" s="1"/>
  <c r="R11" i="45" a="1"/>
  <c r="R11" i="45" s="1"/>
  <c r="Q11" i="45" a="1"/>
  <c r="Q11" i="45" s="1"/>
  <c r="P11" i="45" a="1"/>
  <c r="P11" i="45" s="1"/>
  <c r="O11" i="45" a="1"/>
  <c r="O11" i="45" s="1"/>
  <c r="N11" i="45" a="1"/>
  <c r="N11" i="45" s="1"/>
  <c r="M11" i="45" a="1"/>
  <c r="M11" i="45" s="1"/>
  <c r="L11" i="45" a="1"/>
  <c r="L11" i="45" s="1"/>
  <c r="K11" i="45" a="1"/>
  <c r="K11" i="45" s="1"/>
  <c r="J11" i="45" a="1"/>
  <c r="J11" i="45" s="1"/>
  <c r="I11" i="45" a="1"/>
  <c r="I11" i="45" s="1"/>
  <c r="T10" i="45" a="1"/>
  <c r="T10" i="45" s="1"/>
  <c r="S10" i="45" a="1"/>
  <c r="S10" i="45" s="1"/>
  <c r="R10" i="45" a="1"/>
  <c r="R10" i="45" s="1"/>
  <c r="Q10" i="45" a="1"/>
  <c r="Q10" i="45" s="1"/>
  <c r="P10" i="45" a="1"/>
  <c r="P10" i="45" s="1"/>
  <c r="O10" i="45" a="1"/>
  <c r="O10" i="45" s="1"/>
  <c r="N10" i="45" a="1"/>
  <c r="N10" i="45" s="1"/>
  <c r="M10" i="45" a="1"/>
  <c r="M10" i="45" s="1"/>
  <c r="L10" i="45" a="1"/>
  <c r="L10" i="45" s="1"/>
  <c r="K10" i="45" a="1"/>
  <c r="K10" i="45" s="1"/>
  <c r="J10" i="45" a="1"/>
  <c r="J10" i="45" s="1"/>
  <c r="I10" i="45" a="1"/>
  <c r="I10" i="45" s="1"/>
  <c r="T9" i="45" a="1"/>
  <c r="T9" i="45" s="1"/>
  <c r="S9" i="45" a="1"/>
  <c r="S9" i="45" s="1"/>
  <c r="R9" i="45" a="1"/>
  <c r="R9" i="45" s="1"/>
  <c r="Q9" i="45" a="1"/>
  <c r="Q9" i="45" s="1"/>
  <c r="P9" i="45" a="1"/>
  <c r="P9" i="45" s="1"/>
  <c r="O9" i="45" a="1"/>
  <c r="O9" i="45" s="1"/>
  <c r="N9" i="45" a="1"/>
  <c r="N9" i="45" s="1"/>
  <c r="M9" i="45" a="1"/>
  <c r="M9" i="45" s="1"/>
  <c r="L9" i="45" a="1"/>
  <c r="L9" i="45" s="1"/>
  <c r="K9" i="45" a="1"/>
  <c r="K9" i="45" s="1"/>
  <c r="J9" i="45" a="1"/>
  <c r="J9" i="45" s="1"/>
  <c r="I9" i="45" a="1"/>
  <c r="I9" i="45" s="1"/>
  <c r="T8" i="45" a="1"/>
  <c r="T8" i="45" s="1"/>
  <c r="S8" i="45" a="1"/>
  <c r="S8" i="45" s="1"/>
  <c r="R8" i="45" a="1"/>
  <c r="R8" i="45" s="1"/>
  <c r="Q8" i="45" a="1"/>
  <c r="Q8" i="45" s="1"/>
  <c r="P8" i="45" a="1"/>
  <c r="P8" i="45" s="1"/>
  <c r="P12" i="45" s="1"/>
  <c r="O8" i="45" a="1"/>
  <c r="O8" i="45" s="1"/>
  <c r="O12" i="45" s="1"/>
  <c r="N8" i="45" a="1"/>
  <c r="N8" i="45" s="1"/>
  <c r="N12" i="45" s="1"/>
  <c r="M8" i="45" a="1"/>
  <c r="M8" i="45" s="1"/>
  <c r="L8" i="45" a="1"/>
  <c r="L8" i="45" s="1"/>
  <c r="K8" i="45" a="1"/>
  <c r="K8" i="45" s="1"/>
  <c r="J8" i="45" a="1"/>
  <c r="J8" i="45" s="1"/>
  <c r="J12" i="45" s="1"/>
  <c r="I8" i="45" a="1"/>
  <c r="I8" i="45" s="1"/>
  <c r="U21" i="45" a="1"/>
  <c r="U21" i="45" s="1"/>
  <c r="T21" i="45" a="1"/>
  <c r="T21" i="45" s="1"/>
  <c r="S21" i="45" a="1"/>
  <c r="S21" i="45" s="1"/>
  <c r="R21" i="45" a="1"/>
  <c r="R21" i="45" s="1"/>
  <c r="Q21" i="45" a="1"/>
  <c r="Q21" i="45" s="1"/>
  <c r="P21" i="45" a="1"/>
  <c r="P21" i="45" s="1"/>
  <c r="O21" i="45" a="1"/>
  <c r="O21" i="45" s="1"/>
  <c r="N21" i="45" a="1"/>
  <c r="N21" i="45" s="1"/>
  <c r="M21" i="45" a="1"/>
  <c r="M21" i="45" s="1"/>
  <c r="L21" i="45" a="1"/>
  <c r="L21" i="45" s="1"/>
  <c r="K21" i="45" a="1"/>
  <c r="K21" i="45" s="1"/>
  <c r="J21" i="45" a="1"/>
  <c r="J21" i="45" s="1"/>
  <c r="I21" i="45" a="1"/>
  <c r="I21" i="45" s="1"/>
  <c r="U20" i="45" a="1"/>
  <c r="U20" i="45" s="1"/>
  <c r="T20" i="45" a="1"/>
  <c r="T20" i="45" s="1"/>
  <c r="S20" i="45" a="1"/>
  <c r="S20" i="45" s="1"/>
  <c r="R20" i="45" a="1"/>
  <c r="R20" i="45" s="1"/>
  <c r="Q20" i="45" a="1"/>
  <c r="Q20" i="45" s="1"/>
  <c r="P20" i="45" a="1"/>
  <c r="P20" i="45" s="1"/>
  <c r="O20" i="45" a="1"/>
  <c r="O20" i="45" s="1"/>
  <c r="N20" i="45" a="1"/>
  <c r="N20" i="45" s="1"/>
  <c r="M20" i="45" a="1"/>
  <c r="M20" i="45" s="1"/>
  <c r="L20" i="45" a="1"/>
  <c r="L20" i="45" s="1"/>
  <c r="K20" i="45" a="1"/>
  <c r="K20" i="45" s="1"/>
  <c r="J20" i="45" a="1"/>
  <c r="J20" i="45" s="1"/>
  <c r="I20" i="45" a="1"/>
  <c r="I20" i="45" s="1"/>
  <c r="U18" i="45" a="1"/>
  <c r="U18" i="45" s="1"/>
  <c r="T18" i="45" a="1"/>
  <c r="T18" i="45" s="1"/>
  <c r="S18" i="45" a="1"/>
  <c r="S18" i="45" s="1"/>
  <c r="R18" i="45" a="1"/>
  <c r="R18" i="45" s="1"/>
  <c r="Q18" i="45" a="1"/>
  <c r="Q18" i="45" s="1"/>
  <c r="P18" i="45" a="1"/>
  <c r="P18" i="45" s="1"/>
  <c r="O18" i="45" a="1"/>
  <c r="O18" i="45" s="1"/>
  <c r="N18" i="45" a="1"/>
  <c r="N18" i="45" s="1"/>
  <c r="M18" i="45" a="1"/>
  <c r="M18" i="45" s="1"/>
  <c r="L18" i="45" a="1"/>
  <c r="L18" i="45" s="1"/>
  <c r="K18" i="45" a="1"/>
  <c r="K18" i="45" s="1"/>
  <c r="J18" i="45" a="1"/>
  <c r="J18" i="45" s="1"/>
  <c r="I18" i="45" a="1"/>
  <c r="I18" i="45" s="1"/>
  <c r="U17" i="45" a="1"/>
  <c r="U17" i="45" s="1"/>
  <c r="T17" i="45" a="1"/>
  <c r="T17" i="45" s="1"/>
  <c r="S17" i="45" a="1"/>
  <c r="S17" i="45" s="1"/>
  <c r="R17" i="45" a="1"/>
  <c r="R17" i="45" s="1"/>
  <c r="Q17" i="45" a="1"/>
  <c r="Q17" i="45" s="1"/>
  <c r="P17" i="45" a="1"/>
  <c r="P17" i="45" s="1"/>
  <c r="O17" i="45" a="1"/>
  <c r="O17" i="45" s="1"/>
  <c r="N17" i="45" a="1"/>
  <c r="N17" i="45" s="1"/>
  <c r="M17" i="45" a="1"/>
  <c r="M17" i="45" s="1"/>
  <c r="L17" i="45" a="1"/>
  <c r="L17" i="45" s="1"/>
  <c r="K17" i="45" a="1"/>
  <c r="K17" i="45" s="1"/>
  <c r="J17" i="45" a="1"/>
  <c r="J17" i="45" s="1"/>
  <c r="I17" i="45" a="1"/>
  <c r="I17" i="45" s="1"/>
  <c r="U15" i="45" a="1"/>
  <c r="U15" i="45" s="1"/>
  <c r="T15" i="45" a="1"/>
  <c r="T15" i="45" s="1"/>
  <c r="S15" i="45" a="1"/>
  <c r="S15" i="45" s="1"/>
  <c r="R15" i="45" a="1"/>
  <c r="R15" i="45" s="1"/>
  <c r="Q15" i="45" a="1"/>
  <c r="Q15" i="45" s="1"/>
  <c r="P15" i="45" a="1"/>
  <c r="P15" i="45" s="1"/>
  <c r="O15" i="45" a="1"/>
  <c r="O15" i="45" s="1"/>
  <c r="N15" i="45" a="1"/>
  <c r="N15" i="45" s="1"/>
  <c r="M15" i="45" a="1"/>
  <c r="M15" i="45" s="1"/>
  <c r="L15" i="45" a="1"/>
  <c r="L15" i="45" s="1"/>
  <c r="K15" i="45" a="1"/>
  <c r="K15" i="45" s="1"/>
  <c r="J15" i="45" a="1"/>
  <c r="J15" i="45" s="1"/>
  <c r="I15" i="45" a="1"/>
  <c r="I15" i="45" s="1"/>
  <c r="U14" i="45" a="1"/>
  <c r="U14" i="45" s="1"/>
  <c r="T14" i="45" a="1"/>
  <c r="T14" i="45" s="1"/>
  <c r="S14" i="45" a="1"/>
  <c r="S14" i="45" s="1"/>
  <c r="R14" i="45" a="1"/>
  <c r="R14" i="45" s="1"/>
  <c r="Q14" i="45" a="1"/>
  <c r="Q14" i="45" s="1"/>
  <c r="P14" i="45" a="1"/>
  <c r="P14" i="45" s="1"/>
  <c r="O14" i="45" a="1"/>
  <c r="O14" i="45" s="1"/>
  <c r="N14" i="45" a="1"/>
  <c r="N14" i="45" s="1"/>
  <c r="M14" i="45" a="1"/>
  <c r="M14" i="45" s="1"/>
  <c r="L14" i="45" a="1"/>
  <c r="L14" i="45" s="1"/>
  <c r="K14" i="45" a="1"/>
  <c r="K14" i="45" s="1"/>
  <c r="J14" i="45" a="1"/>
  <c r="J14" i="45" s="1"/>
  <c r="I14" i="45" a="1"/>
  <c r="I14" i="45" s="1"/>
  <c r="AC21" i="45" a="1"/>
  <c r="AC21" i="45" s="1"/>
  <c r="AB21" i="45" a="1"/>
  <c r="AB21" i="45" s="1"/>
  <c r="AA21" i="45" a="1"/>
  <c r="AA21" i="45" s="1"/>
  <c r="Z21" i="45" a="1"/>
  <c r="Z21" i="45" s="1"/>
  <c r="Y21" i="45" a="1"/>
  <c r="Y21" i="45" s="1"/>
  <c r="X21" i="45" a="1"/>
  <c r="X21" i="45" s="1"/>
  <c r="W21" i="45" a="1"/>
  <c r="W21" i="45" s="1"/>
  <c r="V21" i="45" a="1"/>
  <c r="V21" i="45" s="1"/>
  <c r="AC20" i="45" a="1"/>
  <c r="AC20" i="45" s="1"/>
  <c r="AB20" i="45" a="1"/>
  <c r="AB20" i="45" s="1"/>
  <c r="AA20" i="45" a="1"/>
  <c r="AA20" i="45" s="1"/>
  <c r="Z20" i="45" a="1"/>
  <c r="Z20" i="45" s="1"/>
  <c r="Y20" i="45" a="1"/>
  <c r="Y20" i="45" s="1"/>
  <c r="X20" i="45" a="1"/>
  <c r="X20" i="45" s="1"/>
  <c r="W20" i="45" a="1"/>
  <c r="W20" i="45" s="1"/>
  <c r="V20" i="45" a="1"/>
  <c r="V20" i="45" s="1"/>
  <c r="V50" i="45" s="1"/>
  <c r="AC18" i="45" a="1"/>
  <c r="AC18" i="45" s="1"/>
  <c r="AB18" i="45" a="1"/>
  <c r="AB18" i="45" s="1"/>
  <c r="AA18" i="45" a="1"/>
  <c r="AA18" i="45" s="1"/>
  <c r="Z18" i="45" a="1"/>
  <c r="Z18" i="45" s="1"/>
  <c r="Y18" i="45" a="1"/>
  <c r="Y18" i="45" s="1"/>
  <c r="X18" i="45" a="1"/>
  <c r="X18" i="45" s="1"/>
  <c r="W18" i="45" a="1"/>
  <c r="W18" i="45" s="1"/>
  <c r="V18" i="45" a="1"/>
  <c r="V18" i="45" s="1"/>
  <c r="AC17" i="45" a="1"/>
  <c r="AC17" i="45" s="1"/>
  <c r="AB17" i="45" a="1"/>
  <c r="AB17" i="45" s="1"/>
  <c r="AA17" i="45" a="1"/>
  <c r="AA17" i="45" s="1"/>
  <c r="Z17" i="45" a="1"/>
  <c r="Z17" i="45" s="1"/>
  <c r="Y17" i="45" a="1"/>
  <c r="Y17" i="45" s="1"/>
  <c r="X17" i="45" a="1"/>
  <c r="X17" i="45" s="1"/>
  <c r="W17" i="45" a="1"/>
  <c r="W17" i="45" s="1"/>
  <c r="V17" i="45" a="1"/>
  <c r="V17" i="45" s="1"/>
  <c r="V47" i="45" s="1"/>
  <c r="AC15" i="45" a="1"/>
  <c r="AC15" i="45" s="1"/>
  <c r="AB15" i="45" a="1"/>
  <c r="AB15" i="45" s="1"/>
  <c r="AA15" i="45" a="1"/>
  <c r="AA15" i="45" s="1"/>
  <c r="Z15" i="45" a="1"/>
  <c r="Z15" i="45" s="1"/>
  <c r="Y15" i="45" a="1"/>
  <c r="Y15" i="45" s="1"/>
  <c r="X15" i="45" a="1"/>
  <c r="X15" i="45" s="1"/>
  <c r="W15" i="45" a="1"/>
  <c r="W15" i="45" s="1"/>
  <c r="V15" i="45" a="1"/>
  <c r="V15" i="45" s="1"/>
  <c r="AC14" i="45" a="1"/>
  <c r="AC14" i="45" s="1"/>
  <c r="AB14" i="45" a="1"/>
  <c r="AB14" i="45" s="1"/>
  <c r="AA14" i="45" a="1"/>
  <c r="AA14" i="45" s="1"/>
  <c r="Z14" i="45" a="1"/>
  <c r="Z14" i="45" s="1"/>
  <c r="Y14" i="45" a="1"/>
  <c r="Y14" i="45" s="1"/>
  <c r="X14" i="45" a="1"/>
  <c r="X14" i="45" s="1"/>
  <c r="W14" i="45" a="1"/>
  <c r="W14" i="45" s="1"/>
  <c r="V14" i="45" a="1"/>
  <c r="V14" i="45" s="1"/>
  <c r="V44" i="45" s="1"/>
  <c r="AC11" i="45" a="1"/>
  <c r="AC11" i="45" s="1"/>
  <c r="AB11" i="45" a="1"/>
  <c r="AB11" i="45" s="1"/>
  <c r="AA11" i="45" a="1"/>
  <c r="AA11" i="45" s="1"/>
  <c r="Z11" i="45" a="1"/>
  <c r="Z11" i="45" s="1"/>
  <c r="Y11" i="45" a="1"/>
  <c r="Y11" i="45" s="1"/>
  <c r="X11" i="45" a="1"/>
  <c r="X11" i="45" s="1"/>
  <c r="W11" i="45" a="1"/>
  <c r="W11" i="45" s="1"/>
  <c r="V11" i="45" a="1"/>
  <c r="V11" i="45" s="1"/>
  <c r="U11" i="45" a="1"/>
  <c r="U11" i="45" s="1"/>
  <c r="U41" i="45" s="1"/>
  <c r="T8" i="44" a="1"/>
  <c r="T8" i="44" s="1"/>
  <c r="C41" i="48"/>
  <c r="C40" i="48"/>
  <c r="C39" i="48"/>
  <c r="C38" i="48"/>
  <c r="C37" i="48"/>
  <c r="C36" i="48"/>
  <c r="C35" i="48"/>
  <c r="C34" i="48"/>
  <c r="C33" i="48"/>
  <c r="C32" i="48"/>
  <c r="C31" i="48"/>
  <c r="C30" i="48"/>
  <c r="C23" i="48"/>
  <c r="C22" i="48"/>
  <c r="C21" i="48"/>
  <c r="C20" i="48"/>
  <c r="C19" i="48"/>
  <c r="C18" i="48"/>
  <c r="C17" i="48"/>
  <c r="C16" i="48"/>
  <c r="C15" i="48"/>
  <c r="C14" i="48"/>
  <c r="C13" i="48"/>
  <c r="C12" i="48"/>
  <c r="E6" i="46" a="1"/>
  <c r="E6" i="46" s="1"/>
  <c r="T32" i="44" a="1"/>
  <c r="T32" i="44" s="1"/>
  <c r="S32" i="44" a="1"/>
  <c r="S32" i="44" s="1"/>
  <c r="R32" i="44" a="1"/>
  <c r="R32" i="44" s="1"/>
  <c r="Q32" i="44" a="1"/>
  <c r="Q32" i="44" s="1"/>
  <c r="P32" i="44" a="1"/>
  <c r="P32" i="44" s="1"/>
  <c r="O32" i="44" a="1"/>
  <c r="O32" i="44" s="1"/>
  <c r="N32" i="44" a="1"/>
  <c r="N32" i="44" s="1"/>
  <c r="K23" i="47" s="1"/>
  <c r="M32" i="44" a="1"/>
  <c r="M32" i="44" s="1"/>
  <c r="L32" i="44" a="1"/>
  <c r="L32" i="44" s="1"/>
  <c r="I23" i="47" s="1"/>
  <c r="K32" i="44" a="1"/>
  <c r="K32" i="44" s="1"/>
  <c r="J32" i="44" a="1"/>
  <c r="J32" i="44" s="1"/>
  <c r="G23" i="47" s="1"/>
  <c r="I32" i="44" a="1"/>
  <c r="I32" i="44" s="1"/>
  <c r="F23" i="47" s="1"/>
  <c r="T31" i="44" a="1"/>
  <c r="T31" i="44" s="1"/>
  <c r="S31" i="44" a="1"/>
  <c r="S31" i="44" s="1"/>
  <c r="R31" i="44" a="1"/>
  <c r="R31" i="44" s="1"/>
  <c r="O22" i="47" s="1"/>
  <c r="Q31" i="44" a="1"/>
  <c r="Q31" i="44" s="1"/>
  <c r="P31" i="44" a="1"/>
  <c r="P31" i="44" s="1"/>
  <c r="O31" i="44" a="1"/>
  <c r="O31" i="44" s="1"/>
  <c r="N31" i="44" a="1"/>
  <c r="N31" i="44" s="1"/>
  <c r="K22" i="47" s="1"/>
  <c r="M31" i="44" a="1"/>
  <c r="M31" i="44" s="1"/>
  <c r="L31" i="44" a="1"/>
  <c r="L31" i="44" s="1"/>
  <c r="I22" i="47" s="1"/>
  <c r="K31" i="44" a="1"/>
  <c r="K31" i="44" s="1"/>
  <c r="J31" i="44" a="1"/>
  <c r="J31" i="44" s="1"/>
  <c r="G22" i="47" s="1"/>
  <c r="I31" i="44" a="1"/>
  <c r="I31" i="44" s="1"/>
  <c r="F22" i="47" s="1"/>
  <c r="T30" i="44" a="1"/>
  <c r="T30" i="44" s="1"/>
  <c r="S30" i="44" a="1"/>
  <c r="S30" i="44" s="1"/>
  <c r="R30" i="44" a="1"/>
  <c r="R30" i="44" s="1"/>
  <c r="O21" i="47" s="1"/>
  <c r="Q30" i="44" a="1"/>
  <c r="Q30" i="44" s="1"/>
  <c r="P30" i="44" a="1"/>
  <c r="P30" i="44" s="1"/>
  <c r="O30" i="44" a="1"/>
  <c r="O30" i="44" s="1"/>
  <c r="N30" i="44" a="1"/>
  <c r="N30" i="44" s="1"/>
  <c r="K21" i="47" s="1"/>
  <c r="M30" i="44" a="1"/>
  <c r="M30" i="44" s="1"/>
  <c r="L30" i="44" a="1"/>
  <c r="L30" i="44" s="1"/>
  <c r="I21" i="47" s="1"/>
  <c r="K30" i="44" a="1"/>
  <c r="K30" i="44" s="1"/>
  <c r="J30" i="44" a="1"/>
  <c r="J30" i="44" s="1"/>
  <c r="G21" i="47" s="1"/>
  <c r="I30" i="44" a="1"/>
  <c r="I30" i="44" s="1"/>
  <c r="F21" i="47" s="1"/>
  <c r="T29" i="44" a="1"/>
  <c r="T29" i="44" s="1"/>
  <c r="T18" i="44" s="1"/>
  <c r="S29" i="44" a="1"/>
  <c r="S29" i="44" s="1"/>
  <c r="R29" i="44" a="1"/>
  <c r="R29" i="44" s="1"/>
  <c r="R18" i="44" s="1"/>
  <c r="Q29" i="44" a="1"/>
  <c r="Q29" i="44" s="1"/>
  <c r="Q18" i="44" s="1"/>
  <c r="P29" i="44" a="1"/>
  <c r="P29" i="44" s="1"/>
  <c r="O29" i="44" a="1"/>
  <c r="O29" i="44" s="1"/>
  <c r="N29" i="44" a="1"/>
  <c r="N29" i="44" s="1"/>
  <c r="N18" i="44" s="1"/>
  <c r="M29" i="44" a="1"/>
  <c r="M29" i="44" s="1"/>
  <c r="M18" i="44" s="1"/>
  <c r="M54" i="44" s="1"/>
  <c r="L29" i="44" a="1"/>
  <c r="L29" i="44" s="1"/>
  <c r="L18" i="44" s="1"/>
  <c r="K29" i="44" a="1"/>
  <c r="K29" i="44" s="1"/>
  <c r="J29" i="44" a="1"/>
  <c r="J29" i="44" s="1"/>
  <c r="G20" i="47" s="1"/>
  <c r="I29" i="44" a="1"/>
  <c r="I29" i="44" s="1"/>
  <c r="I18" i="44" s="1"/>
  <c r="T28" i="44" a="1"/>
  <c r="T28" i="44" s="1"/>
  <c r="S28" i="44" a="1"/>
  <c r="S28" i="44" s="1"/>
  <c r="R28" i="44" a="1"/>
  <c r="R28" i="44" s="1"/>
  <c r="O19" i="47" s="1"/>
  <c r="Q28" i="44" a="1"/>
  <c r="Q28" i="44" s="1"/>
  <c r="P28" i="44" a="1"/>
  <c r="P28" i="44" s="1"/>
  <c r="O28" i="44" a="1"/>
  <c r="O28" i="44" s="1"/>
  <c r="N28" i="44" a="1"/>
  <c r="N28" i="44" s="1"/>
  <c r="K19" i="47" s="1"/>
  <c r="M28" i="44" a="1"/>
  <c r="M28" i="44" s="1"/>
  <c r="L28" i="44" a="1"/>
  <c r="L28" i="44" s="1"/>
  <c r="I19" i="47" s="1"/>
  <c r="K28" i="44" a="1"/>
  <c r="K28" i="44" s="1"/>
  <c r="J28" i="44" a="1"/>
  <c r="J28" i="44" s="1"/>
  <c r="G19" i="47" s="1"/>
  <c r="I28" i="44" a="1"/>
  <c r="I28" i="44" s="1"/>
  <c r="F19" i="47" s="1"/>
  <c r="T27" i="44" a="1"/>
  <c r="T27" i="44" s="1"/>
  <c r="S27" i="44" a="1"/>
  <c r="S27" i="44" s="1"/>
  <c r="R27" i="44" a="1"/>
  <c r="R27" i="44" s="1"/>
  <c r="O18" i="47" s="1"/>
  <c r="Q27" i="44" a="1"/>
  <c r="Q27" i="44" s="1"/>
  <c r="P27" i="44" a="1"/>
  <c r="P27" i="44" s="1"/>
  <c r="O27" i="44" a="1"/>
  <c r="O27" i="44" s="1"/>
  <c r="N27" i="44" a="1"/>
  <c r="N27" i="44" s="1"/>
  <c r="K18" i="47" s="1"/>
  <c r="M27" i="44" a="1"/>
  <c r="M27" i="44" s="1"/>
  <c r="L27" i="44" a="1"/>
  <c r="L27" i="44" s="1"/>
  <c r="I18" i="47" s="1"/>
  <c r="K27" i="44" a="1"/>
  <c r="K27" i="44" s="1"/>
  <c r="J27" i="44" a="1"/>
  <c r="J27" i="44" s="1"/>
  <c r="G18" i="47" s="1"/>
  <c r="I27" i="44" a="1"/>
  <c r="I27" i="44" s="1"/>
  <c r="F18" i="47" s="1"/>
  <c r="T26" i="44" a="1"/>
  <c r="T26" i="44" s="1"/>
  <c r="S26" i="44" a="1"/>
  <c r="S26" i="44" s="1"/>
  <c r="R26" i="44" a="1"/>
  <c r="R26" i="44" s="1"/>
  <c r="O17" i="47" s="1"/>
  <c r="Q26" i="44" a="1"/>
  <c r="Q26" i="44" s="1"/>
  <c r="P26" i="44" a="1"/>
  <c r="P26" i="44" s="1"/>
  <c r="O26" i="44" a="1"/>
  <c r="O26" i="44" s="1"/>
  <c r="N26" i="44" a="1"/>
  <c r="N26" i="44" s="1"/>
  <c r="K17" i="47" s="1"/>
  <c r="M26" i="44" a="1"/>
  <c r="M26" i="44" s="1"/>
  <c r="L26" i="44" a="1"/>
  <c r="L26" i="44" s="1"/>
  <c r="I17" i="47" s="1"/>
  <c r="K26" i="44" a="1"/>
  <c r="K26" i="44" s="1"/>
  <c r="J26" i="44" a="1"/>
  <c r="J26" i="44" s="1"/>
  <c r="G17" i="47" s="1"/>
  <c r="I26" i="44" a="1"/>
  <c r="I26" i="44" s="1"/>
  <c r="F17" i="47" s="1"/>
  <c r="T25" i="44" a="1"/>
  <c r="T25" i="44" s="1"/>
  <c r="S25" i="44" a="1"/>
  <c r="S25" i="44" s="1"/>
  <c r="R25" i="44" a="1"/>
  <c r="R25" i="44" s="1"/>
  <c r="R16" i="44" s="1"/>
  <c r="Q25" i="44" a="1"/>
  <c r="Q25" i="44" s="1"/>
  <c r="Q16" i="44" s="1"/>
  <c r="P25" i="44" a="1"/>
  <c r="P25" i="44" s="1"/>
  <c r="P16" i="44" s="1"/>
  <c r="O25" i="44" a="1"/>
  <c r="O25" i="44" s="1"/>
  <c r="N25" i="44" a="1"/>
  <c r="N25" i="44" s="1"/>
  <c r="K16" i="47" s="1"/>
  <c r="M25" i="44" a="1"/>
  <c r="M25" i="44" s="1"/>
  <c r="M16" i="44" s="1"/>
  <c r="L25" i="44" a="1"/>
  <c r="L25" i="44" s="1"/>
  <c r="L16" i="44" s="1"/>
  <c r="K25" i="44" a="1"/>
  <c r="K25" i="44" s="1"/>
  <c r="J25" i="44" a="1"/>
  <c r="J25" i="44" s="1"/>
  <c r="G16" i="47" s="1"/>
  <c r="I25" i="44" a="1"/>
  <c r="I25" i="44" s="1"/>
  <c r="I16" i="44" s="1"/>
  <c r="I52" i="44" s="1"/>
  <c r="T24" i="44" a="1"/>
  <c r="T24" i="44" s="1"/>
  <c r="S24" i="44" a="1"/>
  <c r="S24" i="44" s="1"/>
  <c r="R24" i="44" a="1"/>
  <c r="R24" i="44" s="1"/>
  <c r="Q24" i="44" a="1"/>
  <c r="Q24" i="44" s="1"/>
  <c r="P24" i="44" a="1"/>
  <c r="P24" i="44" s="1"/>
  <c r="O24" i="44" a="1"/>
  <c r="O24" i="44" s="1"/>
  <c r="N24" i="44" a="1"/>
  <c r="N24" i="44" s="1"/>
  <c r="K15" i="47" s="1"/>
  <c r="M24" i="44" a="1"/>
  <c r="M24" i="44" s="1"/>
  <c r="L24" i="44" a="1"/>
  <c r="L24" i="44" s="1"/>
  <c r="I15" i="47" s="1"/>
  <c r="K24" i="44" a="1"/>
  <c r="K24" i="44" s="1"/>
  <c r="J24" i="44" a="1"/>
  <c r="J24" i="44" s="1"/>
  <c r="G15" i="47" s="1"/>
  <c r="I24" i="44" a="1"/>
  <c r="I24" i="44" s="1"/>
  <c r="F15" i="47" s="1"/>
  <c r="T23" i="44" a="1"/>
  <c r="T23" i="44" s="1"/>
  <c r="T15" i="44" s="1"/>
  <c r="T51" i="44" s="1"/>
  <c r="S23" i="44" a="1"/>
  <c r="S23" i="44" s="1"/>
  <c r="R23" i="44" a="1"/>
  <c r="R23" i="44" s="1"/>
  <c r="R15" i="44" s="1"/>
  <c r="R51" i="44" s="1"/>
  <c r="Q23" i="44" a="1"/>
  <c r="Q23" i="44" s="1"/>
  <c r="P23" i="44" a="1"/>
  <c r="P23" i="44" s="1"/>
  <c r="O23" i="44" a="1"/>
  <c r="O23" i="44" s="1"/>
  <c r="N23" i="44" a="1"/>
  <c r="N23" i="44" s="1"/>
  <c r="N15" i="44" s="1"/>
  <c r="N51" i="44" s="1"/>
  <c r="M23" i="44" a="1"/>
  <c r="M23" i="44" s="1"/>
  <c r="L23" i="44" a="1"/>
  <c r="L23" i="44" s="1"/>
  <c r="L15" i="44" s="1"/>
  <c r="K23" i="44" a="1"/>
  <c r="K23" i="44" s="1"/>
  <c r="J23" i="44" a="1"/>
  <c r="J23" i="44" s="1"/>
  <c r="J15" i="44" s="1"/>
  <c r="J51" i="44" s="1"/>
  <c r="I23" i="44" a="1"/>
  <c r="I23" i="44" s="1"/>
  <c r="F14" i="47" s="1"/>
  <c r="T22" i="44" a="1"/>
  <c r="T22" i="44" s="1"/>
  <c r="S22" i="44" a="1"/>
  <c r="S22" i="44" s="1"/>
  <c r="R22" i="44" a="1"/>
  <c r="R22" i="44" s="1"/>
  <c r="Q22" i="44" a="1"/>
  <c r="Q22" i="44" s="1"/>
  <c r="P22" i="44" a="1"/>
  <c r="P22" i="44" s="1"/>
  <c r="O22" i="44" a="1"/>
  <c r="O22" i="44" s="1"/>
  <c r="N22" i="44" a="1"/>
  <c r="N22" i="44" s="1"/>
  <c r="K13" i="47" s="1"/>
  <c r="M22" i="44" a="1"/>
  <c r="M22" i="44" s="1"/>
  <c r="L22" i="44" a="1"/>
  <c r="L22" i="44" s="1"/>
  <c r="I13" i="47" s="1"/>
  <c r="K22" i="44" a="1"/>
  <c r="K22" i="44" s="1"/>
  <c r="J22" i="44" a="1"/>
  <c r="J22" i="44" s="1"/>
  <c r="G13" i="47" s="1"/>
  <c r="I22" i="44" a="1"/>
  <c r="I22" i="44" s="1"/>
  <c r="F13" i="47" s="1"/>
  <c r="T21" i="44" a="1"/>
  <c r="T21" i="44" s="1"/>
  <c r="T14" i="44" s="1"/>
  <c r="S21" i="44" a="1"/>
  <c r="S21" i="44" s="1"/>
  <c r="R21" i="44" a="1"/>
  <c r="R21" i="44" s="1"/>
  <c r="Q21" i="44" a="1"/>
  <c r="Q21" i="44" s="1"/>
  <c r="P21" i="44" a="1"/>
  <c r="P21" i="44" s="1"/>
  <c r="P14" i="44" s="1"/>
  <c r="O21" i="44" a="1"/>
  <c r="O21" i="44" s="1"/>
  <c r="N21" i="44" a="1"/>
  <c r="N21" i="44" s="1"/>
  <c r="K12" i="47" s="1"/>
  <c r="M21" i="44" a="1"/>
  <c r="M21" i="44" s="1"/>
  <c r="L21" i="44" a="1"/>
  <c r="L21" i="44" s="1"/>
  <c r="I12" i="47" s="1"/>
  <c r="K21" i="44" a="1"/>
  <c r="K21" i="44" s="1"/>
  <c r="J21" i="44" a="1"/>
  <c r="J21" i="44" s="1"/>
  <c r="G12" i="47" s="1"/>
  <c r="I21" i="44" a="1"/>
  <c r="I21" i="44" s="1"/>
  <c r="F12" i="47" s="1"/>
  <c r="T19" i="44"/>
  <c r="T55" i="44" s="1"/>
  <c r="R19" i="44"/>
  <c r="P19" i="44"/>
  <c r="P55" i="44" s="1"/>
  <c r="N19" i="44"/>
  <c r="L19" i="44"/>
  <c r="J19" i="44"/>
  <c r="S18" i="44"/>
  <c r="O18" i="44"/>
  <c r="K18" i="44"/>
  <c r="K54" i="44" s="1"/>
  <c r="T17" i="44"/>
  <c r="T53" i="44" s="1"/>
  <c r="R17" i="44"/>
  <c r="P17" i="44"/>
  <c r="N17" i="44"/>
  <c r="L17" i="44"/>
  <c r="J17" i="44"/>
  <c r="S16" i="44"/>
  <c r="O16" i="44"/>
  <c r="K16" i="44"/>
  <c r="P15" i="44"/>
  <c r="T12" i="44" a="1"/>
  <c r="T12" i="44" s="1"/>
  <c r="S12" i="44" a="1"/>
  <c r="S12" i="44" s="1"/>
  <c r="P11" i="47" s="1"/>
  <c r="R12" i="44" a="1"/>
  <c r="R12" i="44" s="1"/>
  <c r="Q12" i="44" a="1"/>
  <c r="Q12" i="44" s="1"/>
  <c r="P12" i="44" a="1"/>
  <c r="P12" i="44" s="1"/>
  <c r="M11" i="47" s="1"/>
  <c r="O12" i="44" a="1"/>
  <c r="O12" i="44" s="1"/>
  <c r="N12" i="44" a="1"/>
  <c r="N12" i="44" s="1"/>
  <c r="M12" i="44" a="1"/>
  <c r="M12" i="44" s="1"/>
  <c r="L12" i="44" a="1"/>
  <c r="L12" i="44" s="1"/>
  <c r="K12" i="44" a="1"/>
  <c r="K12" i="44" s="1"/>
  <c r="J12" i="44" a="1"/>
  <c r="J12" i="44" s="1"/>
  <c r="I12" i="44" a="1"/>
  <c r="I12" i="44" s="1"/>
  <c r="T11" i="44" a="1"/>
  <c r="T11" i="44" s="1"/>
  <c r="T47" i="44" s="1"/>
  <c r="S11" i="44" a="1"/>
  <c r="S11" i="44" s="1"/>
  <c r="S49" i="44" s="1"/>
  <c r="R11" i="44" a="1"/>
  <c r="R11" i="44" s="1"/>
  <c r="R47" i="44" s="1"/>
  <c r="Q11" i="44" a="1"/>
  <c r="Q11" i="44" s="1"/>
  <c r="P11" i="44" a="1"/>
  <c r="P11" i="44" s="1"/>
  <c r="P49" i="44" s="1"/>
  <c r="O11" i="44" a="1"/>
  <c r="O11" i="44" s="1"/>
  <c r="N11" i="44" a="1"/>
  <c r="N11" i="44" s="1"/>
  <c r="M11" i="44" a="1"/>
  <c r="M11" i="44" s="1"/>
  <c r="L11" i="44" a="1"/>
  <c r="L11" i="44" s="1"/>
  <c r="K11" i="44" a="1"/>
  <c r="K11" i="44" s="1"/>
  <c r="J11" i="44" a="1"/>
  <c r="J11" i="44" s="1"/>
  <c r="I11" i="44" a="1"/>
  <c r="I11" i="44" s="1"/>
  <c r="T9" i="44"/>
  <c r="S8" i="44" a="1"/>
  <c r="S8" i="44" s="1"/>
  <c r="R8" i="44" a="1"/>
  <c r="R8" i="44" s="1"/>
  <c r="Q8" i="44" a="1"/>
  <c r="Q8" i="44" s="1"/>
  <c r="P8" i="44" a="1"/>
  <c r="P8" i="44" s="1"/>
  <c r="O8" i="44" a="1"/>
  <c r="O8" i="44" s="1"/>
  <c r="N8" i="44" a="1"/>
  <c r="N8" i="44" s="1"/>
  <c r="M8" i="44" a="1"/>
  <c r="M8" i="44" s="1"/>
  <c r="L8" i="44" a="1"/>
  <c r="L8" i="44" s="1"/>
  <c r="K8" i="44" a="1"/>
  <c r="K8" i="44" s="1"/>
  <c r="J8" i="44" a="1"/>
  <c r="J8" i="44" s="1"/>
  <c r="I8" i="44" a="1"/>
  <c r="I8" i="44" s="1"/>
  <c r="R55" i="44"/>
  <c r="N55" i="44"/>
  <c r="J55" i="44"/>
  <c r="T54" i="44"/>
  <c r="S54" i="44"/>
  <c r="R54" i="44"/>
  <c r="O54" i="44"/>
  <c r="N54" i="44"/>
  <c r="L54" i="44"/>
  <c r="P53" i="44"/>
  <c r="N53" i="44"/>
  <c r="L53" i="44"/>
  <c r="J53" i="44"/>
  <c r="S52" i="44"/>
  <c r="R52" i="44"/>
  <c r="P52" i="44"/>
  <c r="L52" i="44"/>
  <c r="T50" i="44"/>
  <c r="Z8" i="44" a="1"/>
  <c r="Z8" i="44" s="1"/>
  <c r="Z11" i="44" a="1"/>
  <c r="Z11" i="44" s="1"/>
  <c r="W10" i="47" s="1"/>
  <c r="Z12" i="44" a="1"/>
  <c r="Z12" i="44" s="1"/>
  <c r="U11" i="47" s="1"/>
  <c r="Z21" i="44" a="1"/>
  <c r="Z21" i="44" s="1"/>
  <c r="W12" i="47" s="1"/>
  <c r="U13" i="47"/>
  <c r="X6" i="36" s="1"/>
  <c r="W14" i="47"/>
  <c r="Z8" i="36" s="1"/>
  <c r="U15" i="47"/>
  <c r="X10" i="36" s="1"/>
  <c r="W16" i="47"/>
  <c r="Z12" i="36" s="1"/>
  <c r="U17" i="47"/>
  <c r="W18" i="47"/>
  <c r="Z16" i="36" s="1"/>
  <c r="U19" i="47"/>
  <c r="X18" i="36" s="1"/>
  <c r="W20" i="47"/>
  <c r="Z20" i="36" s="1"/>
  <c r="U21" i="47"/>
  <c r="X22" i="36" s="1"/>
  <c r="W22" i="47"/>
  <c r="U23" i="47"/>
  <c r="U8" i="45" a="1"/>
  <c r="U8" i="45" s="1"/>
  <c r="U38" i="45" s="1"/>
  <c r="U9" i="45" a="1"/>
  <c r="U9" i="45" s="1"/>
  <c r="U39" i="45" s="1"/>
  <c r="AA20" i="49" a="1"/>
  <c r="AA20" i="49" s="1"/>
  <c r="AA21" i="49" a="1"/>
  <c r="AA21" i="49" s="1"/>
  <c r="AA22" i="49" a="1"/>
  <c r="AA22" i="49" s="1"/>
  <c r="AA23" i="49" a="1"/>
  <c r="AA23" i="49" s="1"/>
  <c r="AA24" i="49" a="1"/>
  <c r="AA24" i="49" s="1"/>
  <c r="AA25" i="49" a="1"/>
  <c r="AA25" i="49" s="1"/>
  <c r="AA26" i="49" a="1"/>
  <c r="AA26" i="49" s="1"/>
  <c r="AA27" i="49" a="1"/>
  <c r="AA27" i="49" s="1"/>
  <c r="AA28" i="49" a="1"/>
  <c r="AA28" i="49" s="1"/>
  <c r="Z20" i="49" a="1"/>
  <c r="Z20" i="49" s="1"/>
  <c r="Z21" i="49" a="1"/>
  <c r="Z21" i="49" s="1"/>
  <c r="Z22" i="49" a="1"/>
  <c r="Z22" i="49" s="1"/>
  <c r="Z23" i="49" a="1"/>
  <c r="Z23" i="49" s="1"/>
  <c r="Z24" i="49" a="1"/>
  <c r="Z24" i="49" s="1"/>
  <c r="Z25" i="49" a="1"/>
  <c r="Z25" i="49" s="1"/>
  <c r="Z26" i="49" a="1"/>
  <c r="Z26" i="49" s="1"/>
  <c r="Z27" i="49" a="1"/>
  <c r="Z27" i="49" s="1"/>
  <c r="Z28" i="49" a="1"/>
  <c r="Z28" i="49" s="1"/>
  <c r="F17" i="46" a="1"/>
  <c r="F17" i="46" s="1"/>
  <c r="G17" i="46" a="1"/>
  <c r="G17" i="46" s="1"/>
  <c r="H17" i="46" a="1"/>
  <c r="H17" i="46" s="1"/>
  <c r="I17" i="46" a="1"/>
  <c r="I17" i="46" s="1"/>
  <c r="J17" i="46" a="1"/>
  <c r="J17" i="46" s="1"/>
  <c r="K17" i="46" a="1"/>
  <c r="K17" i="46" s="1"/>
  <c r="L17" i="46" a="1"/>
  <c r="L17" i="46" s="1"/>
  <c r="M17" i="46" a="1"/>
  <c r="M17" i="46" s="1"/>
  <c r="N17" i="46" a="1"/>
  <c r="N17" i="46" s="1"/>
  <c r="O17" i="46" a="1"/>
  <c r="O17" i="46" s="1"/>
  <c r="P17" i="46" a="1"/>
  <c r="P17" i="46" s="1"/>
  <c r="Q17" i="46" a="1"/>
  <c r="Q17" i="46" s="1"/>
  <c r="R17" i="46" a="1"/>
  <c r="R17" i="46" s="1"/>
  <c r="S17" i="46" a="1"/>
  <c r="S17" i="46" s="1"/>
  <c r="T17" i="46" a="1"/>
  <c r="T17" i="46" s="1"/>
  <c r="U17" i="46" a="1"/>
  <c r="U17" i="46" s="1"/>
  <c r="V17" i="46" a="1"/>
  <c r="V17" i="46" s="1"/>
  <c r="W17" i="46" a="1"/>
  <c r="W17" i="46" s="1"/>
  <c r="X17" i="46" a="1"/>
  <c r="X17" i="46" s="1"/>
  <c r="Y17" i="46" a="1"/>
  <c r="Y17" i="46" s="1"/>
  <c r="Z17" i="46" a="1"/>
  <c r="Z17" i="46" s="1"/>
  <c r="F15" i="46" a="1"/>
  <c r="F15" i="46" s="1"/>
  <c r="G15" i="46" a="1"/>
  <c r="G15" i="46" s="1"/>
  <c r="H15" i="46" a="1"/>
  <c r="H15" i="46" s="1"/>
  <c r="I15" i="46" a="1"/>
  <c r="I15" i="46" s="1"/>
  <c r="J15" i="46" a="1"/>
  <c r="J15" i="46" s="1"/>
  <c r="K15" i="46" a="1"/>
  <c r="K15" i="46" s="1"/>
  <c r="L15" i="46" a="1"/>
  <c r="L15" i="46" s="1"/>
  <c r="M15" i="46" a="1"/>
  <c r="M15" i="46" s="1"/>
  <c r="N15" i="46" a="1"/>
  <c r="N15" i="46" s="1"/>
  <c r="O15" i="46" a="1"/>
  <c r="O15" i="46" s="1"/>
  <c r="P15" i="46" a="1"/>
  <c r="P15" i="46" s="1"/>
  <c r="Q15" i="46" a="1"/>
  <c r="Q15" i="46" s="1"/>
  <c r="R15" i="46" a="1"/>
  <c r="R15" i="46" s="1"/>
  <c r="S15" i="46" a="1"/>
  <c r="S15" i="46" s="1"/>
  <c r="T15" i="46" a="1"/>
  <c r="T15" i="46" s="1"/>
  <c r="U15" i="46" a="1"/>
  <c r="U15" i="46" s="1"/>
  <c r="V15" i="46" a="1"/>
  <c r="V15" i="46" s="1"/>
  <c r="W15" i="46" a="1"/>
  <c r="W15" i="46" s="1"/>
  <c r="X15" i="46" a="1"/>
  <c r="X15" i="46" s="1"/>
  <c r="Y15" i="46" a="1"/>
  <c r="Y15" i="46" s="1"/>
  <c r="Z15" i="46" a="1"/>
  <c r="Z15" i="46" s="1"/>
  <c r="E17" i="46" a="1"/>
  <c r="E17" i="46" s="1"/>
  <c r="E18" i="46" s="1"/>
  <c r="E15" i="46" a="1"/>
  <c r="E15" i="46" s="1"/>
  <c r="E16" i="46" s="1"/>
  <c r="Z8" i="46" a="1"/>
  <c r="Z8" i="46" s="1"/>
  <c r="B4" i="37"/>
  <c r="P31" i="37"/>
  <c r="P30" i="37"/>
  <c r="P29" i="37"/>
  <c r="N11" i="51"/>
  <c r="AC10" i="45" a="1"/>
  <c r="AC10" i="45" s="1"/>
  <c r="N10" i="51" s="1"/>
  <c r="AC9" i="45" a="1"/>
  <c r="AC9" i="45" s="1"/>
  <c r="N9" i="51" s="1"/>
  <c r="AC8" i="45" a="1"/>
  <c r="AC8" i="45" s="1"/>
  <c r="N12" i="51" s="1"/>
  <c r="Z6" i="46" a="1"/>
  <c r="Z6" i="46" s="1"/>
  <c r="N26" i="51" s="1"/>
  <c r="U9" i="50"/>
  <c r="U7" i="50" a="1"/>
  <c r="U7" i="50" s="1"/>
  <c r="M24" i="51" s="1"/>
  <c r="V7" i="50" a="1"/>
  <c r="V7" i="50" s="1"/>
  <c r="N24" i="51" s="1"/>
  <c r="T7" i="50" a="1"/>
  <c r="T7" i="50" s="1"/>
  <c r="L24" i="51" s="1"/>
  <c r="S7" i="50" a="1"/>
  <c r="S7" i="50" s="1"/>
  <c r="K24" i="51" s="1"/>
  <c r="R7" i="50" a="1"/>
  <c r="R7" i="50" s="1"/>
  <c r="J24" i="51" s="1"/>
  <c r="Q7" i="50" a="1"/>
  <c r="Q7" i="50" s="1"/>
  <c r="I24" i="51" s="1"/>
  <c r="P7" i="50" a="1"/>
  <c r="P7" i="50" s="1"/>
  <c r="H24" i="51" s="1"/>
  <c r="O7" i="50" a="1"/>
  <c r="O7" i="50" s="1"/>
  <c r="G24" i="51" s="1"/>
  <c r="N7" i="50" a="1"/>
  <c r="N7" i="50" s="1"/>
  <c r="F24" i="51" s="1"/>
  <c r="M7" i="50" a="1"/>
  <c r="M7" i="50" s="1"/>
  <c r="E24" i="51" s="1"/>
  <c r="L7" i="50" a="1"/>
  <c r="L7" i="50" s="1"/>
  <c r="D24" i="51" s="1"/>
  <c r="K7" i="50" a="1"/>
  <c r="K7" i="50" s="1"/>
  <c r="C24" i="51" s="1"/>
  <c r="J7" i="50" a="1"/>
  <c r="J7" i="50" s="1"/>
  <c r="B24" i="51" s="1"/>
  <c r="I7" i="50" a="1"/>
  <c r="I7" i="50" s="1"/>
  <c r="H7" i="50" a="1"/>
  <c r="H7" i="50" s="1"/>
  <c r="G7" i="50" a="1"/>
  <c r="G7" i="50" s="1"/>
  <c r="Z60" i="45" l="1"/>
  <c r="AC61" i="45"/>
  <c r="T60" i="45"/>
  <c r="T61" i="45"/>
  <c r="I11" i="47"/>
  <c r="N12" i="47"/>
  <c r="N13" i="47"/>
  <c r="N14" i="47"/>
  <c r="N15" i="47"/>
  <c r="N17" i="47"/>
  <c r="N18" i="47"/>
  <c r="N19" i="47"/>
  <c r="N21" i="47"/>
  <c r="N22" i="47"/>
  <c r="N23" i="47"/>
  <c r="AA8" i="44"/>
  <c r="O23" i="47"/>
  <c r="T49" i="44"/>
  <c r="H18" i="47"/>
  <c r="H19" i="47"/>
  <c r="J11" i="47"/>
  <c r="O12" i="47"/>
  <c r="O13" i="47"/>
  <c r="O15" i="47"/>
  <c r="N10" i="47"/>
  <c r="N11" i="47"/>
  <c r="H12" i="47"/>
  <c r="G10" i="47"/>
  <c r="G11" i="47"/>
  <c r="L12" i="47"/>
  <c r="L13" i="47"/>
  <c r="L14" i="47"/>
  <c r="L15" i="47"/>
  <c r="L16" i="47"/>
  <c r="L17" i="47"/>
  <c r="L18" i="47"/>
  <c r="L19" i="47"/>
  <c r="L20" i="47"/>
  <c r="L21" i="47"/>
  <c r="L22" i="47"/>
  <c r="L23" i="47"/>
  <c r="L9" i="47"/>
  <c r="H10" i="47"/>
  <c r="H11" i="47"/>
  <c r="M13" i="47"/>
  <c r="M14" i="47"/>
  <c r="M15" i="47"/>
  <c r="M17" i="47"/>
  <c r="M18" i="47"/>
  <c r="M19" i="47"/>
  <c r="M20" i="47"/>
  <c r="M21" i="47"/>
  <c r="M22" i="47"/>
  <c r="M23" i="47"/>
  <c r="M9" i="47"/>
  <c r="L49" i="44"/>
  <c r="N9" i="47"/>
  <c r="J10" i="47"/>
  <c r="K60" i="45"/>
  <c r="K61" i="45"/>
  <c r="K10" i="47"/>
  <c r="K11" i="47"/>
  <c r="P12" i="47"/>
  <c r="P13" i="47"/>
  <c r="S6" i="36" s="1"/>
  <c r="P14" i="47"/>
  <c r="S8" i="36" s="1"/>
  <c r="P15" i="47"/>
  <c r="S10" i="36" s="1"/>
  <c r="P16" i="47"/>
  <c r="S12" i="36" s="1"/>
  <c r="P17" i="47"/>
  <c r="P18" i="47"/>
  <c r="S16" i="36" s="1"/>
  <c r="P19" i="47"/>
  <c r="S18" i="36" s="1"/>
  <c r="P20" i="47"/>
  <c r="S20" i="36" s="1"/>
  <c r="P21" i="47"/>
  <c r="S22" i="36" s="1"/>
  <c r="P22" i="47"/>
  <c r="P23" i="47"/>
  <c r="P9" i="47"/>
  <c r="L10" i="47"/>
  <c r="L11" i="47"/>
  <c r="Q15" i="47"/>
  <c r="T10" i="36" s="1"/>
  <c r="Q16" i="47"/>
  <c r="T12" i="36" s="1"/>
  <c r="Q17" i="47"/>
  <c r="Q18" i="47"/>
  <c r="T16" i="36" s="1"/>
  <c r="Q19" i="47"/>
  <c r="T18" i="36" s="1"/>
  <c r="Q21" i="47"/>
  <c r="T22" i="36" s="1"/>
  <c r="Q22" i="47"/>
  <c r="Q9" i="47"/>
  <c r="V61" i="45"/>
  <c r="M60" i="45"/>
  <c r="X61" i="45"/>
  <c r="O11" i="47"/>
  <c r="H13" i="47"/>
  <c r="H14" i="47"/>
  <c r="H15" i="47"/>
  <c r="H17" i="47"/>
  <c r="H20" i="47"/>
  <c r="H21" i="47"/>
  <c r="H22" i="47"/>
  <c r="H23" i="47"/>
  <c r="H9" i="47"/>
  <c r="Q11" i="47"/>
  <c r="J12" i="47"/>
  <c r="J13" i="47"/>
  <c r="J14" i="47"/>
  <c r="J15" i="47"/>
  <c r="J17" i="47"/>
  <c r="J18" i="47"/>
  <c r="J19" i="47"/>
  <c r="J21" i="47"/>
  <c r="J22" i="47"/>
  <c r="J23" i="47"/>
  <c r="J9" i="47"/>
  <c r="AA60" i="45"/>
  <c r="W19" i="45"/>
  <c r="AB60" i="45"/>
  <c r="J60" i="45"/>
  <c r="J61" i="45"/>
  <c r="M61" i="45"/>
  <c r="W61" i="45"/>
  <c r="V60" i="45"/>
  <c r="Y61" i="45"/>
  <c r="P60" i="45"/>
  <c r="P61" i="45"/>
  <c r="W60" i="45"/>
  <c r="Z61" i="45"/>
  <c r="X60" i="45"/>
  <c r="AA61" i="45"/>
  <c r="R60" i="45"/>
  <c r="R61" i="45"/>
  <c r="U22" i="44" a="1"/>
  <c r="U22" i="44" s="1"/>
  <c r="U32" i="44" a="1"/>
  <c r="U32" i="44" s="1"/>
  <c r="V32" i="44" s="1" a="1"/>
  <c r="V32" i="44" s="1"/>
  <c r="W32" i="44" s="1" a="1"/>
  <c r="W32" i="44" s="1"/>
  <c r="X32" i="44" s="1" a="1"/>
  <c r="X32" i="44" s="1"/>
  <c r="Y32" i="44" s="1" a="1"/>
  <c r="Y32" i="44" s="1"/>
  <c r="Z14" i="44"/>
  <c r="U8" i="44" a="1"/>
  <c r="U8" i="44" s="1"/>
  <c r="V8" i="44" s="1" a="1"/>
  <c r="V8" i="44" s="1"/>
  <c r="W8" i="44" s="1" a="1"/>
  <c r="W8" i="44" s="1"/>
  <c r="X8" i="44" s="1" a="1"/>
  <c r="X8" i="44" s="1"/>
  <c r="Y8" i="44" s="1" a="1"/>
  <c r="Y8" i="44" s="1"/>
  <c r="O49" i="44"/>
  <c r="K52" i="44"/>
  <c r="I14" i="47"/>
  <c r="I16" i="47"/>
  <c r="I20" i="47"/>
  <c r="T9" i="47"/>
  <c r="O10" i="47"/>
  <c r="V11" i="47"/>
  <c r="V13" i="47"/>
  <c r="Y6" i="36" s="1"/>
  <c r="V15" i="47"/>
  <c r="Y10" i="36" s="1"/>
  <c r="V17" i="47"/>
  <c r="V19" i="47"/>
  <c r="Y18" i="36" s="1"/>
  <c r="V21" i="47"/>
  <c r="Y22" i="36" s="1"/>
  <c r="V23" i="47"/>
  <c r="U10" i="44" a="1"/>
  <c r="U10" i="44" s="1"/>
  <c r="U24" i="44" a="1"/>
  <c r="U24" i="44" s="1"/>
  <c r="V24" i="44" s="1" a="1"/>
  <c r="V24" i="44" s="1"/>
  <c r="W24" i="44" s="1" a="1"/>
  <c r="W24" i="44" s="1"/>
  <c r="X24" i="44" s="1" a="1"/>
  <c r="X24" i="44" s="1"/>
  <c r="Y24" i="44" s="1" a="1"/>
  <c r="Y24" i="44" s="1"/>
  <c r="J16" i="47"/>
  <c r="J20" i="47"/>
  <c r="U9" i="47"/>
  <c r="P10" i="47"/>
  <c r="W11" i="47"/>
  <c r="W13" i="47"/>
  <c r="Z6" i="36" s="1"/>
  <c r="W15" i="47"/>
  <c r="Z10" i="36" s="1"/>
  <c r="W17" i="47"/>
  <c r="W19" i="47"/>
  <c r="Z18" i="36" s="1"/>
  <c r="W21" i="47"/>
  <c r="Z22" i="36" s="1"/>
  <c r="W23" i="47"/>
  <c r="U11" i="44" a="1"/>
  <c r="U11" i="44" s="1"/>
  <c r="U42" i="44" s="1"/>
  <c r="U25" i="44" a="1"/>
  <c r="U25" i="44" s="1"/>
  <c r="V25" i="44" s="1" a="1"/>
  <c r="V25" i="44" s="1"/>
  <c r="R48" i="44"/>
  <c r="O47" i="44"/>
  <c r="K14" i="47"/>
  <c r="K20" i="47"/>
  <c r="V9" i="47"/>
  <c r="Q10" i="47"/>
  <c r="R12" i="47"/>
  <c r="R14" i="47"/>
  <c r="U8" i="36" s="1"/>
  <c r="R16" i="47"/>
  <c r="U12" i="36" s="1"/>
  <c r="R18" i="47"/>
  <c r="U16" i="36" s="1"/>
  <c r="R20" i="47"/>
  <c r="U20" i="36" s="1"/>
  <c r="R22" i="47"/>
  <c r="U12" i="44" a="1"/>
  <c r="U12" i="44" s="1"/>
  <c r="V12" i="44" s="1" a="1"/>
  <c r="V12" i="44" s="1"/>
  <c r="U26" i="44" a="1"/>
  <c r="U26" i="44" s="1"/>
  <c r="V26" i="44" s="1" a="1"/>
  <c r="V26" i="44" s="1"/>
  <c r="W26" i="44" s="1" a="1"/>
  <c r="W26" i="44" s="1"/>
  <c r="X26" i="44" s="1" a="1"/>
  <c r="X26" i="44" s="1"/>
  <c r="Y26" i="44" s="1" a="1"/>
  <c r="Y26" i="44" s="1"/>
  <c r="M49" i="44"/>
  <c r="P44" i="44"/>
  <c r="S47" i="44"/>
  <c r="W9" i="47"/>
  <c r="R10" i="47"/>
  <c r="S12" i="47"/>
  <c r="S14" i="47"/>
  <c r="V8" i="36" s="1"/>
  <c r="S16" i="47"/>
  <c r="V12" i="36" s="1"/>
  <c r="S18" i="47"/>
  <c r="V16" i="36" s="1"/>
  <c r="S20" i="47"/>
  <c r="V20" i="36" s="1"/>
  <c r="S22" i="47"/>
  <c r="U27" i="44" a="1"/>
  <c r="U27" i="44" s="1"/>
  <c r="M12" i="47"/>
  <c r="M16" i="47"/>
  <c r="S10" i="47"/>
  <c r="T12" i="47"/>
  <c r="T14" i="47"/>
  <c r="W8" i="36" s="1"/>
  <c r="T16" i="47"/>
  <c r="W12" i="36" s="1"/>
  <c r="T18" i="47"/>
  <c r="W16" i="36" s="1"/>
  <c r="T20" i="47"/>
  <c r="W20" i="36" s="1"/>
  <c r="T22" i="47"/>
  <c r="U28" i="44" a="1"/>
  <c r="U28" i="44" s="1"/>
  <c r="V28" i="44" s="1" a="1"/>
  <c r="V28" i="44" s="1"/>
  <c r="W28" i="44" s="1" a="1"/>
  <c r="W28" i="44" s="1"/>
  <c r="X28" i="44" s="1" a="1"/>
  <c r="X28" i="44" s="1"/>
  <c r="Y28" i="44" s="1" a="1"/>
  <c r="Y28" i="44" s="1"/>
  <c r="Q49" i="44"/>
  <c r="P51" i="44"/>
  <c r="N16" i="47"/>
  <c r="N20" i="47"/>
  <c r="T10" i="47"/>
  <c r="U12" i="47"/>
  <c r="U14" i="47"/>
  <c r="X8" i="36" s="1"/>
  <c r="U16" i="47"/>
  <c r="X12" i="36" s="1"/>
  <c r="U18" i="47"/>
  <c r="X16" i="36" s="1"/>
  <c r="U20" i="47"/>
  <c r="X20" i="36" s="1"/>
  <c r="U22" i="47"/>
  <c r="U29" i="44" a="1"/>
  <c r="U29" i="44" s="1"/>
  <c r="S45" i="44"/>
  <c r="O14" i="47"/>
  <c r="O16" i="47"/>
  <c r="O20" i="47"/>
  <c r="I10" i="47"/>
  <c r="U10" i="47"/>
  <c r="V12" i="47"/>
  <c r="V14" i="47"/>
  <c r="Y8" i="36" s="1"/>
  <c r="V16" i="47"/>
  <c r="Y12" i="36" s="1"/>
  <c r="V18" i="47"/>
  <c r="Y16" i="36" s="1"/>
  <c r="V20" i="47"/>
  <c r="Y20" i="36" s="1"/>
  <c r="V22" i="47"/>
  <c r="U30" i="44" a="1"/>
  <c r="U30" i="44" s="1"/>
  <c r="V30" i="44" s="1" a="1"/>
  <c r="V30" i="44" s="1"/>
  <c r="W30" i="44" s="1" a="1"/>
  <c r="W30" i="44" s="1"/>
  <c r="X30" i="44" s="1" a="1"/>
  <c r="X30" i="44" s="1"/>
  <c r="Y30" i="44" s="1" a="1"/>
  <c r="Y30" i="44" s="1"/>
  <c r="V10" i="47"/>
  <c r="U31" i="44" a="1"/>
  <c r="U31" i="44" s="1"/>
  <c r="Q12" i="47"/>
  <c r="Q13" i="47"/>
  <c r="T6" i="36" s="1"/>
  <c r="Q14" i="47"/>
  <c r="T8" i="36" s="1"/>
  <c r="Q20" i="47"/>
  <c r="T20" i="36" s="1"/>
  <c r="Q23" i="47"/>
  <c r="R11" i="47"/>
  <c r="R13" i="47"/>
  <c r="U6" i="36" s="1"/>
  <c r="R15" i="47"/>
  <c r="U10" i="36" s="1"/>
  <c r="R17" i="47"/>
  <c r="R19" i="47"/>
  <c r="U18" i="36" s="1"/>
  <c r="R21" i="47"/>
  <c r="U22" i="36" s="1"/>
  <c r="R23" i="47"/>
  <c r="T43" i="44"/>
  <c r="F16" i="47"/>
  <c r="F20" i="47"/>
  <c r="S11" i="47"/>
  <c r="S13" i="47"/>
  <c r="V6" i="36" s="1"/>
  <c r="S15" i="47"/>
  <c r="V10" i="36" s="1"/>
  <c r="S17" i="47"/>
  <c r="S19" i="47"/>
  <c r="V18" i="36" s="1"/>
  <c r="S21" i="47"/>
  <c r="V22" i="36" s="1"/>
  <c r="S23" i="47"/>
  <c r="U21" i="44" a="1"/>
  <c r="U21" i="44" s="1"/>
  <c r="G14" i="47"/>
  <c r="R9" i="47"/>
  <c r="M10" i="47"/>
  <c r="T11" i="47"/>
  <c r="T13" i="47"/>
  <c r="W6" i="36" s="1"/>
  <c r="T15" i="47"/>
  <c r="W10" i="36" s="1"/>
  <c r="T17" i="47"/>
  <c r="T19" i="47"/>
  <c r="W18" i="36" s="1"/>
  <c r="T21" i="47"/>
  <c r="W22" i="36" s="1"/>
  <c r="T23" i="47"/>
  <c r="H16" i="47"/>
  <c r="U23" i="44" a="1"/>
  <c r="U23" i="44" s="1"/>
  <c r="V10" i="44" a="1"/>
  <c r="V10" i="44" s="1"/>
  <c r="W10" i="44" s="1" a="1"/>
  <c r="W10" i="44" s="1"/>
  <c r="X10" i="44" s="1" a="1"/>
  <c r="X10" i="44" s="1"/>
  <c r="Y10" i="44" s="1" a="1"/>
  <c r="Y10" i="44" s="1"/>
  <c r="V22" i="44" a="1"/>
  <c r="V22" i="44" s="1"/>
  <c r="W22" i="44" s="1" a="1"/>
  <c r="W22" i="44" s="1"/>
  <c r="X22" i="44" s="1" a="1"/>
  <c r="X22" i="44" s="1"/>
  <c r="Y22" i="44" s="1" a="1"/>
  <c r="Y22" i="44" s="1"/>
  <c r="AB8" i="44"/>
  <c r="U61" i="45"/>
  <c r="L60" i="45"/>
  <c r="L61" i="45"/>
  <c r="N60" i="45"/>
  <c r="N61" i="45"/>
  <c r="U60" i="45"/>
  <c r="O60" i="45"/>
  <c r="O61" i="45"/>
  <c r="Q60" i="45"/>
  <c r="Q61" i="45"/>
  <c r="S60" i="45"/>
  <c r="S61" i="45"/>
  <c r="W44" i="45"/>
  <c r="AA45" i="45"/>
  <c r="Y13" i="47" s="1"/>
  <c r="W48" i="45"/>
  <c r="AA50" i="45"/>
  <c r="Y19" i="47" s="1"/>
  <c r="AB19" i="36" s="1"/>
  <c r="J44" i="45"/>
  <c r="U45" i="45"/>
  <c r="T47" i="45"/>
  <c r="S48" i="45"/>
  <c r="R50" i="45"/>
  <c r="Q51" i="45"/>
  <c r="P42" i="45"/>
  <c r="P39" i="45"/>
  <c r="P40" i="45"/>
  <c r="P41" i="45"/>
  <c r="AB52" i="45"/>
  <c r="Z23" i="47" s="1"/>
  <c r="S52" i="45"/>
  <c r="S53" i="45"/>
  <c r="V55" i="45"/>
  <c r="W41" i="45"/>
  <c r="AA44" i="45"/>
  <c r="W47" i="45"/>
  <c r="AA48" i="45"/>
  <c r="Y17" i="47" s="1"/>
  <c r="W51" i="45"/>
  <c r="N44" i="45"/>
  <c r="M45" i="45"/>
  <c r="L47" i="45"/>
  <c r="K48" i="45"/>
  <c r="J50" i="45"/>
  <c r="U51" i="45"/>
  <c r="T38" i="45"/>
  <c r="T39" i="45"/>
  <c r="T40" i="45"/>
  <c r="T41" i="45"/>
  <c r="K52" i="45"/>
  <c r="K53" i="45"/>
  <c r="W53" i="45"/>
  <c r="N55" i="45"/>
  <c r="Z55" i="45"/>
  <c r="L19" i="45"/>
  <c r="V52" i="45"/>
  <c r="M52" i="45"/>
  <c r="M53" i="45"/>
  <c r="N19" i="45"/>
  <c r="L58" i="45"/>
  <c r="X58" i="45"/>
  <c r="O57" i="45"/>
  <c r="AB55" i="45"/>
  <c r="Q52" i="44"/>
  <c r="Q45" i="44"/>
  <c r="Q54" i="44"/>
  <c r="Q47" i="44"/>
  <c r="P42" i="44"/>
  <c r="V48" i="45"/>
  <c r="L14" i="44"/>
  <c r="L50" i="44" s="1"/>
  <c r="T16" i="44"/>
  <c r="P18" i="44"/>
  <c r="P54" i="44" s="1"/>
  <c r="X44" i="45"/>
  <c r="AB45" i="45"/>
  <c r="X48" i="45"/>
  <c r="AB50" i="45"/>
  <c r="K44" i="45"/>
  <c r="J45" i="45"/>
  <c r="U47" i="45"/>
  <c r="T48" i="45"/>
  <c r="S50" i="45"/>
  <c r="R51" i="45"/>
  <c r="Q38" i="45"/>
  <c r="Q39" i="45"/>
  <c r="Q40" i="45"/>
  <c r="Q41" i="45"/>
  <c r="AC52" i="45"/>
  <c r="T52" i="45"/>
  <c r="T53" i="45"/>
  <c r="K55" i="45"/>
  <c r="N14" i="44"/>
  <c r="M52" i="44"/>
  <c r="V41" i="45"/>
  <c r="Z44" i="45"/>
  <c r="Z48" i="45"/>
  <c r="V51" i="45"/>
  <c r="M44" i="45"/>
  <c r="L45" i="45"/>
  <c r="K47" i="45"/>
  <c r="J48" i="45"/>
  <c r="I19" i="45"/>
  <c r="U19" i="45"/>
  <c r="J53" i="45"/>
  <c r="P50" i="44"/>
  <c r="X41" i="45"/>
  <c r="AB44" i="45"/>
  <c r="X47" i="45"/>
  <c r="AB48" i="45"/>
  <c r="X51" i="45"/>
  <c r="O44" i="45"/>
  <c r="N45" i="45"/>
  <c r="M47" i="45"/>
  <c r="L48" i="45"/>
  <c r="K50" i="45"/>
  <c r="J51" i="45"/>
  <c r="R46" i="44"/>
  <c r="N16" i="44"/>
  <c r="N52" i="44" s="1"/>
  <c r="J18" i="44"/>
  <c r="J54" i="44" s="1"/>
  <c r="Z41" i="45"/>
  <c r="V45" i="45"/>
  <c r="Z47" i="45"/>
  <c r="Z51" i="45"/>
  <c r="Q44" i="45"/>
  <c r="P45" i="45"/>
  <c r="O47" i="45"/>
  <c r="N48" i="45"/>
  <c r="M50" i="45"/>
  <c r="L51" i="45"/>
  <c r="K38" i="45"/>
  <c r="K39" i="45"/>
  <c r="K40" i="45"/>
  <c r="K41" i="45"/>
  <c r="W52" i="45"/>
  <c r="N52" i="45"/>
  <c r="N53" i="45"/>
  <c r="Z53" i="45"/>
  <c r="Q55" i="45"/>
  <c r="AC55" i="45"/>
  <c r="AB41" i="45"/>
  <c r="X45" i="45"/>
  <c r="AB47" i="45"/>
  <c r="X50" i="45"/>
  <c r="AB51" i="45"/>
  <c r="S44" i="45"/>
  <c r="R45" i="45"/>
  <c r="Q47" i="45"/>
  <c r="P48" i="45"/>
  <c r="O50" i="45"/>
  <c r="N51" i="45"/>
  <c r="M38" i="45"/>
  <c r="M39" i="45"/>
  <c r="M40" i="45"/>
  <c r="M41" i="45"/>
  <c r="Y52" i="45"/>
  <c r="P52" i="45"/>
  <c r="P53" i="45"/>
  <c r="AB53" i="45"/>
  <c r="S55" i="45"/>
  <c r="AC41" i="45"/>
  <c r="Y45" i="45"/>
  <c r="AC47" i="45"/>
  <c r="Y50" i="45"/>
  <c r="AC51" i="45"/>
  <c r="T44" i="45"/>
  <c r="S45" i="45"/>
  <c r="R47" i="45"/>
  <c r="Q48" i="45"/>
  <c r="P50" i="45"/>
  <c r="O51" i="45"/>
  <c r="N39" i="45"/>
  <c r="N40" i="45"/>
  <c r="N41" i="45"/>
  <c r="Z52" i="45"/>
  <c r="Q52" i="45"/>
  <c r="Q53" i="45"/>
  <c r="AC53" i="45"/>
  <c r="T55" i="45"/>
  <c r="J19" i="45"/>
  <c r="Z45" i="45"/>
  <c r="Z50" i="45"/>
  <c r="U44" i="45"/>
  <c r="T45" i="45"/>
  <c r="S47" i="45"/>
  <c r="R48" i="45"/>
  <c r="Q50" i="45"/>
  <c r="P51" i="45"/>
  <c r="O42" i="45"/>
  <c r="O39" i="45"/>
  <c r="O40" i="45"/>
  <c r="O41" i="45"/>
  <c r="AA52" i="45"/>
  <c r="R52" i="45"/>
  <c r="R53" i="45"/>
  <c r="U55" i="45"/>
  <c r="L56" i="45"/>
  <c r="X56" i="45"/>
  <c r="O58" i="45"/>
  <c r="AA58" i="45"/>
  <c r="V19" i="45"/>
  <c r="W49" i="45" s="1"/>
  <c r="K19" i="45"/>
  <c r="W55" i="45"/>
  <c r="N56" i="45"/>
  <c r="Z56" i="45"/>
  <c r="Q58" i="45"/>
  <c r="AC58" i="45"/>
  <c r="T57" i="45"/>
  <c r="X19" i="45"/>
  <c r="X49" i="45" s="1"/>
  <c r="Y44" i="45"/>
  <c r="AC45" i="45"/>
  <c r="Y48" i="45"/>
  <c r="AC50" i="45"/>
  <c r="L44" i="45"/>
  <c r="K45" i="45"/>
  <c r="J47" i="45"/>
  <c r="U48" i="45"/>
  <c r="T50" i="45"/>
  <c r="S51" i="45"/>
  <c r="R38" i="45"/>
  <c r="R39" i="45"/>
  <c r="R40" i="45"/>
  <c r="R41" i="45"/>
  <c r="U53" i="45"/>
  <c r="L55" i="45"/>
  <c r="X55" i="45"/>
  <c r="M19" i="45"/>
  <c r="Y19" i="45"/>
  <c r="U50" i="45"/>
  <c r="T51" i="45"/>
  <c r="S38" i="45"/>
  <c r="S39" i="45"/>
  <c r="S40" i="45"/>
  <c r="S41" i="45"/>
  <c r="J52" i="45"/>
  <c r="V53" i="45"/>
  <c r="M55" i="45"/>
  <c r="Y55" i="45"/>
  <c r="P56" i="45"/>
  <c r="AB56" i="45"/>
  <c r="S58" i="45"/>
  <c r="Z19" i="45"/>
  <c r="O19" i="45"/>
  <c r="AA19" i="45"/>
  <c r="L52" i="45"/>
  <c r="L53" i="45"/>
  <c r="X53" i="45"/>
  <c r="O55" i="45"/>
  <c r="AA55" i="45"/>
  <c r="P19" i="45"/>
  <c r="AB19" i="45"/>
  <c r="Y41" i="45"/>
  <c r="AC44" i="45"/>
  <c r="Y47" i="45"/>
  <c r="AC48" i="45"/>
  <c r="AA16" i="47" s="1"/>
  <c r="Y51" i="45"/>
  <c r="P44" i="45"/>
  <c r="O45" i="45"/>
  <c r="N47" i="45"/>
  <c r="M48" i="45"/>
  <c r="L50" i="45"/>
  <c r="K51" i="45"/>
  <c r="Y53" i="45"/>
  <c r="P55" i="45"/>
  <c r="Q19" i="45"/>
  <c r="AC19" i="45"/>
  <c r="R19" i="45"/>
  <c r="AA41" i="45"/>
  <c r="W45" i="45"/>
  <c r="AA47" i="45"/>
  <c r="W50" i="45"/>
  <c r="AA51" i="45"/>
  <c r="R44" i="45"/>
  <c r="Q45" i="45"/>
  <c r="P47" i="45"/>
  <c r="O48" i="45"/>
  <c r="N50" i="45"/>
  <c r="M51" i="45"/>
  <c r="L38" i="45"/>
  <c r="L39" i="45"/>
  <c r="L40" i="45"/>
  <c r="L41" i="45"/>
  <c r="X52" i="45"/>
  <c r="O52" i="45"/>
  <c r="O53" i="45"/>
  <c r="AA53" i="45"/>
  <c r="R55" i="45"/>
  <c r="U56" i="45"/>
  <c r="S19" i="45"/>
  <c r="T19" i="45"/>
  <c r="T44" i="44"/>
  <c r="AA57" i="45"/>
  <c r="J57" i="45"/>
  <c r="V57" i="45"/>
  <c r="R57" i="45"/>
  <c r="Q56" i="45"/>
  <c r="AC56" i="45"/>
  <c r="T58" i="45"/>
  <c r="K57" i="45"/>
  <c r="W57" i="45"/>
  <c r="R56" i="45"/>
  <c r="U58" i="45"/>
  <c r="L57" i="45"/>
  <c r="X57" i="45"/>
  <c r="S56" i="45"/>
  <c r="J58" i="45"/>
  <c r="V58" i="45"/>
  <c r="M57" i="45"/>
  <c r="Y57" i="45"/>
  <c r="T56" i="45"/>
  <c r="K58" i="45"/>
  <c r="W58" i="45"/>
  <c r="N57" i="45"/>
  <c r="Z57" i="45"/>
  <c r="J56" i="45"/>
  <c r="V56" i="45"/>
  <c r="M58" i="45"/>
  <c r="Y58" i="45"/>
  <c r="P57" i="45"/>
  <c r="AB57" i="45"/>
  <c r="K56" i="45"/>
  <c r="W56" i="45"/>
  <c r="N58" i="45"/>
  <c r="Z58" i="45"/>
  <c r="Q57" i="45"/>
  <c r="AC57" i="45"/>
  <c r="M56" i="45"/>
  <c r="Y56" i="45"/>
  <c r="P58" i="45"/>
  <c r="AB58" i="45"/>
  <c r="S57" i="45"/>
  <c r="O56" i="45"/>
  <c r="AA56" i="45"/>
  <c r="R58" i="45"/>
  <c r="U57" i="45"/>
  <c r="Q12" i="45"/>
  <c r="Q42" i="45" s="1"/>
  <c r="AC12" i="45"/>
  <c r="N38" i="45"/>
  <c r="R12" i="45"/>
  <c r="O38" i="45"/>
  <c r="S12" i="45"/>
  <c r="P38" i="45"/>
  <c r="T12" i="45"/>
  <c r="U12" i="45"/>
  <c r="K12" i="45"/>
  <c r="K42" i="45" s="1"/>
  <c r="L12" i="45"/>
  <c r="M12" i="45"/>
  <c r="AB16" i="45"/>
  <c r="I16" i="45"/>
  <c r="Z16" i="45"/>
  <c r="Y16" i="45"/>
  <c r="W16" i="45"/>
  <c r="AA16" i="45"/>
  <c r="V16" i="45"/>
  <c r="U16" i="45"/>
  <c r="T16" i="45"/>
  <c r="J16" i="45"/>
  <c r="K16" i="45"/>
  <c r="S16" i="45"/>
  <c r="L16" i="45"/>
  <c r="M16" i="45"/>
  <c r="N16" i="45"/>
  <c r="O16" i="45"/>
  <c r="P16" i="45"/>
  <c r="Q16" i="45"/>
  <c r="R16" i="45"/>
  <c r="T46" i="44"/>
  <c r="Q9" i="44"/>
  <c r="Q40" i="44" s="1"/>
  <c r="I14" i="44"/>
  <c r="I43" i="44" s="1"/>
  <c r="O15" i="44"/>
  <c r="O51" i="44" s="1"/>
  <c r="O17" i="44"/>
  <c r="O53" i="44" s="1"/>
  <c r="O19" i="44"/>
  <c r="O55" i="44" s="1"/>
  <c r="AC16" i="45"/>
  <c r="R9" i="44"/>
  <c r="R40" i="44" s="1"/>
  <c r="S9" i="44"/>
  <c r="S40" i="44" s="1"/>
  <c r="K14" i="44"/>
  <c r="K50" i="44" s="1"/>
  <c r="P43" i="44"/>
  <c r="P48" i="44"/>
  <c r="I9" i="44"/>
  <c r="I38" i="44" s="1"/>
  <c r="I39" i="44" s="1"/>
  <c r="T48" i="44"/>
  <c r="K9" i="44"/>
  <c r="K40" i="44" s="1"/>
  <c r="X16" i="45"/>
  <c r="M9" i="44"/>
  <c r="M40" i="44" s="1"/>
  <c r="K19" i="44"/>
  <c r="K55" i="44" s="1"/>
  <c r="Z18" i="44"/>
  <c r="Z47" i="44" s="1"/>
  <c r="P46" i="44"/>
  <c r="S14" i="44"/>
  <c r="S50" i="44" s="1"/>
  <c r="M15" i="44"/>
  <c r="M51" i="44" s="1"/>
  <c r="M17" i="44"/>
  <c r="M53" i="44" s="1"/>
  <c r="M19" i="44"/>
  <c r="P9" i="44"/>
  <c r="P40" i="44" s="1"/>
  <c r="M14" i="44"/>
  <c r="M43" i="44" s="1"/>
  <c r="S15" i="44"/>
  <c r="S17" i="44"/>
  <c r="O14" i="44"/>
  <c r="O43" i="44" s="1"/>
  <c r="I15" i="44"/>
  <c r="I17" i="44"/>
  <c r="I53" i="44" s="1"/>
  <c r="I19" i="44"/>
  <c r="I45" i="44"/>
  <c r="M45" i="44"/>
  <c r="R44" i="44"/>
  <c r="K17" i="44"/>
  <c r="K53" i="44" s="1"/>
  <c r="O45" i="44"/>
  <c r="I47" i="44"/>
  <c r="M47" i="44"/>
  <c r="I49" i="44"/>
  <c r="L9" i="44"/>
  <c r="L38" i="44" s="1"/>
  <c r="L39" i="44" s="1"/>
  <c r="P45" i="44"/>
  <c r="L46" i="44"/>
  <c r="O42" i="44"/>
  <c r="N9" i="44"/>
  <c r="N38" i="44" s="1"/>
  <c r="N39" i="44" s="1"/>
  <c r="Q15" i="44"/>
  <c r="Q17" i="44"/>
  <c r="Q19" i="44"/>
  <c r="T42" i="44"/>
  <c r="Z15" i="44"/>
  <c r="Z44" i="44" s="1"/>
  <c r="S19" i="44"/>
  <c r="Z19" i="44"/>
  <c r="Z55" i="44" s="1"/>
  <c r="Z17" i="44"/>
  <c r="Z53" i="44" s="1"/>
  <c r="L42" i="44"/>
  <c r="Z16" i="44"/>
  <c r="Z45" i="44" s="1"/>
  <c r="L48" i="44"/>
  <c r="Z9" i="44"/>
  <c r="U9" i="44" s="1" a="1"/>
  <c r="U9" i="44" s="1"/>
  <c r="N46" i="44"/>
  <c r="N49" i="44"/>
  <c r="O9" i="44"/>
  <c r="J14" i="44"/>
  <c r="J50" i="44" s="1"/>
  <c r="J16" i="44"/>
  <c r="J52" i="44" s="1"/>
  <c r="M42" i="44"/>
  <c r="Z50" i="44"/>
  <c r="Q42" i="44"/>
  <c r="R42" i="44"/>
  <c r="S42" i="44"/>
  <c r="T38" i="44"/>
  <c r="Q14" i="44"/>
  <c r="Q43" i="44" s="1"/>
  <c r="K15" i="44"/>
  <c r="K51" i="44" s="1"/>
  <c r="T40" i="44"/>
  <c r="I42" i="44"/>
  <c r="J44" i="44"/>
  <c r="K47" i="44"/>
  <c r="J49" i="44"/>
  <c r="I54" i="44"/>
  <c r="L44" i="44"/>
  <c r="N47" i="44"/>
  <c r="K49" i="44"/>
  <c r="K45" i="44"/>
  <c r="J9" i="44"/>
  <c r="J46" i="44"/>
  <c r="N44" i="44"/>
  <c r="R53" i="44"/>
  <c r="L47" i="44"/>
  <c r="O52" i="44"/>
  <c r="J42" i="44"/>
  <c r="J48" i="44"/>
  <c r="N42" i="44"/>
  <c r="L45" i="44"/>
  <c r="N48" i="44"/>
  <c r="R14" i="44"/>
  <c r="R49" i="44"/>
  <c r="L51" i="44"/>
  <c r="R45" i="44"/>
  <c r="L55" i="44"/>
  <c r="K42" i="44"/>
  <c r="Z49" i="44"/>
  <c r="Z42" i="44"/>
  <c r="Q18" i="46"/>
  <c r="U18" i="46"/>
  <c r="W16" i="46"/>
  <c r="O16" i="46"/>
  <c r="G16" i="46"/>
  <c r="M18" i="46"/>
  <c r="W18" i="46"/>
  <c r="O18" i="46"/>
  <c r="I18" i="46"/>
  <c r="G18" i="46"/>
  <c r="K16" i="46"/>
  <c r="S16" i="46"/>
  <c r="M16" i="46"/>
  <c r="U16" i="46"/>
  <c r="V16" i="46"/>
  <c r="H18" i="46"/>
  <c r="P18" i="46"/>
  <c r="X18" i="46"/>
  <c r="X16" i="46"/>
  <c r="J18" i="46"/>
  <c r="R18" i="46"/>
  <c r="I16" i="46"/>
  <c r="Q16" i="46"/>
  <c r="Y16" i="46"/>
  <c r="K18" i="46"/>
  <c r="S18" i="46"/>
  <c r="R16" i="46"/>
  <c r="Z16" i="46"/>
  <c r="Z18" i="46" s="1"/>
  <c r="L18" i="46"/>
  <c r="T18" i="46"/>
  <c r="L16" i="46"/>
  <c r="T16" i="46"/>
  <c r="F18" i="46"/>
  <c r="N18" i="46"/>
  <c r="V18" i="46"/>
  <c r="H16" i="46"/>
  <c r="P16" i="46"/>
  <c r="J16" i="46"/>
  <c r="F16" i="46"/>
  <c r="N16" i="46"/>
  <c r="Y18" i="46"/>
  <c r="P4" i="37"/>
  <c r="AA26" i="51"/>
  <c r="P7" i="37"/>
  <c r="P6" i="37"/>
  <c r="P5" i="37"/>
  <c r="J8" i="50"/>
  <c r="I8" i="50"/>
  <c r="S8" i="50"/>
  <c r="AO3" i="36" s="1"/>
  <c r="N8" i="50"/>
  <c r="L8" i="50"/>
  <c r="T8" i="50"/>
  <c r="M8" i="50"/>
  <c r="U8" i="50"/>
  <c r="AQ4" i="36" s="1"/>
  <c r="P8" i="50"/>
  <c r="Q8" i="50"/>
  <c r="R8" i="50"/>
  <c r="K8" i="50"/>
  <c r="V8" i="50"/>
  <c r="AR4" i="36" s="1"/>
  <c r="O8" i="50"/>
  <c r="H8" i="50"/>
  <c r="Y28" i="49" a="1"/>
  <c r="Y28" i="49" s="1"/>
  <c r="X28" i="49" a="1"/>
  <c r="X28" i="49" s="1"/>
  <c r="W28" i="49" a="1"/>
  <c r="W28" i="49" s="1"/>
  <c r="V28" i="49" a="1"/>
  <c r="V28" i="49" s="1"/>
  <c r="U28" i="49" a="1"/>
  <c r="U28" i="49" s="1"/>
  <c r="T28" i="49" a="1"/>
  <c r="T28" i="49" s="1"/>
  <c r="S28" i="49" a="1"/>
  <c r="S28" i="49" s="1"/>
  <c r="R28" i="49" a="1"/>
  <c r="R28" i="49" s="1"/>
  <c r="Q28" i="49" a="1"/>
  <c r="Q28" i="49" s="1"/>
  <c r="P28" i="49" a="1"/>
  <c r="P28" i="49" s="1"/>
  <c r="O28" i="49" a="1"/>
  <c r="O28" i="49" s="1"/>
  <c r="N28" i="49" a="1"/>
  <c r="N28" i="49" s="1"/>
  <c r="M28" i="49" a="1"/>
  <c r="M28" i="49" s="1"/>
  <c r="L28" i="49" a="1"/>
  <c r="L28" i="49" s="1"/>
  <c r="K28" i="49" a="1"/>
  <c r="K28" i="49" s="1"/>
  <c r="J28" i="49" a="1"/>
  <c r="J28" i="49" s="1"/>
  <c r="Y27" i="49" a="1"/>
  <c r="Y27" i="49" s="1"/>
  <c r="X27" i="49" a="1"/>
  <c r="X27" i="49" s="1"/>
  <c r="W27" i="49" a="1"/>
  <c r="W27" i="49" s="1"/>
  <c r="V27" i="49" a="1"/>
  <c r="V27" i="49" s="1"/>
  <c r="U27" i="49" a="1"/>
  <c r="U27" i="49" s="1"/>
  <c r="T27" i="49" a="1"/>
  <c r="T27" i="49" s="1"/>
  <c r="S27" i="49" a="1"/>
  <c r="S27" i="49" s="1"/>
  <c r="R27" i="49" a="1"/>
  <c r="R27" i="49" s="1"/>
  <c r="Q27" i="49" a="1"/>
  <c r="Q27" i="49" s="1"/>
  <c r="P27" i="49" a="1"/>
  <c r="P27" i="49" s="1"/>
  <c r="O27" i="49" a="1"/>
  <c r="O27" i="49" s="1"/>
  <c r="N27" i="49" a="1"/>
  <c r="N27" i="49" s="1"/>
  <c r="M27" i="49" a="1"/>
  <c r="M27" i="49" s="1"/>
  <c r="L27" i="49" a="1"/>
  <c r="L27" i="49" s="1"/>
  <c r="K27" i="49" a="1"/>
  <c r="K27" i="49" s="1"/>
  <c r="J27" i="49" a="1"/>
  <c r="J27" i="49" s="1"/>
  <c r="J8" i="51"/>
  <c r="Y26" i="49" a="1"/>
  <c r="Y26" i="49" s="1"/>
  <c r="I8" i="51" s="1"/>
  <c r="X26" i="49" a="1"/>
  <c r="X26" i="49" s="1"/>
  <c r="W26" i="49" a="1"/>
  <c r="W26" i="49" s="1"/>
  <c r="G8" i="51" s="1"/>
  <c r="V26" i="49" a="1"/>
  <c r="V26" i="49" s="1"/>
  <c r="F8" i="51" s="1"/>
  <c r="U26" i="49" a="1"/>
  <c r="U26" i="49" s="1"/>
  <c r="E8" i="51" s="1"/>
  <c r="T26" i="49" a="1"/>
  <c r="T26" i="49" s="1"/>
  <c r="D8" i="51" s="1"/>
  <c r="S26" i="49" a="1"/>
  <c r="S26" i="49" s="1"/>
  <c r="C8" i="51" s="1"/>
  <c r="R26" i="49" a="1"/>
  <c r="R26" i="49" s="1"/>
  <c r="B8" i="51" s="1"/>
  <c r="Q26" i="49" a="1"/>
  <c r="Q26" i="49" s="1"/>
  <c r="P26" i="49" a="1"/>
  <c r="P26" i="49" s="1"/>
  <c r="O26" i="49" a="1"/>
  <c r="O26" i="49" s="1"/>
  <c r="N26" i="49" a="1"/>
  <c r="N26" i="49" s="1"/>
  <c r="M26" i="49" a="1"/>
  <c r="M26" i="49" s="1"/>
  <c r="L26" i="49" a="1"/>
  <c r="L26" i="49" s="1"/>
  <c r="K26" i="49" a="1"/>
  <c r="K26" i="49" s="1"/>
  <c r="J26" i="49" a="1"/>
  <c r="J26" i="49" s="1"/>
  <c r="J7" i="51"/>
  <c r="Y25" i="49" a="1"/>
  <c r="Y25" i="49" s="1"/>
  <c r="I7" i="51" s="1"/>
  <c r="X25" i="49" a="1"/>
  <c r="X25" i="49" s="1"/>
  <c r="W25" i="49" a="1"/>
  <c r="W25" i="49" s="1"/>
  <c r="G7" i="51" s="1"/>
  <c r="V25" i="49" a="1"/>
  <c r="V25" i="49" s="1"/>
  <c r="F7" i="51" s="1"/>
  <c r="U25" i="49" a="1"/>
  <c r="U25" i="49" s="1"/>
  <c r="E7" i="51" s="1"/>
  <c r="T25" i="49" a="1"/>
  <c r="T25" i="49" s="1"/>
  <c r="D7" i="51" s="1"/>
  <c r="S25" i="49" a="1"/>
  <c r="S25" i="49" s="1"/>
  <c r="C7" i="51" s="1"/>
  <c r="R25" i="49" a="1"/>
  <c r="R25" i="49" s="1"/>
  <c r="B7" i="51" s="1"/>
  <c r="Q25" i="49" a="1"/>
  <c r="Q25" i="49" s="1"/>
  <c r="P25" i="49" a="1"/>
  <c r="P25" i="49" s="1"/>
  <c r="O25" i="49" a="1"/>
  <c r="O25" i="49" s="1"/>
  <c r="N25" i="49" a="1"/>
  <c r="N25" i="49" s="1"/>
  <c r="M25" i="49" a="1"/>
  <c r="M25" i="49" s="1"/>
  <c r="L25" i="49" a="1"/>
  <c r="L25" i="49" s="1"/>
  <c r="K25" i="49" a="1"/>
  <c r="K25" i="49" s="1"/>
  <c r="J25" i="49" a="1"/>
  <c r="J25" i="49" s="1"/>
  <c r="J6" i="51"/>
  <c r="Y24" i="49" a="1"/>
  <c r="Y24" i="49" s="1"/>
  <c r="I6" i="51" s="1"/>
  <c r="X24" i="49" a="1"/>
  <c r="X24" i="49" s="1"/>
  <c r="W24" i="49" a="1"/>
  <c r="W24" i="49" s="1"/>
  <c r="G6" i="51" s="1"/>
  <c r="V24" i="49" a="1"/>
  <c r="V24" i="49" s="1"/>
  <c r="F6" i="51" s="1"/>
  <c r="U24" i="49" a="1"/>
  <c r="U24" i="49" s="1"/>
  <c r="E6" i="51" s="1"/>
  <c r="T24" i="49" a="1"/>
  <c r="T24" i="49" s="1"/>
  <c r="D6" i="51" s="1"/>
  <c r="S24" i="49" a="1"/>
  <c r="S24" i="49" s="1"/>
  <c r="C6" i="51" s="1"/>
  <c r="R24" i="49" a="1"/>
  <c r="R24" i="49" s="1"/>
  <c r="B6" i="51" s="1"/>
  <c r="Q24" i="49" a="1"/>
  <c r="Q24" i="49" s="1"/>
  <c r="P24" i="49" a="1"/>
  <c r="P24" i="49" s="1"/>
  <c r="O24" i="49" a="1"/>
  <c r="O24" i="49" s="1"/>
  <c r="N24" i="49" a="1"/>
  <c r="N24" i="49" s="1"/>
  <c r="M24" i="49" a="1"/>
  <c r="M24" i="49" s="1"/>
  <c r="L24" i="49" a="1"/>
  <c r="L24" i="49" s="1"/>
  <c r="K24" i="49" a="1"/>
  <c r="K24" i="49" s="1"/>
  <c r="J24" i="49" a="1"/>
  <c r="J24" i="49" s="1"/>
  <c r="J5" i="51"/>
  <c r="Y23" i="49" a="1"/>
  <c r="Y23" i="49" s="1"/>
  <c r="I5" i="51" s="1"/>
  <c r="X23" i="49" a="1"/>
  <c r="X23" i="49" s="1"/>
  <c r="W23" i="49" a="1"/>
  <c r="W23" i="49" s="1"/>
  <c r="G5" i="51" s="1"/>
  <c r="V23" i="49" a="1"/>
  <c r="V23" i="49" s="1"/>
  <c r="F5" i="51" s="1"/>
  <c r="U23" i="49" a="1"/>
  <c r="U23" i="49" s="1"/>
  <c r="E5" i="51" s="1"/>
  <c r="T23" i="49" a="1"/>
  <c r="T23" i="49" s="1"/>
  <c r="D5" i="51" s="1"/>
  <c r="S23" i="49" a="1"/>
  <c r="S23" i="49" s="1"/>
  <c r="C5" i="51" s="1"/>
  <c r="R23" i="49" a="1"/>
  <c r="R23" i="49" s="1"/>
  <c r="B5" i="51" s="1"/>
  <c r="Q23" i="49" a="1"/>
  <c r="Q23" i="49" s="1"/>
  <c r="P23" i="49" a="1"/>
  <c r="P23" i="49" s="1"/>
  <c r="O23" i="49" a="1"/>
  <c r="O23" i="49" s="1"/>
  <c r="N23" i="49" a="1"/>
  <c r="N23" i="49" s="1"/>
  <c r="M23" i="49" a="1"/>
  <c r="M23" i="49" s="1"/>
  <c r="L23" i="49" a="1"/>
  <c r="L23" i="49" s="1"/>
  <c r="K23" i="49" a="1"/>
  <c r="K23" i="49" s="1"/>
  <c r="J23" i="49" a="1"/>
  <c r="J23" i="49" s="1"/>
  <c r="J4" i="51"/>
  <c r="Y22" i="49" a="1"/>
  <c r="Y22" i="49" s="1"/>
  <c r="I4" i="51" s="1"/>
  <c r="X22" i="49" a="1"/>
  <c r="X22" i="49" s="1"/>
  <c r="W22" i="49" a="1"/>
  <c r="W22" i="49" s="1"/>
  <c r="G4" i="51" s="1"/>
  <c r="V22" i="49" a="1"/>
  <c r="V22" i="49" s="1"/>
  <c r="F4" i="51" s="1"/>
  <c r="U22" i="49" a="1"/>
  <c r="U22" i="49" s="1"/>
  <c r="E4" i="51" s="1"/>
  <c r="T22" i="49" a="1"/>
  <c r="T22" i="49" s="1"/>
  <c r="D4" i="51" s="1"/>
  <c r="S22" i="49" a="1"/>
  <c r="S22" i="49" s="1"/>
  <c r="C4" i="51" s="1"/>
  <c r="R22" i="49" a="1"/>
  <c r="R22" i="49" s="1"/>
  <c r="B4" i="51" s="1"/>
  <c r="Q22" i="49" a="1"/>
  <c r="Q22" i="49" s="1"/>
  <c r="P22" i="49" a="1"/>
  <c r="P22" i="49" s="1"/>
  <c r="O22" i="49" a="1"/>
  <c r="O22" i="49" s="1"/>
  <c r="N22" i="49" a="1"/>
  <c r="N22" i="49" s="1"/>
  <c r="M22" i="49" a="1"/>
  <c r="M22" i="49" s="1"/>
  <c r="L22" i="49" a="1"/>
  <c r="L22" i="49" s="1"/>
  <c r="K22" i="49" a="1"/>
  <c r="K22" i="49" s="1"/>
  <c r="J22" i="49" a="1"/>
  <c r="J22" i="49" s="1"/>
  <c r="J3" i="51"/>
  <c r="Y21" i="49" a="1"/>
  <c r="Y21" i="49" s="1"/>
  <c r="I3" i="51" s="1"/>
  <c r="X21" i="49" a="1"/>
  <c r="X21" i="49" s="1"/>
  <c r="W21" i="49" a="1"/>
  <c r="W21" i="49" s="1"/>
  <c r="G3" i="51" s="1"/>
  <c r="V21" i="49" a="1"/>
  <c r="V21" i="49" s="1"/>
  <c r="F3" i="51" s="1"/>
  <c r="U21" i="49" a="1"/>
  <c r="U21" i="49" s="1"/>
  <c r="E3" i="51" s="1"/>
  <c r="T21" i="49" a="1"/>
  <c r="T21" i="49" s="1"/>
  <c r="D3" i="51" s="1"/>
  <c r="S21" i="49" a="1"/>
  <c r="S21" i="49" s="1"/>
  <c r="C3" i="51" s="1"/>
  <c r="R21" i="49" a="1"/>
  <c r="R21" i="49" s="1"/>
  <c r="B3" i="51" s="1"/>
  <c r="Q21" i="49" a="1"/>
  <c r="Q21" i="49" s="1"/>
  <c r="P21" i="49" a="1"/>
  <c r="P21" i="49" s="1"/>
  <c r="O21" i="49" a="1"/>
  <c r="O21" i="49" s="1"/>
  <c r="N21" i="49" a="1"/>
  <c r="N21" i="49" s="1"/>
  <c r="M21" i="49" a="1"/>
  <c r="M21" i="49" s="1"/>
  <c r="L21" i="49" a="1"/>
  <c r="L21" i="49" s="1"/>
  <c r="K21" i="49" a="1"/>
  <c r="K21" i="49" s="1"/>
  <c r="J21" i="49" a="1"/>
  <c r="J21" i="49" s="1"/>
  <c r="J2" i="51"/>
  <c r="Y20" i="49" a="1"/>
  <c r="Y20" i="49" s="1"/>
  <c r="I2" i="51" s="1"/>
  <c r="X20" i="49" a="1"/>
  <c r="X20" i="49" s="1"/>
  <c r="W20" i="49" a="1"/>
  <c r="W20" i="49" s="1"/>
  <c r="G2" i="51" s="1"/>
  <c r="V20" i="49" a="1"/>
  <c r="V20" i="49" s="1"/>
  <c r="F2" i="51" s="1"/>
  <c r="U20" i="49" a="1"/>
  <c r="U20" i="49" s="1"/>
  <c r="E2" i="51" s="1"/>
  <c r="T20" i="49" a="1"/>
  <c r="T20" i="49" s="1"/>
  <c r="D2" i="51" s="1"/>
  <c r="S20" i="49" a="1"/>
  <c r="S20" i="49" s="1"/>
  <c r="C2" i="51" s="1"/>
  <c r="R20" i="49" a="1"/>
  <c r="R20" i="49" s="1"/>
  <c r="B2" i="51" s="1"/>
  <c r="Q20" i="49" a="1"/>
  <c r="Q20" i="49" s="1"/>
  <c r="P20" i="49" a="1"/>
  <c r="P20" i="49" s="1"/>
  <c r="O20" i="49" a="1"/>
  <c r="O20" i="49" s="1"/>
  <c r="N20" i="49" a="1"/>
  <c r="N20" i="49" s="1"/>
  <c r="M20" i="49" a="1"/>
  <c r="M20" i="49" s="1"/>
  <c r="L20" i="49" a="1"/>
  <c r="L20" i="49" s="1"/>
  <c r="K20" i="49" a="1"/>
  <c r="K20" i="49" s="1"/>
  <c r="J20" i="49" a="1"/>
  <c r="J20" i="49" s="1"/>
  <c r="I28" i="49" a="1"/>
  <c r="I28" i="49" s="1"/>
  <c r="I27" i="49" a="1"/>
  <c r="I27" i="49" s="1"/>
  <c r="I26" i="49" a="1"/>
  <c r="I26" i="49" s="1"/>
  <c r="I25" i="49" a="1"/>
  <c r="I25" i="49" s="1"/>
  <c r="I24" i="49" a="1"/>
  <c r="I24" i="49" s="1"/>
  <c r="I23" i="49" a="1"/>
  <c r="I23" i="49" s="1"/>
  <c r="I22" i="49" a="1"/>
  <c r="I22" i="49" s="1"/>
  <c r="I21" i="49" a="1"/>
  <c r="I21" i="49" s="1"/>
  <c r="I20" i="49" a="1"/>
  <c r="I20" i="49" s="1"/>
  <c r="J65" i="45"/>
  <c r="V65" i="45"/>
  <c r="M11" i="51"/>
  <c r="L11" i="51"/>
  <c r="J11" i="51"/>
  <c r="I11" i="51"/>
  <c r="H11" i="51"/>
  <c r="G11" i="51"/>
  <c r="F11" i="51"/>
  <c r="E11" i="51"/>
  <c r="D11" i="51"/>
  <c r="C11" i="51"/>
  <c r="B11" i="51"/>
  <c r="AB10" i="45" a="1"/>
  <c r="AB10" i="45" s="1"/>
  <c r="AA10" i="45" a="1"/>
  <c r="AA10" i="45" s="1"/>
  <c r="Z10" i="45" a="1"/>
  <c r="Z10" i="45" s="1"/>
  <c r="Y10" i="45" a="1"/>
  <c r="Y10" i="45" s="1"/>
  <c r="X10" i="45" a="1"/>
  <c r="X10" i="45" s="1"/>
  <c r="W10" i="45" a="1"/>
  <c r="W10" i="45" s="1"/>
  <c r="V10" i="45" a="1"/>
  <c r="V10" i="45" s="1"/>
  <c r="U10" i="45" a="1"/>
  <c r="U10" i="45" s="1"/>
  <c r="U40" i="45" s="1"/>
  <c r="E10" i="51"/>
  <c r="D10" i="51"/>
  <c r="C10" i="51"/>
  <c r="B10" i="51"/>
  <c r="AB9" i="45" a="1"/>
  <c r="AB9" i="45" s="1"/>
  <c r="AA9" i="45" a="1"/>
  <c r="AA9" i="45" s="1"/>
  <c r="Z9" i="45" a="1"/>
  <c r="Z9" i="45" s="1"/>
  <c r="Y9" i="45" a="1"/>
  <c r="Y9" i="45" s="1"/>
  <c r="X9" i="45" a="1"/>
  <c r="X9" i="45" s="1"/>
  <c r="W9" i="45" a="1"/>
  <c r="W9" i="45" s="1"/>
  <c r="V9" i="45" a="1"/>
  <c r="V9" i="45" s="1"/>
  <c r="V39" i="45" s="1"/>
  <c r="F9" i="51"/>
  <c r="E9" i="51"/>
  <c r="D9" i="51"/>
  <c r="C9" i="51"/>
  <c r="B9" i="51"/>
  <c r="AB8" i="45" a="1"/>
  <c r="AB8" i="45" s="1"/>
  <c r="AC38" i="45" s="1"/>
  <c r="AA8" i="45" a="1"/>
  <c r="AA8" i="45" s="1"/>
  <c r="Z8" i="45" a="1"/>
  <c r="Z8" i="45" s="1"/>
  <c r="Y8" i="45" a="1"/>
  <c r="Y8" i="45" s="1"/>
  <c r="X8" i="45" a="1"/>
  <c r="X8" i="45" s="1"/>
  <c r="W8" i="45" a="1"/>
  <c r="W8" i="45" s="1"/>
  <c r="V8" i="45" a="1"/>
  <c r="V8" i="45" s="1"/>
  <c r="F12" i="51"/>
  <c r="E12" i="51"/>
  <c r="D12" i="51"/>
  <c r="C12" i="51"/>
  <c r="B12" i="51"/>
  <c r="D11" i="32"/>
  <c r="D10" i="32"/>
  <c r="C13" i="50"/>
  <c r="V11" i="44" l="1" a="1"/>
  <c r="V11" i="44" s="1"/>
  <c r="F20" i="51" s="1"/>
  <c r="Z22" i="47"/>
  <c r="Y16" i="47"/>
  <c r="R42" i="45"/>
  <c r="Y12" i="47"/>
  <c r="M49" i="45"/>
  <c r="U15" i="44" a="1"/>
  <c r="U15" i="44" s="1"/>
  <c r="U38" i="44"/>
  <c r="U39" i="44" s="1"/>
  <c r="V9" i="44" a="1"/>
  <c r="V9" i="44" s="1"/>
  <c r="V38" i="44" s="1"/>
  <c r="V39" i="44" s="1"/>
  <c r="O48" i="44"/>
  <c r="U49" i="44"/>
  <c r="V31" i="44" a="1"/>
  <c r="V31" i="44" s="1"/>
  <c r="R38" i="44"/>
  <c r="R39" i="44" s="1"/>
  <c r="U16" i="44" a="1"/>
  <c r="U16" i="44" s="1"/>
  <c r="W25" i="44" a="1"/>
  <c r="W25" i="44" s="1"/>
  <c r="U40" i="44"/>
  <c r="U41" i="44" s="1"/>
  <c r="J47" i="44"/>
  <c r="W12" i="44" a="1"/>
  <c r="W12" i="44" s="1"/>
  <c r="V29" i="44" a="1"/>
  <c r="V29" i="44" s="1"/>
  <c r="V23" i="44" a="1"/>
  <c r="V23" i="44" s="1"/>
  <c r="V21" i="44" a="1"/>
  <c r="V21" i="44" s="1"/>
  <c r="W21" i="44" s="1" a="1"/>
  <c r="W21" i="44" s="1"/>
  <c r="U18" i="44" a="1"/>
  <c r="U18" i="44" s="1"/>
  <c r="V27" i="44" a="1"/>
  <c r="V27" i="44" s="1"/>
  <c r="N45" i="44"/>
  <c r="W11" i="44" a="1"/>
  <c r="W11" i="44" s="1"/>
  <c r="G18" i="51" s="1"/>
  <c r="I40" i="44"/>
  <c r="T39" i="44"/>
  <c r="U17" i="44" a="1"/>
  <c r="U17" i="44" s="1"/>
  <c r="U19" i="44" a="1"/>
  <c r="U19" i="44" s="1"/>
  <c r="U55" i="44" s="1"/>
  <c r="U14" i="44" a="1"/>
  <c r="U14" i="44" s="1"/>
  <c r="Y18" i="47"/>
  <c r="AB17" i="36" s="1"/>
  <c r="W9" i="44" a="1"/>
  <c r="W9" i="44" s="1"/>
  <c r="W38" i="44" s="1"/>
  <c r="W39" i="44" s="1"/>
  <c r="AC8" i="44"/>
  <c r="Z49" i="45"/>
  <c r="Z39" i="45"/>
  <c r="O49" i="45"/>
  <c r="AB40" i="45"/>
  <c r="AC49" i="45"/>
  <c r="J49" i="45"/>
  <c r="W39" i="45"/>
  <c r="W40" i="45"/>
  <c r="W46" i="45"/>
  <c r="Z40" i="45"/>
  <c r="R49" i="45"/>
  <c r="AA13" i="47"/>
  <c r="AA12" i="47"/>
  <c r="X23" i="47"/>
  <c r="AA32" i="44" s="1"/>
  <c r="X22" i="47"/>
  <c r="AA31" i="44" s="1"/>
  <c r="AA15" i="47"/>
  <c r="AD11" i="36" s="1"/>
  <c r="AA14" i="47"/>
  <c r="AD9" i="36" s="1"/>
  <c r="Y15" i="47"/>
  <c r="AB11" i="36" s="1"/>
  <c r="Y14" i="47"/>
  <c r="AB9" i="36" s="1"/>
  <c r="X20" i="47"/>
  <c r="AA29" i="44" s="1"/>
  <c r="X21" i="47"/>
  <c r="AA30" i="44" s="1"/>
  <c r="S49" i="45"/>
  <c r="AA17" i="47"/>
  <c r="X14" i="47"/>
  <c r="AA23" i="44" s="1"/>
  <c r="X15" i="47"/>
  <c r="AA24" i="44" s="1"/>
  <c r="Z19" i="47"/>
  <c r="AC19" i="36" s="1"/>
  <c r="Z18" i="47"/>
  <c r="AC17" i="36" s="1"/>
  <c r="X19" i="47"/>
  <c r="AA28" i="44" s="1"/>
  <c r="AB28" i="44" s="1"/>
  <c r="X18" i="47"/>
  <c r="AA27" i="44" s="1"/>
  <c r="AA22" i="47"/>
  <c r="AA23" i="47"/>
  <c r="Y22" i="47"/>
  <c r="Y23" i="47"/>
  <c r="X13" i="47"/>
  <c r="AA22" i="44" s="1"/>
  <c r="X12" i="47"/>
  <c r="AA21" i="44" s="1"/>
  <c r="Z21" i="47"/>
  <c r="AC23" i="36" s="1"/>
  <c r="Z20" i="47"/>
  <c r="AC21" i="36" s="1"/>
  <c r="Z16" i="47"/>
  <c r="Z17" i="47"/>
  <c r="Z13" i="47"/>
  <c r="Z12" i="47"/>
  <c r="Z40" i="44"/>
  <c r="W8" i="47"/>
  <c r="V8" i="47"/>
  <c r="U8" i="47"/>
  <c r="T8" i="47"/>
  <c r="S8" i="47"/>
  <c r="R8" i="47"/>
  <c r="X17" i="47"/>
  <c r="AA26" i="44" s="1"/>
  <c r="AB26" i="44" s="1"/>
  <c r="X16" i="47"/>
  <c r="AA13" i="36" s="1"/>
  <c r="Z15" i="47"/>
  <c r="AC11" i="36" s="1"/>
  <c r="Z14" i="47"/>
  <c r="AC9" i="36" s="1"/>
  <c r="AB39" i="45"/>
  <c r="AA19" i="47"/>
  <c r="AD19" i="36" s="1"/>
  <c r="AA18" i="47"/>
  <c r="AD17" i="36" s="1"/>
  <c r="AA21" i="47"/>
  <c r="AD23" i="36" s="1"/>
  <c r="AA20" i="47"/>
  <c r="AD21" i="36" s="1"/>
  <c r="Y21" i="47"/>
  <c r="AB23" i="36" s="1"/>
  <c r="Y20" i="47"/>
  <c r="AB21" i="36" s="1"/>
  <c r="L43" i="44"/>
  <c r="U42" i="45"/>
  <c r="T52" i="44"/>
  <c r="T45" i="44"/>
  <c r="X46" i="45"/>
  <c r="P46" i="45"/>
  <c r="S38" i="44"/>
  <c r="S39" i="44" s="1"/>
  <c r="N43" i="44"/>
  <c r="N50" i="44"/>
  <c r="S46" i="45"/>
  <c r="P47" i="44"/>
  <c r="AB46" i="45"/>
  <c r="I50" i="44"/>
  <c r="L42" i="45"/>
  <c r="Z54" i="44"/>
  <c r="L46" i="45"/>
  <c r="K46" i="45"/>
  <c r="AB49" i="45"/>
  <c r="P38" i="44"/>
  <c r="P39" i="44" s="1"/>
  <c r="L40" i="44"/>
  <c r="M50" i="44"/>
  <c r="N46" i="45"/>
  <c r="X40" i="45"/>
  <c r="Q38" i="44"/>
  <c r="Q39" i="44" s="1"/>
  <c r="J46" i="45"/>
  <c r="I46" i="44"/>
  <c r="V46" i="45"/>
  <c r="AA46" i="45"/>
  <c r="S42" i="45"/>
  <c r="V40" i="45"/>
  <c r="K46" i="44"/>
  <c r="O44" i="44"/>
  <c r="M46" i="44"/>
  <c r="AA12" i="45"/>
  <c r="AA38" i="45"/>
  <c r="Y8" i="47" s="1"/>
  <c r="Q46" i="45"/>
  <c r="U49" i="45"/>
  <c r="X38" i="45"/>
  <c r="X12" i="45"/>
  <c r="AA39" i="45"/>
  <c r="T49" i="45"/>
  <c r="O46" i="45"/>
  <c r="L49" i="45"/>
  <c r="V38" i="45"/>
  <c r="V12" i="45"/>
  <c r="V42" i="45" s="1"/>
  <c r="AC39" i="45"/>
  <c r="X39" i="45"/>
  <c r="M46" i="45"/>
  <c r="M42" i="45"/>
  <c r="V49" i="45"/>
  <c r="K49" i="45"/>
  <c r="Y46" i="45"/>
  <c r="AC40" i="45"/>
  <c r="Y39" i="45"/>
  <c r="Y40" i="45"/>
  <c r="Y49" i="45"/>
  <c r="AC46" i="45"/>
  <c r="Q49" i="45"/>
  <c r="W38" i="45"/>
  <c r="W12" i="45"/>
  <c r="T46" i="45"/>
  <c r="Z46" i="45"/>
  <c r="Y38" i="45"/>
  <c r="Y12" i="45"/>
  <c r="AA40" i="45"/>
  <c r="N49" i="45"/>
  <c r="U46" i="45"/>
  <c r="N42" i="45"/>
  <c r="Z12" i="45"/>
  <c r="Z38" i="45"/>
  <c r="X8" i="47" s="1"/>
  <c r="AB12" i="45"/>
  <c r="AC42" i="45" s="1"/>
  <c r="AB38" i="45"/>
  <c r="P49" i="45"/>
  <c r="AA49" i="45"/>
  <c r="R46" i="45"/>
  <c r="T42" i="45"/>
  <c r="H9" i="51"/>
  <c r="M12" i="51"/>
  <c r="M10" i="51"/>
  <c r="H12" i="51"/>
  <c r="L9" i="51"/>
  <c r="O46" i="44"/>
  <c r="F10" i="51"/>
  <c r="L12" i="51"/>
  <c r="K38" i="44"/>
  <c r="K39" i="44" s="1"/>
  <c r="G12" i="51"/>
  <c r="G9" i="51"/>
  <c r="G10" i="51"/>
  <c r="H10" i="51"/>
  <c r="I12" i="51"/>
  <c r="I9" i="51"/>
  <c r="I10" i="51"/>
  <c r="J9" i="51"/>
  <c r="J10" i="51"/>
  <c r="K43" i="44"/>
  <c r="M55" i="44"/>
  <c r="M48" i="44"/>
  <c r="M44" i="44"/>
  <c r="L10" i="51"/>
  <c r="K48" i="44"/>
  <c r="S43" i="44"/>
  <c r="M38" i="44"/>
  <c r="M39" i="44" s="1"/>
  <c r="J12" i="51"/>
  <c r="M9" i="51"/>
  <c r="Z52" i="44"/>
  <c r="S53" i="44"/>
  <c r="S46" i="44"/>
  <c r="S44" i="44"/>
  <c r="S51" i="44"/>
  <c r="I48" i="44"/>
  <c r="I55" i="44"/>
  <c r="O50" i="44"/>
  <c r="Z48" i="44"/>
  <c r="I51" i="44"/>
  <c r="I44" i="44"/>
  <c r="Q44" i="44"/>
  <c r="Q51" i="44"/>
  <c r="Z46" i="44"/>
  <c r="N40" i="44"/>
  <c r="Z43" i="44"/>
  <c r="Z51" i="44"/>
  <c r="Q48" i="44"/>
  <c r="Q55" i="44"/>
  <c r="J45" i="44"/>
  <c r="Q53" i="44"/>
  <c r="Q46" i="44"/>
  <c r="Z38" i="44"/>
  <c r="S48" i="44"/>
  <c r="S55" i="44"/>
  <c r="O40" i="44"/>
  <c r="O38" i="44"/>
  <c r="O39" i="44" s="1"/>
  <c r="J43" i="44"/>
  <c r="K44" i="44"/>
  <c r="Q50" i="44"/>
  <c r="R43" i="44"/>
  <c r="R50" i="44"/>
  <c r="J40" i="44"/>
  <c r="J38" i="44"/>
  <c r="J39" i="44" s="1"/>
  <c r="AC40" i="49"/>
  <c r="AC41" i="49"/>
  <c r="H2" i="51"/>
  <c r="AC33" i="49"/>
  <c r="H3" i="51"/>
  <c r="AC34" i="49"/>
  <c r="H4" i="51"/>
  <c r="AC35" i="49"/>
  <c r="H5" i="51"/>
  <c r="AC36" i="49"/>
  <c r="H6" i="51"/>
  <c r="AC37" i="49"/>
  <c r="H7" i="51"/>
  <c r="AC38" i="49"/>
  <c r="H8" i="51"/>
  <c r="AC39" i="49"/>
  <c r="K9" i="51"/>
  <c r="K10" i="51"/>
  <c r="K11" i="51"/>
  <c r="K12" i="51"/>
  <c r="E18" i="51"/>
  <c r="C20" i="51"/>
  <c r="E19" i="51"/>
  <c r="D20" i="51"/>
  <c r="E20" i="51"/>
  <c r="C15" i="51"/>
  <c r="J16" i="51"/>
  <c r="C16" i="51"/>
  <c r="E15" i="51"/>
  <c r="D16" i="51"/>
  <c r="C17" i="51"/>
  <c r="J18" i="51"/>
  <c r="E16" i="51"/>
  <c r="C18" i="51"/>
  <c r="E17" i="51"/>
  <c r="D18" i="51"/>
  <c r="C19" i="51"/>
  <c r="J20" i="51"/>
  <c r="D15" i="51"/>
  <c r="J15" i="51"/>
  <c r="D17" i="51"/>
  <c r="J17" i="51"/>
  <c r="D19" i="51"/>
  <c r="J19" i="51"/>
  <c r="B18" i="51"/>
  <c r="B15" i="51"/>
  <c r="B19" i="51"/>
  <c r="B16" i="51"/>
  <c r="B20" i="51"/>
  <c r="B17" i="51"/>
  <c r="V19" i="50"/>
  <c r="F18" i="51" l="1"/>
  <c r="V42" i="44"/>
  <c r="F17" i="51"/>
  <c r="F16" i="51"/>
  <c r="U44" i="44"/>
  <c r="V15" i="44" a="1"/>
  <c r="V15" i="44" s="1"/>
  <c r="V51" i="44" s="1"/>
  <c r="U51" i="44"/>
  <c r="W27" i="44" a="1"/>
  <c r="W27" i="44" s="1"/>
  <c r="U47" i="44"/>
  <c r="V18" i="44" a="1"/>
  <c r="V18" i="44" s="1"/>
  <c r="V54" i="44" s="1"/>
  <c r="V49" i="44"/>
  <c r="X25" i="44" a="1"/>
  <c r="X25" i="44" s="1"/>
  <c r="G20" i="51"/>
  <c r="U45" i="44"/>
  <c r="V16" i="44" a="1"/>
  <c r="V16" i="44" s="1"/>
  <c r="U46" i="44"/>
  <c r="V17" i="44" a="1"/>
  <c r="V17" i="44" s="1"/>
  <c r="W31" i="44" a="1"/>
  <c r="W31" i="44" s="1"/>
  <c r="U43" i="44"/>
  <c r="V14" i="44" a="1"/>
  <c r="V14" i="44" s="1"/>
  <c r="W29" i="44" a="1"/>
  <c r="W29" i="44" s="1"/>
  <c r="U48" i="44"/>
  <c r="V19" i="44" a="1"/>
  <c r="V19" i="44" s="1"/>
  <c r="W23" i="44" a="1"/>
  <c r="W23" i="44" s="1"/>
  <c r="F15" i="51"/>
  <c r="G16" i="51"/>
  <c r="AB60" i="44"/>
  <c r="AB32" i="44"/>
  <c r="AC32" i="44" s="1"/>
  <c r="AD32" i="44" s="1"/>
  <c r="U54" i="44"/>
  <c r="F19" i="51"/>
  <c r="V40" i="44"/>
  <c r="V41" i="44" s="1"/>
  <c r="U50" i="44"/>
  <c r="X11" i="44" a="1"/>
  <c r="X11" i="44" s="1"/>
  <c r="W42" i="44"/>
  <c r="X12" i="44" a="1"/>
  <c r="X12" i="44" s="1"/>
  <c r="W40" i="44"/>
  <c r="U52" i="44"/>
  <c r="G15" i="51"/>
  <c r="U53" i="44"/>
  <c r="AA4" i="36"/>
  <c r="AA7" i="36"/>
  <c r="AA6" i="36"/>
  <c r="AA15" i="36"/>
  <c r="AA14" i="36"/>
  <c r="AA5" i="36"/>
  <c r="AA26" i="36"/>
  <c r="AA27" i="36"/>
  <c r="AA24" i="36"/>
  <c r="AC28" i="44"/>
  <c r="AD28" i="44" s="1"/>
  <c r="AA25" i="36"/>
  <c r="X9" i="44" a="1"/>
  <c r="X9" i="44" s="1"/>
  <c r="X21" i="44" a="1"/>
  <c r="X21" i="44" s="1"/>
  <c r="Z39" i="44"/>
  <c r="AC10" i="44" s="1"/>
  <c r="AA9" i="44"/>
  <c r="AB9" i="44"/>
  <c r="AD8" i="44"/>
  <c r="AC9" i="44"/>
  <c r="AB29" i="44"/>
  <c r="AA17" i="44"/>
  <c r="AB27" i="44"/>
  <c r="AA12" i="36"/>
  <c r="AA25" i="44"/>
  <c r="AC26" i="44"/>
  <c r="AD26" i="44" s="1"/>
  <c r="AB24" i="44"/>
  <c r="AC24" i="44" s="1"/>
  <c r="AD24" i="44" s="1"/>
  <c r="AB31" i="44"/>
  <c r="AA19" i="44"/>
  <c r="AB23" i="44"/>
  <c r="AA15" i="44"/>
  <c r="AB21" i="44"/>
  <c r="AA14" i="44"/>
  <c r="AB22" i="44"/>
  <c r="AC22" i="44" s="1"/>
  <c r="AD22" i="44" s="1"/>
  <c r="AA18" i="44"/>
  <c r="AB30" i="44"/>
  <c r="AC30" i="44" s="1"/>
  <c r="AD30" i="44" s="1"/>
  <c r="AA23" i="36"/>
  <c r="AA22" i="36"/>
  <c r="AA21" i="36"/>
  <c r="AA20" i="36"/>
  <c r="X42" i="45"/>
  <c r="AA17" i="36"/>
  <c r="AA16" i="36"/>
  <c r="AA18" i="36"/>
  <c r="AA19" i="36"/>
  <c r="AA11" i="36"/>
  <c r="AA10" i="36"/>
  <c r="AA8" i="36"/>
  <c r="AA9" i="36"/>
  <c r="Y42" i="45"/>
  <c r="AB42" i="45"/>
  <c r="W42" i="45"/>
  <c r="Z42" i="45"/>
  <c r="AA42" i="45"/>
  <c r="AA8" i="47"/>
  <c r="AR7" i="36"/>
  <c r="AD13" i="36"/>
  <c r="AD15" i="36"/>
  <c r="AD25" i="36"/>
  <c r="AD27" i="36"/>
  <c r="AD5" i="36"/>
  <c r="AD7" i="36"/>
  <c r="W8" i="46" a="1"/>
  <c r="W8" i="46" s="1"/>
  <c r="W22" i="46" s="1"/>
  <c r="V8" i="46" a="1"/>
  <c r="V8" i="46" s="1"/>
  <c r="V22" i="46" s="1"/>
  <c r="U8" i="46" a="1"/>
  <c r="U8" i="46" s="1"/>
  <c r="T8" i="46" a="1"/>
  <c r="T8" i="46" s="1"/>
  <c r="S8" i="46" a="1"/>
  <c r="S8" i="46" s="1"/>
  <c r="R8" i="46" a="1"/>
  <c r="R8" i="46" s="1"/>
  <c r="Q8" i="46" a="1"/>
  <c r="Q8" i="46" s="1"/>
  <c r="P8" i="46" a="1"/>
  <c r="P8" i="46" s="1"/>
  <c r="O8" i="46" a="1"/>
  <c r="O8" i="46" s="1"/>
  <c r="N8" i="46" a="1"/>
  <c r="N8" i="46" s="1"/>
  <c r="M8" i="46" a="1"/>
  <c r="M8" i="46" s="1"/>
  <c r="L8" i="46" a="1"/>
  <c r="L8" i="46" s="1"/>
  <c r="K8" i="46" a="1"/>
  <c r="K8" i="46" s="1"/>
  <c r="J8" i="46" a="1"/>
  <c r="J8" i="46" s="1"/>
  <c r="I8" i="46" a="1"/>
  <c r="I8" i="46" s="1"/>
  <c r="H8" i="46" a="1"/>
  <c r="H8" i="46" s="1"/>
  <c r="G8" i="46" a="1"/>
  <c r="G8" i="46" s="1"/>
  <c r="F8" i="46" a="1"/>
  <c r="F8" i="46" s="1"/>
  <c r="E8" i="46" a="1"/>
  <c r="E8" i="46" s="1"/>
  <c r="Y6" i="46" a="1"/>
  <c r="Y6" i="46" s="1"/>
  <c r="M26" i="51" s="1"/>
  <c r="X6" i="46" a="1"/>
  <c r="X6" i="46" s="1"/>
  <c r="W6" i="46" a="1"/>
  <c r="W6" i="46" s="1"/>
  <c r="W21" i="46" s="1"/>
  <c r="V6" i="46" a="1"/>
  <c r="V6" i="46" s="1"/>
  <c r="V21" i="46" s="1"/>
  <c r="U6" i="46" a="1"/>
  <c r="U6" i="46" s="1"/>
  <c r="T6" i="46" a="1"/>
  <c r="T6" i="46" s="1"/>
  <c r="S6" i="46" a="1"/>
  <c r="S6" i="46" s="1"/>
  <c r="R6" i="46" a="1"/>
  <c r="R6" i="46" s="1"/>
  <c r="Q6" i="46" a="1"/>
  <c r="Q6" i="46" s="1"/>
  <c r="P6" i="46" a="1"/>
  <c r="P6" i="46" s="1"/>
  <c r="D26" i="51" s="1"/>
  <c r="O6" i="46" a="1"/>
  <c r="O6" i="46" s="1"/>
  <c r="N6" i="46" a="1"/>
  <c r="N6" i="46" s="1"/>
  <c r="B26" i="51" s="1"/>
  <c r="M6" i="46" a="1"/>
  <c r="M6" i="46" s="1"/>
  <c r="L6" i="46" a="1"/>
  <c r="L6" i="46" s="1"/>
  <c r="K6" i="46" a="1"/>
  <c r="K6" i="46" s="1"/>
  <c r="J6" i="46" a="1"/>
  <c r="J6" i="46" s="1"/>
  <c r="I6" i="46" a="1"/>
  <c r="I6" i="46" s="1"/>
  <c r="H6" i="46" a="1"/>
  <c r="H6" i="46" s="1"/>
  <c r="G6" i="46" a="1"/>
  <c r="G6" i="46" s="1"/>
  <c r="F6" i="46" a="1"/>
  <c r="F6" i="46" s="1"/>
  <c r="AW9" i="49"/>
  <c r="Y8" i="46" a="1"/>
  <c r="Y8" i="46" s="1"/>
  <c r="X8" i="46" a="1"/>
  <c r="X8" i="46" s="1"/>
  <c r="W41" i="44" l="1"/>
  <c r="W49" i="44"/>
  <c r="W15" i="44" a="1"/>
  <c r="W15" i="44" s="1"/>
  <c r="W51" i="44" s="1"/>
  <c r="V44" i="44"/>
  <c r="Y12" i="44" a="1"/>
  <c r="Y12" i="44" s="1"/>
  <c r="X40" i="44"/>
  <c r="X41" i="44" s="1"/>
  <c r="W17" i="44" a="1"/>
  <c r="W17" i="44" s="1"/>
  <c r="W53" i="44" s="1"/>
  <c r="V46" i="44"/>
  <c r="W16" i="44" a="1"/>
  <c r="W16" i="44" s="1"/>
  <c r="V45" i="44"/>
  <c r="V52" i="44"/>
  <c r="X29" i="44" a="1"/>
  <c r="X29" i="44" s="1"/>
  <c r="V43" i="44"/>
  <c r="W14" i="44" a="1"/>
  <c r="W14" i="44" s="1"/>
  <c r="Y11" i="44" a="1"/>
  <c r="Y11" i="44" s="1"/>
  <c r="X42" i="44"/>
  <c r="H20" i="51"/>
  <c r="H18" i="51"/>
  <c r="H16" i="51"/>
  <c r="W19" i="44" a="1"/>
  <c r="W19" i="44" s="1"/>
  <c r="W55" i="44" s="1"/>
  <c r="G23" i="51" s="1"/>
  <c r="V48" i="44"/>
  <c r="Y25" i="44" a="1"/>
  <c r="Y25" i="44" s="1"/>
  <c r="X31" i="44" a="1"/>
  <c r="X31" i="44" s="1"/>
  <c r="G19" i="51"/>
  <c r="Y21" i="44" a="1"/>
  <c r="Y21" i="44" s="1"/>
  <c r="H15" i="51"/>
  <c r="V55" i="44"/>
  <c r="V50" i="44"/>
  <c r="X23" i="44" a="1"/>
  <c r="X23" i="44" s="1"/>
  <c r="G17" i="51"/>
  <c r="V47" i="44"/>
  <c r="W18" i="44" a="1"/>
  <c r="W18" i="44" s="1"/>
  <c r="Y9" i="44" a="1"/>
  <c r="Y9" i="44" s="1"/>
  <c r="Y38" i="44" s="1"/>
  <c r="Y39" i="44" s="1"/>
  <c r="X38" i="44"/>
  <c r="X39" i="44" s="1"/>
  <c r="V53" i="44"/>
  <c r="X27" i="44" a="1"/>
  <c r="X27" i="44" s="1"/>
  <c r="AA10" i="44"/>
  <c r="X9" i="47" s="1"/>
  <c r="AB10" i="44"/>
  <c r="AD9" i="44"/>
  <c r="AD10" i="44"/>
  <c r="AC23" i="44"/>
  <c r="AB15" i="44"/>
  <c r="AA50" i="44"/>
  <c r="AX10" i="49"/>
  <c r="AX11" i="49"/>
  <c r="AA55" i="44"/>
  <c r="AX12" i="49"/>
  <c r="AC31" i="44"/>
  <c r="AB19" i="44"/>
  <c r="AC21" i="44"/>
  <c r="AB14" i="44"/>
  <c r="AC27" i="44"/>
  <c r="AB17" i="44"/>
  <c r="AB53" i="44" s="1"/>
  <c r="AB25" i="44"/>
  <c r="AA16" i="44"/>
  <c r="AA53" i="44"/>
  <c r="AA54" i="44"/>
  <c r="AA51" i="44"/>
  <c r="AC29" i="44"/>
  <c r="AB18" i="44"/>
  <c r="C26" i="51"/>
  <c r="P26" i="51" s="1"/>
  <c r="E26" i="51"/>
  <c r="R26" i="51" s="1"/>
  <c r="F26" i="51"/>
  <c r="S26" i="51" s="1"/>
  <c r="G26" i="51"/>
  <c r="T26" i="51" s="1"/>
  <c r="H26" i="51"/>
  <c r="U26" i="51" s="1"/>
  <c r="I26" i="51"/>
  <c r="V26" i="51" s="1"/>
  <c r="J26" i="51"/>
  <c r="W26" i="51" s="1"/>
  <c r="K26" i="51"/>
  <c r="X26" i="51" s="1"/>
  <c r="L26" i="51"/>
  <c r="Y26" i="51" s="1"/>
  <c r="Z8" i="47"/>
  <c r="U19" i="50"/>
  <c r="AQ7" i="36" s="1"/>
  <c r="Z26" i="51"/>
  <c r="Z7" i="46"/>
  <c r="Z9" i="46" s="1"/>
  <c r="AC5" i="36"/>
  <c r="AC7" i="36"/>
  <c r="AC25" i="36"/>
  <c r="AC27" i="36"/>
  <c r="AC13" i="36"/>
  <c r="AC15" i="36"/>
  <c r="W32" i="47"/>
  <c r="AA30" i="36" s="1"/>
  <c r="AB38" i="49"/>
  <c r="AB40" i="49"/>
  <c r="AB37" i="49"/>
  <c r="AB39" i="49"/>
  <c r="AB41" i="49"/>
  <c r="AB34" i="49"/>
  <c r="AB36" i="49"/>
  <c r="AB33" i="49"/>
  <c r="AB35" i="49"/>
  <c r="F21" i="51"/>
  <c r="D21" i="51"/>
  <c r="B22" i="51"/>
  <c r="F22" i="51"/>
  <c r="W45" i="47"/>
  <c r="AA38" i="36" s="1"/>
  <c r="W44" i="47"/>
  <c r="AA37" i="36" s="1"/>
  <c r="W37" i="47"/>
  <c r="AA33" i="36" s="1"/>
  <c r="W43" i="47"/>
  <c r="AA36" i="36" s="1"/>
  <c r="W36" i="47"/>
  <c r="AA32" i="36" s="1"/>
  <c r="W42" i="47"/>
  <c r="AA35" i="36" s="1"/>
  <c r="W33" i="47"/>
  <c r="AA31" i="36" s="1"/>
  <c r="W41" i="47"/>
  <c r="AA34" i="36" s="1"/>
  <c r="Z26" i="36"/>
  <c r="Z24" i="36"/>
  <c r="Z14" i="36"/>
  <c r="C21" i="51"/>
  <c r="E22" i="51"/>
  <c r="E21" i="51"/>
  <c r="E23" i="51"/>
  <c r="D13" i="51"/>
  <c r="F13" i="51"/>
  <c r="G13" i="51"/>
  <c r="X15" i="44" l="1" a="1"/>
  <c r="X15" i="44" s="1"/>
  <c r="X51" i="44" s="1"/>
  <c r="W44" i="44"/>
  <c r="Y42" i="44"/>
  <c r="I18" i="51"/>
  <c r="I16" i="51"/>
  <c r="I20" i="51"/>
  <c r="X14" i="44" a="1"/>
  <c r="X14" i="44" s="1"/>
  <c r="W43" i="44"/>
  <c r="W50" i="44"/>
  <c r="G21" i="51" s="1"/>
  <c r="X18" i="44" a="1"/>
  <c r="X18" i="44" s="1"/>
  <c r="W47" i="44"/>
  <c r="Y31" i="44" a="1"/>
  <c r="Y31" i="44" s="1"/>
  <c r="H19" i="51"/>
  <c r="W54" i="44"/>
  <c r="Y29" i="44" a="1"/>
  <c r="Y29" i="44" s="1"/>
  <c r="I15" i="51"/>
  <c r="Y23" i="44" a="1"/>
  <c r="Y23" i="44" s="1"/>
  <c r="H17" i="51"/>
  <c r="X16" i="44" a="1"/>
  <c r="X16" i="44" s="1"/>
  <c r="W45" i="44"/>
  <c r="W52" i="44"/>
  <c r="G22" i="51" s="1"/>
  <c r="Y27" i="44" a="1"/>
  <c r="Y27" i="44" s="1"/>
  <c r="X17" i="44" a="1"/>
  <c r="X17" i="44" s="1"/>
  <c r="W46" i="44"/>
  <c r="X19" i="44" a="1"/>
  <c r="X19" i="44" s="1"/>
  <c r="X55" i="44" s="1"/>
  <c r="H23" i="51" s="1"/>
  <c r="W48" i="44"/>
  <c r="X49" i="44"/>
  <c r="Y40" i="44"/>
  <c r="I14" i="51" s="1"/>
  <c r="AB54" i="44"/>
  <c r="AB50" i="44"/>
  <c r="AD21" i="44"/>
  <c r="AC14" i="44"/>
  <c r="AC25" i="44"/>
  <c r="AB16" i="44"/>
  <c r="AD27" i="44"/>
  <c r="AC17" i="44"/>
  <c r="AC53" i="44" s="1"/>
  <c r="AD29" i="44"/>
  <c r="AC18" i="44"/>
  <c r="AB55" i="44"/>
  <c r="AC15" i="44"/>
  <c r="AC51" i="44" s="1"/>
  <c r="AD23" i="44"/>
  <c r="AA52" i="44"/>
  <c r="AA11" i="44"/>
  <c r="AC19" i="44"/>
  <c r="AD31" i="44"/>
  <c r="AC55" i="44"/>
  <c r="AB51" i="44"/>
  <c r="I23" i="52"/>
  <c r="B13" i="51"/>
  <c r="F23" i="51"/>
  <c r="B21" i="51"/>
  <c r="C23" i="51"/>
  <c r="B23" i="51"/>
  <c r="D22" i="51"/>
  <c r="D23" i="51"/>
  <c r="C22" i="51"/>
  <c r="J13" i="51"/>
  <c r="Z4" i="36"/>
  <c r="J23" i="51"/>
  <c r="F14" i="51"/>
  <c r="J14" i="51"/>
  <c r="B14" i="51"/>
  <c r="G14" i="51"/>
  <c r="D14" i="51"/>
  <c r="AB63" i="44"/>
  <c r="AB67" i="44"/>
  <c r="C14" i="51"/>
  <c r="C13" i="51"/>
  <c r="AB68" i="44" l="1"/>
  <c r="Y41" i="44"/>
  <c r="Z41" i="44"/>
  <c r="Y15" i="44" a="1"/>
  <c r="Y15" i="44" s="1"/>
  <c r="Y44" i="44" s="1"/>
  <c r="X44" i="44"/>
  <c r="I19" i="51"/>
  <c r="Y16" i="44" a="1"/>
  <c r="Y16" i="44" s="1"/>
  <c r="X45" i="44"/>
  <c r="X52" i="44"/>
  <c r="Y18" i="44" a="1"/>
  <c r="Y18" i="44" s="1"/>
  <c r="Y47" i="44" s="1"/>
  <c r="X47" i="44"/>
  <c r="I17" i="51"/>
  <c r="Y19" i="44" a="1"/>
  <c r="Y19" i="44" s="1"/>
  <c r="Y48" i="44" s="1"/>
  <c r="X48" i="44"/>
  <c r="Y14" i="44" a="1"/>
  <c r="Y14" i="44" s="1"/>
  <c r="X43" i="44"/>
  <c r="X50" i="44"/>
  <c r="Y17" i="44" a="1"/>
  <c r="Y17" i="44" s="1"/>
  <c r="Y46" i="44" s="1"/>
  <c r="X46" i="44"/>
  <c r="Y49" i="44"/>
  <c r="X53" i="44"/>
  <c r="X54" i="44"/>
  <c r="AA45" i="44"/>
  <c r="AA12" i="44"/>
  <c r="X10" i="47" s="1"/>
  <c r="AD25" i="44"/>
  <c r="AC16" i="44"/>
  <c r="AC11" i="44" s="1"/>
  <c r="AC12" i="44" s="1"/>
  <c r="AC54" i="44"/>
  <c r="AD18" i="44"/>
  <c r="AD54" i="44" s="1"/>
  <c r="AD19" i="44"/>
  <c r="AD55" i="44" s="1"/>
  <c r="AD15" i="44"/>
  <c r="AD14" i="44"/>
  <c r="AB52" i="44"/>
  <c r="AC50" i="44"/>
  <c r="AB11" i="44"/>
  <c r="AB12" i="44" s="1"/>
  <c r="X11" i="47"/>
  <c r="AA42" i="44"/>
  <c r="AX9" i="49"/>
  <c r="AA9" i="49" s="1"/>
  <c r="AA49" i="44"/>
  <c r="AA46" i="44"/>
  <c r="AA44" i="44"/>
  <c r="AA48" i="44"/>
  <c r="AA47" i="44"/>
  <c r="AA43" i="44"/>
  <c r="AD17" i="44"/>
  <c r="AD53" i="44" s="1"/>
  <c r="H13" i="51"/>
  <c r="H14" i="51"/>
  <c r="H21" i="51"/>
  <c r="H22" i="51"/>
  <c r="AB70" i="44"/>
  <c r="AB69" i="44"/>
  <c r="AB65" i="44"/>
  <c r="AB66" i="44"/>
  <c r="AB64" i="44"/>
  <c r="J21" i="51"/>
  <c r="J22" i="51"/>
  <c r="E14" i="51"/>
  <c r="E13" i="51"/>
  <c r="I13" i="51"/>
  <c r="P32" i="37"/>
  <c r="Y51" i="44" l="1"/>
  <c r="Y43" i="44"/>
  <c r="Y50" i="44"/>
  <c r="I21" i="51" s="1"/>
  <c r="Y54" i="44"/>
  <c r="Y45" i="44"/>
  <c r="Y52" i="44"/>
  <c r="I22" i="51" s="1"/>
  <c r="Y53" i="44"/>
  <c r="Y55" i="44"/>
  <c r="I23" i="51" s="1"/>
  <c r="AC52" i="44"/>
  <c r="AC44" i="44"/>
  <c r="AC43" i="44"/>
  <c r="AC47" i="44"/>
  <c r="AC48" i="44"/>
  <c r="AD50" i="44"/>
  <c r="AC45" i="44"/>
  <c r="AB42" i="44"/>
  <c r="AB49" i="44"/>
  <c r="AB47" i="44"/>
  <c r="AB43" i="44"/>
  <c r="AB44" i="44"/>
  <c r="AB46" i="44"/>
  <c r="AB48" i="44"/>
  <c r="AB45" i="44"/>
  <c r="AC42" i="44"/>
  <c r="AC46" i="44"/>
  <c r="AC49" i="44"/>
  <c r="AA40" i="44"/>
  <c r="AA41" i="44" s="1"/>
  <c r="AA38" i="44"/>
  <c r="AA39" i="44" s="1"/>
  <c r="AD51" i="44"/>
  <c r="AD16" i="44"/>
  <c r="AD52" i="44" s="1"/>
  <c r="AB62" i="44"/>
  <c r="AB61" i="44"/>
  <c r="C6" i="61"/>
  <c r="B6" i="61"/>
  <c r="C5" i="61"/>
  <c r="B5" i="61"/>
  <c r="C4" i="61"/>
  <c r="B4" i="61"/>
  <c r="C3" i="61"/>
  <c r="B3" i="61"/>
  <c r="C2" i="61"/>
  <c r="B2" i="61"/>
  <c r="F2" i="57"/>
  <c r="C2" i="57"/>
  <c r="B2" i="57"/>
  <c r="A2" i="57"/>
  <c r="AD11" i="44" l="1"/>
  <c r="AD12" i="44" s="1"/>
  <c r="AB40" i="44"/>
  <c r="AB41" i="44" s="1"/>
  <c r="AB38" i="44"/>
  <c r="AB39" i="44" s="1"/>
  <c r="AD42" i="44"/>
  <c r="AD49" i="44"/>
  <c r="AD48" i="44"/>
  <c r="AD45" i="44"/>
  <c r="AD44" i="44"/>
  <c r="AD43" i="44"/>
  <c r="AC40" i="44"/>
  <c r="AC41" i="44" s="1"/>
  <c r="AC38" i="44"/>
  <c r="AC39" i="44" s="1"/>
  <c r="AD46" i="44"/>
  <c r="AD47" i="44"/>
  <c r="N5" i="52"/>
  <c r="N6" i="52" s="1"/>
  <c r="N7" i="52" s="1"/>
  <c r="N8" i="52" s="1"/>
  <c r="N9" i="52" s="1"/>
  <c r="N10" i="52" s="1"/>
  <c r="N11" i="52" s="1"/>
  <c r="N12" i="52" s="1"/>
  <c r="N13" i="52" s="1"/>
  <c r="N14" i="52" s="1"/>
  <c r="N15" i="52" s="1"/>
  <c r="N16" i="52" s="1"/>
  <c r="AD1" i="51"/>
  <c r="A11" i="50"/>
  <c r="A10" i="50"/>
  <c r="N45" i="47"/>
  <c r="J45" i="47"/>
  <c r="F45" i="47"/>
  <c r="Q44" i="47"/>
  <c r="P43" i="47"/>
  <c r="S36" i="36" s="1"/>
  <c r="M43" i="47"/>
  <c r="L43" i="47"/>
  <c r="I43" i="47"/>
  <c r="H43" i="47"/>
  <c r="N41" i="47"/>
  <c r="J41" i="47"/>
  <c r="F41" i="47"/>
  <c r="P36" i="47"/>
  <c r="O33" i="47"/>
  <c r="T32" i="47"/>
  <c r="N32" i="47"/>
  <c r="K33" i="47"/>
  <c r="M36" i="47"/>
  <c r="Q36" i="47"/>
  <c r="Q43" i="47"/>
  <c r="F33" i="47"/>
  <c r="A30" i="48"/>
  <c r="B30" i="48"/>
  <c r="B11" i="48"/>
  <c r="A11" i="48"/>
  <c r="P11" i="48" s="1" a="1"/>
  <c r="P11" i="48" s="1"/>
  <c r="C11" i="48"/>
  <c r="AN11" i="48" s="1" a="1"/>
  <c r="AN11" i="48" s="1"/>
  <c r="Q26" i="51"/>
  <c r="A8" i="46"/>
  <c r="A6" i="46"/>
  <c r="AD40" i="44" l="1"/>
  <c r="AD41" i="44" s="1"/>
  <c r="AD38" i="44"/>
  <c r="AD39" i="44" s="1"/>
  <c r="AC12" i="51"/>
  <c r="AC11" i="51"/>
  <c r="AC26" i="51"/>
  <c r="AC10" i="51"/>
  <c r="AC9" i="51"/>
  <c r="AC24" i="51"/>
  <c r="AM11" i="48" a="1"/>
  <c r="AM11" i="48" s="1"/>
  <c r="AM23" i="48" a="1"/>
  <c r="AM23" i="48" s="1"/>
  <c r="AN23" i="48" a="1"/>
  <c r="AN23" i="48" s="1"/>
  <c r="AM22" i="48" a="1"/>
  <c r="AM22" i="48" s="1"/>
  <c r="AN22" i="48" a="1"/>
  <c r="AN22" i="48" s="1"/>
  <c r="AM30" i="48" a="1"/>
  <c r="AM30" i="48" s="1"/>
  <c r="AN30" i="48" a="1"/>
  <c r="AN30" i="48" s="1"/>
  <c r="AM41" i="48" a="1"/>
  <c r="AM41" i="48" s="1"/>
  <c r="AN41" i="48" a="1"/>
  <c r="AN41" i="48" s="1"/>
  <c r="AM20" i="48" a="1"/>
  <c r="AM20" i="48" s="1"/>
  <c r="AN20" i="48" a="1"/>
  <c r="AN20" i="48" s="1"/>
  <c r="AN40" i="48" a="1"/>
  <c r="AN40" i="48" s="1"/>
  <c r="AM40" i="48" a="1"/>
  <c r="AM40" i="48" s="1"/>
  <c r="AM13" i="48" a="1"/>
  <c r="AM13" i="48" s="1"/>
  <c r="AN13" i="48" a="1"/>
  <c r="AN13" i="48" s="1"/>
  <c r="AM39" i="48" a="1"/>
  <c r="AM39" i="48" s="1"/>
  <c r="AN39" i="48" a="1"/>
  <c r="AN39" i="48" s="1"/>
  <c r="AN21" i="48" a="1"/>
  <c r="AN21" i="48" s="1"/>
  <c r="AM21" i="48" a="1"/>
  <c r="AM21" i="48" s="1"/>
  <c r="AM12" i="48" a="1"/>
  <c r="AM12" i="48" s="1"/>
  <c r="AN12" i="48" a="1"/>
  <c r="AN12" i="48" s="1"/>
  <c r="AM38" i="48" a="1"/>
  <c r="AM38" i="48" s="1"/>
  <c r="AN38" i="48" a="1"/>
  <c r="AN38" i="48" s="1"/>
  <c r="AM31" i="48" a="1"/>
  <c r="AM31" i="48" s="1"/>
  <c r="AN31" i="48" a="1"/>
  <c r="AN31" i="48" s="1"/>
  <c r="AC22" i="48" a="1"/>
  <c r="AC22" i="48" s="1"/>
  <c r="AK22" i="48" a="1"/>
  <c r="AK22" i="48" s="1"/>
  <c r="AD22" i="48" a="1"/>
  <c r="AD22" i="48" s="1"/>
  <c r="AL22" i="48" a="1"/>
  <c r="AL22" i="48" s="1"/>
  <c r="AE22" i="48" a="1"/>
  <c r="AE22" i="48" s="1"/>
  <c r="X22" i="48" a="1"/>
  <c r="X22" i="48" s="1"/>
  <c r="AF22" i="48" a="1"/>
  <c r="AF22" i="48" s="1"/>
  <c r="Y22" i="48" a="1"/>
  <c r="Y22" i="48" s="1"/>
  <c r="AG22" i="48" a="1"/>
  <c r="AG22" i="48" s="1"/>
  <c r="Z22" i="48" a="1"/>
  <c r="Z22" i="48" s="1"/>
  <c r="AH22" i="48" a="1"/>
  <c r="AH22" i="48" s="1"/>
  <c r="AA22" i="48" a="1"/>
  <c r="AA22" i="48" s="1"/>
  <c r="AI22" i="48" a="1"/>
  <c r="AI22" i="48" s="1"/>
  <c r="AB22" i="48" a="1"/>
  <c r="AB22" i="48" s="1"/>
  <c r="AJ22" i="48" a="1"/>
  <c r="AJ22" i="48" s="1"/>
  <c r="AD30" i="48" a="1"/>
  <c r="AD30" i="48" s="1"/>
  <c r="AL30" i="48" a="1"/>
  <c r="AL30" i="48" s="1"/>
  <c r="AE30" i="48" a="1"/>
  <c r="AE30" i="48" s="1"/>
  <c r="AF30" i="48" a="1"/>
  <c r="AF30" i="48" s="1"/>
  <c r="X30" i="48" a="1"/>
  <c r="X30" i="48" s="1"/>
  <c r="Y30" i="48" a="1"/>
  <c r="Y30" i="48" s="1"/>
  <c r="AG30" i="48" a="1"/>
  <c r="AG30" i="48" s="1"/>
  <c r="Z30" i="48" a="1"/>
  <c r="Z30" i="48" s="1"/>
  <c r="AH30" i="48" a="1"/>
  <c r="AH30" i="48" s="1"/>
  <c r="AA30" i="48" a="1"/>
  <c r="AA30" i="48" s="1"/>
  <c r="AI30" i="48" a="1"/>
  <c r="AI30" i="48" s="1"/>
  <c r="AB30" i="48" a="1"/>
  <c r="AB30" i="48" s="1"/>
  <c r="AJ30" i="48" a="1"/>
  <c r="AJ30" i="48" s="1"/>
  <c r="AC30" i="48" a="1"/>
  <c r="AC30" i="48" s="1"/>
  <c r="AK30" i="48" a="1"/>
  <c r="AK30" i="48" s="1"/>
  <c r="AC23" i="48" a="1"/>
  <c r="AC23" i="48" s="1"/>
  <c r="AK23" i="48" a="1"/>
  <c r="AK23" i="48" s="1"/>
  <c r="AD23" i="48" a="1"/>
  <c r="AD23" i="48" s="1"/>
  <c r="AL23" i="48" a="1"/>
  <c r="AL23" i="48" s="1"/>
  <c r="AF23" i="48" a="1"/>
  <c r="AF23" i="48" s="1"/>
  <c r="AE23" i="48" a="1"/>
  <c r="AE23" i="48" s="1"/>
  <c r="X23" i="48" a="1"/>
  <c r="X23" i="48" s="1"/>
  <c r="Y23" i="48" a="1"/>
  <c r="Y23" i="48" s="1"/>
  <c r="AG23" i="48" a="1"/>
  <c r="AG23" i="48" s="1"/>
  <c r="AJ23" i="48" a="1"/>
  <c r="AJ23" i="48" s="1"/>
  <c r="Z23" i="48" a="1"/>
  <c r="Z23" i="48" s="1"/>
  <c r="AH23" i="48" a="1"/>
  <c r="AH23" i="48" s="1"/>
  <c r="AI23" i="48" a="1"/>
  <c r="AI23" i="48" s="1"/>
  <c r="AA23" i="48" a="1"/>
  <c r="AA23" i="48" s="1"/>
  <c r="AB23" i="48" a="1"/>
  <c r="AB23" i="48" s="1"/>
  <c r="AC41" i="48" a="1"/>
  <c r="AC41" i="48" s="1"/>
  <c r="AK41" i="48" a="1"/>
  <c r="AK41" i="48" s="1"/>
  <c r="AD41" i="48" a="1"/>
  <c r="AD41" i="48" s="1"/>
  <c r="AL41" i="48" a="1"/>
  <c r="AL41" i="48" s="1"/>
  <c r="AE41" i="48" a="1"/>
  <c r="AE41" i="48" s="1"/>
  <c r="X41" i="48" a="1"/>
  <c r="X41" i="48" s="1"/>
  <c r="AF41" i="48" a="1"/>
  <c r="AF41" i="48" s="1"/>
  <c r="Y41" i="48" a="1"/>
  <c r="Y41" i="48" s="1"/>
  <c r="AG41" i="48" a="1"/>
  <c r="AG41" i="48" s="1"/>
  <c r="Z41" i="48" a="1"/>
  <c r="Z41" i="48" s="1"/>
  <c r="AH41" i="48" a="1"/>
  <c r="AH41" i="48" s="1"/>
  <c r="AA41" i="48" a="1"/>
  <c r="AA41" i="48" s="1"/>
  <c r="AI41" i="48" a="1"/>
  <c r="AI41" i="48" s="1"/>
  <c r="AB41" i="48" a="1"/>
  <c r="AB41" i="48" s="1"/>
  <c r="AJ41" i="48" a="1"/>
  <c r="AJ41" i="48" s="1"/>
  <c r="AC40" i="48" a="1"/>
  <c r="AC40" i="48" s="1"/>
  <c r="AK40" i="48" a="1"/>
  <c r="AK40" i="48" s="1"/>
  <c r="AD40" i="48" a="1"/>
  <c r="AD40" i="48" s="1"/>
  <c r="AL40" i="48" a="1"/>
  <c r="AL40" i="48" s="1"/>
  <c r="AE40" i="48" a="1"/>
  <c r="AE40" i="48" s="1"/>
  <c r="X40" i="48" a="1"/>
  <c r="X40" i="48" s="1"/>
  <c r="AF40" i="48" a="1"/>
  <c r="AF40" i="48" s="1"/>
  <c r="Y40" i="48" a="1"/>
  <c r="Y40" i="48" s="1"/>
  <c r="AG40" i="48" a="1"/>
  <c r="AG40" i="48" s="1"/>
  <c r="Z40" i="48" a="1"/>
  <c r="Z40" i="48" s="1"/>
  <c r="AH40" i="48" a="1"/>
  <c r="AH40" i="48" s="1"/>
  <c r="AA40" i="48" a="1"/>
  <c r="AA40" i="48" s="1"/>
  <c r="AI40" i="48" a="1"/>
  <c r="AI40" i="48" s="1"/>
  <c r="AB40" i="48" a="1"/>
  <c r="AB40" i="48" s="1"/>
  <c r="AJ40" i="48" a="1"/>
  <c r="AJ40" i="48" s="1"/>
  <c r="AC21" i="48" a="1"/>
  <c r="AC21" i="48" s="1"/>
  <c r="AK21" i="48" a="1"/>
  <c r="AK21" i="48" s="1"/>
  <c r="AD21" i="48" a="1"/>
  <c r="AD21" i="48" s="1"/>
  <c r="AL21" i="48" a="1"/>
  <c r="AL21" i="48" s="1"/>
  <c r="AE21" i="48" a="1"/>
  <c r="AE21" i="48" s="1"/>
  <c r="X21" i="48" a="1"/>
  <c r="X21" i="48" s="1"/>
  <c r="AF21" i="48" a="1"/>
  <c r="AF21" i="48" s="1"/>
  <c r="Y21" i="48" a="1"/>
  <c r="Y21" i="48" s="1"/>
  <c r="AG21" i="48" a="1"/>
  <c r="AG21" i="48" s="1"/>
  <c r="Z21" i="48" a="1"/>
  <c r="Z21" i="48" s="1"/>
  <c r="AH21" i="48" a="1"/>
  <c r="AH21" i="48" s="1"/>
  <c r="AA21" i="48" a="1"/>
  <c r="AA21" i="48" s="1"/>
  <c r="AI21" i="48" a="1"/>
  <c r="AI21" i="48" s="1"/>
  <c r="AB21" i="48" a="1"/>
  <c r="AB21" i="48" s="1"/>
  <c r="AJ21" i="48" a="1"/>
  <c r="AJ21" i="48" s="1"/>
  <c r="AC13" i="48" a="1"/>
  <c r="AC13" i="48" s="1"/>
  <c r="AK13" i="48" a="1"/>
  <c r="AK13" i="48" s="1"/>
  <c r="AD13" i="48" a="1"/>
  <c r="AD13" i="48" s="1"/>
  <c r="AL13" i="48" a="1"/>
  <c r="AL13" i="48" s="1"/>
  <c r="AE13" i="48" a="1"/>
  <c r="AE13" i="48" s="1"/>
  <c r="X13" i="48" a="1"/>
  <c r="X13" i="48" s="1"/>
  <c r="AF13" i="48" a="1"/>
  <c r="AF13" i="48" s="1"/>
  <c r="Y13" i="48" a="1"/>
  <c r="Y13" i="48" s="1"/>
  <c r="AG13" i="48" a="1"/>
  <c r="AG13" i="48" s="1"/>
  <c r="Z13" i="48" a="1"/>
  <c r="Z13" i="48" s="1"/>
  <c r="AH13" i="48" a="1"/>
  <c r="AH13" i="48" s="1"/>
  <c r="AA13" i="48" a="1"/>
  <c r="AA13" i="48" s="1"/>
  <c r="AI13" i="48" a="1"/>
  <c r="AI13" i="48" s="1"/>
  <c r="AB13" i="48" a="1"/>
  <c r="AB13" i="48" s="1"/>
  <c r="AJ13" i="48" a="1"/>
  <c r="AJ13" i="48" s="1"/>
  <c r="AC39" i="48" a="1"/>
  <c r="AC39" i="48" s="1"/>
  <c r="AK39" i="48" a="1"/>
  <c r="AK39" i="48" s="1"/>
  <c r="AD39" i="48" a="1"/>
  <c r="AD39" i="48" s="1"/>
  <c r="AL39" i="48" a="1"/>
  <c r="AL39" i="48" s="1"/>
  <c r="AE39" i="48" a="1"/>
  <c r="AE39" i="48" s="1"/>
  <c r="X39" i="48" a="1"/>
  <c r="X39" i="48" s="1"/>
  <c r="AF39" i="48" a="1"/>
  <c r="AF39" i="48" s="1"/>
  <c r="Y39" i="48" a="1"/>
  <c r="Y39" i="48" s="1"/>
  <c r="AG39" i="48" a="1"/>
  <c r="AG39" i="48" s="1"/>
  <c r="Z39" i="48" a="1"/>
  <c r="Z39" i="48" s="1"/>
  <c r="AH39" i="48" a="1"/>
  <c r="AH39" i="48" s="1"/>
  <c r="AA39" i="48" a="1"/>
  <c r="AA39" i="48" s="1"/>
  <c r="AI39" i="48" a="1"/>
  <c r="AI39" i="48" s="1"/>
  <c r="AB39" i="48" a="1"/>
  <c r="AB39" i="48" s="1"/>
  <c r="AJ39" i="48" a="1"/>
  <c r="AJ39" i="48" s="1"/>
  <c r="AC20" i="48" a="1"/>
  <c r="AC20" i="48" s="1"/>
  <c r="AK20" i="48" a="1"/>
  <c r="AK20" i="48" s="1"/>
  <c r="AD20" i="48" a="1"/>
  <c r="AD20" i="48" s="1"/>
  <c r="AL20" i="48" a="1"/>
  <c r="AL20" i="48" s="1"/>
  <c r="AE20" i="48" a="1"/>
  <c r="AE20" i="48" s="1"/>
  <c r="X20" i="48" a="1"/>
  <c r="X20" i="48" s="1"/>
  <c r="AF20" i="48" a="1"/>
  <c r="AF20" i="48" s="1"/>
  <c r="Y20" i="48" a="1"/>
  <c r="Y20" i="48" s="1"/>
  <c r="AG20" i="48" a="1"/>
  <c r="AG20" i="48" s="1"/>
  <c r="Z20" i="48" a="1"/>
  <c r="Z20" i="48" s="1"/>
  <c r="AH20" i="48" a="1"/>
  <c r="AH20" i="48" s="1"/>
  <c r="AA20" i="48" a="1"/>
  <c r="AA20" i="48" s="1"/>
  <c r="AI20" i="48" a="1"/>
  <c r="AI20" i="48" s="1"/>
  <c r="AB20" i="48" a="1"/>
  <c r="AB20" i="48" s="1"/>
  <c r="AJ20" i="48" a="1"/>
  <c r="AJ20" i="48" s="1"/>
  <c r="AC12" i="48" a="1"/>
  <c r="AC12" i="48" s="1"/>
  <c r="AK12" i="48" a="1"/>
  <c r="AK12" i="48" s="1"/>
  <c r="AD12" i="48" a="1"/>
  <c r="AD12" i="48" s="1"/>
  <c r="AL12" i="48" a="1"/>
  <c r="AL12" i="48" s="1"/>
  <c r="AE12" i="48" a="1"/>
  <c r="AE12" i="48" s="1"/>
  <c r="X12" i="48" a="1"/>
  <c r="X12" i="48" s="1"/>
  <c r="AF12" i="48" a="1"/>
  <c r="AF12" i="48" s="1"/>
  <c r="Y12" i="48" a="1"/>
  <c r="Y12" i="48" s="1"/>
  <c r="AG12" i="48" a="1"/>
  <c r="AG12" i="48" s="1"/>
  <c r="Z12" i="48" a="1"/>
  <c r="Z12" i="48" s="1"/>
  <c r="AH12" i="48" a="1"/>
  <c r="AH12" i="48" s="1"/>
  <c r="AA12" i="48" a="1"/>
  <c r="AA12" i="48" s="1"/>
  <c r="AI12" i="48" a="1"/>
  <c r="AI12" i="48" s="1"/>
  <c r="AB12" i="48" a="1"/>
  <c r="AB12" i="48" s="1"/>
  <c r="AJ12" i="48" a="1"/>
  <c r="AJ12" i="48" s="1"/>
  <c r="AC38" i="48" a="1"/>
  <c r="AC38" i="48" s="1"/>
  <c r="AK38" i="48" a="1"/>
  <c r="AK38" i="48" s="1"/>
  <c r="AD38" i="48" a="1"/>
  <c r="AD38" i="48" s="1"/>
  <c r="AL38" i="48" a="1"/>
  <c r="AL38" i="48" s="1"/>
  <c r="AE38" i="48" a="1"/>
  <c r="AE38" i="48" s="1"/>
  <c r="X38" i="48" a="1"/>
  <c r="X38" i="48" s="1"/>
  <c r="AF38" i="48" a="1"/>
  <c r="AF38" i="48" s="1"/>
  <c r="Y38" i="48" a="1"/>
  <c r="Y38" i="48" s="1"/>
  <c r="AG38" i="48" a="1"/>
  <c r="AG38" i="48" s="1"/>
  <c r="Z38" i="48" a="1"/>
  <c r="Z38" i="48" s="1"/>
  <c r="AH38" i="48" a="1"/>
  <c r="AH38" i="48" s="1"/>
  <c r="AA38" i="48" a="1"/>
  <c r="AA38" i="48" s="1"/>
  <c r="AI38" i="48" a="1"/>
  <c r="AI38" i="48" s="1"/>
  <c r="AB38" i="48" a="1"/>
  <c r="AB38" i="48" s="1"/>
  <c r="AJ38" i="48" a="1"/>
  <c r="AJ38" i="48" s="1"/>
  <c r="AC31" i="48" a="1"/>
  <c r="AC31" i="48" s="1"/>
  <c r="AK31" i="48" a="1"/>
  <c r="AK31" i="48" s="1"/>
  <c r="AD31" i="48" a="1"/>
  <c r="AD31" i="48" s="1"/>
  <c r="AL31" i="48" a="1"/>
  <c r="AL31" i="48" s="1"/>
  <c r="AE31" i="48" a="1"/>
  <c r="AE31" i="48" s="1"/>
  <c r="X31" i="48" a="1"/>
  <c r="X31" i="48" s="1"/>
  <c r="AF31" i="48" a="1"/>
  <c r="AF31" i="48" s="1"/>
  <c r="Y31" i="48" a="1"/>
  <c r="Y31" i="48" s="1"/>
  <c r="AG31" i="48" a="1"/>
  <c r="AG31" i="48" s="1"/>
  <c r="Z31" i="48" a="1"/>
  <c r="Z31" i="48" s="1"/>
  <c r="AH31" i="48" a="1"/>
  <c r="AH31" i="48" s="1"/>
  <c r="AA31" i="48" a="1"/>
  <c r="AA31" i="48" s="1"/>
  <c r="AI31" i="48" a="1"/>
  <c r="AI31" i="48" s="1"/>
  <c r="AB31" i="48" a="1"/>
  <c r="AB31" i="48" s="1"/>
  <c r="AJ31" i="48" a="1"/>
  <c r="AJ31" i="48" s="1"/>
  <c r="AB11" i="48" a="1"/>
  <c r="AB11" i="48" s="1"/>
  <c r="AF11" i="48" a="1"/>
  <c r="AF11" i="48" s="1"/>
  <c r="AJ11" i="48" a="1"/>
  <c r="AJ11" i="48" s="1"/>
  <c r="X11" i="48" a="1"/>
  <c r="X11" i="48" s="1"/>
  <c r="Y11" i="48" a="1"/>
  <c r="Y11" i="48" s="1"/>
  <c r="AC11" i="48" a="1"/>
  <c r="AC11" i="48" s="1"/>
  <c r="AG11" i="48" a="1"/>
  <c r="AG11" i="48" s="1"/>
  <c r="AK11" i="48" a="1"/>
  <c r="AK11" i="48" s="1"/>
  <c r="Z11" i="48" a="1"/>
  <c r="Z11" i="48" s="1"/>
  <c r="AD11" i="48" a="1"/>
  <c r="AD11" i="48" s="1"/>
  <c r="AH11" i="48" a="1"/>
  <c r="AH11" i="48" s="1"/>
  <c r="AL11" i="48" a="1"/>
  <c r="AL11" i="48" s="1"/>
  <c r="AA11" i="48" a="1"/>
  <c r="AA11" i="48" s="1"/>
  <c r="AE11" i="48" a="1"/>
  <c r="AE11" i="48" s="1"/>
  <c r="AI11" i="48" a="1"/>
  <c r="AI11" i="48" s="1"/>
  <c r="R40" i="48" a="1"/>
  <c r="R40" i="48" s="1"/>
  <c r="Q39" i="48" a="1"/>
  <c r="Q39" i="48" s="1"/>
  <c r="P38" i="48" a="1"/>
  <c r="P38" i="48" s="1"/>
  <c r="R30" i="48" a="1"/>
  <c r="R30" i="48" s="1"/>
  <c r="Q29" i="48" a="1"/>
  <c r="Q29" i="48" s="1"/>
  <c r="R41" i="48" a="1"/>
  <c r="R41" i="48" s="1"/>
  <c r="Q40" i="48" a="1"/>
  <c r="Q40" i="48" s="1"/>
  <c r="P39" i="48" a="1"/>
  <c r="P39" i="48" s="1"/>
  <c r="R31" i="48" a="1"/>
  <c r="R31" i="48" s="1"/>
  <c r="Q30" i="48" a="1"/>
  <c r="Q30" i="48" s="1"/>
  <c r="Q41" i="48" a="1"/>
  <c r="Q41" i="48" s="1"/>
  <c r="P40" i="48" a="1"/>
  <c r="P40" i="48" s="1"/>
  <c r="R38" i="48" a="1"/>
  <c r="R38" i="48" s="1"/>
  <c r="Q31" i="48" a="1"/>
  <c r="Q31" i="48" s="1"/>
  <c r="P30" i="48" a="1"/>
  <c r="P30" i="48" s="1"/>
  <c r="P41" i="48" a="1"/>
  <c r="P41" i="48" s="1"/>
  <c r="R39" i="48" a="1"/>
  <c r="R39" i="48" s="1"/>
  <c r="Q38" i="48" a="1"/>
  <c r="Q38" i="48" s="1"/>
  <c r="P31" i="48" a="1"/>
  <c r="P31" i="48" s="1"/>
  <c r="R29" i="48" a="1"/>
  <c r="R29" i="48" s="1"/>
  <c r="P29" i="48" a="1"/>
  <c r="P29" i="48" s="1"/>
  <c r="T40" i="48" a="1"/>
  <c r="T40" i="48" s="1"/>
  <c r="T30" i="48" a="1"/>
  <c r="T30" i="48" s="1"/>
  <c r="U31" i="48" a="1"/>
  <c r="U31" i="48" s="1"/>
  <c r="U41" i="48" a="1"/>
  <c r="U41" i="48" s="1"/>
  <c r="S40" i="48" a="1"/>
  <c r="S40" i="48" s="1"/>
  <c r="S30" i="48" a="1"/>
  <c r="S30" i="48" s="1"/>
  <c r="T41" i="48" a="1"/>
  <c r="T41" i="48" s="1"/>
  <c r="T31" i="48" a="1"/>
  <c r="T31" i="48" s="1"/>
  <c r="S31" i="48" a="1"/>
  <c r="S31" i="48" s="1"/>
  <c r="S41" i="48" a="1"/>
  <c r="S41" i="48" s="1"/>
  <c r="U38" i="48" a="1"/>
  <c r="U38" i="48" s="1"/>
  <c r="T38" i="48" a="1"/>
  <c r="T38" i="48" s="1"/>
  <c r="U29" i="48" a="1"/>
  <c r="U29" i="48" s="1"/>
  <c r="U39" i="48" a="1"/>
  <c r="U39" i="48" s="1"/>
  <c r="S38" i="48" a="1"/>
  <c r="S38" i="48" s="1"/>
  <c r="S29" i="48" a="1"/>
  <c r="S29" i="48" s="1"/>
  <c r="T39" i="48" a="1"/>
  <c r="T39" i="48" s="1"/>
  <c r="T29" i="48" a="1"/>
  <c r="T29" i="48" s="1"/>
  <c r="U40" i="48" a="1"/>
  <c r="U40" i="48" s="1"/>
  <c r="S39" i="48" a="1"/>
  <c r="S39" i="48" s="1"/>
  <c r="U30" i="48" a="1"/>
  <c r="U30" i="48" s="1"/>
  <c r="T22" i="48" a="1"/>
  <c r="T22" i="48" s="1"/>
  <c r="T20" i="48" a="1"/>
  <c r="T20" i="48" s="1"/>
  <c r="T12" i="48" a="1"/>
  <c r="T12" i="48" s="1"/>
  <c r="T10" i="48" a="1"/>
  <c r="T10" i="48" s="1"/>
  <c r="U23" i="48" a="1"/>
  <c r="U23" i="48" s="1"/>
  <c r="S22" i="48" a="1"/>
  <c r="S22" i="48" s="1"/>
  <c r="U21" i="48" a="1"/>
  <c r="U21" i="48" s="1"/>
  <c r="S20" i="48" a="1"/>
  <c r="S20" i="48" s="1"/>
  <c r="U13" i="48" a="1"/>
  <c r="U13" i="48" s="1"/>
  <c r="S12" i="48" a="1"/>
  <c r="S12" i="48" s="1"/>
  <c r="U11" i="48" a="1"/>
  <c r="U11" i="48" s="1"/>
  <c r="S10" i="48" a="1"/>
  <c r="S10" i="48" s="1"/>
  <c r="T23" i="48" a="1"/>
  <c r="T23" i="48" s="1"/>
  <c r="T21" i="48" a="1"/>
  <c r="T21" i="48" s="1"/>
  <c r="T13" i="48" a="1"/>
  <c r="T13" i="48" s="1"/>
  <c r="T11" i="48" a="1"/>
  <c r="T11" i="48" s="1"/>
  <c r="S23" i="48" a="1"/>
  <c r="S23" i="48" s="1"/>
  <c r="U22" i="48" a="1"/>
  <c r="U22" i="48" s="1"/>
  <c r="S21" i="48" a="1"/>
  <c r="S21" i="48" s="1"/>
  <c r="U20" i="48" a="1"/>
  <c r="U20" i="48" s="1"/>
  <c r="S13" i="48" a="1"/>
  <c r="S13" i="48" s="1"/>
  <c r="U12" i="48" a="1"/>
  <c r="U12" i="48" s="1"/>
  <c r="S11" i="48" a="1"/>
  <c r="S11" i="48" s="1"/>
  <c r="U10" i="48" a="1"/>
  <c r="U10" i="48" s="1"/>
  <c r="R23" i="48" a="1"/>
  <c r="R23" i="48" s="1"/>
  <c r="P22" i="48" a="1"/>
  <c r="P22" i="48" s="1"/>
  <c r="R21" i="48" a="1"/>
  <c r="R21" i="48" s="1"/>
  <c r="P20" i="48" a="1"/>
  <c r="P20" i="48" s="1"/>
  <c r="R13" i="48" a="1"/>
  <c r="R13" i="48" s="1"/>
  <c r="P12" i="48" a="1"/>
  <c r="P12" i="48" s="1"/>
  <c r="R11" i="48" a="1"/>
  <c r="R11" i="48" s="1"/>
  <c r="P10" i="48" a="1"/>
  <c r="P10" i="48" s="1"/>
  <c r="Q23" i="48" a="1"/>
  <c r="Q23" i="48" s="1"/>
  <c r="Q21" i="48" a="1"/>
  <c r="Q21" i="48" s="1"/>
  <c r="Q13" i="48" a="1"/>
  <c r="Q13" i="48" s="1"/>
  <c r="Q11" i="48" a="1"/>
  <c r="Q11" i="48" s="1"/>
  <c r="P23" i="48" a="1"/>
  <c r="P23" i="48" s="1"/>
  <c r="R22" i="48" a="1"/>
  <c r="R22" i="48" s="1"/>
  <c r="P21" i="48" a="1"/>
  <c r="P21" i="48" s="1"/>
  <c r="R20" i="48" a="1"/>
  <c r="R20" i="48" s="1"/>
  <c r="P13" i="48" a="1"/>
  <c r="P13" i="48" s="1"/>
  <c r="R12" i="48" a="1"/>
  <c r="R12" i="48" s="1"/>
  <c r="R10" i="48" a="1"/>
  <c r="R10" i="48" s="1"/>
  <c r="Q22" i="48" a="1"/>
  <c r="Q22" i="48" s="1"/>
  <c r="Q20" i="48" a="1"/>
  <c r="Q20" i="48" s="1"/>
  <c r="Q12" i="48" a="1"/>
  <c r="Q12" i="48" s="1"/>
  <c r="Q10" i="48" a="1"/>
  <c r="Q10" i="48" s="1"/>
  <c r="T36" i="36"/>
  <c r="U36" i="36"/>
  <c r="T32" i="36"/>
  <c r="U32" i="36"/>
  <c r="X30" i="36"/>
  <c r="S32" i="36"/>
  <c r="U37" i="36"/>
  <c r="T37" i="36"/>
  <c r="T26" i="36"/>
  <c r="T14" i="36"/>
  <c r="T24" i="36"/>
  <c r="T4" i="36"/>
  <c r="W7" i="46"/>
  <c r="S7" i="46"/>
  <c r="O7" i="46"/>
  <c r="K7" i="46"/>
  <c r="F32" i="47"/>
  <c r="L33" i="47"/>
  <c r="P33" i="47"/>
  <c r="H36" i="47"/>
  <c r="L36" i="47"/>
  <c r="I37" i="47"/>
  <c r="M37" i="47"/>
  <c r="K41" i="47"/>
  <c r="O41" i="47"/>
  <c r="T41" i="47"/>
  <c r="F42" i="47"/>
  <c r="K42" i="47"/>
  <c r="O42" i="47"/>
  <c r="I44" i="47"/>
  <c r="M44" i="47"/>
  <c r="H33" i="47"/>
  <c r="I36" i="47"/>
  <c r="J37" i="47"/>
  <c r="N37" i="47"/>
  <c r="V37" i="47"/>
  <c r="H42" i="47"/>
  <c r="L42" i="47"/>
  <c r="P42" i="47"/>
  <c r="J44" i="47"/>
  <c r="N44" i="47"/>
  <c r="V44" i="47"/>
  <c r="V43" i="47"/>
  <c r="U43" i="47"/>
  <c r="T42" i="47"/>
  <c r="U42" i="47"/>
  <c r="T45" i="47"/>
  <c r="X38" i="36" s="1"/>
  <c r="Q37" i="47"/>
  <c r="V36" i="47"/>
  <c r="U36" i="47"/>
  <c r="O45" i="47"/>
  <c r="K45" i="47"/>
  <c r="T33" i="47"/>
  <c r="U33" i="47"/>
  <c r="I32" i="47"/>
  <c r="J32" i="47"/>
  <c r="R44" i="47"/>
  <c r="V37" i="36" s="1"/>
  <c r="R41" i="47"/>
  <c r="R45" i="47"/>
  <c r="V38" i="36" s="1"/>
  <c r="R37" i="47"/>
  <c r="R32" i="47"/>
  <c r="O32" i="47"/>
  <c r="K32" i="47"/>
  <c r="G45" i="47"/>
  <c r="G41" i="47"/>
  <c r="G32" i="47"/>
  <c r="G42" i="47"/>
  <c r="G33" i="47"/>
  <c r="F44" i="47"/>
  <c r="F37" i="47"/>
  <c r="V45" i="47"/>
  <c r="Q45" i="47"/>
  <c r="M45" i="47"/>
  <c r="I45" i="47"/>
  <c r="U44" i="47"/>
  <c r="P44" i="47"/>
  <c r="S37" i="36" s="1"/>
  <c r="L44" i="47"/>
  <c r="H44" i="47"/>
  <c r="T43" i="47"/>
  <c r="X36" i="36" s="1"/>
  <c r="O43" i="47"/>
  <c r="K43" i="47"/>
  <c r="G43" i="47"/>
  <c r="R42" i="47"/>
  <c r="N42" i="47"/>
  <c r="J42" i="47"/>
  <c r="V41" i="47"/>
  <c r="Q41" i="47"/>
  <c r="M41" i="47"/>
  <c r="I41" i="47"/>
  <c r="U37" i="47"/>
  <c r="P37" i="47"/>
  <c r="L37" i="47"/>
  <c r="H37" i="47"/>
  <c r="T36" i="47"/>
  <c r="O36" i="47"/>
  <c r="K36" i="47"/>
  <c r="G36" i="47"/>
  <c r="R33" i="47"/>
  <c r="N33" i="47"/>
  <c r="J33" i="47"/>
  <c r="V32" i="47"/>
  <c r="Q32" i="47"/>
  <c r="M32" i="47"/>
  <c r="F43" i="47"/>
  <c r="F36" i="47"/>
  <c r="U45" i="47"/>
  <c r="P45" i="47"/>
  <c r="S38" i="36" s="1"/>
  <c r="L45" i="47"/>
  <c r="H45" i="47"/>
  <c r="T44" i="47"/>
  <c r="X37" i="36" s="1"/>
  <c r="O44" i="47"/>
  <c r="K44" i="47"/>
  <c r="G44" i="47"/>
  <c r="R43" i="47"/>
  <c r="V36" i="36" s="1"/>
  <c r="N43" i="47"/>
  <c r="J43" i="47"/>
  <c r="V42" i="47"/>
  <c r="Q42" i="47"/>
  <c r="M42" i="47"/>
  <c r="I42" i="47"/>
  <c r="U41" i="47"/>
  <c r="P41" i="47"/>
  <c r="L41" i="47"/>
  <c r="H41" i="47"/>
  <c r="T37" i="47"/>
  <c r="O37" i="47"/>
  <c r="K37" i="47"/>
  <c r="G37" i="47"/>
  <c r="R36" i="47"/>
  <c r="N36" i="47"/>
  <c r="J36" i="47"/>
  <c r="V33" i="47"/>
  <c r="Q33" i="47"/>
  <c r="M33" i="47"/>
  <c r="I33" i="47"/>
  <c r="U32" i="47"/>
  <c r="P32" i="47"/>
  <c r="L32" i="47"/>
  <c r="H32" i="47"/>
  <c r="S32" i="47"/>
  <c r="S45" i="47"/>
  <c r="W38" i="36" s="1"/>
  <c r="S44" i="47"/>
  <c r="W37" i="36" s="1"/>
  <c r="S43" i="47"/>
  <c r="W36" i="36" s="1"/>
  <c r="S42" i="47"/>
  <c r="S41" i="47"/>
  <c r="S37" i="47"/>
  <c r="S36" i="47"/>
  <c r="S33" i="47"/>
  <c r="N7" i="46"/>
  <c r="J7" i="46"/>
  <c r="G9" i="46"/>
  <c r="W9" i="46"/>
  <c r="H7" i="46"/>
  <c r="L7" i="46"/>
  <c r="P7" i="46"/>
  <c r="T7" i="46"/>
  <c r="X7" i="46"/>
  <c r="E9" i="46"/>
  <c r="M9" i="46"/>
  <c r="H9" i="46"/>
  <c r="L9" i="46"/>
  <c r="P9" i="46"/>
  <c r="T9" i="46"/>
  <c r="X9" i="46"/>
  <c r="I7" i="46"/>
  <c r="M7" i="46"/>
  <c r="Q7" i="46"/>
  <c r="F9" i="46"/>
  <c r="J9" i="46"/>
  <c r="N9" i="46"/>
  <c r="R9" i="46"/>
  <c r="AQ30" i="48" l="1"/>
  <c r="AR22" i="48"/>
  <c r="AP23" i="48"/>
  <c r="AP31" i="48"/>
  <c r="AP38" i="48"/>
  <c r="AP12" i="48"/>
  <c r="AP20" i="48"/>
  <c r="AP39" i="48"/>
  <c r="AP13" i="48"/>
  <c r="AP21" i="48"/>
  <c r="AP40" i="48"/>
  <c r="AP41" i="48"/>
  <c r="AP22" i="48"/>
  <c r="AP30" i="48"/>
  <c r="AR23" i="48"/>
  <c r="AR31" i="48"/>
  <c r="AR38" i="48"/>
  <c r="AR12" i="48"/>
  <c r="AR20" i="48"/>
  <c r="AR39" i="48"/>
  <c r="AR13" i="48"/>
  <c r="AR21" i="48"/>
  <c r="AR40" i="48"/>
  <c r="AR41" i="48"/>
  <c r="AR30" i="48"/>
  <c r="AQ31" i="48"/>
  <c r="AQ38" i="48"/>
  <c r="AQ12" i="48"/>
  <c r="AQ20" i="48"/>
  <c r="AQ39" i="48"/>
  <c r="AQ13" i="48"/>
  <c r="AQ21" i="48"/>
  <c r="AQ40" i="48"/>
  <c r="AQ41" i="48"/>
  <c r="AQ23" i="48"/>
  <c r="AQ22" i="48"/>
  <c r="Z31" i="36"/>
  <c r="Z35" i="36"/>
  <c r="Z30" i="36"/>
  <c r="Z34" i="36"/>
  <c r="Z38" i="36"/>
  <c r="Z32" i="36"/>
  <c r="Z36" i="36"/>
  <c r="Z37" i="36"/>
  <c r="Z33" i="36"/>
  <c r="AR11" i="48"/>
  <c r="AP11" i="48"/>
  <c r="AQ11" i="48"/>
  <c r="W31" i="36"/>
  <c r="W32" i="36"/>
  <c r="W33" i="36"/>
  <c r="W34" i="36"/>
  <c r="W35" i="36"/>
  <c r="W30" i="36"/>
  <c r="S30" i="36"/>
  <c r="Y30" i="36"/>
  <c r="U31" i="36"/>
  <c r="T31" i="36"/>
  <c r="V32" i="36"/>
  <c r="X33" i="36"/>
  <c r="S34" i="36"/>
  <c r="Y34" i="36"/>
  <c r="U35" i="36"/>
  <c r="T35" i="36"/>
  <c r="Y38" i="36"/>
  <c r="T30" i="36"/>
  <c r="U30" i="36"/>
  <c r="V31" i="36"/>
  <c r="X32" i="36"/>
  <c r="S33" i="36"/>
  <c r="Y33" i="36"/>
  <c r="T34" i="36"/>
  <c r="U34" i="36"/>
  <c r="V35" i="36"/>
  <c r="Y37" i="36"/>
  <c r="T38" i="36"/>
  <c r="U38" i="36"/>
  <c r="V30" i="36"/>
  <c r="V33" i="36"/>
  <c r="V34" i="36"/>
  <c r="Y31" i="36"/>
  <c r="X31" i="36"/>
  <c r="Y32" i="36"/>
  <c r="T33" i="36"/>
  <c r="U33" i="36"/>
  <c r="Y35" i="36"/>
  <c r="X35" i="36"/>
  <c r="Y36" i="36"/>
  <c r="S35" i="36"/>
  <c r="X34" i="36"/>
  <c r="S31" i="36"/>
  <c r="I9" i="46"/>
  <c r="O9" i="46"/>
  <c r="U9" i="46"/>
  <c r="Y7" i="46"/>
  <c r="K9" i="46"/>
  <c r="S9" i="46"/>
  <c r="Y9" i="46"/>
  <c r="U7" i="46"/>
  <c r="Q9" i="46"/>
  <c r="R7" i="46"/>
  <c r="V7" i="46"/>
  <c r="V9" i="46"/>
  <c r="AL9" i="49" l="1"/>
  <c r="AH9" i="49"/>
  <c r="AI9" i="49"/>
  <c r="AJ9" i="49"/>
  <c r="AK9" i="49"/>
  <c r="AM9" i="49"/>
  <c r="AN9" i="49"/>
  <c r="AO9" i="49"/>
  <c r="AP9" i="49"/>
  <c r="S4" i="36"/>
  <c r="U4" i="36"/>
  <c r="W4" i="36"/>
  <c r="X4" i="36"/>
  <c r="S14" i="36"/>
  <c r="U14" i="36"/>
  <c r="V14" i="36"/>
  <c r="X14" i="36"/>
  <c r="S24" i="36"/>
  <c r="U24" i="36"/>
  <c r="W24" i="36"/>
  <c r="X24" i="36"/>
  <c r="S26" i="36"/>
  <c r="V26" i="36"/>
  <c r="W26" i="36"/>
  <c r="X26" i="36"/>
  <c r="O19" i="50" l="1"/>
  <c r="AK6" i="36" s="1"/>
  <c r="R9" i="49"/>
  <c r="M9" i="49"/>
  <c r="P9" i="49"/>
  <c r="AG9" i="49"/>
  <c r="K9" i="49" s="1"/>
  <c r="S9" i="49"/>
  <c r="N9" i="49"/>
  <c r="L9" i="49"/>
  <c r="O9" i="49"/>
  <c r="Q9" i="49"/>
  <c r="AV9" i="49"/>
  <c r="Z9" i="49" s="1"/>
  <c r="AU9" i="49"/>
  <c r="AT9" i="49"/>
  <c r="AQ12" i="49"/>
  <c r="AQ11" i="49"/>
  <c r="AQ10" i="49"/>
  <c r="AS9" i="49"/>
  <c r="AR9" i="49"/>
  <c r="AQ9" i="49"/>
  <c r="T9" i="49" s="1"/>
  <c r="U26" i="36"/>
  <c r="V24" i="36"/>
  <c r="W14" i="36"/>
  <c r="V4" i="36"/>
  <c r="N19" i="50"/>
  <c r="AR11" i="49"/>
  <c r="AV11" i="49"/>
  <c r="AM12" i="49"/>
  <c r="AN11" i="49"/>
  <c r="AU12" i="49"/>
  <c r="AL12" i="49"/>
  <c r="AP12" i="49"/>
  <c r="H19" i="50" l="1"/>
  <c r="AJ6" i="36"/>
  <c r="L19" i="50"/>
  <c r="J19" i="50"/>
  <c r="P19" i="50"/>
  <c r="AL6" i="36" s="1"/>
  <c r="R19" i="50"/>
  <c r="AP10" i="49"/>
  <c r="T10" i="49" s="1"/>
  <c r="AN10" i="49"/>
  <c r="AM10" i="49"/>
  <c r="AH10" i="49"/>
  <c r="AT10" i="49"/>
  <c r="AL10" i="49"/>
  <c r="AV10" i="49"/>
  <c r="AV12" i="49"/>
  <c r="X9" i="49"/>
  <c r="U11" i="49"/>
  <c r="U9" i="49"/>
  <c r="P12" i="49"/>
  <c r="Y26" i="36"/>
  <c r="Y4" i="36"/>
  <c r="Y14" i="36"/>
  <c r="Y24" i="36"/>
  <c r="AJ11" i="49"/>
  <c r="AS10" i="49"/>
  <c r="AG10" i="49"/>
  <c r="AJ12" i="49"/>
  <c r="AI10" i="49"/>
  <c r="AN12" i="49"/>
  <c r="Q12" i="49" s="1"/>
  <c r="T12" i="49"/>
  <c r="AT11" i="49"/>
  <c r="AO10" i="49"/>
  <c r="V9" i="49"/>
  <c r="AR10" i="49"/>
  <c r="U10" i="49" s="1"/>
  <c r="AI11" i="49"/>
  <c r="AR12" i="49"/>
  <c r="U12" i="49" s="1"/>
  <c r="W9" i="49"/>
  <c r="AU10" i="49"/>
  <c r="AT12" i="49"/>
  <c r="X12" i="49" s="1"/>
  <c r="AK11" i="49"/>
  <c r="AO11" i="49"/>
  <c r="R11" i="49" s="1"/>
  <c r="AB13" i="36"/>
  <c r="AB15" i="36"/>
  <c r="AB27" i="36"/>
  <c r="AB25" i="36"/>
  <c r="AB7" i="36"/>
  <c r="AB5" i="36"/>
  <c r="Y9" i="49"/>
  <c r="S19" i="50"/>
  <c r="AO6" i="36" s="1"/>
  <c r="T19" i="50"/>
  <c r="AI12" i="49"/>
  <c r="Z9" i="51" l="1"/>
  <c r="P9" i="51"/>
  <c r="X9" i="51"/>
  <c r="T9" i="51"/>
  <c r="V9" i="51"/>
  <c r="R9" i="51"/>
  <c r="U9" i="51"/>
  <c r="Q9" i="51"/>
  <c r="W9" i="51"/>
  <c r="Y9" i="51"/>
  <c r="S9" i="51"/>
  <c r="Z10" i="51"/>
  <c r="X10" i="51"/>
  <c r="T10" i="51"/>
  <c r="P10" i="51"/>
  <c r="S10" i="51"/>
  <c r="V10" i="51"/>
  <c r="Y10" i="51"/>
  <c r="U10" i="51"/>
  <c r="W10" i="51"/>
  <c r="R10" i="51"/>
  <c r="Q10" i="51"/>
  <c r="T11" i="51"/>
  <c r="X11" i="51"/>
  <c r="Z11" i="51"/>
  <c r="P11" i="51"/>
  <c r="W11" i="51"/>
  <c r="V11" i="51"/>
  <c r="R11" i="51"/>
  <c r="Y11" i="51"/>
  <c r="Q11" i="51"/>
  <c r="S11" i="51"/>
  <c r="U11" i="51"/>
  <c r="X12" i="51"/>
  <c r="Z12" i="51"/>
  <c r="P12" i="51"/>
  <c r="T12" i="51"/>
  <c r="Q12" i="51"/>
  <c r="U12" i="51"/>
  <c r="S12" i="51"/>
  <c r="R12" i="51"/>
  <c r="W12" i="51"/>
  <c r="V12" i="51"/>
  <c r="Y12" i="51"/>
  <c r="AA9" i="51"/>
  <c r="AA11" i="51"/>
  <c r="AA12" i="51"/>
  <c r="AA10" i="51"/>
  <c r="AN6" i="36"/>
  <c r="X10" i="49"/>
  <c r="AH6" i="36"/>
  <c r="K19" i="50"/>
  <c r="AG6" i="36" s="1"/>
  <c r="I19" i="50"/>
  <c r="M19" i="50"/>
  <c r="AI6" i="36" s="1"/>
  <c r="Q19" i="50"/>
  <c r="R10" i="49"/>
  <c r="W10" i="49"/>
  <c r="L10" i="49"/>
  <c r="K10" i="49"/>
  <c r="P10" i="49"/>
  <c r="Q10" i="49"/>
  <c r="Q8" i="47"/>
  <c r="J8" i="47"/>
  <c r="Y12" i="49"/>
  <c r="N11" i="49"/>
  <c r="M11" i="49"/>
  <c r="Y10" i="49"/>
  <c r="AJ10" i="49"/>
  <c r="M10" i="49" s="1"/>
  <c r="AL11" i="49"/>
  <c r="O11" i="49" s="1"/>
  <c r="M12" i="49"/>
  <c r="S10" i="49"/>
  <c r="AM11" i="49"/>
  <c r="AH11" i="49"/>
  <c r="AS12" i="49"/>
  <c r="V12" i="49" s="1"/>
  <c r="AH12" i="49"/>
  <c r="L12" i="49" s="1"/>
  <c r="AO12" i="49"/>
  <c r="AK10" i="49"/>
  <c r="AP11" i="49"/>
  <c r="AS11" i="49"/>
  <c r="V11" i="49" s="1"/>
  <c r="AK12" i="49"/>
  <c r="AG12" i="49"/>
  <c r="AG11" i="49"/>
  <c r="AU11" i="49"/>
  <c r="V10" i="49"/>
  <c r="AP7" i="36"/>
  <c r="AO7" i="36"/>
  <c r="G8" i="47"/>
  <c r="K8" i="47"/>
  <c r="M8" i="47"/>
  <c r="N8" i="47"/>
  <c r="H8" i="47"/>
  <c r="L8" i="47"/>
  <c r="P8" i="47"/>
  <c r="I8" i="47"/>
  <c r="O8" i="47"/>
  <c r="D16" i="52" l="1"/>
  <c r="B5" i="55" s="1"/>
  <c r="D15" i="52"/>
  <c r="B4" i="55" s="1"/>
  <c r="D13" i="52"/>
  <c r="B2" i="55" s="1"/>
  <c r="D14" i="52"/>
  <c r="B3" i="55" s="1"/>
  <c r="C25" i="51"/>
  <c r="AM6" i="36"/>
  <c r="W12" i="49"/>
  <c r="K12" i="49"/>
  <c r="K11" i="49"/>
  <c r="N10" i="49"/>
  <c r="O10" i="49"/>
  <c r="P11" i="49"/>
  <c r="Q11" i="49"/>
  <c r="L11" i="49"/>
  <c r="W11" i="49"/>
  <c r="R12" i="49"/>
  <c r="S12" i="49"/>
  <c r="X11" i="49"/>
  <c r="Y11" i="49"/>
  <c r="N12" i="49"/>
  <c r="O12" i="49"/>
  <c r="S11" i="49"/>
  <c r="T11" i="49"/>
  <c r="D25" i="51" l="1"/>
  <c r="E25" i="51" s="1"/>
  <c r="F25" i="51" s="1"/>
  <c r="G25" i="51" s="1"/>
  <c r="H25" i="51" s="1"/>
  <c r="I25" i="51" s="1"/>
  <c r="J25" i="51" s="1"/>
  <c r="K25" i="51" s="1"/>
  <c r="L25" i="51" s="1"/>
  <c r="M25" i="51" s="1"/>
  <c r="N25" i="51" s="1"/>
  <c r="M22" i="51"/>
  <c r="BA11" i="49"/>
  <c r="AZ12" i="49"/>
  <c r="M13" i="51"/>
  <c r="AC25" i="51" l="1"/>
  <c r="K17" i="51"/>
  <c r="AC17" i="51" s="1"/>
  <c r="X17" i="51" s="1"/>
  <c r="K20" i="51"/>
  <c r="K19" i="51"/>
  <c r="K18" i="51"/>
  <c r="K15" i="51"/>
  <c r="K16" i="51"/>
  <c r="AZ11" i="49"/>
  <c r="AD11" i="49" s="1"/>
  <c r="AA9" i="47"/>
  <c r="N22" i="51"/>
  <c r="N13" i="51"/>
  <c r="AC60" i="44"/>
  <c r="E11" i="37"/>
  <c r="AC15" i="51" l="1"/>
  <c r="AC16" i="51"/>
  <c r="X16" i="51" s="1"/>
  <c r="AC19" i="51"/>
  <c r="X19" i="51" s="1"/>
  <c r="AC18" i="51"/>
  <c r="X18" i="51" s="1"/>
  <c r="AC20" i="51"/>
  <c r="P17" i="51"/>
  <c r="W17" i="51"/>
  <c r="S17" i="51"/>
  <c r="Q17" i="51"/>
  <c r="T17" i="51"/>
  <c r="V17" i="51"/>
  <c r="U17" i="51"/>
  <c r="R17" i="51"/>
  <c r="K13" i="51"/>
  <c r="M23" i="51"/>
  <c r="P18" i="37"/>
  <c r="AZ10" i="49"/>
  <c r="AA36" i="47"/>
  <c r="AA37" i="47"/>
  <c r="N23" i="51"/>
  <c r="BA12" i="49"/>
  <c r="AD12" i="49" s="1"/>
  <c r="AC61" i="44"/>
  <c r="L13" i="51" l="1"/>
  <c r="AD60" i="44"/>
  <c r="P19" i="51"/>
  <c r="U19" i="51"/>
  <c r="T19" i="51"/>
  <c r="V19" i="51"/>
  <c r="W19" i="51"/>
  <c r="Q19" i="51"/>
  <c r="S19" i="51"/>
  <c r="R19" i="51"/>
  <c r="P18" i="51"/>
  <c r="W18" i="51"/>
  <c r="T18" i="51"/>
  <c r="U18" i="51"/>
  <c r="S18" i="51"/>
  <c r="Q18" i="51"/>
  <c r="R18" i="51"/>
  <c r="V18" i="51"/>
  <c r="AC13" i="51"/>
  <c r="Y13" i="51" s="1"/>
  <c r="P15" i="51"/>
  <c r="S15" i="51"/>
  <c r="V15" i="51"/>
  <c r="U15" i="51"/>
  <c r="T15" i="51"/>
  <c r="W15" i="51"/>
  <c r="Q15" i="51"/>
  <c r="R15" i="51"/>
  <c r="P16" i="51"/>
  <c r="T16" i="51"/>
  <c r="W16" i="51"/>
  <c r="U16" i="51"/>
  <c r="S16" i="51"/>
  <c r="Q16" i="51"/>
  <c r="R16" i="51"/>
  <c r="V16" i="51"/>
  <c r="P20" i="51"/>
  <c r="W20" i="51"/>
  <c r="U20" i="51"/>
  <c r="V20" i="51"/>
  <c r="S20" i="51"/>
  <c r="Q20" i="51"/>
  <c r="T20" i="51"/>
  <c r="R20" i="51"/>
  <c r="X20" i="51"/>
  <c r="X15" i="51"/>
  <c r="BA10" i="49"/>
  <c r="AD10" i="49" s="1"/>
  <c r="AA32" i="47" s="1"/>
  <c r="N21" i="51"/>
  <c r="P17" i="37" s="1"/>
  <c r="M19" i="51"/>
  <c r="Z19" i="51" s="1"/>
  <c r="M18" i="51"/>
  <c r="Z18" i="51" s="1"/>
  <c r="M17" i="51"/>
  <c r="Z17" i="51" s="1"/>
  <c r="M15" i="51"/>
  <c r="Z15" i="51" s="1"/>
  <c r="M20" i="51"/>
  <c r="Z20" i="51" s="1"/>
  <c r="M16" i="51"/>
  <c r="Z16" i="51" s="1"/>
  <c r="N19" i="51"/>
  <c r="N17" i="51"/>
  <c r="N20" i="51"/>
  <c r="N18" i="51"/>
  <c r="N15" i="51"/>
  <c r="N16" i="51"/>
  <c r="AA16" i="51" s="1"/>
  <c r="M21" i="51"/>
  <c r="P19" i="37"/>
  <c r="AZ9" i="49"/>
  <c r="AA42" i="47"/>
  <c r="AA41" i="47"/>
  <c r="AA11" i="47"/>
  <c r="BA9" i="49"/>
  <c r="AD61" i="44"/>
  <c r="D20" i="52" l="1"/>
  <c r="S13" i="51"/>
  <c r="Q13" i="51"/>
  <c r="W13" i="51"/>
  <c r="U13" i="51"/>
  <c r="Z13" i="51"/>
  <c r="R13" i="51"/>
  <c r="T13" i="51"/>
  <c r="P13" i="51"/>
  <c r="V13" i="51"/>
  <c r="AA13" i="51"/>
  <c r="X13" i="51"/>
  <c r="P11" i="37"/>
  <c r="AA10" i="47"/>
  <c r="AA33" i="47"/>
  <c r="AA19" i="51"/>
  <c r="D23" i="52" s="1"/>
  <c r="P14" i="37"/>
  <c r="AA20" i="51"/>
  <c r="D24" i="52" s="1"/>
  <c r="P15" i="37"/>
  <c r="P10" i="37"/>
  <c r="AA15" i="51"/>
  <c r="D19" i="52" s="1"/>
  <c r="P13" i="37"/>
  <c r="AA18" i="51"/>
  <c r="D22" i="52" s="1"/>
  <c r="AA17" i="51"/>
  <c r="D21" i="52" s="1"/>
  <c r="P12" i="37"/>
  <c r="AD9" i="49"/>
  <c r="B2" i="54"/>
  <c r="D9" i="52" l="1"/>
  <c r="N14" i="51"/>
  <c r="M14" i="51"/>
  <c r="E14" i="37"/>
  <c r="E13" i="37"/>
  <c r="E12" i="37"/>
  <c r="E10" i="37"/>
  <c r="E9" i="37"/>
  <c r="Q25" i="51" l="1"/>
  <c r="P25" i="51"/>
  <c r="R25" i="51"/>
  <c r="S25" i="51"/>
  <c r="T25" i="51"/>
  <c r="U25" i="51"/>
  <c r="V25" i="51"/>
  <c r="W25" i="51"/>
  <c r="X25" i="51"/>
  <c r="B16" i="37"/>
  <c r="B20" i="37" s="1"/>
  <c r="Y25" i="51" l="1"/>
  <c r="I20" i="52"/>
  <c r="B4" i="53" s="1"/>
  <c r="I19" i="52"/>
  <c r="B3" i="53" s="1"/>
  <c r="AW10" i="49"/>
  <c r="AW12" i="49"/>
  <c r="Z12" i="49" l="1"/>
  <c r="AA12" i="49"/>
  <c r="Z10" i="49"/>
  <c r="AA10" i="49"/>
  <c r="Z25" i="51"/>
  <c r="AA25" i="51"/>
  <c r="AA44" i="36" l="1"/>
  <c r="AA43" i="36"/>
  <c r="AA40" i="36"/>
  <c r="AW11" i="49"/>
  <c r="AA39" i="36"/>
  <c r="AY11" i="49"/>
  <c r="AC11" i="49" s="1"/>
  <c r="AY12" i="49"/>
  <c r="AY10" i="49"/>
  <c r="AC69" i="44"/>
  <c r="AC68" i="44"/>
  <c r="AC70" i="44"/>
  <c r="Z11" i="49" l="1"/>
  <c r="AA11" i="49"/>
  <c r="K23" i="51"/>
  <c r="K21" i="51"/>
  <c r="K22" i="51"/>
  <c r="AB10" i="49"/>
  <c r="Y33" i="47" s="1"/>
  <c r="AC40" i="36" s="1"/>
  <c r="AC10" i="49"/>
  <c r="Z36" i="47"/>
  <c r="AD41" i="36" s="1"/>
  <c r="Z37" i="47"/>
  <c r="AD42" i="36" s="1"/>
  <c r="AB12" i="49"/>
  <c r="Y42" i="47" s="1"/>
  <c r="AC44" i="36" s="1"/>
  <c r="AC12" i="49"/>
  <c r="AC63" i="44"/>
  <c r="AC64" i="44"/>
  <c r="AB11" i="49"/>
  <c r="AD69" i="44"/>
  <c r="AC66" i="44"/>
  <c r="AC67" i="44"/>
  <c r="AC62" i="44"/>
  <c r="AC65" i="44"/>
  <c r="AD68" i="44"/>
  <c r="Z9" i="47"/>
  <c r="AD70" i="44"/>
  <c r="AC23" i="51" l="1"/>
  <c r="AC22" i="51"/>
  <c r="AC21" i="51"/>
  <c r="Z11" i="47"/>
  <c r="L20" i="51"/>
  <c r="Y20" i="51" s="1"/>
  <c r="L15" i="51"/>
  <c r="Y15" i="51" s="1"/>
  <c r="L18" i="51"/>
  <c r="Y18" i="51" s="1"/>
  <c r="L17" i="51"/>
  <c r="Y17" i="51" s="1"/>
  <c r="L19" i="51"/>
  <c r="Y19" i="51" s="1"/>
  <c r="L16" i="51"/>
  <c r="Y16" i="51" s="1"/>
  <c r="L23" i="51"/>
  <c r="L21" i="51"/>
  <c r="K14" i="51"/>
  <c r="L22" i="51"/>
  <c r="Y32" i="47"/>
  <c r="AC39" i="36" s="1"/>
  <c r="Y41" i="47"/>
  <c r="AC43" i="36" s="1"/>
  <c r="Z42" i="47"/>
  <c r="AD44" i="36" s="1"/>
  <c r="Z41" i="47"/>
  <c r="AD43" i="36" s="1"/>
  <c r="Z32" i="47"/>
  <c r="AD39" i="36" s="1"/>
  <c r="Z33" i="47"/>
  <c r="AD40" i="36" s="1"/>
  <c r="Y9" i="47"/>
  <c r="AA42" i="36"/>
  <c r="AA41" i="36"/>
  <c r="AD63" i="44"/>
  <c r="AY9" i="49"/>
  <c r="AD64" i="44"/>
  <c r="B2" i="58"/>
  <c r="Y36" i="47"/>
  <c r="AC41" i="36" s="1"/>
  <c r="Y37" i="47"/>
  <c r="AC42" i="36" s="1"/>
  <c r="Y11" i="47"/>
  <c r="AD67" i="44"/>
  <c r="AD65" i="44"/>
  <c r="AD66" i="44"/>
  <c r="Z10" i="47"/>
  <c r="Y23" i="51" l="1"/>
  <c r="AC14" i="51"/>
  <c r="Y21" i="51"/>
  <c r="Q21" i="51"/>
  <c r="T21" i="51"/>
  <c r="V21" i="51"/>
  <c r="S21" i="51"/>
  <c r="P21" i="51"/>
  <c r="R21" i="51"/>
  <c r="W21" i="51"/>
  <c r="U21" i="51"/>
  <c r="Z21" i="51"/>
  <c r="AA21" i="51"/>
  <c r="X21" i="51"/>
  <c r="S22" i="51"/>
  <c r="R22" i="51"/>
  <c r="V22" i="51"/>
  <c r="P22" i="51"/>
  <c r="Q22" i="51"/>
  <c r="T22" i="51"/>
  <c r="W22" i="51"/>
  <c r="U22" i="51"/>
  <c r="Z22" i="51"/>
  <c r="AA22" i="51"/>
  <c r="X22" i="51"/>
  <c r="V23" i="51"/>
  <c r="T23" i="51"/>
  <c r="P23" i="51"/>
  <c r="Q23" i="51"/>
  <c r="W23" i="51"/>
  <c r="R23" i="51"/>
  <c r="S23" i="51"/>
  <c r="U23" i="51"/>
  <c r="Z23" i="51"/>
  <c r="AA23" i="51"/>
  <c r="Y22" i="51"/>
  <c r="X23" i="51"/>
  <c r="AB9" i="49"/>
  <c r="AC9" i="49"/>
  <c r="AD62" i="44"/>
  <c r="B7" i="58"/>
  <c r="B4" i="58"/>
  <c r="B5" i="58"/>
  <c r="Y10" i="47"/>
  <c r="D28" i="52" l="1"/>
  <c r="B3" i="59" s="1"/>
  <c r="D27" i="52"/>
  <c r="B2" i="59" s="1"/>
  <c r="D29" i="52"/>
  <c r="B4" i="59" s="1"/>
  <c r="Q14" i="51"/>
  <c r="W14" i="51"/>
  <c r="T14" i="51"/>
  <c r="P14" i="51"/>
  <c r="U14" i="51"/>
  <c r="S14" i="51"/>
  <c r="R14" i="51"/>
  <c r="V14" i="51"/>
  <c r="AA14" i="51"/>
  <c r="Z14" i="51"/>
  <c r="X14" i="51"/>
  <c r="L14" i="51"/>
  <c r="Y14" i="51" s="1"/>
  <c r="B8" i="58"/>
  <c r="B9" i="58"/>
  <c r="B6" i="58"/>
  <c r="D10" i="52" l="1"/>
  <c r="B3" i="58" s="1"/>
  <c r="G7" i="46"/>
  <c r="E7" i="46"/>
  <c r="F7" i="46"/>
  <c r="AA47" i="36" l="1"/>
  <c r="AA45" i="36"/>
  <c r="AA46" i="36"/>
  <c r="AO4" i="36" l="1"/>
  <c r="AG3" i="36"/>
  <c r="AP4" i="36"/>
  <c r="AN3" i="36" l="1"/>
  <c r="AK3" i="36"/>
  <c r="AL3" i="36"/>
  <c r="AJ3" i="36"/>
  <c r="AH3" i="36"/>
  <c r="AI3" i="36"/>
  <c r="AM3" i="36"/>
  <c r="R24" i="51" l="1"/>
  <c r="Z24" i="51"/>
  <c r="V24" i="51"/>
  <c r="T24" i="51"/>
  <c r="U24" i="51"/>
  <c r="P24" i="51"/>
  <c r="Y24" i="51"/>
  <c r="W24" i="51"/>
  <c r="X24" i="51"/>
  <c r="S24" i="51"/>
  <c r="Q24" i="51"/>
  <c r="AA24" i="51"/>
  <c r="I18" i="52" l="1"/>
  <c r="B2" i="53" s="1"/>
  <c r="K8" i="51"/>
  <c r="X44" i="47"/>
  <c r="AB46" i="36" s="1"/>
  <c r="X43" i="47"/>
  <c r="AB45" i="36" s="1"/>
  <c r="K4" i="51"/>
  <c r="AC4" i="51" s="1"/>
  <c r="K7" i="51"/>
  <c r="AB22" i="49"/>
  <c r="K2" i="51"/>
  <c r="AC2" i="51" s="1"/>
  <c r="AB21" i="49"/>
  <c r="AB23" i="49"/>
  <c r="AB24" i="49"/>
  <c r="X45" i="47"/>
  <c r="AB47" i="36" s="1"/>
  <c r="X37" i="47"/>
  <c r="AB42" i="36" s="1"/>
  <c r="K5" i="51"/>
  <c r="AC5" i="51" s="1"/>
  <c r="X32" i="47"/>
  <c r="AB39" i="36" s="1"/>
  <c r="AB20" i="49"/>
  <c r="X33" i="47"/>
  <c r="AB40" i="36" s="1"/>
  <c r="K3" i="51"/>
  <c r="X42" i="47"/>
  <c r="AB44" i="36" s="1"/>
  <c r="AB25" i="49"/>
  <c r="X36" i="47"/>
  <c r="AB41" i="36" s="1"/>
  <c r="X41" i="47"/>
  <c r="AB43" i="36" s="1"/>
  <c r="K6" i="51"/>
  <c r="L7" i="51" l="1"/>
  <c r="AC24" i="49"/>
  <c r="AC23" i="49"/>
  <c r="M5" i="51" s="1"/>
  <c r="Z5" i="51" s="1"/>
  <c r="L3" i="51"/>
  <c r="AC22" i="49"/>
  <c r="M4" i="51" s="1"/>
  <c r="Z4" i="51" s="1"/>
  <c r="AB27" i="49"/>
  <c r="Y44" i="47" s="1"/>
  <c r="AC46" i="36" s="1"/>
  <c r="L5" i="51"/>
  <c r="Y5" i="51" s="1"/>
  <c r="AC21" i="49"/>
  <c r="M3" i="51" s="1"/>
  <c r="L4" i="51"/>
  <c r="Y4" i="51" s="1"/>
  <c r="X5" i="51"/>
  <c r="AC20" i="49"/>
  <c r="M2" i="51" s="1"/>
  <c r="Z2" i="51" s="1"/>
  <c r="AC7" i="51"/>
  <c r="Y7" i="51" s="1"/>
  <c r="P4" i="51"/>
  <c r="R4" i="51"/>
  <c r="Q4" i="51"/>
  <c r="U4" i="51"/>
  <c r="S4" i="51"/>
  <c r="T4" i="51"/>
  <c r="V4" i="51"/>
  <c r="W4" i="51"/>
  <c r="X4" i="51"/>
  <c r="AC6" i="51"/>
  <c r="X6" i="51" s="1"/>
  <c r="P2" i="51"/>
  <c r="W2" i="51"/>
  <c r="I9" i="52" s="1"/>
  <c r="B2" i="56" s="1"/>
  <c r="Q2" i="51"/>
  <c r="T2" i="51"/>
  <c r="R2" i="51"/>
  <c r="S2" i="51"/>
  <c r="U2" i="51"/>
  <c r="V2" i="51"/>
  <c r="P5" i="51"/>
  <c r="V5" i="51"/>
  <c r="R5" i="51"/>
  <c r="Q5" i="51"/>
  <c r="U5" i="51"/>
  <c r="S5" i="51"/>
  <c r="T5" i="51"/>
  <c r="W5" i="51"/>
  <c r="AC3" i="51"/>
  <c r="X2" i="51"/>
  <c r="AC8" i="51"/>
  <c r="AC25" i="49"/>
  <c r="M7" i="51" s="1"/>
  <c r="L6" i="51"/>
  <c r="AB28" i="49"/>
  <c r="M6" i="51"/>
  <c r="AD24" i="49"/>
  <c r="N6" i="51" s="1"/>
  <c r="L2" i="51"/>
  <c r="Y2" i="51" s="1"/>
  <c r="AB26" i="49"/>
  <c r="I11" i="52" l="1"/>
  <c r="B4" i="56" s="1"/>
  <c r="I12" i="52"/>
  <c r="B5" i="56" s="1"/>
  <c r="AD23" i="49"/>
  <c r="N5" i="51" s="1"/>
  <c r="P25" i="37" s="1"/>
  <c r="AD37" i="49"/>
  <c r="AD22" i="49"/>
  <c r="AD35" i="49" s="1"/>
  <c r="AD36" i="49"/>
  <c r="Y45" i="47"/>
  <c r="AC47" i="36" s="1"/>
  <c r="AD21" i="49"/>
  <c r="AD34" i="49" s="1"/>
  <c r="AC27" i="49"/>
  <c r="Z44" i="47" s="1"/>
  <c r="AD46" i="36" s="1"/>
  <c r="Z7" i="51"/>
  <c r="AD20" i="49"/>
  <c r="N2" i="51" s="1"/>
  <c r="AA2" i="51" s="1"/>
  <c r="Z6" i="51"/>
  <c r="AC26" i="49"/>
  <c r="M8" i="51" s="1"/>
  <c r="Z8" i="51" s="1"/>
  <c r="AC28" i="49"/>
  <c r="Z45" i="47" s="1"/>
  <c r="AD47" i="36" s="1"/>
  <c r="AD25" i="49"/>
  <c r="N7" i="51" s="1"/>
  <c r="AA7" i="51" s="1"/>
  <c r="Y6" i="51"/>
  <c r="P8" i="51"/>
  <c r="R8" i="51"/>
  <c r="Q8" i="51"/>
  <c r="U8" i="51"/>
  <c r="S8" i="51"/>
  <c r="T8" i="51"/>
  <c r="V8" i="51"/>
  <c r="W8" i="51"/>
  <c r="P3" i="51"/>
  <c r="V3" i="51"/>
  <c r="W3" i="51"/>
  <c r="R3" i="51"/>
  <c r="Q3" i="51"/>
  <c r="U3" i="51"/>
  <c r="S3" i="51"/>
  <c r="T3" i="51"/>
  <c r="P7" i="51"/>
  <c r="V7" i="51"/>
  <c r="R7" i="51"/>
  <c r="W7" i="51"/>
  <c r="Q7" i="51"/>
  <c r="U7" i="51"/>
  <c r="S7" i="51"/>
  <c r="T7" i="51"/>
  <c r="X3" i="51"/>
  <c r="X7" i="51"/>
  <c r="X8" i="51"/>
  <c r="Y3" i="51"/>
  <c r="Z3" i="51"/>
  <c r="P6" i="51"/>
  <c r="R6" i="51"/>
  <c r="Q6" i="51"/>
  <c r="U6" i="51"/>
  <c r="S6" i="51"/>
  <c r="T6" i="51"/>
  <c r="V6" i="51"/>
  <c r="W6" i="51"/>
  <c r="I13" i="52" s="1"/>
  <c r="B6" i="56" s="1"/>
  <c r="P26" i="37"/>
  <c r="AA6" i="51"/>
  <c r="Y43" i="47"/>
  <c r="AC45" i="36" s="1"/>
  <c r="L8" i="51"/>
  <c r="Y8" i="51" s="1"/>
  <c r="AA5" i="51" l="1"/>
  <c r="I14" i="52"/>
  <c r="B7" i="56" s="1"/>
  <c r="I15" i="52"/>
  <c r="B8" i="56" s="1"/>
  <c r="I10" i="52"/>
  <c r="B3" i="56" s="1"/>
  <c r="N4" i="51"/>
  <c r="AA4" i="51" s="1"/>
  <c r="AD27" i="49"/>
  <c r="AA44" i="47" s="1"/>
  <c r="N3" i="51"/>
  <c r="AA3" i="51" s="1"/>
  <c r="AD33" i="49"/>
  <c r="AD38" i="49"/>
  <c r="AD40" i="49"/>
  <c r="P22" i="37"/>
  <c r="AD26" i="49"/>
  <c r="N8" i="51" s="1"/>
  <c r="AA8" i="51" s="1"/>
  <c r="P27" i="37"/>
  <c r="Z43" i="47"/>
  <c r="AD45" i="36" s="1"/>
  <c r="AD28" i="49"/>
  <c r="AA45" i="47" s="1"/>
  <c r="P24" i="37" l="1"/>
  <c r="P23" i="37"/>
  <c r="AD39" i="49"/>
  <c r="AD41" i="49"/>
  <c r="AA43" i="4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<sst xmlns="http://schemas.openxmlformats.org/spreadsheetml/2006/main" count="963" uniqueCount="645">
  <si>
    <t>Technical Notes</t>
  </si>
  <si>
    <t xml:space="preserve">This section summarizes the description of the main variables and its definitions presented in this Excel Book.   </t>
  </si>
  <si>
    <t>VARIABLE/TERM</t>
  </si>
  <si>
    <t>LOCATION &amp; DESCRIPTION</t>
  </si>
  <si>
    <t>General</t>
  </si>
  <si>
    <t xml:space="preserve">Actual data </t>
  </si>
  <si>
    <t xml:space="preserve">Data from harmonized data (labor market and income variables) or observed by the MTI. </t>
  </si>
  <si>
    <t>Projected</t>
  </si>
  <si>
    <t>Data projected using elasticities (labor market and income) or projected by the MTI.</t>
  </si>
  <si>
    <t>Population</t>
  </si>
  <si>
    <t>All population considered in this workbook is restricted to those aged 15 - 64 years old. Projected population growth is defined by World Bank indicators.</t>
  </si>
  <si>
    <t xml:space="preserve">Income </t>
  </si>
  <si>
    <t>All income variables are presented in constant USD at 2017 PPP prices.</t>
  </si>
  <si>
    <t xml:space="preserve">Growth Rates </t>
  </si>
  <si>
    <t xml:space="preserve">Annual Variation of the respective variable in percentage. </t>
  </si>
  <si>
    <t>Labor Market - Parameters</t>
  </si>
  <si>
    <t>Population (15-64 years old)</t>
  </si>
  <si>
    <t>Active</t>
  </si>
  <si>
    <t xml:space="preserve">Sum of individuals employed and unemployed from country data. </t>
  </si>
  <si>
    <t>Inactive</t>
  </si>
  <si>
    <t xml:space="preserve">Difference of Population (15-64 years old) and Active </t>
  </si>
  <si>
    <t xml:space="preserve">Employment </t>
  </si>
  <si>
    <t xml:space="preserve">Actual data: total number of working individuals. Projected: Sum of workers in agriculture, industry and services sectors. </t>
  </si>
  <si>
    <t>Unemployment</t>
  </si>
  <si>
    <t xml:space="preserve">Actual data: total number of unemployed individuals. Projected: Difference of active and employed individuals. </t>
  </si>
  <si>
    <t>Employment by Sector</t>
  </si>
  <si>
    <t xml:space="preserve">Sum of individuals working in each sector - agriculture, industry and services. Note that employment in actual data may differ from the sum of individuals given missing information (either sectorial or formality status) for an employed individual. </t>
  </si>
  <si>
    <t>Employment by Sector and Formality</t>
  </si>
  <si>
    <t xml:space="preserve">Number of individuals in each sector and formality status, defined below. </t>
  </si>
  <si>
    <t>Agriculture</t>
  </si>
  <si>
    <t>This sector includes categories 1 and 2 from SEDLAC Classification (Agriculture, hunting and forestry; Fishing).</t>
  </si>
  <si>
    <t>Industry</t>
  </si>
  <si>
    <t>This sector includes categories 3 to 6 from SEDLAC Classification (Mining and quarrying; Manufacturing; Electricity, gas and water supply, Construction).</t>
  </si>
  <si>
    <t>Services</t>
  </si>
  <si>
    <t>This sector includes categories 7 to 17 from SEDLAC Classification (All other sectors).</t>
  </si>
  <si>
    <t>Informality</t>
  </si>
  <si>
    <t>- Share of informal workers versus total workers. For most countries, informal workers are defined as those who do not receive a work-related pension insurance.</t>
  </si>
  <si>
    <t>- For Argentina, informal workers correspond to salaried workers who do not receive a work-related pension insurance and non-salaried workers without complete tertiary education.</t>
  </si>
  <si>
    <t>- For Brazil, informality considers salaried workers without the work-registry book ("carteira") and non-salaried workers who do not contribute to the social security system.</t>
  </si>
  <si>
    <t>Participation Rates</t>
  </si>
  <si>
    <t xml:space="preserve">Share of active workers in all sectors versus total population. </t>
  </si>
  <si>
    <t>Inactivity Rate</t>
  </si>
  <si>
    <t xml:space="preserve">Share of inactive workers in all sectors versus total population. </t>
  </si>
  <si>
    <t>Unemployment Rate</t>
  </si>
  <si>
    <t xml:space="preserve">Share of unemployed individuals versus active population. </t>
  </si>
  <si>
    <t>Employment Structure (%)</t>
  </si>
  <si>
    <t xml:space="preserve">Share of workers in agriculture, industry and services sectors versus total workers. </t>
  </si>
  <si>
    <t>Informality by Sector (%)</t>
  </si>
  <si>
    <t>Historical Averages (Table)</t>
  </si>
  <si>
    <t>Averages of the labor market shares, including actual data with and without 2020 and projected data.</t>
  </si>
  <si>
    <t>Labor Income - Parameters</t>
  </si>
  <si>
    <t xml:space="preserve">Pseudo-Labor Productivity </t>
  </si>
  <si>
    <t>Pseudo-Labor Productivity calculated as the ratio of workers and  GDP, aggregated and by sector.</t>
  </si>
  <si>
    <t>Average Labor Income</t>
  </si>
  <si>
    <t>Average labor income from the main activity, by sector and formality status, in constant USD at 2017 PPP prices. Projected total income is calculated as the weightned average for total and sectorial workers.</t>
  </si>
  <si>
    <t>Historical Averages</t>
  </si>
  <si>
    <t>Averages of labor income by sector and total, including actual data with and without 2020 and projected data.</t>
  </si>
  <si>
    <t>Elasticities</t>
  </si>
  <si>
    <t>Average Elasticities</t>
  </si>
  <si>
    <t>Simple</t>
  </si>
  <si>
    <t>Arithmetic average of country-year employment-output or income-productivity for a given time-span (i.e., short or long).</t>
  </si>
  <si>
    <t>Without Outliers</t>
  </si>
  <si>
    <t>Simple variation, excluding the bottom 1% and top 99% outliers in the historical series.</t>
  </si>
  <si>
    <t>Imputed Outliers</t>
  </si>
  <si>
    <t>Simple variation, replacing the bottom 1% and top 99% elasticity outliers in the historical series with the historical median value.</t>
  </si>
  <si>
    <t xml:space="preserve">Regression Elasticities </t>
  </si>
  <si>
    <t>Simple regression</t>
  </si>
  <si>
    <t>Linear mean regression by country - i - where the dependent variable is the logarithm of sectoral level of employment (average income) by informality status and the independent variable is the logarithm of the sectoral output (productivity) in the same sector.</t>
  </si>
  <si>
    <t>Control: log GDP</t>
  </si>
  <si>
    <t>Simple regression, adding the logarithm of total output as a control variable:</t>
  </si>
  <si>
    <t>Control: log GDP and informality rate</t>
  </si>
  <si>
    <t>Simple regression, adding log of total output times the country’s informality rate (IR)</t>
  </si>
  <si>
    <t>Median regression</t>
  </si>
  <si>
    <t>Linear median regression with the same structure as the Simple regression.</t>
  </si>
  <si>
    <t>Non-Labor Income</t>
  </si>
  <si>
    <t>Capital and Pensions</t>
  </si>
  <si>
    <t>Growth of Capital and pensions, defined as the GDP growth rates.</t>
  </si>
  <si>
    <t>Remittances</t>
  </si>
  <si>
    <t>Exports-Remittance Inflows.</t>
  </si>
  <si>
    <t>Public Transfers</t>
  </si>
  <si>
    <t>Corresponds to any government transfers, either existing (e.g. Bolsa Familia in Brazil) or new (e.g. mitigation measures during COVID).</t>
  </si>
  <si>
    <t>Parameters</t>
  </si>
  <si>
    <t xml:space="preserve">Summary of the main parameters displayed throughout the workbook. </t>
  </si>
  <si>
    <t>MICRO SIMULATION TOOL</t>
  </si>
  <si>
    <t>Argentina</t>
  </si>
  <si>
    <t>ARG</t>
  </si>
  <si>
    <t>BRA</t>
  </si>
  <si>
    <t>Base year for projections*:</t>
  </si>
  <si>
    <t>* Last year of available actual data set as default.</t>
  </si>
  <si>
    <t>FILE STRUCTURE</t>
  </si>
  <si>
    <t xml:space="preserve">1. GDP </t>
  </si>
  <si>
    <t xml:space="preserve">2.1 LABOR MARKET STRUCTURE </t>
  </si>
  <si>
    <t>2.2 LABOR INCOME &amp; PRODUCTIVITY</t>
  </si>
  <si>
    <t>3. NON-LABOR INCOME</t>
  </si>
  <si>
    <t>4. SUMMARY AND SUBMISSION</t>
  </si>
  <si>
    <t>CONTACT THE REGIONAL STATS TEAM</t>
  </si>
  <si>
    <t>Please, read  this page carefully. It describes this workbook content and the actions needed to generate the inputs used on the poverty/vulnerability simulation.</t>
  </si>
  <si>
    <t>WORK FLOW</t>
  </si>
  <si>
    <t>ACTIONS NEEDED</t>
  </si>
  <si>
    <t xml:space="preserve">Most sheets do not require any action but revising the data displayed. All sheets have a checkbox in their first columns (left panel). These check boxes indicate what you should do before moving to the next step.  </t>
  </si>
  <si>
    <t>1. GDP</t>
  </si>
  <si>
    <r>
      <rPr>
        <b/>
        <sz val="10"/>
        <color theme="4" tint="-0.249977111117893"/>
        <rFont val="Arial"/>
        <family val="2"/>
      </rPr>
      <t>Description</t>
    </r>
    <r>
      <rPr>
        <sz val="10"/>
        <color theme="1"/>
        <rFont val="Arial"/>
        <family val="2"/>
      </rPr>
      <t xml:space="preserve">: The GDP Sheet displays the historical series of the Gross Domestic Product and its Growth rates. It also disaggregates the GDP by the sectorial added value. Data is provided by the Macro team and is displayed in constant LCU. Projections are updated daily, and the version is displayed below the right panel.    </t>
    </r>
  </si>
  <si>
    <r>
      <rPr>
        <b/>
        <sz val="10"/>
        <color theme="4" tint="-0.249977111117893"/>
        <rFont val="Arial"/>
        <family val="2"/>
      </rPr>
      <t>Actions needed:</t>
    </r>
    <r>
      <rPr>
        <sz val="10"/>
        <color theme="1"/>
        <rFont val="Arial"/>
        <family val="2"/>
      </rPr>
      <t xml:space="preserve"> Check GDP numbers. If you find any inconsistency, please contact us and do NOT move with the simulations. </t>
    </r>
  </si>
  <si>
    <t>2. Micro inputs</t>
  </si>
  <si>
    <t>2.1 Labor Market Structure</t>
  </si>
  <si>
    <r>
      <rPr>
        <b/>
        <sz val="10"/>
        <color theme="4" tint="-0.249977111117893"/>
        <rFont val="Arial"/>
        <family val="2"/>
      </rPr>
      <t>Description:</t>
    </r>
    <r>
      <rPr>
        <sz val="10"/>
        <color theme="1"/>
        <rFont val="Arial"/>
        <family val="2"/>
      </rPr>
      <t xml:space="preserve"> This workbook contains the labor market variables that are going to be used in the simulations. The upper-right-panel is composed by aggregate data for total population aged 15-64 years old (projected based on WB forecast), active population (projected using elasticities), total employment and unemployment. Employment variables are also displayed by sector and formality status (projected using elasticities). The button-right-panel displays the shares of the above variables - participation, inactivity and unemployment rates (%); employment by sector (%) and informality by sector (%).</t>
    </r>
  </si>
  <si>
    <r>
      <rPr>
        <b/>
        <sz val="10"/>
        <color theme="4" tint="-0.249977111117893"/>
        <rFont val="Arial"/>
        <family val="2"/>
      </rPr>
      <t>Actions needed:</t>
    </r>
    <r>
      <rPr>
        <sz val="10"/>
        <color theme="1"/>
        <rFont val="Arial"/>
        <family val="2"/>
      </rPr>
      <t xml:space="preserve"> Check historical data and use the elasticities sheet to project the labor market variables</t>
    </r>
  </si>
  <si>
    <t>2.1 Labor Income and Pseudo-Labor Productivity</t>
  </si>
  <si>
    <r>
      <rPr>
        <b/>
        <sz val="10"/>
        <color theme="4" tint="-0.249977111117893"/>
        <rFont val="Arial"/>
        <family val="2"/>
      </rPr>
      <t>Description:</t>
    </r>
    <r>
      <rPr>
        <sz val="10"/>
        <color theme="1"/>
        <rFont val="Arial"/>
        <family val="2"/>
      </rPr>
      <t xml:space="preserve"> This workbook contains the pseudo labor productivity and the labor income variables that are going to be used in the simulations. The upper-right panel focus on the growth rates of the pseudo productivity (calculated as the ratio of GDP and workers per sector). On its right, you can find the Absolut numbers. Below the pseudo labor-productivity rates, the labor income actual and projected data are displayed by sector and formality levels. Additional averages for total, formal and informal income are provided based on actual data or weighted average for projected years.  </t>
    </r>
  </si>
  <si>
    <r>
      <rPr>
        <b/>
        <sz val="10"/>
        <color theme="4" tint="-0.249977111117893"/>
        <rFont val="Arial"/>
        <family val="2"/>
      </rPr>
      <t>Actions needed:</t>
    </r>
    <r>
      <rPr>
        <sz val="10"/>
        <color theme="1"/>
        <rFont val="Arial"/>
        <family val="2"/>
      </rPr>
      <t xml:space="preserve"> Check historical data and use the elasticities sheet to project the labor income variables</t>
    </r>
  </si>
  <si>
    <t>* Elasticities</t>
  </si>
  <si>
    <r>
      <rPr>
        <b/>
        <sz val="10"/>
        <color theme="4" tint="-0.249977111117893"/>
        <rFont val="Arial"/>
        <family val="2"/>
      </rPr>
      <t>Description:</t>
    </r>
    <r>
      <rPr>
        <sz val="10"/>
        <color theme="1"/>
        <rFont val="Arial"/>
        <family val="2"/>
      </rPr>
      <t xml:space="preserve"> The elasticity sheet is the place you must make most of the changes in the tool. Here you will choose the parameters that will define the above inputs projections to the simulation. Each variable (from employment and income groups) has a column to be fulfilled with the elasticity for the projected respective year. As reference, we provide pre-estimated average (with and without outliers) and regression (with and without control variables) set of elasticities calculated using long and short data periods - see specific description at the end of this sheet. In case you want to use yearly elasticities, click on the button to show/hide these elasticities, or use your own dataset.   </t>
    </r>
  </si>
  <si>
    <r>
      <rPr>
        <b/>
        <sz val="10"/>
        <color theme="4" tint="-0.249977111117893"/>
        <rFont val="Arial"/>
        <family val="2"/>
      </rPr>
      <t>Actions needed:</t>
    </r>
    <r>
      <rPr>
        <sz val="10"/>
        <color theme="1"/>
        <rFont val="Arial"/>
        <family val="2"/>
      </rPr>
      <t xml:space="preserve"> Adjust elasticities to project your labor market and income parameters. </t>
    </r>
  </si>
  <si>
    <t>* Growth Rates</t>
  </si>
  <si>
    <r>
      <rPr>
        <b/>
        <sz val="10"/>
        <color theme="4" tint="-0.249977111117893"/>
        <rFont val="Arial"/>
        <family val="2"/>
      </rPr>
      <t>Description:</t>
    </r>
    <r>
      <rPr>
        <sz val="10"/>
        <color theme="1"/>
        <rFont val="Arial"/>
        <family val="2"/>
      </rPr>
      <t xml:space="preserve"> These parameters show the historical evolution of labor market and labor income. The projected growth rates are determined by the interaction of GDP growth and elasticity. On the right of data panel, these rates are projected for formal and informal sectors. This sheet can be used to better observe the sectorial behavior after elasticities are adjusted.  </t>
    </r>
  </si>
  <si>
    <r>
      <rPr>
        <b/>
        <sz val="10"/>
        <color theme="4" tint="-0.249977111117893"/>
        <rFont val="Arial"/>
        <family val="2"/>
      </rPr>
      <t>Actions needed:</t>
    </r>
    <r>
      <rPr>
        <sz val="10"/>
        <color theme="1"/>
        <rFont val="Arial"/>
        <family val="2"/>
      </rPr>
      <t xml:space="preserve"> Check the growth rates for inconsistency; use the elasticities to adjust them. </t>
    </r>
  </si>
  <si>
    <t>3. Non-Labor Income</t>
  </si>
  <si>
    <r>
      <rPr>
        <b/>
        <sz val="10"/>
        <color theme="4" tint="-0.249977111117893"/>
        <rFont val="Arial"/>
        <family val="2"/>
      </rPr>
      <t>Description:</t>
    </r>
    <r>
      <rPr>
        <sz val="10"/>
        <color theme="1"/>
        <rFont val="Arial"/>
        <family val="2"/>
      </rPr>
      <t xml:space="preserve"> In the Non-Labor Income, you will find on the right panel the actual and projected remittances (provided by the Macro team) and capital and pensions (which grow at the same rate as GDP). These rates are also graphed below for reference. On the left panel, you will find the option to decide how to model remittances into the model (neutral distribution - same recipients from baseline, growing at displayed rates -  or random allocation - remittances randomly assigned in projected years). It also has the option of modelling public transfers (i.e. special government transfers as mitigation measures due to a shock). If you want to include any transfers, please provide as much details as possible on the box below and/or, use the contact us button to discuss the best option with Stats Team.     </t>
    </r>
  </si>
  <si>
    <r>
      <rPr>
        <b/>
        <sz val="10"/>
        <color theme="4" tint="-0.249977111117893"/>
        <rFont val="Arial"/>
        <family val="2"/>
      </rPr>
      <t>Actions needed:</t>
    </r>
    <r>
      <rPr>
        <sz val="10"/>
        <color theme="1"/>
        <rFont val="Arial"/>
        <family val="2"/>
      </rPr>
      <t xml:space="preserve"> On the left panel, inform you decision about public transfers and remittances modelling. Check the data on the right panel.  </t>
    </r>
  </si>
  <si>
    <t>4. Summary</t>
  </si>
  <si>
    <r>
      <rPr>
        <b/>
        <sz val="10"/>
        <color theme="4" tint="-0.249977111117893"/>
        <rFont val="Arial"/>
        <family val="2"/>
      </rPr>
      <t>Description:</t>
    </r>
    <r>
      <rPr>
        <sz val="10"/>
        <color theme="1"/>
        <rFont val="Arial"/>
        <family val="2"/>
      </rPr>
      <t xml:space="preserve"> The Summary page is the final steps before sending your inputs for the Stats Team run the simulations. Make sure you have revised all the recommended boxes on the previous sheets. The right panel displays the summary of the parameters that will be taken into account in the simulations. If you don't agree with any of them, please contact us. After reviewing everything, click on the button to submit your simulation request. An e-mail window will open so you can send the file to the team.       </t>
    </r>
  </si>
  <si>
    <r>
      <rPr>
        <b/>
        <sz val="10"/>
        <color theme="4" tint="-0.249977111117893"/>
        <rFont val="Arial"/>
        <family val="2"/>
      </rPr>
      <t>Actions needed:</t>
    </r>
    <r>
      <rPr>
        <sz val="10"/>
        <color theme="1"/>
        <rFont val="Arial"/>
        <family val="2"/>
      </rPr>
      <t xml:space="preserve"> Revise all the information and submit your file. </t>
    </r>
  </si>
  <si>
    <t>Actual data</t>
  </si>
  <si>
    <t>gdp</t>
  </si>
  <si>
    <t>GDP</t>
  </si>
  <si>
    <t>gdp_agriculture</t>
  </si>
  <si>
    <t>gdp_industry</t>
  </si>
  <si>
    <t>gdp_services</t>
  </si>
  <si>
    <t>If you want to make any changes in GDP, please click on the link below</t>
  </si>
  <si>
    <t>CONTACT US</t>
  </si>
  <si>
    <t>GDP Version:</t>
  </si>
  <si>
    <t>Part 2.1. Labor Structure</t>
  </si>
  <si>
    <t>Population count</t>
  </si>
  <si>
    <t>Follow the steps below before moving to the labor income structure. Use the right column checkbox to ensure you did not forget anything.</t>
  </si>
  <si>
    <t>Indicator</t>
  </si>
  <si>
    <t>Formula</t>
  </si>
  <si>
    <t>Base Year</t>
  </si>
  <si>
    <t>Base year</t>
  </si>
  <si>
    <t>Total population</t>
  </si>
  <si>
    <t>(1)</t>
  </si>
  <si>
    <t xml:space="preserve">1) Inspect historical data using the button below if needed </t>
  </si>
  <si>
    <t>(2) = (4) + (5)</t>
  </si>
  <si>
    <t>(3) = (1) - (2)</t>
  </si>
  <si>
    <t>2) Assess activity-output, and employment-output elasticity</t>
  </si>
  <si>
    <t>Employment</t>
  </si>
  <si>
    <t>Click to go to Elasticities</t>
  </si>
  <si>
    <t>(5)</t>
  </si>
  <si>
    <t>3) Check the projected labor market structure and look at growth rates</t>
  </si>
  <si>
    <t>Employment by sector</t>
  </si>
  <si>
    <t>Click to go to Growth Rates</t>
  </si>
  <si>
    <t>Agriculture - formal</t>
  </si>
  <si>
    <t>Agriculture - informal</t>
  </si>
  <si>
    <t>Industry - formal</t>
  </si>
  <si>
    <t>Industry - informal</t>
  </si>
  <si>
    <t>(12)</t>
  </si>
  <si>
    <t>Services - formal</t>
  </si>
  <si>
    <t>(13)</t>
  </si>
  <si>
    <t>Services - informal</t>
  </si>
  <si>
    <t>(14)</t>
  </si>
  <si>
    <t>Shares</t>
  </si>
  <si>
    <t>Participation rate</t>
  </si>
  <si>
    <t>Inactivity rate</t>
  </si>
  <si>
    <t>Unemployment rate</t>
  </si>
  <si>
    <t>Employment structure</t>
  </si>
  <si>
    <t>Informality by sector (%)</t>
  </si>
  <si>
    <t>Click to Revise Elasticities</t>
  </si>
  <si>
    <t>Data Source: SEDLAC and LABLAC harmonized databases (CEDLAS and the World Bank).</t>
  </si>
  <si>
    <t>* Please adjust base year in the first Sheet ("0. GUIDELINES") if necessary.</t>
  </si>
  <si>
    <t xml:space="preserve">Historical Averages </t>
  </si>
  <si>
    <t>Projected Avg.</t>
  </si>
  <si>
    <t>(%)</t>
  </si>
  <si>
    <t>2016-2019</t>
  </si>
  <si>
    <t>WARNING</t>
  </si>
  <si>
    <t>Participation</t>
  </si>
  <si>
    <r>
      <rPr>
        <sz val="10"/>
        <color rgb="FF002060"/>
        <rFont val="Arial"/>
        <family val="2"/>
      </rPr>
      <t>Check for cells with different colors. It means that you should take some action.</t>
    </r>
    <r>
      <rPr>
        <b/>
        <sz val="10"/>
        <color rgb="FF002060"/>
        <rFont val="Arial"/>
        <family val="2"/>
      </rPr>
      <t xml:space="preserve"> Do not go ahead if you have</t>
    </r>
    <r>
      <rPr>
        <b/>
        <sz val="10"/>
        <rFont val="Arial"/>
        <family val="2"/>
      </rPr>
      <t xml:space="preserve"> </t>
    </r>
    <r>
      <rPr>
        <b/>
        <sz val="10"/>
        <color rgb="FFC00000"/>
        <rFont val="Arial"/>
        <family val="2"/>
      </rPr>
      <t>negative (red)</t>
    </r>
    <r>
      <rPr>
        <b/>
        <sz val="10"/>
        <color rgb="FF002060"/>
        <rFont val="Arial"/>
        <family val="2"/>
      </rPr>
      <t xml:space="preserve"> values!</t>
    </r>
  </si>
  <si>
    <t xml:space="preserve">Inactivity </t>
  </si>
  <si>
    <t xml:space="preserve">Agriculture </t>
  </si>
  <si>
    <t xml:space="preserve">Services </t>
  </si>
  <si>
    <t>Elasticities per Year</t>
  </si>
  <si>
    <r>
      <t xml:space="preserve">Elasticities measure the responses in labor market structure and labor income to changes in GDP and are implemented for projections. Several estimation methods are offered. Please fill in each column of the </t>
    </r>
    <r>
      <rPr>
        <b/>
        <sz val="11"/>
        <color rgb="FF002060"/>
        <rFont val="Arial"/>
        <family val="2"/>
      </rPr>
      <t xml:space="preserve">Selected Elasticity </t>
    </r>
    <r>
      <rPr>
        <sz val="11"/>
        <color rgb="FF002060"/>
        <rFont val="Arial"/>
        <family val="2"/>
      </rPr>
      <t>section. Feel free to pick from the proposed methods, or choose your own set of elasticities for each projected year.</t>
    </r>
  </si>
  <si>
    <t>Elasticity Estimation Methods</t>
  </si>
  <si>
    <t>Assess and define elasticities before moving forward</t>
  </si>
  <si>
    <t>Click below to select from list</t>
  </si>
  <si>
    <t>Labor Market Elasticities</t>
  </si>
  <si>
    <t>Selected Elasticities</t>
  </si>
  <si>
    <t xml:space="preserve">Average: Simple </t>
  </si>
  <si>
    <t>Regression: Simple</t>
  </si>
  <si>
    <t>Labor Market Elasticities, by year</t>
  </si>
  <si>
    <t>I confirm all elasticities</t>
  </si>
  <si>
    <t>2006-2019</t>
  </si>
  <si>
    <t>2011-2019</t>
  </si>
  <si>
    <t>2016-2018</t>
  </si>
  <si>
    <t>active</t>
  </si>
  <si>
    <t>Active Workers</t>
  </si>
  <si>
    <t xml:space="preserve">Click to revise Labor Market </t>
  </si>
  <si>
    <t>Note: Quantile regression is performed only for the long series.</t>
  </si>
  <si>
    <t>Click to revise GDP</t>
  </si>
  <si>
    <t>Labor Income Elasticities</t>
  </si>
  <si>
    <t>Labor Income Elasticities, by year</t>
  </si>
  <si>
    <t>Click to revise Labor Income and Productivity</t>
  </si>
  <si>
    <t>Growth Rates</t>
  </si>
  <si>
    <t xml:space="preserve">Check all Growth Rates before moving forward. </t>
  </si>
  <si>
    <t>Labor Market Structure (%)</t>
  </si>
  <si>
    <t>Labor Market Structure growth rates are confirmed</t>
  </si>
  <si>
    <t xml:space="preserve">Services - formal </t>
  </si>
  <si>
    <t xml:space="preserve">Services - informal </t>
  </si>
  <si>
    <t>Labor Income (%)</t>
  </si>
  <si>
    <t>Labor Income growth rates are confirmed</t>
  </si>
  <si>
    <t>Total - Main Occupation</t>
  </si>
  <si>
    <t>Total - Formal Income</t>
  </si>
  <si>
    <t>Total - Informal Income</t>
  </si>
  <si>
    <t>Part 2.2: Labor Income</t>
  </si>
  <si>
    <t>Part 2.2. LABOR INCOME &amp; PSEUDO-LABOR PRODUCTIVITY</t>
  </si>
  <si>
    <t>Part 2.2.1: Pseudo- Labor Productivity: Growth Rates and Levels</t>
  </si>
  <si>
    <t>Follow the steps below before moving to non-labor income. Use the right column checkbox to ensure you did not forget anything.</t>
  </si>
  <si>
    <t xml:space="preserve">Note: To adjust pseudo-labor productivity levels, please check the labor market structure (previous step) and its elasticities </t>
  </si>
  <si>
    <t>1) Ensure the Labor Market Structure is final. Changes in the structure directly affect Labor Income.</t>
  </si>
  <si>
    <t>Growth Rates (%)</t>
  </si>
  <si>
    <t>Projected (%)</t>
  </si>
  <si>
    <t>Absolute  Productivity</t>
  </si>
  <si>
    <t>Click to go to Labor Market</t>
  </si>
  <si>
    <t>2)  Inspect historical data using the button below if needed</t>
  </si>
  <si>
    <t>Total</t>
  </si>
  <si>
    <t>3) Assess each income-labor productivity elasticity</t>
  </si>
  <si>
    <t>4) Check projected labor income and look at growth rates</t>
  </si>
  <si>
    <t>Part 2.2.2: Labor Income</t>
  </si>
  <si>
    <t>Mean labor income by sector in 2017 USD PPP</t>
  </si>
  <si>
    <t>Avg. formal income agriculture</t>
  </si>
  <si>
    <t>Avg. informal income agriculture</t>
  </si>
  <si>
    <t>Avg. formal income industry</t>
  </si>
  <si>
    <t>Avg. informal income industry</t>
  </si>
  <si>
    <t>Avg. formal income services</t>
  </si>
  <si>
    <t>Avg. informal income services</t>
  </si>
  <si>
    <t>Avg. income</t>
  </si>
  <si>
    <t>Avg. formal income</t>
  </si>
  <si>
    <t>Total Formal</t>
  </si>
  <si>
    <t>Avg. informal income</t>
  </si>
  <si>
    <t>Total Informal</t>
  </si>
  <si>
    <t>Source: SEDLAC harmonized databases (CEDLAS and the World Bank).</t>
  </si>
  <si>
    <t>Average labor income by sector</t>
  </si>
  <si>
    <r>
      <rPr>
        <sz val="10"/>
        <color theme="9" tint="-0.499984740745262"/>
        <rFont val="Arial"/>
        <family val="2"/>
      </rPr>
      <t>Check for cells with different colors. It means that you should take some action.</t>
    </r>
    <r>
      <rPr>
        <b/>
        <sz val="10"/>
        <color theme="9" tint="-0.499984740745262"/>
        <rFont val="Arial"/>
        <family val="2"/>
      </rPr>
      <t xml:space="preserve"> Do not go ahead if you have</t>
    </r>
    <r>
      <rPr>
        <b/>
        <sz val="10"/>
        <rFont val="Arial"/>
        <family val="2"/>
      </rPr>
      <t xml:space="preserve"> </t>
    </r>
    <r>
      <rPr>
        <b/>
        <sz val="10"/>
        <color rgb="FFC00000"/>
        <rFont val="Arial"/>
        <family val="2"/>
      </rPr>
      <t>negative (red)</t>
    </r>
    <r>
      <rPr>
        <b/>
        <sz val="10"/>
        <rFont val="Arial"/>
        <family val="2"/>
      </rPr>
      <t xml:space="preserve"> </t>
    </r>
    <r>
      <rPr>
        <b/>
        <sz val="10"/>
        <color theme="9" tint="-0.499984740745262"/>
        <rFont val="Arial"/>
        <family val="2"/>
      </rPr>
      <t>values!</t>
    </r>
  </si>
  <si>
    <t xml:space="preserve">Part 3. Non-Labor Income </t>
  </si>
  <si>
    <t xml:space="preserve">In this section you can revise non-labor income growth. Please, follow the checkbox on the right and make sure that you provided all key information required. </t>
  </si>
  <si>
    <t>Remittances - growth rates</t>
  </si>
  <si>
    <t>1. Revise and/or modify remittances growth rates</t>
  </si>
  <si>
    <t>Level</t>
  </si>
  <si>
    <t>Default: projected remittances growth rates</t>
  </si>
  <si>
    <t>Growth rate</t>
  </si>
  <si>
    <t>2. Revise and/or modify capital and pensions growth rates</t>
  </si>
  <si>
    <t>Source: World Bank MFMod System.</t>
  </si>
  <si>
    <t xml:space="preserve">Last Update: </t>
  </si>
  <si>
    <t>Default: total GDP growth rates</t>
  </si>
  <si>
    <t>Click to go to GDP</t>
  </si>
  <si>
    <t>3. How would you like to model remittances?</t>
  </si>
  <si>
    <t>Neutral Distribution</t>
  </si>
  <si>
    <t>4. Do you want to model public transfers?</t>
  </si>
  <si>
    <t>No</t>
  </si>
  <si>
    <t>Capital and Pensions - growth rates</t>
  </si>
  <si>
    <t>Simulated Year</t>
  </si>
  <si>
    <t>1. GDP (growth rates)</t>
  </si>
  <si>
    <t/>
  </si>
  <si>
    <t>2.1 LABOR MARKET STRUCTURE</t>
  </si>
  <si>
    <t>Employment by sector and formality (Share %)</t>
  </si>
  <si>
    <t>2.2 Labor Income &amp; Productivity</t>
  </si>
  <si>
    <t>3. Non Labor Income</t>
  </si>
  <si>
    <t xml:space="preserve">Average labor income </t>
  </si>
  <si>
    <t xml:space="preserve">If you need to discuss any detail about this file, please contact us before submitting your request by clicking on the link below. Provide us as much detail as you can (agenda, preferred schedule and invited people). </t>
  </si>
  <si>
    <t>3. NON-LABOR INCOME (∆)</t>
  </si>
  <si>
    <t xml:space="preserve">Remittances </t>
  </si>
  <si>
    <t>Remittances distribution</t>
  </si>
  <si>
    <t xml:space="preserve">Contact us </t>
  </si>
  <si>
    <t xml:space="preserve">Pensions and Capital </t>
  </si>
  <si>
    <t>CHECK BOXES</t>
  </si>
  <si>
    <t>naming</t>
  </si>
  <si>
    <t>elast models</t>
  </si>
  <si>
    <t>Y/N</t>
  </si>
  <si>
    <t>Country Name</t>
  </si>
  <si>
    <t>CODE</t>
  </si>
  <si>
    <t>Base</t>
  </si>
  <si>
    <t>REMITTANCES</t>
  </si>
  <si>
    <t>LABOR MKT</t>
  </si>
  <si>
    <t>labor income</t>
  </si>
  <si>
    <t>remittances</t>
  </si>
  <si>
    <t>year</t>
  </si>
  <si>
    <t>GRAFICOS</t>
  </si>
  <si>
    <t>GRAFICOS NON-LABOR INCOME</t>
  </si>
  <si>
    <t>gdp_activity</t>
  </si>
  <si>
    <t>avg</t>
  </si>
  <si>
    <t>Yes</t>
  </si>
  <si>
    <t>pop_1564</t>
  </si>
  <si>
    <t>agri_formal_income</t>
  </si>
  <si>
    <t>gr_remittances</t>
  </si>
  <si>
    <t>labor market</t>
  </si>
  <si>
    <t>2.1 LM 1</t>
  </si>
  <si>
    <t>Average: Without Outliers</t>
  </si>
  <si>
    <t>avg_1_99</t>
  </si>
  <si>
    <t xml:space="preserve">Bolivia </t>
  </si>
  <si>
    <t>BOL</t>
  </si>
  <si>
    <t>gpd_industry</t>
  </si>
  <si>
    <t>Random Allocation</t>
  </si>
  <si>
    <t>employed</t>
  </si>
  <si>
    <t>agri_informal_income</t>
  </si>
  <si>
    <t>Remittances (actual data)</t>
  </si>
  <si>
    <t>2.1 LM 2</t>
  </si>
  <si>
    <t>Average: Imputed Outliers</t>
  </si>
  <si>
    <t>avg_1_99_imp</t>
  </si>
  <si>
    <t xml:space="preserve">Brazil </t>
  </si>
  <si>
    <t>unemployed</t>
  </si>
  <si>
    <t>ind_formal_income</t>
  </si>
  <si>
    <t>Agriculture - formal (actual data)</t>
  </si>
  <si>
    <t>Remittances (projected)</t>
  </si>
  <si>
    <t>2.1 LM 3</t>
  </si>
  <si>
    <t>reg</t>
  </si>
  <si>
    <t xml:space="preserve">Chile </t>
  </si>
  <si>
    <t>CHL</t>
  </si>
  <si>
    <t>agri_formal_workers</t>
  </si>
  <si>
    <t>ind_informal_income</t>
  </si>
  <si>
    <t>Agriculture - formal (projected)</t>
  </si>
  <si>
    <t>2.1 LM 4</t>
  </si>
  <si>
    <t>Regression: Control - log GDP</t>
  </si>
  <si>
    <t>reg_gdp</t>
  </si>
  <si>
    <t>Colombia</t>
  </si>
  <si>
    <t>COL</t>
  </si>
  <si>
    <t>agri_informal_workers</t>
  </si>
  <si>
    <t>serv_formal_income</t>
  </si>
  <si>
    <t>Agriculture - informal (actual data)</t>
  </si>
  <si>
    <t>Capital and Pensions (actual data)</t>
  </si>
  <si>
    <t>2.1 LM 5</t>
  </si>
  <si>
    <t>Regression: Control - log GDP and informality rates</t>
  </si>
  <si>
    <t>reg_iter</t>
  </si>
  <si>
    <t xml:space="preserve">Costa Rica </t>
  </si>
  <si>
    <t>CRI</t>
  </si>
  <si>
    <t>ind_formal_workers</t>
  </si>
  <si>
    <t>serv_informal_income</t>
  </si>
  <si>
    <t>Agriculture - informal (projected)</t>
  </si>
  <si>
    <t>Capital and Pensions (projected)</t>
  </si>
  <si>
    <t>2.2 LI 1</t>
  </si>
  <si>
    <t>Regression: Median</t>
  </si>
  <si>
    <t>med_reg</t>
  </si>
  <si>
    <t xml:space="preserve">Dominican Republic </t>
  </si>
  <si>
    <t>DOM</t>
  </si>
  <si>
    <t>ind_informal_workers</t>
  </si>
  <si>
    <t>total_income</t>
  </si>
  <si>
    <t>Industry - formal (actual data)</t>
  </si>
  <si>
    <t>2.2 LI 2</t>
  </si>
  <si>
    <t>Ecuador</t>
  </si>
  <si>
    <t>ECU</t>
  </si>
  <si>
    <t>serv_formal_workers</t>
  </si>
  <si>
    <t>total_formal_income</t>
  </si>
  <si>
    <t>Industry - formal (projected)</t>
  </si>
  <si>
    <t>2.2 LI 3</t>
  </si>
  <si>
    <t xml:space="preserve">El Salvador </t>
  </si>
  <si>
    <t>SLV</t>
  </si>
  <si>
    <t>serv_informal_workers</t>
  </si>
  <si>
    <t>total_informal_income</t>
  </si>
  <si>
    <t>Industry - informal (actual data)</t>
  </si>
  <si>
    <t>2.2 LI 4</t>
  </si>
  <si>
    <t xml:space="preserve">Guatemala </t>
  </si>
  <si>
    <t>GTM</t>
  </si>
  <si>
    <t>Industry - informal (projected)</t>
  </si>
  <si>
    <t>ELAST 1</t>
  </si>
  <si>
    <t>Honduras</t>
  </si>
  <si>
    <t>HND</t>
  </si>
  <si>
    <t>GRWT 1</t>
  </si>
  <si>
    <t xml:space="preserve">Mexico </t>
  </si>
  <si>
    <t>MEX</t>
  </si>
  <si>
    <t>GRWT 2</t>
  </si>
  <si>
    <t xml:space="preserve">Nicaragua </t>
  </si>
  <si>
    <t>NIC</t>
  </si>
  <si>
    <t>3 NLI 1</t>
  </si>
  <si>
    <t xml:space="preserve">Panama </t>
  </si>
  <si>
    <t>PAN</t>
  </si>
  <si>
    <t>3. NLI2</t>
  </si>
  <si>
    <t xml:space="preserve">Paraguay </t>
  </si>
  <si>
    <t>PRY</t>
  </si>
  <si>
    <t xml:space="preserve">Peru </t>
  </si>
  <si>
    <t>PER</t>
  </si>
  <si>
    <t>Uruguay</t>
  </si>
  <si>
    <t>URY</t>
  </si>
  <si>
    <t>Services - formal (actual data)</t>
  </si>
  <si>
    <t>Services - informal (actual data)</t>
  </si>
  <si>
    <t>Total - Main Occupation (actual data)</t>
  </si>
  <si>
    <t xml:space="preserve">Total - formal Income (actual data) </t>
  </si>
  <si>
    <t xml:space="preserve">Total - Informal Income (actual data) </t>
  </si>
  <si>
    <t>Services - formal (projected)</t>
  </si>
  <si>
    <t>Services - informal (projected)</t>
  </si>
  <si>
    <t>Total - Main Occupation (projected)</t>
  </si>
  <si>
    <t xml:space="preserve">Total - formal Income (projected) </t>
  </si>
  <si>
    <t xml:space="preserve">Total - Informal Income (projected) </t>
  </si>
  <si>
    <t>MODEL PARAMETERS</t>
  </si>
  <si>
    <t>Type of estimation</t>
  </si>
  <si>
    <t>international</t>
  </si>
  <si>
    <t xml:space="preserve">New weight </t>
  </si>
  <si>
    <t>no</t>
  </si>
  <si>
    <t>national</t>
  </si>
  <si>
    <t>si</t>
  </si>
  <si>
    <t>Select escenario</t>
  </si>
  <si>
    <t>Number of months without payments (informal workers)</t>
  </si>
  <si>
    <t>Labor markets indicators (∆  elasticities)</t>
  </si>
  <si>
    <t>Average incomes</t>
  </si>
  <si>
    <t>Agriculture-formal</t>
  </si>
  <si>
    <t>Agriculture-Informal</t>
  </si>
  <si>
    <t>Services- formal</t>
  </si>
  <si>
    <t>Services- informal</t>
  </si>
  <si>
    <t>Total income</t>
  </si>
  <si>
    <t>Non-labor sources (∆  elasticities)</t>
  </si>
  <si>
    <t xml:space="preserve">Employment structure </t>
  </si>
  <si>
    <t>pensions</t>
  </si>
  <si>
    <t>capital</t>
  </si>
  <si>
    <t xml:space="preserve">Population </t>
  </si>
  <si>
    <t>Total WDI</t>
  </si>
  <si>
    <t>parameters</t>
  </si>
  <si>
    <t>inc_agric_for</t>
  </si>
  <si>
    <t>inc_agric_infor</t>
  </si>
  <si>
    <t>inc_ind_for</t>
  </si>
  <si>
    <t>inc_ind_infor</t>
  </si>
  <si>
    <t>inc_serv_for</t>
  </si>
  <si>
    <t>inc_serv_infor</t>
  </si>
  <si>
    <t>labor_inc</t>
  </si>
  <si>
    <t>gdp_total</t>
  </si>
  <si>
    <t>parti_rate</t>
  </si>
  <si>
    <t>unemp_rate</t>
  </si>
  <si>
    <t>sh_agric_for</t>
  </si>
  <si>
    <t>sh_agric_inf</t>
  </si>
  <si>
    <t>sh_indus_for</t>
  </si>
  <si>
    <t>sh_indus_inf</t>
  </si>
  <si>
    <t>sh_servi_for</t>
  </si>
  <si>
    <t>sh_servi_inf</t>
  </si>
  <si>
    <t>informal_agric</t>
  </si>
  <si>
    <t>informal_indus</t>
  </si>
  <si>
    <t>informal_servi</t>
  </si>
  <si>
    <t>Population by country (thousands)</t>
  </si>
  <si>
    <r>
      <rPr>
        <b/>
        <sz val="9"/>
        <color rgb="FFC00000"/>
        <rFont val="Arial"/>
        <family val="2"/>
      </rPr>
      <t>Source:</t>
    </r>
    <r>
      <rPr>
        <sz val="9"/>
        <color rgb="FFC00000"/>
        <rFont val="Arial"/>
        <family val="2"/>
      </rPr>
      <t xml:space="preserve"> World Development Indicators</t>
    </r>
  </si>
  <si>
    <t>pop_total</t>
  </si>
  <si>
    <t>Total Population</t>
  </si>
  <si>
    <t>Growth Total Population</t>
  </si>
  <si>
    <t>15-64</t>
  </si>
  <si>
    <t>Growth 15-64</t>
  </si>
  <si>
    <t>population</t>
  </si>
  <si>
    <t>value</t>
  </si>
  <si>
    <t>total</t>
  </si>
  <si>
    <t>type_estimation</t>
  </si>
  <si>
    <t>model</t>
  </si>
  <si>
    <t>redu</t>
  </si>
  <si>
    <t>num_sectors</t>
  </si>
  <si>
    <t>bonus</t>
  </si>
  <si>
    <t>weights</t>
  </si>
  <si>
    <t>sector</t>
  </si>
  <si>
    <t>rate</t>
  </si>
  <si>
    <t>agriculture</t>
  </si>
  <si>
    <t>industry</t>
  </si>
  <si>
    <t>services</t>
  </si>
  <si>
    <t>category</t>
  </si>
  <si>
    <t>participation</t>
  </si>
  <si>
    <t>unemployment</t>
  </si>
  <si>
    <t>agric_formal</t>
  </si>
  <si>
    <t>agric_informal</t>
  </si>
  <si>
    <t>indus_formal</t>
  </si>
  <si>
    <t>indus_informal</t>
  </si>
  <si>
    <t>servi_formal</t>
  </si>
  <si>
    <t>servi_informal</t>
  </si>
  <si>
    <t>agri formal</t>
  </si>
  <si>
    <t>agri informal</t>
  </si>
  <si>
    <t>ind formal</t>
  </si>
  <si>
    <t>ind informal</t>
  </si>
  <si>
    <t>serv formal</t>
  </si>
  <si>
    <t>serv informal</t>
  </si>
  <si>
    <t>income</t>
  </si>
  <si>
    <t>bdh</t>
  </si>
  <si>
    <t>jgl</t>
  </si>
  <si>
    <t>pl</t>
  </si>
  <si>
    <t>groups</t>
  </si>
  <si>
    <t>female</t>
  </si>
  <si>
    <t>male</t>
  </si>
  <si>
    <t>0-14</t>
  </si>
  <si>
    <t>15-29</t>
  </si>
  <si>
    <t>30-44</t>
  </si>
  <si>
    <t>45-64</t>
  </si>
  <si>
    <t>&gt;=65</t>
  </si>
  <si>
    <r>
      <rPr>
        <b/>
        <sz val="9"/>
        <color rgb="FFC00000"/>
        <rFont val="Arial"/>
        <family val="2"/>
      </rPr>
      <t>Source:</t>
    </r>
    <r>
      <rPr>
        <sz val="9"/>
        <color rgb="FFC00000"/>
        <rFont val="Arial"/>
        <family val="2"/>
      </rPr>
      <t xml:space="preserve"> SEDLAC</t>
    </r>
  </si>
  <si>
    <t>Total Population ratio SEDLAC / MPO</t>
  </si>
  <si>
    <t>15-64 Population ratio SEDLAC /MPO</t>
  </si>
  <si>
    <t>* This should be used only when there are very big differences between the two sources of information.</t>
  </si>
  <si>
    <t>total population</t>
  </si>
  <si>
    <t>cap &amp; pens (assuming 2014=1)</t>
  </si>
  <si>
    <t>Working age population</t>
  </si>
  <si>
    <t>2020-2023</t>
  </si>
  <si>
    <t>2024-2026</t>
  </si>
  <si>
    <t>BGD</t>
  </si>
  <si>
    <t>Bangladesh</t>
  </si>
  <si>
    <t>Construction</t>
  </si>
  <si>
    <t>Rest of Industry</t>
  </si>
  <si>
    <t>Transport</t>
  </si>
  <si>
    <t>Finance</t>
  </si>
  <si>
    <t>Rest of services</t>
  </si>
  <si>
    <t>Agriculture - skilled</t>
  </si>
  <si>
    <t>Agriculture - unskilled</t>
  </si>
  <si>
    <t>Construction - unskilled</t>
  </si>
  <si>
    <t>Construction - skilled</t>
  </si>
  <si>
    <t>Rest of industry - skilled</t>
  </si>
  <si>
    <t>Employment by sector and skill level</t>
  </si>
  <si>
    <t>Transport - unskilled</t>
  </si>
  <si>
    <t>Transport - skilled</t>
  </si>
  <si>
    <t>Finance - unskilled</t>
  </si>
  <si>
    <t>Finance - skilled</t>
  </si>
  <si>
    <t>Rest of services - unskilled</t>
  </si>
  <si>
    <t>Rest of services - skilled</t>
  </si>
  <si>
    <t>Unskilled by sector (%)</t>
  </si>
  <si>
    <t>hspop_1564</t>
  </si>
  <si>
    <t>Rest of industry</t>
  </si>
  <si>
    <t>Rest of industry - unskilled</t>
  </si>
  <si>
    <t>(4) = (6) + (7) + (8) + (9) + (10) + (11)</t>
  </si>
  <si>
    <t>(23)</t>
  </si>
  <si>
    <t>(6) = (12) + (13)</t>
  </si>
  <si>
    <t>(7) = (14) + (15)</t>
  </si>
  <si>
    <t>(15)</t>
  </si>
  <si>
    <t>(16)</t>
  </si>
  <si>
    <t>(17)</t>
  </si>
  <si>
    <t>(18)</t>
  </si>
  <si>
    <t>(19)</t>
  </si>
  <si>
    <t>(20)</t>
  </si>
  <si>
    <t>(21)</t>
  </si>
  <si>
    <t>(22)</t>
  </si>
  <si>
    <t>(8) = (16) + (17)</t>
  </si>
  <si>
    <t>(9) = (18) + (19)</t>
  </si>
  <si>
    <t>(10) = (20) + (21)</t>
  </si>
  <si>
    <t>(11) = (22) + (23)</t>
  </si>
  <si>
    <t xml:space="preserve">(24) = (2) / (1) </t>
  </si>
  <si>
    <t xml:space="preserve">(25) = (3) / (1) </t>
  </si>
  <si>
    <t xml:space="preserve">(26) = (5) / (2) </t>
  </si>
  <si>
    <t xml:space="preserve">(27) = (4) / (1) </t>
  </si>
  <si>
    <t xml:space="preserve">(28) = (6) / (4) </t>
  </si>
  <si>
    <t xml:space="preserve">(29) = (7) / (4) </t>
  </si>
  <si>
    <t xml:space="preserve">(30) = (8) / (4) </t>
  </si>
  <si>
    <t xml:space="preserve">(31) = (9) / (4) </t>
  </si>
  <si>
    <t xml:space="preserve">(32) =  (10) / (4) </t>
  </si>
  <si>
    <t xml:space="preserve">(33) = (11) / (4) </t>
  </si>
  <si>
    <t xml:space="preserve">(34) = [(12) + (14) + (16) + (18) + (20) + (22)] / (4) </t>
  </si>
  <si>
    <t xml:space="preserve">(35) = (12) / (6) </t>
  </si>
  <si>
    <t>(36) = (14) / (7)</t>
  </si>
  <si>
    <t xml:space="preserve">(37) = (16) / (8) </t>
  </si>
  <si>
    <t>(38) = (18) / (9)</t>
  </si>
  <si>
    <t>(39) = (20) / (10)</t>
  </si>
  <si>
    <t xml:space="preserve">(40) = (22) / (11) </t>
  </si>
  <si>
    <t>gdp_s0_a1</t>
  </si>
  <si>
    <t>gdp_s1_a1</t>
  </si>
  <si>
    <t>gdp_s0_a2</t>
  </si>
  <si>
    <t>gdp_s1_a2</t>
  </si>
  <si>
    <t>gdp_s0_a3</t>
  </si>
  <si>
    <t>gdp_s1_a3</t>
  </si>
  <si>
    <t>gdp_s0_a4</t>
  </si>
  <si>
    <t>gdp_s1_a4</t>
  </si>
  <si>
    <t>gdp_s0_a5</t>
  </si>
  <si>
    <t>gdp_s1_a5</t>
  </si>
  <si>
    <t>gdp_s0_a6</t>
  </si>
  <si>
    <t>gdp_s1_a6</t>
  </si>
  <si>
    <t>prod_s0_a1</t>
  </si>
  <si>
    <t>prod_s1_a1</t>
  </si>
  <si>
    <t>prod_s0_a2</t>
  </si>
  <si>
    <t>prod_s1_a2</t>
  </si>
  <si>
    <t>prod_s0_a3</t>
  </si>
  <si>
    <t>prod_s1_a3</t>
  </si>
  <si>
    <t>prod_s0_a4</t>
  </si>
  <si>
    <t>prod_s1_a4</t>
  </si>
  <si>
    <t>prod_s0_a5</t>
  </si>
  <si>
    <t>prod_s1_a5</t>
  </si>
  <si>
    <t>prod_s0_a6</t>
  </si>
  <si>
    <t>prod_s1_a6</t>
  </si>
  <si>
    <t>hslstatus3_1564</t>
  </si>
  <si>
    <t>hslstatus1_1564</t>
  </si>
  <si>
    <t>hslstatus2_1564</t>
  </si>
  <si>
    <t>hslstatus1_s0_a1</t>
  </si>
  <si>
    <t>hslstatus1_s1_a1</t>
  </si>
  <si>
    <t>hslstatus1_s0_a2</t>
  </si>
  <si>
    <t>hslstatus1_s1_a2</t>
  </si>
  <si>
    <t>hslstatus1_s0_a3</t>
  </si>
  <si>
    <t>hslstatus1_s1_a3</t>
  </si>
  <si>
    <t>hslstatus1_s0_a4</t>
  </si>
  <si>
    <t>hslstatus1_s1_a4</t>
  </si>
  <si>
    <t>hslstatus1_s0_a5</t>
  </si>
  <si>
    <t>hslstatus1_s1_a5</t>
  </si>
  <si>
    <t>hslstatus1_s0_a6</t>
  </si>
  <si>
    <t>hslstatus1_s1_a6</t>
  </si>
  <si>
    <t>pvgdp</t>
  </si>
  <si>
    <t>pvgdp_agriculture</t>
  </si>
  <si>
    <t>pvgdp_industry</t>
  </si>
  <si>
    <t>pvgdp_services</t>
  </si>
  <si>
    <t>mfnygdpmktpkn</t>
  </si>
  <si>
    <t xml:space="preserve">  Construction</t>
  </si>
  <si>
    <t xml:space="preserve">  Rest of Industry</t>
  </si>
  <si>
    <t>mfnvagrtotlkn</t>
  </si>
  <si>
    <t>mfnvindconskn</t>
  </si>
  <si>
    <t>mfnvindrestkn</t>
  </si>
  <si>
    <t xml:space="preserve">  Transport</t>
  </si>
  <si>
    <t xml:space="preserve">  Finance </t>
  </si>
  <si>
    <t xml:space="preserve">  Rest of services</t>
  </si>
  <si>
    <t>mfnvsrvtrnskn</t>
  </si>
  <si>
    <t>mfnvsrvfinakn</t>
  </si>
  <si>
    <t>mfnvsrvrestkn</t>
  </si>
  <si>
    <t>Part 1: Gross Domestic Product (GDP) and Population</t>
  </si>
  <si>
    <t>pvpop_total</t>
  </si>
  <si>
    <t>GDP per capita</t>
  </si>
  <si>
    <t>mfpop_totl</t>
  </si>
  <si>
    <t>year-on-year growth rates (%)</t>
  </si>
  <si>
    <t>mfgdppckn</t>
  </si>
  <si>
    <t>unpop_total</t>
  </si>
  <si>
    <t>Population, (POV)</t>
  </si>
  <si>
    <t>Population, (MFMod)</t>
  </si>
  <si>
    <t>Population, (WB)</t>
  </si>
  <si>
    <t>Population, (UN 2024)</t>
  </si>
  <si>
    <t>wbsp_pop_totl</t>
  </si>
  <si>
    <t>Part 1: GDP and Population</t>
  </si>
  <si>
    <t>Check GDP and Population numbers and confirm projections are updated.</t>
  </si>
  <si>
    <t>GDP total and by industry (in millions constant LCU) / Total Population, (millions)</t>
  </si>
  <si>
    <r>
      <rPr>
        <b/>
        <sz val="10"/>
        <color theme="2" tint="-0.89999084444715716"/>
        <rFont val="Arial"/>
        <family val="2"/>
      </rPr>
      <t>Source:</t>
    </r>
    <r>
      <rPr>
        <sz val="10"/>
        <color theme="2" tint="-0.89999084444715716"/>
        <rFont val="Arial"/>
        <family val="2"/>
      </rPr>
      <t xml:space="preserve"> MFM Mod. GDP is in millions of constant LCU, and the base year varies by country. Population is expressed in millions.</t>
    </r>
  </si>
  <si>
    <t>1. GDP AND POPULATION</t>
  </si>
  <si>
    <t>Agriculture - unskilled (actual data)</t>
  </si>
  <si>
    <t>Agriculture - skilled (projected)</t>
  </si>
  <si>
    <t>Agriculture - unskilled (projected)</t>
  </si>
  <si>
    <t>Agriculture - skilled (actual data)</t>
  </si>
  <si>
    <t>Construction - unskilled (actual data)</t>
  </si>
  <si>
    <t>Construction - unskilled (projected)</t>
  </si>
  <si>
    <t>Construction - skilled (actual data)</t>
  </si>
  <si>
    <t>Construction - skilled (projected)</t>
  </si>
  <si>
    <t>Transport - unskilled (actual data)</t>
  </si>
  <si>
    <t>Transport - unskilled (projected)</t>
  </si>
  <si>
    <t>Transport - skilled (actual data)</t>
  </si>
  <si>
    <t>Transport - skilled (projected)</t>
  </si>
  <si>
    <t>Finance - unskilled (actual data)</t>
  </si>
  <si>
    <t>Finance - unskilled (projected)</t>
  </si>
  <si>
    <t>Finance - skilled (actual data)</t>
  </si>
  <si>
    <t>Finance - skilled (projected)</t>
  </si>
  <si>
    <t>Rest of industry - unskilled (actual data)</t>
  </si>
  <si>
    <t>Rest of industry - unskilled (projected)</t>
  </si>
  <si>
    <t>Rest of industry - skilled (actual data)</t>
  </si>
  <si>
    <t>Rest of industry - skilled (projected)</t>
  </si>
  <si>
    <t xml:space="preserve">Rest of services - unskilled (actual data) </t>
  </si>
  <si>
    <t xml:space="preserve">Rest of services - skilled (projected) </t>
  </si>
  <si>
    <t>Population, 15-64 (POV)</t>
  </si>
  <si>
    <t>pvpop_1564</t>
  </si>
  <si>
    <t>unpop_1564</t>
  </si>
  <si>
    <t>Population, 15-64 (UN 2024)</t>
  </si>
  <si>
    <t>Interpolated Values</t>
  </si>
  <si>
    <t xml:space="preserve">      Unemployment rate, change p.p.</t>
  </si>
  <si>
    <t>Employment Neutral Elasticities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</si>
</sst>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_(* #,##0_);_(* \(#,##0\);_(* &quot;-&quot;??_);_(@_)"/>
    <numFmt numFmtId="165" formatCode="0.0%"/>
    <numFmt numFmtId="166" formatCode="0.000"/>
    <numFmt numFmtId="167" formatCode="0.0"/>
    <numFmt numFmtId="168" formatCode="#,##0.0"/>
    <numFmt numFmtId="169" formatCode="0.00000"/>
    <numFmt numFmtId="170" formatCode="0.000000"/>
    <numFmt numFmtId="171" formatCode=";;;"/>
    <numFmt numFmtId="172" formatCode="_(* #,##0.0_);_(* \(#,##0.0\);_(* &quot;-&quot;??_);_(@_)"/>
    <numFmt numFmtId="173" formatCode="[$-409]mmmm\ d\,\ yyyy;@"/>
    <numFmt numFmtId="174" formatCode="0.00,,&quot;M&quot;"/>
  </numFmts>
  <fonts count="126" x14ac:knownFonts="1">
    <font>
      <sz val="11"/>
      <color theme="1"/>
      <name val="Calibri"/>
      <family val="2"/>
      <scheme val="minor"/>
    </font>
    <font>
      <sz val="11"/>
      <color theme="1"/>
      <name val="Calibri"/>
      <family val="2"/>
      <scheme val="minor"/>
    </font>
    <font>
      <b/>
      <sz val="9"/>
      <color theme="1"/>
      <name val="Arial"/>
      <family val="2"/>
    </font>
    <font>
      <sz val="9"/>
      <color theme="1"/>
      <name val="Arial"/>
      <family val="2"/>
    </font>
    <font>
      <b/>
      <sz val="9"/>
      <color rgb="FFC00000"/>
      <name val="Arial"/>
      <family val="2"/>
    </font>
    <font>
      <sz val="10"/>
      <name val="Arial"/>
      <family val="2"/>
    </font>
    <font>
      <b/>
      <sz val="9"/>
      <name val="Arial"/>
      <family val="2"/>
    </font>
    <font>
      <sz val="9"/>
      <name val="Arial"/>
      <family val="2"/>
    </font>
    <font>
      <b/>
      <sz val="11"/>
      <color theme="1"/>
      <name val="Arial"/>
      <family val="2"/>
    </font>
    <font>
      <b/>
      <sz val="10"/>
      <color theme="1"/>
      <name val="Arial"/>
      <family val="2"/>
    </font>
    <font>
      <sz val="9"/>
      <color rgb="FFC00000"/>
      <name val="Arial"/>
      <family val="2"/>
    </font>
    <font>
      <sz val="11"/>
      <color rgb="FF9C0006"/>
      <name val="Calibri"/>
      <family val="2"/>
      <scheme val="minor"/>
    </font>
    <font>
      <b/>
      <sz val="10"/>
      <color theme="1"/>
      <name val="Calibri Light"/>
      <family val="2"/>
      <scheme val="major"/>
    </font>
    <font>
      <sz val="10"/>
      <color theme="1"/>
      <name val="Calibri Light"/>
      <family val="2"/>
      <scheme val="major"/>
    </font>
    <font>
      <sz val="10"/>
      <name val="Calibri Light"/>
      <family val="2"/>
      <scheme val="major"/>
    </font>
    <font>
      <b/>
      <sz val="10"/>
      <name val="Calibri Light"/>
      <family val="2"/>
      <scheme val="major"/>
    </font>
    <font>
      <sz val="10"/>
      <color rgb="FFFF0000"/>
      <name val="Calibri Light"/>
      <family val="2"/>
      <scheme val="major"/>
    </font>
    <font>
      <sz val="10"/>
      <color theme="0"/>
      <name val="Calibri Light"/>
      <family val="2"/>
      <scheme val="major"/>
    </font>
    <font>
      <b/>
      <sz val="10"/>
      <color theme="4"/>
      <name val="Calibri Light"/>
      <family val="2"/>
      <scheme val="major"/>
    </font>
    <font>
      <sz val="9"/>
      <color theme="1"/>
      <name val="Calibri Light"/>
      <family val="2"/>
      <scheme val="major"/>
    </font>
    <font>
      <b/>
      <sz val="9"/>
      <color theme="1"/>
      <name val="Calibri Light"/>
      <family val="2"/>
      <scheme val="major"/>
    </font>
    <font>
      <sz val="10"/>
      <color theme="1"/>
      <name val="Calibri Light"/>
      <family val="2"/>
    </font>
    <font>
      <sz val="11"/>
      <name val="Calibri"/>
      <family val="2"/>
      <scheme val="minor"/>
    </font>
    <font>
      <sz val="11"/>
      <color rgb="FF000000"/>
      <name val="Calibri"/>
      <family val="2"/>
      <scheme val="minor"/>
    </font>
    <font>
      <sz val="8"/>
      <name val="Calibri"/>
      <family val="2"/>
      <scheme val="minor"/>
    </font>
    <font>
      <sz val="10"/>
      <color theme="1"/>
      <name val="Calibri"/>
      <family val="2"/>
      <scheme val="minor"/>
    </font>
    <font>
      <b/>
      <sz val="12"/>
      <color rgb="FFC00000"/>
      <name val="Arial"/>
      <family val="2"/>
    </font>
    <font>
      <sz val="10"/>
      <color theme="1"/>
      <name val="Arial"/>
      <family val="2"/>
    </font>
    <font>
      <u/>
      <sz val="11"/>
      <color theme="10"/>
      <name val="Calibri"/>
      <family val="2"/>
      <scheme val="minor"/>
    </font>
    <font>
      <sz val="11"/>
      <color theme="1"/>
      <name val="Arial"/>
      <family val="2"/>
    </font>
    <font>
      <sz val="11"/>
      <color rgb="FFFF0000"/>
      <name val="Arial"/>
      <family val="2"/>
    </font>
    <font>
      <sz val="11"/>
      <color theme="0"/>
      <name val="Calibri"/>
      <family val="2"/>
      <scheme val="minor"/>
    </font>
    <font>
      <sz val="9"/>
      <color theme="0"/>
      <name val="Arial"/>
      <family val="2"/>
    </font>
    <font>
      <sz val="11"/>
      <name val="Arial"/>
      <family val="2"/>
    </font>
    <font>
      <sz val="11"/>
      <color theme="0"/>
      <name val="Arial"/>
      <family val="2"/>
    </font>
    <font>
      <sz val="8"/>
      <color theme="1"/>
      <name val="Arial"/>
      <family val="2"/>
    </font>
    <font>
      <sz val="8"/>
      <color rgb="FFC00000"/>
      <name val="Arial"/>
      <family val="2"/>
    </font>
    <font>
      <b/>
      <i/>
      <sz val="10"/>
      <color theme="1"/>
      <name val="Arial"/>
      <family val="2"/>
    </font>
    <font>
      <b/>
      <sz val="14"/>
      <color theme="0"/>
      <name val="Arial"/>
      <family val="2"/>
    </font>
    <font>
      <b/>
      <sz val="11"/>
      <name val="Calibri"/>
      <family val="2"/>
      <scheme val="minor"/>
    </font>
    <font>
      <b/>
      <sz val="12"/>
      <color theme="0"/>
      <name val="Arial"/>
      <family val="2"/>
    </font>
    <font>
      <b/>
      <sz val="11"/>
      <color theme="0"/>
      <name val="Arial"/>
      <family val="2"/>
    </font>
    <font>
      <b/>
      <sz val="16"/>
      <color theme="0"/>
      <name val="Arial"/>
      <family val="2"/>
    </font>
    <font>
      <b/>
      <sz val="14"/>
      <color theme="4" tint="-0.249977111117893"/>
      <name val="Arial"/>
      <family val="2"/>
    </font>
    <font>
      <sz val="9"/>
      <color theme="4" tint="-0.249977111117893"/>
      <name val="Arial"/>
      <family val="2"/>
    </font>
    <font>
      <b/>
      <sz val="9"/>
      <color theme="0"/>
      <name val="Arial"/>
      <family val="2"/>
    </font>
    <font>
      <b/>
      <sz val="11"/>
      <color theme="4" tint="-0.249977111117893"/>
      <name val="Arial"/>
      <family val="2"/>
    </font>
    <font>
      <sz val="10"/>
      <color theme="0"/>
      <name val="Arial"/>
      <family val="2"/>
    </font>
    <font>
      <u/>
      <sz val="11"/>
      <color theme="10"/>
      <name val="Arial"/>
      <family val="2"/>
    </font>
    <font>
      <sz val="11"/>
      <color theme="4" tint="-0.249977111117893"/>
      <name val="Arial"/>
      <family val="2"/>
    </font>
    <font>
      <b/>
      <sz val="10"/>
      <name val="Arial"/>
      <family val="2"/>
    </font>
    <font>
      <b/>
      <sz val="10"/>
      <color rgb="FFC00000"/>
      <name val="Arial"/>
      <family val="2"/>
    </font>
    <font>
      <u/>
      <sz val="9"/>
      <color theme="10"/>
      <name val="Arial"/>
      <family val="2"/>
    </font>
    <font>
      <b/>
      <sz val="10"/>
      <color theme="4" tint="-0.499984740745262"/>
      <name val="Arial"/>
      <family val="2"/>
    </font>
    <font>
      <sz val="11"/>
      <color theme="1"/>
      <name val="Arial"/>
      <family val="2"/>
    </font>
    <font>
      <sz val="11"/>
      <color theme="4" tint="-0.249977111117893"/>
      <name val="Calibri"/>
      <family val="2"/>
      <scheme val="minor"/>
    </font>
    <font>
      <b/>
      <sz val="11"/>
      <color theme="4" tint="-0.249977111117893"/>
      <name val="Calibri"/>
      <family val="2"/>
      <scheme val="minor"/>
    </font>
    <font>
      <sz val="11"/>
      <color rgb="FFFF0000"/>
      <name val="Calibri"/>
      <family val="2"/>
      <scheme val="minor"/>
    </font>
    <font>
      <sz val="9"/>
      <color rgb="FFFF0000"/>
      <name val="Arial"/>
      <family val="2"/>
    </font>
    <font>
      <b/>
      <sz val="9"/>
      <color rgb="FFFF0000"/>
      <name val="Arial"/>
      <family val="2"/>
    </font>
    <font>
      <b/>
      <sz val="16"/>
      <color theme="8"/>
      <name val="Arial"/>
      <family val="2"/>
    </font>
    <font>
      <b/>
      <sz val="11"/>
      <color theme="8"/>
      <name val="Arial"/>
      <family val="2"/>
    </font>
    <font>
      <b/>
      <sz val="10"/>
      <color theme="4" tint="-0.249977111117893"/>
      <name val="Arial"/>
      <family val="2"/>
    </font>
    <font>
      <b/>
      <sz val="13"/>
      <color theme="0"/>
      <name val="Arial"/>
      <family val="2"/>
    </font>
    <font>
      <sz val="8.5"/>
      <color theme="1"/>
      <name val="Arial"/>
      <family val="2"/>
    </font>
    <font>
      <b/>
      <u/>
      <sz val="11"/>
      <color theme="0"/>
      <name val="Arial"/>
      <family val="2"/>
    </font>
    <font>
      <sz val="11"/>
      <color theme="10"/>
      <name val="Arial"/>
      <family val="2"/>
    </font>
    <font>
      <sz val="10"/>
      <color theme="1" tint="0.249977111117893"/>
      <name val="Arial"/>
      <family val="2"/>
    </font>
    <font>
      <sz val="10"/>
      <color theme="2" tint="-0.89999084444715716"/>
      <name val="Arial"/>
      <family val="2"/>
    </font>
    <font>
      <b/>
      <sz val="10"/>
      <color theme="2" tint="-0.89999084444715716"/>
      <name val="Arial"/>
      <family val="2"/>
    </font>
    <font>
      <sz val="11"/>
      <color theme="2" tint="-0.89999084444715716"/>
      <name val="Arial"/>
      <family val="2"/>
    </font>
    <font>
      <sz val="9"/>
      <color theme="2" tint="-0.89999084444715716"/>
      <name val="Arial"/>
      <family val="2"/>
    </font>
    <font>
      <b/>
      <sz val="14"/>
      <color rgb="FF002060"/>
      <name val="Arial"/>
      <family val="2"/>
    </font>
    <font>
      <sz val="10"/>
      <color rgb="FF002060"/>
      <name val="Arial"/>
      <family val="2"/>
    </font>
    <font>
      <sz val="11"/>
      <color rgb="FF002060"/>
      <name val="Arial"/>
      <family val="2"/>
    </font>
    <font>
      <b/>
      <sz val="9"/>
      <color rgb="FF002060"/>
      <name val="Arial"/>
      <family val="2"/>
    </font>
    <font>
      <sz val="9"/>
      <color rgb="FF002060"/>
      <name val="Arial"/>
      <family val="2"/>
    </font>
    <font>
      <b/>
      <sz val="10"/>
      <color rgb="FF002060"/>
      <name val="Arial"/>
      <family val="2"/>
    </font>
    <font>
      <u/>
      <sz val="9"/>
      <color rgb="FF002060"/>
      <name val="Arial"/>
      <family val="2"/>
    </font>
    <font>
      <b/>
      <sz val="11"/>
      <color rgb="FF002060"/>
      <name val="Arial"/>
      <family val="2"/>
    </font>
    <font>
      <b/>
      <sz val="9"/>
      <color theme="8" tint="0.59999389629810485"/>
      <name val="Arial"/>
      <family val="2"/>
    </font>
    <font>
      <u/>
      <sz val="10"/>
      <color rgb="FF002060"/>
      <name val="Arial"/>
      <family val="2"/>
    </font>
    <font>
      <b/>
      <sz val="16"/>
      <color rgb="FF002060"/>
      <name val="Arial"/>
      <family val="2"/>
    </font>
    <font>
      <b/>
      <sz val="14"/>
      <color rgb="FF213315"/>
      <name val="Arial"/>
      <family val="2"/>
    </font>
    <font>
      <b/>
      <sz val="11"/>
      <color rgb="FF213315"/>
      <name val="Arial"/>
      <family val="2"/>
    </font>
    <font>
      <sz val="10"/>
      <color rgb="FF213315"/>
      <name val="Arial"/>
      <family val="2"/>
    </font>
    <font>
      <sz val="8"/>
      <color rgb="FF213315"/>
      <name val="Arial"/>
      <family val="2"/>
    </font>
    <font>
      <sz val="7"/>
      <color rgb="FF213315"/>
      <name val="Arial"/>
      <family val="2"/>
    </font>
    <font>
      <u/>
      <sz val="8"/>
      <color rgb="FF213315"/>
      <name val="Arial"/>
      <family val="2"/>
    </font>
    <font>
      <sz val="11"/>
      <color rgb="FF213315"/>
      <name val="Arial"/>
      <family val="2"/>
    </font>
    <font>
      <b/>
      <sz val="11"/>
      <color theme="9" tint="-0.499984740745262"/>
      <name val="Arial"/>
      <family val="2"/>
    </font>
    <font>
      <b/>
      <sz val="9"/>
      <color theme="9" tint="-0.499984740745262"/>
      <name val="Arial"/>
      <family val="2"/>
    </font>
    <font>
      <sz val="9"/>
      <color theme="9" tint="-0.499984740745262"/>
      <name val="Arial"/>
      <family val="2"/>
    </font>
    <font>
      <b/>
      <sz val="12"/>
      <color theme="9" tint="-0.499984740745262"/>
      <name val="Arial"/>
      <family val="2"/>
    </font>
    <font>
      <sz val="10"/>
      <color theme="9" tint="-0.499984740745262"/>
      <name val="Arial"/>
      <family val="2"/>
    </font>
    <font>
      <b/>
      <sz val="10"/>
      <color theme="9" tint="-0.499984740745262"/>
      <name val="Arial"/>
      <family val="2"/>
    </font>
    <font>
      <b/>
      <sz val="14"/>
      <color theme="5" tint="-0.499984740745262"/>
      <name val="Arial"/>
      <family val="2"/>
    </font>
    <font>
      <sz val="10"/>
      <color theme="5" tint="-0.499984740745262"/>
      <name val="Arial"/>
      <family val="2"/>
    </font>
    <font>
      <sz val="11"/>
      <color theme="5" tint="-0.499984740745262"/>
      <name val="Arial"/>
      <family val="2"/>
    </font>
    <font>
      <u/>
      <sz val="8"/>
      <color theme="5" tint="-0.499984740745262"/>
      <name val="Arial"/>
      <family val="2"/>
    </font>
    <font>
      <sz val="9"/>
      <color theme="5" tint="-0.499984740745262"/>
      <name val="Arial"/>
      <family val="2"/>
    </font>
    <font>
      <b/>
      <sz val="11"/>
      <color theme="5" tint="-0.499984740745262"/>
      <name val="Arial"/>
      <family val="2"/>
    </font>
    <font>
      <b/>
      <sz val="9"/>
      <color theme="5" tint="-0.499984740745262"/>
      <name val="Arial"/>
      <family val="2"/>
    </font>
    <font>
      <sz val="8"/>
      <color theme="5" tint="-0.499984740745262"/>
      <name val="Arial"/>
      <family val="2"/>
    </font>
    <font>
      <sz val="10"/>
      <color rgb="FF860000"/>
      <name val="Arial"/>
      <family val="2"/>
    </font>
    <font>
      <b/>
      <sz val="14"/>
      <color rgb="FF860000"/>
      <name val="Arial"/>
      <family val="2"/>
    </font>
    <font>
      <sz val="9"/>
      <color rgb="FF860000"/>
      <name val="Arial"/>
      <family val="2"/>
    </font>
    <font>
      <b/>
      <sz val="11"/>
      <color rgb="FF860000"/>
      <name val="Arial"/>
      <family val="2"/>
    </font>
    <font>
      <sz val="11"/>
      <color rgb="FF860000"/>
      <name val="Arial"/>
      <family val="2"/>
    </font>
    <font>
      <b/>
      <i/>
      <sz val="11"/>
      <color rgb="FF860000"/>
      <name val="Arial"/>
      <family val="2"/>
    </font>
    <font>
      <i/>
      <sz val="10"/>
      <color theme="1" tint="0.249977111117893"/>
      <name val="Arial"/>
      <family val="2"/>
    </font>
    <font>
      <b/>
      <sz val="12"/>
      <color rgb="FF860000"/>
      <name val="Arial"/>
      <family val="2"/>
    </font>
    <font>
      <u/>
      <sz val="16"/>
      <color rgb="FF860000"/>
      <name val="Calibri"/>
      <family val="2"/>
      <scheme val="minor"/>
    </font>
    <font>
      <b/>
      <sz val="10"/>
      <color rgb="FF860000"/>
      <name val="Calibri Light"/>
      <family val="2"/>
      <scheme val="major"/>
    </font>
    <font>
      <b/>
      <sz val="11"/>
      <color rgb="FF860000"/>
      <name val="Calibri Light"/>
      <family val="2"/>
      <scheme val="major"/>
    </font>
    <font>
      <sz val="10"/>
      <color rgb="FF860000"/>
      <name val="Calibri Light"/>
      <family val="2"/>
      <scheme val="major"/>
    </font>
    <font>
      <b/>
      <sz val="14"/>
      <color theme="0"/>
      <name val="Calibri Light"/>
      <family val="2"/>
      <scheme val="major"/>
    </font>
    <font>
      <i/>
      <sz val="10"/>
      <color rgb="FF860000"/>
      <name val="Arial"/>
      <family val="2"/>
    </font>
    <font>
      <b/>
      <sz val="10"/>
      <color rgb="FF860000"/>
      <name val="Arial"/>
      <family val="2"/>
    </font>
    <font>
      <u/>
      <sz val="10"/>
      <color theme="9" tint="-0.499984740745262"/>
      <name val="Arial"/>
      <family val="2"/>
    </font>
    <font>
      <b/>
      <sz val="11"/>
      <color rgb="FFFF0000"/>
      <name val="Calibri"/>
      <family val="2"/>
      <scheme val="minor"/>
    </font>
    <font>
      <b/>
      <sz val="10"/>
      <color rgb="FFFF0000"/>
      <name val="Calibri"/>
      <family val="2"/>
      <scheme val="minor"/>
    </font>
    <font>
      <b/>
      <sz val="10"/>
      <color rgb="FFCCE9AD"/>
      <name val="Arial"/>
      <family val="2"/>
    </font>
    <font>
      <sz val="10"/>
      <color theme="4"/>
      <name val="Arial"/>
      <family val="2"/>
    </font>
    <font>
      <b/>
      <sz val="10"/>
      <color theme="3"/>
      <name val="Arial"/>
      <family val="2"/>
    </font>
    <font>
      <sz val="10"/>
      <color theme="4" tint="-0.249977111117893"/>
      <name val="Arial"/>
      <family val="2"/>
    </font>
  </fonts>
  <fills count="32">
    <fill>
      <patternFill patternType="none"/>
    </fill>
    <fill>
      <patternFill patternType="gray125"/>
    </fill>
    <fill>
      <patternFill patternType="solid">
        <fgColor rgb="FFFFC7CE"/>
      </patternFill>
    </fill>
    <fill>
      <patternFill patternType="solid">
        <fgColor theme="2" tint="-9.9978637043366805E-2"/>
        <bgColor indexed="64"/>
      </patternFill>
    </fill>
    <fill>
      <patternFill patternType="solid">
        <fgColor theme="0"/>
        <bgColor indexed="64"/>
      </patternFill>
    </fill>
    <fill>
      <patternFill patternType="solid">
        <fgColor theme="8" tint="0.79995117038483843"/>
        <bgColor indexed="64"/>
      </patternFill>
    </fill>
    <fill>
      <patternFill patternType="solid">
        <fgColor theme="2"/>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rgb="FF000000"/>
      </patternFill>
    </fill>
    <fill>
      <patternFill patternType="solid">
        <fgColor theme="8"/>
        <bgColor rgb="FF000000"/>
      </patternFill>
    </fill>
    <fill>
      <patternFill patternType="solid">
        <fgColor theme="8"/>
        <bgColor indexed="64"/>
      </patternFill>
    </fill>
    <fill>
      <patternFill patternType="solid">
        <fgColor rgb="FFB8E08C"/>
        <bgColor indexed="64"/>
      </patternFill>
    </fill>
    <fill>
      <patternFill patternType="solid">
        <fgColor rgb="FFFF9797"/>
        <bgColor indexed="64"/>
      </patternFill>
    </fill>
    <fill>
      <patternFill patternType="solid">
        <fgColor theme="8" tint="0.59999389629810485"/>
        <bgColor rgb="FF000000"/>
      </patternFill>
    </fill>
    <fill>
      <patternFill patternType="solid">
        <fgColor theme="8" tint="-0.249977111117893"/>
        <bgColor indexed="64"/>
      </patternFill>
    </fill>
    <fill>
      <patternFill patternType="solid">
        <fgColor rgb="FFECF4FA"/>
        <bgColor indexed="64"/>
      </patternFill>
    </fill>
    <fill>
      <patternFill patternType="solid">
        <fgColor rgb="FFCCE9AD"/>
        <bgColor indexed="64"/>
      </patternFill>
    </fill>
    <fill>
      <patternFill patternType="solid">
        <fgColor rgb="FFE7F4D8"/>
        <bgColor indexed="64"/>
      </patternFill>
    </fill>
    <fill>
      <patternFill patternType="solid">
        <fgColor rgb="FF8DCD47"/>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FFC9C9"/>
        <bgColor indexed="64"/>
      </patternFill>
    </fill>
    <fill>
      <patternFill patternType="solid">
        <fgColor rgb="FFFFD9D9"/>
        <bgColor indexed="64"/>
      </patternFill>
    </fill>
    <fill>
      <patternFill patternType="solid">
        <fgColor rgb="FFFFEBEB"/>
        <bgColor indexed="64"/>
      </patternFill>
    </fill>
    <fill>
      <patternFill patternType="solid">
        <fgColor theme="9" tint="0.79998168889431442"/>
        <bgColor indexed="64"/>
      </patternFill>
    </fill>
    <fill>
      <patternFill patternType="solid">
        <fgColor theme="3"/>
        <bgColor indexed="64"/>
      </patternFill>
    </fill>
  </fills>
  <borders count="44">
    <border>
      <left/>
      <right/>
      <top/>
      <bottom/>
      <diagonal/>
    </border>
    <border>
      <left/>
      <right/>
      <top/>
      <bottom style="thin">
        <color auto="1"/>
      </bottom>
      <diagonal/>
    </border>
    <border>
      <left/>
      <right style="thin">
        <color auto="1"/>
      </right>
      <top/>
      <bottom/>
      <diagonal/>
    </border>
    <border>
      <left/>
      <right style="thin">
        <color auto="1"/>
      </right>
      <top/>
      <bottom style="double">
        <color auto="1"/>
      </bottom>
      <diagonal/>
    </border>
    <border>
      <left/>
      <right/>
      <top/>
      <bottom style="double">
        <color auto="1"/>
      </bottom>
      <diagonal/>
    </border>
    <border>
      <left style="medium">
        <color auto="1"/>
      </left>
      <right style="thin">
        <color auto="1"/>
      </right>
      <top style="double">
        <color auto="1"/>
      </top>
      <bottom style="medium">
        <color auto="1"/>
      </bottom>
      <diagonal/>
    </border>
    <border>
      <left/>
      <right style="thin">
        <color auto="1"/>
      </right>
      <top style="double">
        <color auto="1"/>
      </top>
      <bottom style="medium">
        <color auto="1"/>
      </bottom>
      <diagonal/>
    </border>
    <border>
      <left style="thin">
        <color indexed="64"/>
      </left>
      <right style="thin">
        <color indexed="64"/>
      </right>
      <top style="double">
        <color auto="1"/>
      </top>
      <bottom style="medium">
        <color auto="1"/>
      </bottom>
      <diagonal/>
    </border>
    <border>
      <left style="thin">
        <color indexed="64"/>
      </left>
      <right/>
      <top style="double">
        <color auto="1"/>
      </top>
      <bottom style="medium">
        <color auto="1"/>
      </bottom>
      <diagonal/>
    </border>
    <border>
      <left style="medium">
        <color indexed="64"/>
      </left>
      <right style="thin">
        <color indexed="64"/>
      </right>
      <top style="double">
        <color auto="1"/>
      </top>
      <bottom/>
      <diagonal/>
    </border>
    <border>
      <left style="thin">
        <color indexed="64"/>
      </left>
      <right style="thin">
        <color indexed="64"/>
      </right>
      <top style="thin">
        <color indexed="64"/>
      </top>
      <bottom style="double">
        <color indexed="64"/>
      </bottom>
      <diagonal/>
    </border>
    <border>
      <left/>
      <right/>
      <top style="double">
        <color auto="1"/>
      </top>
      <bottom style="thin">
        <color auto="1"/>
      </bottom>
      <diagonal/>
    </border>
    <border>
      <left/>
      <right style="thin">
        <color indexed="64"/>
      </right>
      <top style="double">
        <color auto="1"/>
      </top>
      <bottom/>
      <diagonal/>
    </border>
    <border>
      <left/>
      <right/>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indexed="64"/>
      </bottom>
      <diagonal/>
    </border>
    <border>
      <left style="thin">
        <color auto="1"/>
      </left>
      <right style="medium">
        <color auto="1"/>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right style="thin">
        <color indexed="64"/>
      </right>
      <top/>
      <bottom style="medium">
        <color indexed="64"/>
      </bottom>
      <diagonal/>
    </border>
    <border>
      <left/>
      <right/>
      <top style="medium">
        <color indexed="64"/>
      </top>
      <bottom/>
      <diagonal/>
    </border>
    <border>
      <left/>
      <right style="thin">
        <color indexed="64"/>
      </right>
      <top/>
      <bottom style="dashed">
        <color indexed="64"/>
      </bottom>
      <diagonal/>
    </border>
    <border>
      <left/>
      <right style="thin">
        <color auto="1"/>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double">
        <color auto="1"/>
      </top>
      <bottom/>
      <diagonal/>
    </border>
    <border>
      <left style="medium">
        <color indexed="64"/>
      </left>
      <right style="medium">
        <color indexed="64"/>
      </right>
      <top style="medium">
        <color indexed="64"/>
      </top>
      <bottom/>
      <diagonal/>
    </border>
    <border>
      <left/>
      <right/>
      <top/>
      <bottom style="thin">
        <color theme="2" tint="-9.9978637043366805E-2"/>
      </bottom>
      <diagonal/>
    </border>
    <border>
      <left/>
      <right/>
      <top/>
      <bottom style="thin">
        <color theme="8" tint="0.59999389629810485"/>
      </bottom>
      <diagonal/>
    </border>
    <border>
      <left/>
      <right style="thin">
        <color theme="8" tint="0.79998168889431442"/>
      </right>
      <top/>
      <bottom/>
      <diagonal/>
    </border>
    <border>
      <left/>
      <right/>
      <top/>
      <bottom style="thin">
        <color theme="8" tint="0.79998168889431442"/>
      </bottom>
      <diagonal/>
    </border>
    <border>
      <left/>
      <right style="thin">
        <color theme="8" tint="0.79998168889431442"/>
      </right>
      <top/>
      <bottom style="thin">
        <color theme="8" tint="0.79998168889431442"/>
      </bottom>
      <diagonal/>
    </border>
    <border>
      <left/>
      <right/>
      <top/>
      <bottom style="thin">
        <color rgb="FF8DCD47"/>
      </bottom>
      <diagonal/>
    </border>
    <border>
      <left/>
      <right/>
      <top/>
      <bottom style="thin">
        <color rgb="FFCCE9AD"/>
      </bottom>
      <diagonal/>
    </border>
    <border>
      <left/>
      <right/>
      <top/>
      <bottom style="thin">
        <color theme="5" tint="0.39997558519241921"/>
      </bottom>
      <diagonal/>
    </border>
    <border>
      <left/>
      <right/>
      <top style="thin">
        <color theme="5" tint="0.39997558519241921"/>
      </top>
      <bottom/>
      <diagonal/>
    </border>
    <border>
      <left/>
      <right style="thin">
        <color indexed="64"/>
      </right>
      <top style="double">
        <color auto="1"/>
      </top>
      <bottom style="double">
        <color auto="1"/>
      </bottom>
      <diagonal/>
    </border>
    <border>
      <left style="medium">
        <color indexed="64"/>
      </left>
      <right style="thin">
        <color auto="1"/>
      </right>
      <top/>
      <bottom style="double">
        <color indexed="64"/>
      </bottom>
      <diagonal/>
    </border>
    <border>
      <left style="thin">
        <color auto="1"/>
      </left>
      <right style="medium">
        <color auto="1"/>
      </right>
      <top/>
      <bottom style="double">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5" fillId="0" borderId="0"/>
    <xf numFmtId="0" fontId="11" fillId="2" borderId="0" applyNumberFormat="0" applyBorder="0" applyAlignment="0" applyProtection="0"/>
    <xf numFmtId="0" fontId="23" fillId="0" borderId="0"/>
    <xf numFmtId="0" fontId="28" fillId="0" borderId="0" applyNumberFormat="0" applyFill="0" applyBorder="0" applyAlignment="0" applyProtection="0"/>
  </cellStyleXfs>
  <cellXfs count="586">
    <xf numFmtId="0" fontId="0" fillId="0" borderId="0" xfId="0"/>
    <xf numFmtId="0" fontId="4" fillId="0" borderId="0" xfId="0" applyFont="1" applyAlignment="1">
      <alignment horizontal="left" vertical="center"/>
    </xf>
    <xf numFmtId="0" fontId="2" fillId="0" borderId="0" xfId="0" applyFont="1" applyAlignment="1">
      <alignment horizontal="left" vertical="center"/>
    </xf>
    <xf numFmtId="0" fontId="3" fillId="0" borderId="0" xfId="0" applyFont="1" applyAlignment="1">
      <alignment vertical="center"/>
    </xf>
    <xf numFmtId="0" fontId="3" fillId="0" borderId="0" xfId="0" applyFont="1" applyAlignment="1">
      <alignment horizontal="center" vertical="center"/>
    </xf>
    <xf numFmtId="0" fontId="2" fillId="0" borderId="5" xfId="0" applyFont="1" applyBorder="1" applyAlignment="1">
      <alignment horizontal="center" vertical="center"/>
    </xf>
    <xf numFmtId="0" fontId="2" fillId="0" borderId="8" xfId="0" applyFont="1" applyBorder="1" applyAlignment="1">
      <alignment horizontal="center" vertical="center"/>
    </xf>
    <xf numFmtId="3" fontId="3" fillId="0" borderId="9" xfId="0" applyNumberFormat="1" applyFont="1" applyBorder="1" applyAlignment="1">
      <alignment horizontal="center" vertical="center"/>
    </xf>
    <xf numFmtId="164" fontId="13" fillId="3" borderId="4" xfId="1" applyNumberFormat="1" applyFont="1" applyFill="1" applyBorder="1" applyAlignment="1">
      <alignment vertical="center"/>
    </xf>
    <xf numFmtId="167" fontId="13" fillId="3" borderId="0" xfId="0" applyNumberFormat="1" applyFont="1" applyFill="1" applyAlignment="1">
      <alignment vertical="center"/>
    </xf>
    <xf numFmtId="167" fontId="13" fillId="3" borderId="4" xfId="0" applyNumberFormat="1" applyFont="1" applyFill="1" applyBorder="1" applyAlignment="1">
      <alignment vertical="center"/>
    </xf>
    <xf numFmtId="0" fontId="14" fillId="0" borderId="0" xfId="3" applyFont="1" applyAlignment="1">
      <alignment vertical="center"/>
    </xf>
    <xf numFmtId="0" fontId="14" fillId="0" borderId="13" xfId="3" applyFont="1" applyBorder="1" applyAlignment="1">
      <alignment vertical="center"/>
    </xf>
    <xf numFmtId="0" fontId="19" fillId="4" borderId="0" xfId="0" applyFont="1" applyFill="1" applyAlignment="1">
      <alignment horizontal="center" vertical="center"/>
    </xf>
    <xf numFmtId="0" fontId="19" fillId="4" borderId="0" xfId="0" applyFont="1" applyFill="1" applyAlignment="1">
      <alignment vertical="center"/>
    </xf>
    <xf numFmtId="0" fontId="20" fillId="4" borderId="0" xfId="0" applyFont="1" applyFill="1" applyAlignment="1">
      <alignment horizontal="left" vertical="center"/>
    </xf>
    <xf numFmtId="0" fontId="20" fillId="4" borderId="0" xfId="0" applyFont="1" applyFill="1" applyAlignment="1">
      <alignment horizontal="center" vertical="center"/>
    </xf>
    <xf numFmtId="170" fontId="19" fillId="4" borderId="0" xfId="0" applyNumberFormat="1" applyFont="1" applyFill="1" applyAlignment="1">
      <alignment vertical="center"/>
    </xf>
    <xf numFmtId="169" fontId="19" fillId="4" borderId="0" xfId="0" applyNumberFormat="1" applyFont="1" applyFill="1" applyAlignment="1">
      <alignment vertical="center"/>
    </xf>
    <xf numFmtId="0" fontId="20" fillId="4" borderId="0" xfId="0" applyFont="1" applyFill="1" applyAlignment="1">
      <alignment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5" fillId="0" borderId="0" xfId="0" applyFont="1"/>
    <xf numFmtId="2" fontId="0" fillId="0" borderId="0" xfId="0" applyNumberFormat="1"/>
    <xf numFmtId="0" fontId="26" fillId="0" borderId="0" xfId="0" applyFont="1" applyAlignment="1">
      <alignment horizontal="left" vertical="center"/>
    </xf>
    <xf numFmtId="0" fontId="10" fillId="0" borderId="0" xfId="0" applyFont="1" applyAlignment="1">
      <alignment vertical="center"/>
    </xf>
    <xf numFmtId="0" fontId="4" fillId="0" borderId="12" xfId="0" applyFont="1" applyBorder="1" applyAlignment="1">
      <alignment horizontal="center" vertical="center"/>
    </xf>
    <xf numFmtId="0" fontId="0" fillId="0" borderId="22" xfId="0" applyBorder="1"/>
    <xf numFmtId="0" fontId="0" fillId="0" borderId="21" xfId="0" applyBorder="1"/>
    <xf numFmtId="0" fontId="0" fillId="0" borderId="20" xfId="0" applyBorder="1"/>
    <xf numFmtId="0" fontId="0" fillId="0" borderId="23" xfId="0" applyBorder="1"/>
    <xf numFmtId="0" fontId="29" fillId="0" borderId="0" xfId="0" applyFont="1"/>
    <xf numFmtId="0" fontId="31" fillId="0" borderId="0" xfId="0" applyFont="1"/>
    <xf numFmtId="0" fontId="0" fillId="0" borderId="25" xfId="0" applyBorder="1" applyAlignment="1">
      <alignment horizontal="center"/>
    </xf>
    <xf numFmtId="0" fontId="0" fillId="0" borderId="25" xfId="0" applyBorder="1"/>
    <xf numFmtId="0" fontId="0" fillId="0" borderId="29" xfId="0" applyBorder="1"/>
    <xf numFmtId="0" fontId="29" fillId="0" borderId="28" xfId="0" applyFont="1" applyBorder="1"/>
    <xf numFmtId="0" fontId="29" fillId="0" borderId="29" xfId="0" applyFont="1" applyBorder="1"/>
    <xf numFmtId="0" fontId="34" fillId="0" borderId="0" xfId="0" applyFont="1"/>
    <xf numFmtId="0" fontId="5" fillId="0" borderId="0" xfId="0" applyFont="1"/>
    <xf numFmtId="0" fontId="0" fillId="0" borderId="28" xfId="0" applyBorder="1"/>
    <xf numFmtId="0" fontId="0" fillId="0" borderId="18" xfId="0" applyBorder="1"/>
    <xf numFmtId="0" fontId="22" fillId="0" borderId="22" xfId="0" applyFont="1" applyBorder="1"/>
    <xf numFmtId="0" fontId="22" fillId="0" borderId="20" xfId="0" applyFont="1" applyBorder="1"/>
    <xf numFmtId="0" fontId="0" fillId="0" borderId="19" xfId="0" applyBorder="1"/>
    <xf numFmtId="0" fontId="5" fillId="0" borderId="13" xfId="0" applyFont="1" applyBorder="1"/>
    <xf numFmtId="0" fontId="29" fillId="0" borderId="0" xfId="0" applyFont="1" applyAlignment="1">
      <alignment vertical="center"/>
    </xf>
    <xf numFmtId="0" fontId="27" fillId="0" borderId="0" xfId="0" applyFont="1"/>
    <xf numFmtId="0" fontId="0" fillId="0" borderId="31" xfId="0" applyBorder="1"/>
    <xf numFmtId="0" fontId="6" fillId="0" borderId="0" xfId="0" applyFont="1" applyAlignment="1">
      <alignment horizontal="center" vertical="center"/>
    </xf>
    <xf numFmtId="1" fontId="19" fillId="4" borderId="0" xfId="0" applyNumberFormat="1" applyFont="1" applyFill="1" applyAlignment="1">
      <alignment vertical="center"/>
    </xf>
    <xf numFmtId="0" fontId="10" fillId="0" borderId="30" xfId="0" applyFont="1" applyBorder="1" applyAlignment="1">
      <alignment horizontal="center" vertical="center"/>
    </xf>
    <xf numFmtId="0" fontId="2" fillId="0" borderId="20" xfId="0" applyFont="1" applyBorder="1" applyAlignment="1">
      <alignment horizontal="center"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1" fontId="6" fillId="0" borderId="16" xfId="3" applyNumberFormat="1" applyFont="1" applyBorder="1" applyAlignment="1">
      <alignment horizontal="center" vertical="center"/>
    </xf>
    <xf numFmtId="1" fontId="6" fillId="0" borderId="14" xfId="3" applyNumberFormat="1" applyFont="1" applyBorder="1" applyAlignment="1">
      <alignment horizontal="center" vertical="center"/>
    </xf>
    <xf numFmtId="1" fontId="6" fillId="0" borderId="15" xfId="3" applyNumberFormat="1" applyFont="1" applyBorder="1" applyAlignment="1">
      <alignment horizontal="center" vertical="center"/>
    </xf>
    <xf numFmtId="2" fontId="7" fillId="0" borderId="22" xfId="3" applyNumberFormat="1" applyFont="1" applyBorder="1" applyAlignment="1">
      <alignment horizontal="left" vertical="center" indent="2"/>
    </xf>
    <xf numFmtId="2" fontId="3" fillId="0" borderId="17" xfId="0" applyNumberFormat="1" applyFont="1" applyBorder="1" applyAlignment="1">
      <alignment horizontal="center" vertical="center"/>
    </xf>
    <xf numFmtId="0" fontId="27" fillId="0" borderId="0" xfId="0" applyFont="1" applyAlignment="1">
      <alignment horizontal="right" vertical="center"/>
    </xf>
    <xf numFmtId="0" fontId="4" fillId="0" borderId="0" xfId="0" applyFont="1" applyAlignment="1">
      <alignment horizontal="center" vertical="center"/>
    </xf>
    <xf numFmtId="0" fontId="39" fillId="0" borderId="0" xfId="0" applyFont="1"/>
    <xf numFmtId="168" fontId="6" fillId="0" borderId="10" xfId="0" applyNumberFormat="1" applyFont="1" applyBorder="1" applyAlignment="1">
      <alignment vertical="center"/>
    </xf>
    <xf numFmtId="0" fontId="6" fillId="0" borderId="27" xfId="0" applyFont="1" applyBorder="1" applyAlignment="1">
      <alignment horizontal="center" vertical="center"/>
    </xf>
    <xf numFmtId="0" fontId="5" fillId="12" borderId="0" xfId="0" applyFont="1" applyFill="1"/>
    <xf numFmtId="0" fontId="29" fillId="12" borderId="0" xfId="0" applyFont="1" applyFill="1"/>
    <xf numFmtId="0" fontId="12" fillId="5" borderId="24" xfId="0" applyFont="1" applyFill="1" applyBorder="1" applyAlignment="1">
      <alignment horizontal="center" vertical="center"/>
    </xf>
    <xf numFmtId="0" fontId="12" fillId="5" borderId="13" xfId="0" applyFont="1" applyFill="1" applyBorder="1" applyAlignment="1">
      <alignment horizontal="center" vertical="center"/>
    </xf>
    <xf numFmtId="0" fontId="22" fillId="0" borderId="0" xfId="0" applyFont="1"/>
    <xf numFmtId="0" fontId="34" fillId="12" borderId="0" xfId="0" applyFont="1" applyFill="1"/>
    <xf numFmtId="0" fontId="34" fillId="0" borderId="0" xfId="0" applyFont="1" applyProtection="1">
      <protection locked="0"/>
    </xf>
    <xf numFmtId="0" fontId="29" fillId="0" borderId="0" xfId="0" applyFont="1" applyProtection="1">
      <protection locked="0"/>
    </xf>
    <xf numFmtId="0" fontId="29" fillId="0" borderId="0" xfId="0" applyFont="1" applyAlignment="1" applyProtection="1">
      <alignment horizontal="center"/>
      <protection locked="0"/>
    </xf>
    <xf numFmtId="0" fontId="29" fillId="0" borderId="0" xfId="0" applyFont="1" applyAlignment="1" applyProtection="1">
      <alignment wrapText="1"/>
      <protection locked="0"/>
    </xf>
    <xf numFmtId="0" fontId="29" fillId="0" borderId="0" xfId="0" applyFont="1" applyAlignment="1" applyProtection="1">
      <alignment horizontal="center" wrapText="1"/>
      <protection locked="0"/>
    </xf>
    <xf numFmtId="0" fontId="3" fillId="0" borderId="0" xfId="0" applyFont="1" applyAlignment="1" applyProtection="1">
      <alignment horizontal="left" vertical="center" indent="3"/>
      <protection locked="0"/>
    </xf>
    <xf numFmtId="164" fontId="3" fillId="0" borderId="0" xfId="1" applyNumberFormat="1" applyFont="1" applyBorder="1" applyProtection="1">
      <protection locked="0"/>
    </xf>
    <xf numFmtId="0" fontId="3" fillId="0" borderId="0" xfId="0" applyFont="1" applyProtection="1">
      <protection locked="0"/>
    </xf>
    <xf numFmtId="43" fontId="3" fillId="0" borderId="0" xfId="1" applyFont="1" applyProtection="1">
      <protection locked="0"/>
    </xf>
    <xf numFmtId="43" fontId="3" fillId="0" borderId="0" xfId="1" applyFont="1" applyFill="1" applyProtection="1">
      <protection locked="0"/>
    </xf>
    <xf numFmtId="43" fontId="3" fillId="0" borderId="0" xfId="1" applyFont="1" applyBorder="1" applyProtection="1">
      <protection locked="0"/>
    </xf>
    <xf numFmtId="43" fontId="3" fillId="0" borderId="0" xfId="1" applyFont="1" applyFill="1" applyBorder="1" applyProtection="1">
      <protection locked="0"/>
    </xf>
    <xf numFmtId="0" fontId="54" fillId="0" borderId="0" xfId="0" applyFont="1"/>
    <xf numFmtId="0" fontId="55" fillId="0" borderId="0" xfId="0" applyFont="1"/>
    <xf numFmtId="0" fontId="56" fillId="0" borderId="0" xfId="0" applyFont="1"/>
    <xf numFmtId="0" fontId="32" fillId="0" borderId="0" xfId="0" applyFont="1" applyProtection="1">
      <protection locked="0"/>
    </xf>
    <xf numFmtId="0" fontId="3" fillId="12" borderId="0" xfId="0" applyFont="1" applyFill="1" applyProtection="1">
      <protection locked="0"/>
    </xf>
    <xf numFmtId="0" fontId="32" fillId="12" borderId="0" xfId="0" applyFont="1" applyFill="1" applyProtection="1">
      <protection locked="0"/>
    </xf>
    <xf numFmtId="0" fontId="3" fillId="4" borderId="0" xfId="0" applyFont="1" applyFill="1" applyProtection="1">
      <protection locked="0"/>
    </xf>
    <xf numFmtId="0" fontId="29" fillId="12" borderId="0" xfId="0" applyFont="1" applyFill="1" applyProtection="1">
      <protection locked="0"/>
    </xf>
    <xf numFmtId="0" fontId="44" fillId="12" borderId="0" xfId="0" applyFont="1" applyFill="1" applyProtection="1">
      <protection locked="0"/>
    </xf>
    <xf numFmtId="0" fontId="33" fillId="0" borderId="0" xfId="0" applyFont="1"/>
    <xf numFmtId="0" fontId="30" fillId="0" borderId="0" xfId="0" applyFont="1" applyProtection="1">
      <protection locked="0"/>
    </xf>
    <xf numFmtId="0" fontId="30" fillId="0" borderId="0" xfId="0" applyFont="1"/>
    <xf numFmtId="0" fontId="57" fillId="0" borderId="0" xfId="0" applyFont="1"/>
    <xf numFmtId="0" fontId="58" fillId="0" borderId="0" xfId="0" applyFont="1" applyProtection="1">
      <protection locked="0"/>
    </xf>
    <xf numFmtId="0" fontId="59" fillId="0" borderId="0" xfId="0" applyFont="1" applyProtection="1">
      <protection locked="0"/>
    </xf>
    <xf numFmtId="171" fontId="30" fillId="0" borderId="0" xfId="0" applyNumberFormat="1" applyFont="1" applyProtection="1">
      <protection locked="0"/>
    </xf>
    <xf numFmtId="0" fontId="29" fillId="4" borderId="0" xfId="0" applyFont="1" applyFill="1"/>
    <xf numFmtId="0" fontId="43" fillId="4" borderId="0" xfId="0" applyFont="1" applyFill="1"/>
    <xf numFmtId="0" fontId="46" fillId="4" borderId="0" xfId="0" applyFont="1" applyFill="1"/>
    <xf numFmtId="0" fontId="2" fillId="4" borderId="0" xfId="0" applyFont="1" applyFill="1" applyAlignment="1">
      <alignment vertical="center"/>
    </xf>
    <xf numFmtId="0" fontId="2" fillId="4" borderId="0" xfId="0" applyFont="1" applyFill="1"/>
    <xf numFmtId="0" fontId="3" fillId="4" borderId="0" xfId="0" applyFont="1" applyFill="1"/>
    <xf numFmtId="3" fontId="2" fillId="4" borderId="0" xfId="3" applyNumberFormat="1" applyFont="1" applyFill="1" applyAlignment="1">
      <alignment vertical="center"/>
    </xf>
    <xf numFmtId="0" fontId="3" fillId="4" borderId="0" xfId="0" applyFont="1" applyFill="1" applyAlignment="1">
      <alignment horizontal="center" vertical="center"/>
    </xf>
    <xf numFmtId="0" fontId="49" fillId="4" borderId="0" xfId="0" applyFont="1" applyFill="1" applyAlignment="1">
      <alignment horizontal="left"/>
    </xf>
    <xf numFmtId="43" fontId="29" fillId="4" borderId="0" xfId="0" applyNumberFormat="1" applyFont="1" applyFill="1"/>
    <xf numFmtId="0" fontId="44" fillId="0" borderId="0" xfId="0" applyFont="1" applyAlignment="1">
      <alignment vertical="center"/>
    </xf>
    <xf numFmtId="1" fontId="2" fillId="4" borderId="0" xfId="3" applyNumberFormat="1" applyFont="1" applyFill="1" applyAlignment="1">
      <alignment vertical="center"/>
    </xf>
    <xf numFmtId="0" fontId="5" fillId="14" borderId="0" xfId="0" applyFont="1" applyFill="1" applyAlignment="1">
      <alignment vertical="center" wrapText="1"/>
    </xf>
    <xf numFmtId="0" fontId="5" fillId="14" borderId="0" xfId="0" applyFont="1" applyFill="1" applyAlignment="1">
      <alignment horizontal="left" vertical="center" wrapText="1"/>
    </xf>
    <xf numFmtId="0" fontId="5" fillId="14" borderId="0" xfId="0" quotePrefix="1" applyFont="1" applyFill="1" applyAlignment="1">
      <alignment horizontal="left" vertical="center" wrapText="1"/>
    </xf>
    <xf numFmtId="0" fontId="5" fillId="14" borderId="0" xfId="0" applyFont="1" applyFill="1" applyAlignment="1">
      <alignment vertical="center"/>
    </xf>
    <xf numFmtId="0" fontId="5" fillId="14" borderId="0" xfId="0" applyFont="1" applyFill="1" applyAlignment="1">
      <alignment horizontal="left" vertical="center"/>
    </xf>
    <xf numFmtId="0" fontId="41" fillId="15" borderId="0" xfId="0" applyFont="1" applyFill="1" applyAlignment="1">
      <alignment horizontal="center"/>
    </xf>
    <xf numFmtId="0" fontId="33" fillId="12" borderId="0" xfId="0" applyFont="1" applyFill="1"/>
    <xf numFmtId="0" fontId="41" fillId="4" borderId="0" xfId="0" applyFont="1" applyFill="1"/>
    <xf numFmtId="0" fontId="34" fillId="4" borderId="0" xfId="0" applyFont="1" applyFill="1" applyAlignment="1">
      <alignment vertical="center" wrapText="1"/>
    </xf>
    <xf numFmtId="0" fontId="29" fillId="4" borderId="0" xfId="0" applyFont="1" applyFill="1" applyAlignment="1">
      <alignment vertical="center" wrapText="1"/>
    </xf>
    <xf numFmtId="0" fontId="34" fillId="4" borderId="0" xfId="0" applyFont="1" applyFill="1"/>
    <xf numFmtId="0" fontId="34" fillId="4" borderId="0" xfId="0" applyFont="1" applyFill="1" applyAlignment="1">
      <alignment vertical="center"/>
    </xf>
    <xf numFmtId="0" fontId="29" fillId="4" borderId="0" xfId="0" applyFont="1" applyFill="1" applyAlignment="1">
      <alignment vertical="center"/>
    </xf>
    <xf numFmtId="0" fontId="66" fillId="4" borderId="0" xfId="6" applyFont="1" applyFill="1" applyBorder="1" applyAlignment="1"/>
    <xf numFmtId="0" fontId="63" fillId="4" borderId="0" xfId="0" applyFont="1" applyFill="1" applyAlignment="1">
      <alignment horizontal="center"/>
    </xf>
    <xf numFmtId="0" fontId="41" fillId="4" borderId="0" xfId="0" applyFont="1" applyFill="1" applyAlignment="1">
      <alignment horizontal="center"/>
    </xf>
    <xf numFmtId="0" fontId="66" fillId="4" borderId="0" xfId="6" applyFont="1" applyFill="1" applyBorder="1" applyAlignment="1">
      <alignment horizontal="left"/>
    </xf>
    <xf numFmtId="0" fontId="3" fillId="4" borderId="0" xfId="0" applyFont="1" applyFill="1" applyAlignment="1">
      <alignment vertical="center"/>
    </xf>
    <xf numFmtId="0" fontId="30" fillId="4" borderId="0" xfId="0" applyFont="1" applyFill="1" applyProtection="1">
      <protection locked="0"/>
    </xf>
    <xf numFmtId="0" fontId="34" fillId="4" borderId="0" xfId="0" applyFont="1" applyFill="1" applyProtection="1">
      <protection locked="0"/>
    </xf>
    <xf numFmtId="0" fontId="29" fillId="4" borderId="0" xfId="0" applyFont="1" applyFill="1" applyProtection="1">
      <protection locked="0"/>
    </xf>
    <xf numFmtId="0" fontId="29" fillId="4" borderId="0" xfId="0" applyFont="1" applyFill="1" applyAlignment="1" applyProtection="1">
      <alignment horizontal="center"/>
      <protection locked="0"/>
    </xf>
    <xf numFmtId="0" fontId="75" fillId="11" borderId="0" xfId="0" applyFont="1" applyFill="1" applyAlignment="1">
      <alignment horizontal="center" vertical="center"/>
    </xf>
    <xf numFmtId="0" fontId="76" fillId="8" borderId="0" xfId="0" applyFont="1" applyFill="1" applyProtection="1">
      <protection locked="0"/>
    </xf>
    <xf numFmtId="0" fontId="78" fillId="8" borderId="0" xfId="6" applyFont="1" applyFill="1" applyBorder="1" applyAlignment="1" applyProtection="1">
      <alignment horizontal="center" vertical="center" wrapText="1"/>
      <protection locked="0"/>
    </xf>
    <xf numFmtId="0" fontId="32" fillId="4" borderId="0" xfId="0" applyFont="1" applyFill="1" applyProtection="1">
      <protection locked="0"/>
    </xf>
    <xf numFmtId="0" fontId="27" fillId="4" borderId="0" xfId="0" applyFont="1" applyFill="1" applyAlignment="1" applyProtection="1">
      <alignment horizontal="center"/>
      <protection locked="0"/>
    </xf>
    <xf numFmtId="0" fontId="77" fillId="8" borderId="0" xfId="0" applyFont="1" applyFill="1" applyAlignment="1" applyProtection="1">
      <alignment horizontal="center" vertical="center"/>
      <protection locked="0"/>
    </xf>
    <xf numFmtId="2" fontId="73" fillId="4" borderId="0" xfId="0" applyNumberFormat="1" applyFont="1" applyFill="1" applyAlignment="1" applyProtection="1">
      <alignment horizontal="center"/>
      <protection locked="0"/>
    </xf>
    <xf numFmtId="0" fontId="73" fillId="4" borderId="0" xfId="0" applyFont="1" applyFill="1" applyAlignment="1" applyProtection="1">
      <alignment horizontal="left" vertical="center"/>
      <protection locked="0"/>
    </xf>
    <xf numFmtId="0" fontId="68" fillId="3" borderId="0" xfId="0" applyFont="1" applyFill="1" applyAlignment="1">
      <alignment horizontal="center" vertical="center"/>
    </xf>
    <xf numFmtId="0" fontId="68" fillId="3" borderId="0" xfId="0" applyFont="1" applyFill="1" applyAlignment="1">
      <alignment vertical="center"/>
    </xf>
    <xf numFmtId="0" fontId="69" fillId="3" borderId="0" xfId="3" applyFont="1" applyFill="1" applyAlignment="1">
      <alignment horizontal="center" vertical="center"/>
    </xf>
    <xf numFmtId="1" fontId="69" fillId="3" borderId="0" xfId="3" applyNumberFormat="1" applyFont="1" applyFill="1" applyAlignment="1">
      <alignment horizontal="center" vertical="center"/>
    </xf>
    <xf numFmtId="2" fontId="69" fillId="3" borderId="0" xfId="3" applyNumberFormat="1" applyFont="1" applyFill="1" applyAlignment="1">
      <alignment vertical="center"/>
    </xf>
    <xf numFmtId="3" fontId="69" fillId="3" borderId="0" xfId="3" applyNumberFormat="1" applyFont="1" applyFill="1" applyAlignment="1">
      <alignment vertical="center"/>
    </xf>
    <xf numFmtId="168" fontId="68" fillId="6" borderId="0" xfId="3" applyNumberFormat="1" applyFont="1" applyFill="1" applyAlignment="1">
      <alignment horizontal="center" vertical="center"/>
    </xf>
    <xf numFmtId="3" fontId="68" fillId="6" borderId="0" xfId="3" applyNumberFormat="1" applyFont="1" applyFill="1" applyAlignment="1">
      <alignment horizontal="right" vertical="center"/>
    </xf>
    <xf numFmtId="3" fontId="68" fillId="6" borderId="32" xfId="3" applyNumberFormat="1" applyFont="1" applyFill="1" applyBorder="1" applyAlignment="1">
      <alignment horizontal="right" vertical="center"/>
    </xf>
    <xf numFmtId="3" fontId="76" fillId="8" borderId="0" xfId="0" applyNumberFormat="1" applyFont="1" applyFill="1" applyAlignment="1">
      <alignment horizontal="right"/>
    </xf>
    <xf numFmtId="10" fontId="76" fillId="8" borderId="0" xfId="2" applyNumberFormat="1" applyFont="1" applyFill="1" applyBorder="1" applyAlignment="1" applyProtection="1">
      <alignment horizontal="right" vertical="center"/>
    </xf>
    <xf numFmtId="10" fontId="75" fillId="8" borderId="0" xfId="2" applyNumberFormat="1" applyFont="1" applyFill="1" applyBorder="1" applyAlignment="1" applyProtection="1">
      <alignment horizontal="center"/>
      <protection locked="0"/>
    </xf>
    <xf numFmtId="10" fontId="76" fillId="8" borderId="0" xfId="2" applyNumberFormat="1" applyFont="1" applyFill="1" applyBorder="1" applyAlignment="1" applyProtection="1">
      <alignment horizontal="center"/>
      <protection locked="0"/>
    </xf>
    <xf numFmtId="10" fontId="76" fillId="8" borderId="33" xfId="2" applyNumberFormat="1" applyFont="1" applyFill="1" applyBorder="1" applyAlignment="1" applyProtection="1">
      <alignment horizontal="center"/>
      <protection locked="0"/>
    </xf>
    <xf numFmtId="10" fontId="76" fillId="8" borderId="33" xfId="2" applyNumberFormat="1" applyFont="1" applyFill="1" applyBorder="1" applyAlignment="1" applyProtection="1">
      <alignment horizontal="right" vertical="center"/>
    </xf>
    <xf numFmtId="0" fontId="80" fillId="11" borderId="0" xfId="0" applyFont="1" applyFill="1" applyAlignment="1">
      <alignment horizontal="center"/>
    </xf>
    <xf numFmtId="3" fontId="76" fillId="8" borderId="33" xfId="0" applyNumberFormat="1" applyFont="1" applyFill="1" applyBorder="1" applyAlignment="1">
      <alignment horizontal="right"/>
    </xf>
    <xf numFmtId="0" fontId="45" fillId="20" borderId="0" xfId="0" applyFont="1" applyFill="1" applyAlignment="1" applyProtection="1">
      <alignment horizontal="center" vertical="center"/>
      <protection locked="0"/>
    </xf>
    <xf numFmtId="0" fontId="45" fillId="20" borderId="0" xfId="0" applyFont="1" applyFill="1" applyAlignment="1" applyProtection="1">
      <alignment horizontal="center" vertical="center" wrapText="1"/>
      <protection locked="0"/>
    </xf>
    <xf numFmtId="0" fontId="45" fillId="20" borderId="0" xfId="0" applyFont="1" applyFill="1" applyAlignment="1" applyProtection="1">
      <alignment horizontal="center" wrapText="1"/>
      <protection locked="0"/>
    </xf>
    <xf numFmtId="0" fontId="41" fillId="4" borderId="0" xfId="0" applyFont="1" applyFill="1" applyAlignment="1" applyProtection="1">
      <alignment horizontal="center" vertical="center"/>
      <protection locked="0"/>
    </xf>
    <xf numFmtId="164" fontId="76" fillId="4" borderId="0" xfId="1" applyNumberFormat="1" applyFont="1" applyFill="1" applyBorder="1" applyProtection="1"/>
    <xf numFmtId="0" fontId="77" fillId="8" borderId="0" xfId="6" applyFont="1" applyFill="1" applyBorder="1" applyAlignment="1" applyProtection="1">
      <alignment horizontal="center"/>
      <protection locked="0"/>
    </xf>
    <xf numFmtId="0" fontId="77" fillId="8" borderId="0" xfId="0" applyFont="1" applyFill="1" applyAlignment="1">
      <alignment horizontal="center" vertical="center"/>
    </xf>
    <xf numFmtId="0" fontId="77" fillId="8" borderId="34" xfId="0" applyFont="1" applyFill="1" applyBorder="1" applyAlignment="1">
      <alignment horizontal="center" vertical="center"/>
    </xf>
    <xf numFmtId="0" fontId="73" fillId="4" borderId="35" xfId="0" applyFont="1" applyFill="1" applyBorder="1" applyAlignment="1" applyProtection="1">
      <alignment horizontal="left" vertical="center"/>
      <protection locked="0"/>
    </xf>
    <xf numFmtId="2" fontId="73" fillId="4" borderId="35" xfId="0" applyNumberFormat="1" applyFont="1" applyFill="1" applyBorder="1" applyAlignment="1" applyProtection="1">
      <alignment horizontal="center"/>
      <protection locked="0"/>
    </xf>
    <xf numFmtId="2" fontId="73" fillId="4" borderId="0" xfId="0" applyNumberFormat="1" applyFont="1" applyFill="1" applyAlignment="1" applyProtection="1">
      <alignment horizontal="center" vertical="center"/>
      <protection locked="0"/>
    </xf>
    <xf numFmtId="2" fontId="73" fillId="4" borderId="35" xfId="0" applyNumberFormat="1" applyFont="1" applyFill="1" applyBorder="1" applyAlignment="1" applyProtection="1">
      <alignment horizontal="center" vertical="center"/>
      <protection locked="0"/>
    </xf>
    <xf numFmtId="0" fontId="74" fillId="0" borderId="0" xfId="0" applyFont="1"/>
    <xf numFmtId="0" fontId="74" fillId="4" borderId="0" xfId="0" applyFont="1" applyFill="1"/>
    <xf numFmtId="0" fontId="82" fillId="4" borderId="0" xfId="0" applyFont="1" applyFill="1" applyAlignment="1">
      <alignment vertical="center"/>
    </xf>
    <xf numFmtId="0" fontId="73" fillId="4" borderId="0" xfId="0" applyFont="1" applyFill="1" applyAlignment="1">
      <alignment horizontal="left" vertical="center" wrapText="1"/>
    </xf>
    <xf numFmtId="0" fontId="74" fillId="4" borderId="0" xfId="0" applyFont="1" applyFill="1" applyAlignment="1">
      <alignment horizontal="center"/>
    </xf>
    <xf numFmtId="0" fontId="77" fillId="11" borderId="0" xfId="0" applyFont="1" applyFill="1" applyAlignment="1">
      <alignment vertical="center"/>
    </xf>
    <xf numFmtId="0" fontId="77" fillId="11" borderId="0" xfId="0" applyFont="1" applyFill="1" applyAlignment="1">
      <alignment horizontal="center" vertical="center"/>
    </xf>
    <xf numFmtId="1" fontId="77" fillId="11" borderId="0" xfId="3" applyNumberFormat="1" applyFont="1" applyFill="1" applyAlignment="1">
      <alignment horizontal="center" vertical="center"/>
    </xf>
    <xf numFmtId="167" fontId="77" fillId="8" borderId="0" xfId="3" applyNumberFormat="1" applyFont="1" applyFill="1" applyAlignment="1">
      <alignment horizontal="center" vertical="center"/>
    </xf>
    <xf numFmtId="167" fontId="77" fillId="8" borderId="0" xfId="0" applyNumberFormat="1" applyFont="1" applyFill="1" applyAlignment="1">
      <alignment horizontal="center" vertical="center"/>
    </xf>
    <xf numFmtId="2" fontId="77" fillId="8" borderId="0" xfId="0" applyNumberFormat="1" applyFont="1" applyFill="1" applyAlignment="1">
      <alignment horizontal="center" vertical="center"/>
    </xf>
    <xf numFmtId="2" fontId="73" fillId="8" borderId="0" xfId="0" applyNumberFormat="1" applyFont="1" applyFill="1" applyAlignment="1">
      <alignment horizontal="center" vertical="center"/>
    </xf>
    <xf numFmtId="2" fontId="73" fillId="8" borderId="33" xfId="0" applyNumberFormat="1" applyFont="1" applyFill="1" applyBorder="1" applyAlignment="1">
      <alignment horizontal="center" vertical="center"/>
    </xf>
    <xf numFmtId="2" fontId="77" fillId="8" borderId="33" xfId="0" applyNumberFormat="1" applyFont="1" applyFill="1" applyBorder="1" applyAlignment="1">
      <alignment horizontal="center" vertical="center"/>
    </xf>
    <xf numFmtId="0" fontId="61" fillId="8" borderId="0" xfId="0" applyFont="1" applyFill="1" applyAlignment="1">
      <alignment horizontal="center" vertical="center"/>
    </xf>
    <xf numFmtId="0" fontId="61" fillId="8" borderId="0" xfId="0" applyFont="1" applyFill="1" applyAlignment="1" applyProtection="1">
      <alignment horizontal="center" vertical="center"/>
      <protection locked="0"/>
    </xf>
    <xf numFmtId="0" fontId="61" fillId="8" borderId="0" xfId="0" applyFont="1" applyFill="1"/>
    <xf numFmtId="0" fontId="87" fillId="23" borderId="0" xfId="0" applyFont="1" applyFill="1"/>
    <xf numFmtId="0" fontId="88" fillId="23" borderId="0" xfId="6" applyFont="1" applyFill="1" applyBorder="1" applyAlignment="1" applyProtection="1">
      <alignment horizontal="center" vertical="center" wrapText="1"/>
    </xf>
    <xf numFmtId="172" fontId="92" fillId="23" borderId="0" xfId="0" applyNumberFormat="1" applyFont="1" applyFill="1"/>
    <xf numFmtId="0" fontId="89" fillId="4" borderId="0" xfId="0" applyFont="1" applyFill="1" applyAlignment="1">
      <alignment vertical="center" wrapText="1"/>
    </xf>
    <xf numFmtId="0" fontId="90" fillId="22" borderId="0" xfId="0" applyFont="1" applyFill="1" applyAlignment="1">
      <alignment horizontal="center" vertical="center"/>
    </xf>
    <xf numFmtId="1" fontId="90" fillId="22" borderId="0" xfId="3" applyNumberFormat="1" applyFont="1" applyFill="1" applyAlignment="1">
      <alignment horizontal="center" vertical="center"/>
    </xf>
    <xf numFmtId="0" fontId="45" fillId="24" borderId="0" xfId="0" applyFont="1" applyFill="1" applyAlignment="1">
      <alignment horizontal="center" vertical="center" wrapText="1"/>
    </xf>
    <xf numFmtId="0" fontId="45" fillId="24" borderId="0" xfId="0" applyFont="1" applyFill="1" applyAlignment="1" applyProtection="1">
      <alignment horizontal="center" vertical="center" wrapText="1"/>
      <protection locked="0"/>
    </xf>
    <xf numFmtId="172" fontId="91" fillId="23" borderId="0" xfId="0" applyNumberFormat="1" applyFont="1" applyFill="1"/>
    <xf numFmtId="172" fontId="91" fillId="23" borderId="38" xfId="0" applyNumberFormat="1" applyFont="1" applyFill="1" applyBorder="1"/>
    <xf numFmtId="0" fontId="74" fillId="4" borderId="0" xfId="0" applyFont="1" applyFill="1" applyAlignment="1" applyProtection="1">
      <alignment horizontal="center" vertical="center" wrapText="1"/>
      <protection locked="0"/>
    </xf>
    <xf numFmtId="0" fontId="3" fillId="4" borderId="0" xfId="0" applyFont="1" applyFill="1" applyAlignment="1" applyProtection="1">
      <alignment horizontal="left" vertical="center" indent="3"/>
      <protection locked="0"/>
    </xf>
    <xf numFmtId="164" fontId="3" fillId="4" borderId="0" xfId="1" applyNumberFormat="1" applyFont="1" applyFill="1" applyBorder="1" applyProtection="1">
      <protection locked="0"/>
    </xf>
    <xf numFmtId="0" fontId="76" fillId="4" borderId="0" xfId="0" applyFont="1" applyFill="1" applyAlignment="1" applyProtection="1">
      <alignment horizontal="left" vertical="center" indent="1"/>
      <protection locked="0"/>
    </xf>
    <xf numFmtId="10" fontId="76" fillId="4" borderId="0" xfId="2" applyNumberFormat="1" applyFont="1" applyFill="1" applyBorder="1" applyAlignment="1" applyProtection="1">
      <alignment horizontal="center"/>
    </xf>
    <xf numFmtId="10" fontId="76" fillId="4" borderId="0" xfId="2" applyNumberFormat="1" applyFont="1" applyFill="1" applyBorder="1" applyAlignment="1" applyProtection="1">
      <alignment horizontal="center"/>
      <protection locked="0"/>
    </xf>
    <xf numFmtId="10" fontId="29" fillId="4" borderId="0" xfId="0" applyNumberFormat="1" applyFont="1" applyFill="1" applyProtection="1">
      <protection locked="0"/>
    </xf>
    <xf numFmtId="0" fontId="36" fillId="26" borderId="0" xfId="0" applyFont="1" applyFill="1"/>
    <xf numFmtId="0" fontId="97" fillId="26" borderId="0" xfId="0" applyFont="1" applyFill="1" applyAlignment="1">
      <alignment vertical="center" wrapText="1"/>
    </xf>
    <xf numFmtId="0" fontId="97" fillId="26" borderId="0" xfId="0" applyFont="1" applyFill="1"/>
    <xf numFmtId="0" fontId="97" fillId="26" borderId="0" xfId="0" applyFont="1" applyFill="1" applyAlignment="1">
      <alignment vertical="center"/>
    </xf>
    <xf numFmtId="0" fontId="98" fillId="26" borderId="0" xfId="0" applyFont="1" applyFill="1"/>
    <xf numFmtId="0" fontId="99" fillId="26" borderId="0" xfId="6" applyFont="1" applyFill="1" applyBorder="1" applyAlignment="1">
      <alignment horizontal="center"/>
    </xf>
    <xf numFmtId="0" fontId="100" fillId="26" borderId="0" xfId="0" applyFont="1" applyFill="1" applyAlignment="1">
      <alignment horizontal="center" vertical="center"/>
    </xf>
    <xf numFmtId="0" fontId="98" fillId="25" borderId="0" xfId="0" applyFont="1" applyFill="1"/>
    <xf numFmtId="1" fontId="102" fillId="26" borderId="0" xfId="3" applyNumberFormat="1" applyFont="1" applyFill="1" applyAlignment="1">
      <alignment horizontal="center" vertical="center"/>
    </xf>
    <xf numFmtId="168" fontId="100" fillId="26" borderId="39" xfId="3" applyNumberFormat="1" applyFont="1" applyFill="1" applyBorder="1" applyAlignment="1">
      <alignment horizontal="center" vertical="center"/>
    </xf>
    <xf numFmtId="167" fontId="100" fillId="26" borderId="0" xfId="3" applyNumberFormat="1" applyFont="1" applyFill="1" applyAlignment="1">
      <alignment horizontal="center" vertical="center"/>
    </xf>
    <xf numFmtId="167" fontId="27" fillId="8" borderId="0" xfId="0" applyNumberFormat="1" applyFont="1" applyFill="1" applyAlignment="1">
      <alignment horizontal="right" vertical="center"/>
    </xf>
    <xf numFmtId="167" fontId="27" fillId="23" borderId="0" xfId="0" applyNumberFormat="1" applyFont="1" applyFill="1" applyAlignment="1">
      <alignment horizontal="right" vertical="center"/>
    </xf>
    <xf numFmtId="43" fontId="27" fillId="26" borderId="0" xfId="1" applyFont="1" applyFill="1" applyBorder="1" applyAlignment="1" applyProtection="1">
      <alignment horizontal="right" vertical="center"/>
    </xf>
    <xf numFmtId="1" fontId="6" fillId="0" borderId="0" xfId="3" applyNumberFormat="1" applyFont="1" applyAlignment="1">
      <alignment horizontal="center" vertical="center"/>
    </xf>
    <xf numFmtId="2" fontId="3" fillId="0" borderId="0" xfId="0" applyNumberFormat="1" applyFont="1" applyAlignment="1">
      <alignment horizontal="center" vertical="center"/>
    </xf>
    <xf numFmtId="0" fontId="13" fillId="4" borderId="0" xfId="3" applyFont="1" applyFill="1" applyAlignment="1">
      <alignment vertical="center"/>
    </xf>
    <xf numFmtId="0" fontId="14" fillId="4" borderId="0" xfId="3" applyFont="1" applyFill="1" applyAlignment="1">
      <alignment vertical="center"/>
    </xf>
    <xf numFmtId="0" fontId="15" fillId="4" borderId="0" xfId="3" applyFont="1" applyFill="1" applyAlignment="1">
      <alignment vertical="center"/>
    </xf>
    <xf numFmtId="0" fontId="16" fillId="4" borderId="0" xfId="3" applyFont="1" applyFill="1" applyAlignment="1">
      <alignment vertical="center"/>
    </xf>
    <xf numFmtId="0" fontId="13" fillId="4" borderId="2" xfId="0" applyFont="1" applyFill="1" applyBorder="1" applyAlignment="1">
      <alignment horizontal="left" vertical="center"/>
    </xf>
    <xf numFmtId="0" fontId="13" fillId="4" borderId="26" xfId="0" applyFont="1" applyFill="1" applyBorder="1" applyAlignment="1">
      <alignment horizontal="left" vertical="center"/>
    </xf>
    <xf numFmtId="0" fontId="18" fillId="4" borderId="0" xfId="3" applyFont="1" applyFill="1" applyAlignment="1">
      <alignment vertical="center"/>
    </xf>
    <xf numFmtId="0" fontId="15" fillId="4" borderId="0" xfId="3" applyFont="1" applyFill="1" applyAlignment="1">
      <alignment horizontal="center" vertical="center"/>
    </xf>
    <xf numFmtId="0" fontId="13" fillId="4" borderId="0" xfId="0" applyFont="1" applyFill="1" applyAlignment="1">
      <alignment horizontal="left" vertical="center"/>
    </xf>
    <xf numFmtId="169" fontId="13" fillId="4" borderId="0" xfId="0" applyNumberFormat="1" applyFont="1" applyFill="1" applyAlignment="1">
      <alignment vertical="center"/>
    </xf>
    <xf numFmtId="0" fontId="14" fillId="4" borderId="0" xfId="0" applyFont="1" applyFill="1" applyAlignment="1">
      <alignment horizontal="left" vertical="center"/>
    </xf>
    <xf numFmtId="169" fontId="12" fillId="4" borderId="0" xfId="0" applyNumberFormat="1" applyFont="1" applyFill="1" applyAlignment="1">
      <alignment horizontal="center" vertical="center"/>
    </xf>
    <xf numFmtId="0" fontId="13" fillId="4" borderId="0" xfId="0" applyFont="1" applyFill="1" applyAlignment="1">
      <alignment vertical="center"/>
    </xf>
    <xf numFmtId="169" fontId="14" fillId="4" borderId="0" xfId="0" applyNumberFormat="1" applyFont="1" applyFill="1" applyAlignment="1">
      <alignment vertical="center"/>
    </xf>
    <xf numFmtId="0" fontId="21" fillId="4" borderId="0" xfId="0" applyFont="1" applyFill="1" applyAlignment="1">
      <alignment horizontal="center" vertical="center"/>
    </xf>
    <xf numFmtId="0" fontId="113" fillId="28" borderId="0" xfId="3" applyFont="1" applyFill="1" applyAlignment="1">
      <alignment vertical="center"/>
    </xf>
    <xf numFmtId="0" fontId="113" fillId="4" borderId="0" xfId="0" applyFont="1" applyFill="1" applyAlignment="1">
      <alignment horizontal="left" vertical="center"/>
    </xf>
    <xf numFmtId="0" fontId="113" fillId="4" borderId="0" xfId="3" applyFont="1" applyFill="1" applyAlignment="1">
      <alignment horizontal="left" vertical="center"/>
    </xf>
    <xf numFmtId="0" fontId="17" fillId="4" borderId="0" xfId="3" applyFont="1" applyFill="1" applyAlignment="1">
      <alignment vertical="center"/>
    </xf>
    <xf numFmtId="3" fontId="13" fillId="4" borderId="0" xfId="0" applyNumberFormat="1" applyFont="1" applyFill="1" applyAlignment="1">
      <alignment vertical="center"/>
    </xf>
    <xf numFmtId="0" fontId="14" fillId="4" borderId="0" xfId="3" applyFont="1" applyFill="1" applyAlignment="1">
      <alignment horizontal="center" vertical="center"/>
    </xf>
    <xf numFmtId="169" fontId="14" fillId="4" borderId="0" xfId="3" applyNumberFormat="1" applyFont="1" applyFill="1" applyAlignment="1">
      <alignment vertical="center"/>
    </xf>
    <xf numFmtId="0" fontId="115" fillId="28" borderId="0" xfId="3" applyFont="1" applyFill="1" applyAlignment="1">
      <alignment vertical="center"/>
    </xf>
    <xf numFmtId="0" fontId="114" fillId="28" borderId="0" xfId="3" applyFont="1" applyFill="1" applyAlignment="1">
      <alignment horizontal="center" vertical="center"/>
    </xf>
    <xf numFmtId="0" fontId="115" fillId="28" borderId="0" xfId="3" applyFont="1" applyFill="1" applyAlignment="1">
      <alignment vertical="center" wrapText="1"/>
    </xf>
    <xf numFmtId="0" fontId="113" fillId="28" borderId="0" xfId="3" applyFont="1" applyFill="1" applyAlignment="1">
      <alignment horizontal="center" vertical="center"/>
    </xf>
    <xf numFmtId="0" fontId="113" fillId="28" borderId="0" xfId="3" applyFont="1" applyFill="1" applyAlignment="1">
      <alignment horizontal="right" vertical="center"/>
    </xf>
    <xf numFmtId="0" fontId="27" fillId="4" borderId="0" xfId="0" applyFont="1" applyFill="1" applyAlignment="1">
      <alignment horizontal="left" vertical="center"/>
    </xf>
    <xf numFmtId="43" fontId="27" fillId="4" borderId="0" xfId="1" applyFont="1" applyFill="1" applyBorder="1" applyAlignment="1" applyProtection="1">
      <alignment horizontal="right" vertical="center"/>
    </xf>
    <xf numFmtId="164" fontId="27" fillId="6" borderId="0" xfId="1" applyNumberFormat="1" applyFont="1" applyFill="1" applyBorder="1" applyAlignment="1">
      <alignment horizontal="right" vertical="center"/>
    </xf>
    <xf numFmtId="0" fontId="108" fillId="4" borderId="0" xfId="0" applyFont="1" applyFill="1" applyAlignment="1">
      <alignment horizontal="center" vertical="center" wrapText="1"/>
    </xf>
    <xf numFmtId="0" fontId="106" fillId="4" borderId="0" xfId="0" applyFont="1" applyFill="1" applyAlignment="1">
      <alignment horizontal="center" wrapText="1"/>
    </xf>
    <xf numFmtId="167" fontId="92" fillId="4" borderId="0" xfId="2" applyNumberFormat="1" applyFont="1" applyFill="1" applyBorder="1" applyAlignment="1" applyProtection="1">
      <alignment horizontal="right"/>
    </xf>
    <xf numFmtId="167" fontId="91" fillId="4" borderId="0" xfId="2" applyNumberFormat="1" applyFont="1" applyFill="1" applyBorder="1" applyAlignment="1" applyProtection="1">
      <alignment horizontal="right"/>
    </xf>
    <xf numFmtId="167" fontId="91" fillId="4" borderId="37" xfId="2" applyNumberFormat="1" applyFont="1" applyFill="1" applyBorder="1" applyAlignment="1" applyProtection="1">
      <alignment horizontal="right"/>
    </xf>
    <xf numFmtId="167" fontId="92" fillId="23" borderId="0" xfId="0" applyNumberFormat="1" applyFont="1" applyFill="1" applyAlignment="1">
      <alignment horizontal="center"/>
    </xf>
    <xf numFmtId="167" fontId="92" fillId="23" borderId="38" xfId="0" applyNumberFormat="1" applyFont="1" applyFill="1" applyBorder="1" applyAlignment="1">
      <alignment horizontal="center"/>
    </xf>
    <xf numFmtId="167" fontId="92" fillId="23" borderId="0" xfId="0" applyNumberFormat="1" applyFont="1" applyFill="1" applyAlignment="1">
      <alignment horizontal="right"/>
    </xf>
    <xf numFmtId="167" fontId="92" fillId="23" borderId="0" xfId="1" applyNumberFormat="1" applyFont="1" applyFill="1" applyBorder="1" applyAlignment="1" applyProtection="1">
      <alignment horizontal="right"/>
    </xf>
    <xf numFmtId="167" fontId="92" fillId="23" borderId="38" xfId="1" applyNumberFormat="1" applyFont="1" applyFill="1" applyBorder="1" applyAlignment="1" applyProtection="1">
      <alignment horizontal="right"/>
    </xf>
    <xf numFmtId="0" fontId="120" fillId="0" borderId="0" xfId="0" applyFont="1"/>
    <xf numFmtId="43" fontId="13" fillId="4" borderId="0" xfId="0" applyNumberFormat="1" applyFont="1" applyFill="1" applyAlignment="1">
      <alignment horizontal="center" vertical="center"/>
    </xf>
    <xf numFmtId="0" fontId="25" fillId="4" borderId="0" xfId="0" applyFont="1" applyFill="1"/>
    <xf numFmtId="0" fontId="13" fillId="4" borderId="3" xfId="0" applyFont="1" applyFill="1" applyBorder="1" applyAlignment="1">
      <alignment horizontal="left" vertical="center"/>
    </xf>
    <xf numFmtId="43" fontId="13" fillId="4" borderId="4" xfId="0" applyNumberFormat="1" applyFont="1" applyFill="1" applyBorder="1" applyAlignment="1">
      <alignment horizontal="center" vertical="center"/>
    </xf>
    <xf numFmtId="0" fontId="13" fillId="4" borderId="2" xfId="0" applyFont="1" applyFill="1" applyBorder="1" applyAlignment="1">
      <alignment vertical="center"/>
    </xf>
    <xf numFmtId="164" fontId="13" fillId="4" borderId="0" xfId="1" applyNumberFormat="1" applyFont="1" applyFill="1" applyAlignment="1">
      <alignment vertical="center"/>
    </xf>
    <xf numFmtId="0" fontId="12" fillId="4" borderId="3" xfId="0" applyFont="1" applyFill="1" applyBorder="1" applyAlignment="1">
      <alignment vertical="center"/>
    </xf>
    <xf numFmtId="164" fontId="13" fillId="4" borderId="4" xfId="1" applyNumberFormat="1" applyFont="1" applyFill="1" applyBorder="1" applyAlignment="1">
      <alignment vertical="center"/>
    </xf>
    <xf numFmtId="169" fontId="13" fillId="4" borderId="4" xfId="0" applyNumberFormat="1" applyFont="1" applyFill="1" applyBorder="1" applyAlignment="1">
      <alignment vertical="center"/>
    </xf>
    <xf numFmtId="167" fontId="13" fillId="4" borderId="0" xfId="0" applyNumberFormat="1" applyFont="1" applyFill="1" applyAlignment="1">
      <alignment vertical="center"/>
    </xf>
    <xf numFmtId="167" fontId="13" fillId="4" borderId="4" xfId="0" applyNumberFormat="1" applyFont="1" applyFill="1" applyBorder="1" applyAlignment="1">
      <alignment vertical="center"/>
    </xf>
    <xf numFmtId="0" fontId="13" fillId="4" borderId="3" xfId="0" applyFont="1" applyFill="1" applyBorder="1" applyAlignment="1">
      <alignment vertical="center"/>
    </xf>
    <xf numFmtId="0" fontId="21" fillId="4" borderId="41" xfId="0" applyFont="1" applyFill="1" applyBorder="1" applyAlignment="1">
      <alignment vertical="center"/>
    </xf>
    <xf numFmtId="167" fontId="21" fillId="4" borderId="4" xfId="0" applyNumberFormat="1" applyFont="1" applyFill="1" applyBorder="1" applyAlignment="1">
      <alignment vertical="center"/>
    </xf>
    <xf numFmtId="0" fontId="21" fillId="4" borderId="3" xfId="0" applyFont="1" applyFill="1" applyBorder="1" applyAlignment="1">
      <alignment vertical="center"/>
    </xf>
    <xf numFmtId="0" fontId="21" fillId="4" borderId="4" xfId="0" applyFont="1" applyFill="1" applyBorder="1" applyAlignment="1">
      <alignment vertical="center"/>
    </xf>
    <xf numFmtId="164" fontId="13" fillId="4" borderId="4" xfId="1" applyNumberFormat="1" applyFont="1" applyFill="1" applyBorder="1" applyAlignment="1">
      <alignment horizontal="center" vertical="center"/>
    </xf>
    <xf numFmtId="164" fontId="21" fillId="4" borderId="4" xfId="0" applyNumberFormat="1" applyFont="1" applyFill="1" applyBorder="1"/>
    <xf numFmtId="0" fontId="21" fillId="4" borderId="0" xfId="0" applyFont="1" applyFill="1" applyAlignment="1">
      <alignment vertical="center"/>
    </xf>
    <xf numFmtId="0" fontId="13" fillId="4" borderId="0" xfId="0" applyFont="1" applyFill="1" applyBorder="1" applyAlignment="1">
      <alignment vertical="center"/>
    </xf>
    <xf numFmtId="0" fontId="25" fillId="4" borderId="0" xfId="0" applyFont="1" applyFill="1" applyBorder="1"/>
    <xf numFmtId="0" fontId="12" fillId="3" borderId="13" xfId="0" applyFont="1" applyFill="1" applyBorder="1" applyAlignment="1">
      <alignment horizontal="center" vertical="center"/>
    </xf>
    <xf numFmtId="0" fontId="12" fillId="3" borderId="0" xfId="0" applyFont="1" applyFill="1" applyAlignment="1">
      <alignment horizontal="center" vertical="center"/>
    </xf>
    <xf numFmtId="0" fontId="12" fillId="3" borderId="4" xfId="0" applyFont="1" applyFill="1" applyBorder="1" applyAlignment="1">
      <alignment horizontal="center" vertical="center"/>
    </xf>
    <xf numFmtId="164" fontId="13" fillId="3" borderId="0" xfId="1" applyNumberFormat="1" applyFont="1" applyFill="1" applyBorder="1" applyAlignment="1">
      <alignment vertical="center"/>
    </xf>
    <xf numFmtId="166" fontId="13" fillId="3" borderId="0" xfId="0" applyNumberFormat="1" applyFont="1" applyFill="1" applyAlignment="1">
      <alignment vertical="center"/>
    </xf>
    <xf numFmtId="166" fontId="13" fillId="3" borderId="4" xfId="0" applyNumberFormat="1" applyFont="1" applyFill="1" applyBorder="1" applyAlignment="1">
      <alignment vertical="center"/>
    </xf>
    <xf numFmtId="0" fontId="25" fillId="3" borderId="4" xfId="0" applyFont="1" applyFill="1" applyBorder="1"/>
    <xf numFmtId="0" fontId="12" fillId="27" borderId="13" xfId="0" applyFont="1" applyFill="1" applyBorder="1" applyAlignment="1">
      <alignment horizontal="center" vertical="center"/>
    </xf>
    <xf numFmtId="0" fontId="12" fillId="13" borderId="13" xfId="0" applyFont="1" applyFill="1" applyBorder="1" applyAlignment="1">
      <alignment horizontal="center" vertical="center"/>
    </xf>
    <xf numFmtId="0" fontId="121" fillId="4" borderId="0" xfId="0" applyFont="1" applyFill="1"/>
    <xf numFmtId="2" fontId="21" fillId="4" borderId="4" xfId="0" applyNumberFormat="1" applyFont="1" applyFill="1" applyBorder="1" applyAlignment="1">
      <alignment vertical="center"/>
    </xf>
    <xf numFmtId="0" fontId="75" fillId="11" borderId="0" xfId="0" applyFont="1" applyFill="1" applyAlignment="1">
      <alignment horizontal="center" vertical="center"/>
    </xf>
    <xf numFmtId="0" fontId="77" fillId="8" borderId="0" xfId="0" applyFont="1" applyFill="1" applyAlignment="1" applyProtection="1">
      <alignment horizontal="center" vertical="center"/>
      <protection locked="0"/>
    </xf>
    <xf numFmtId="0" fontId="77" fillId="11" borderId="0" xfId="0" applyFont="1" applyFill="1" applyAlignment="1">
      <alignment horizontal="center" vertical="center"/>
    </xf>
    <xf numFmtId="0" fontId="91" fillId="4" borderId="0" xfId="0" applyFont="1" applyFill="1" applyAlignment="1">
      <alignment horizontal="left"/>
    </xf>
    <xf numFmtId="0" fontId="90" fillId="22" borderId="0" xfId="0" applyFont="1" applyFill="1" applyAlignment="1">
      <alignment horizontal="center" vertical="center"/>
    </xf>
    <xf numFmtId="0" fontId="53" fillId="4" borderId="0" xfId="0" applyFont="1" applyFill="1"/>
    <xf numFmtId="0" fontId="64" fillId="4" borderId="0" xfId="0" applyFont="1" applyFill="1"/>
    <xf numFmtId="0" fontId="33" fillId="4" borderId="0" xfId="0" applyFont="1" applyFill="1" applyAlignment="1">
      <alignment horizontal="center" vertical="center"/>
    </xf>
    <xf numFmtId="0" fontId="33" fillId="4" borderId="0" xfId="0" applyFont="1" applyFill="1" applyAlignment="1" applyProtection="1">
      <alignment horizontal="center" vertical="center"/>
      <protection locked="0"/>
    </xf>
    <xf numFmtId="0" fontId="48" fillId="4" borderId="0" xfId="6" applyFont="1" applyFill="1" applyBorder="1" applyAlignment="1">
      <alignment horizontal="left"/>
    </xf>
    <xf numFmtId="0" fontId="54" fillId="4" borderId="0" xfId="0" applyFont="1" applyFill="1"/>
    <xf numFmtId="0" fontId="30" fillId="4" borderId="0" xfId="0" applyFont="1" applyFill="1"/>
    <xf numFmtId="0" fontId="57" fillId="4" borderId="0" xfId="0" applyFont="1" applyFill="1"/>
    <xf numFmtId="0" fontId="27" fillId="4" borderId="0" xfId="0" applyFont="1" applyFill="1"/>
    <xf numFmtId="0" fontId="27" fillId="4" borderId="0" xfId="0" applyFont="1" applyFill="1" applyAlignment="1">
      <alignment horizontal="center" vertical="center"/>
    </xf>
    <xf numFmtId="0" fontId="27" fillId="4" borderId="0" xfId="0" applyFont="1" applyFill="1" applyAlignment="1">
      <alignment vertical="center"/>
    </xf>
    <xf numFmtId="43" fontId="27" fillId="4" borderId="0" xfId="0" applyNumberFormat="1" applyFont="1" applyFill="1" applyAlignment="1">
      <alignment vertical="center"/>
    </xf>
    <xf numFmtId="168" fontId="68" fillId="4" borderId="0" xfId="3" applyNumberFormat="1" applyFont="1" applyFill="1" applyAlignment="1">
      <alignment horizontal="center" vertical="center"/>
    </xf>
    <xf numFmtId="43" fontId="3" fillId="4" borderId="0" xfId="0" applyNumberFormat="1" applyFont="1" applyFill="1" applyAlignment="1">
      <alignment vertical="center"/>
    </xf>
    <xf numFmtId="0" fontId="68" fillId="4" borderId="0" xfId="0" applyFont="1" applyFill="1" applyAlignment="1">
      <alignment horizontal="left"/>
    </xf>
    <xf numFmtId="0" fontId="71" fillId="4" borderId="0" xfId="0" applyFont="1" applyFill="1" applyAlignment="1">
      <alignment horizontal="left"/>
    </xf>
    <xf numFmtId="0" fontId="70" fillId="4" borderId="0" xfId="0" applyFont="1" applyFill="1" applyAlignment="1">
      <alignment horizontal="left"/>
    </xf>
    <xf numFmtId="3" fontId="68" fillId="4" borderId="0" xfId="3" applyNumberFormat="1" applyFont="1" applyFill="1" applyAlignment="1">
      <alignment horizontal="right" vertical="center"/>
    </xf>
    <xf numFmtId="3" fontId="68" fillId="4" borderId="32" xfId="3" applyNumberFormat="1" applyFont="1" applyFill="1" applyBorder="1" applyAlignment="1">
      <alignment horizontal="right" vertical="center"/>
    </xf>
    <xf numFmtId="171" fontId="30" fillId="4" borderId="0" xfId="0" applyNumberFormat="1" applyFont="1" applyFill="1" applyProtection="1">
      <protection locked="0"/>
    </xf>
    <xf numFmtId="0" fontId="75" fillId="4" borderId="0" xfId="0" applyFont="1" applyFill="1" applyAlignment="1" applyProtection="1">
      <alignment horizontal="left" vertical="center"/>
      <protection locked="0"/>
    </xf>
    <xf numFmtId="10" fontId="75" fillId="4" borderId="0" xfId="2" applyNumberFormat="1" applyFont="1" applyFill="1" applyBorder="1" applyAlignment="1" applyProtection="1">
      <alignment horizontal="center"/>
    </xf>
    <xf numFmtId="0" fontId="76" fillId="4" borderId="33" xfId="0" applyFont="1" applyFill="1" applyBorder="1" applyAlignment="1" applyProtection="1">
      <alignment horizontal="left" vertical="center" indent="1"/>
      <protection locked="0"/>
    </xf>
    <xf numFmtId="10" fontId="76" fillId="4" borderId="33" xfId="2" applyNumberFormat="1" applyFont="1" applyFill="1" applyBorder="1" applyAlignment="1" applyProtection="1">
      <alignment horizontal="center"/>
    </xf>
    <xf numFmtId="0" fontId="34" fillId="4" borderId="0" xfId="0" applyFont="1" applyFill="1" applyAlignment="1" applyProtection="1">
      <alignment horizontal="left"/>
      <protection locked="0"/>
    </xf>
    <xf numFmtId="0" fontId="29" fillId="4" borderId="0" xfId="0" quotePrefix="1" applyFont="1" applyFill="1" applyProtection="1">
      <protection locked="0"/>
    </xf>
    <xf numFmtId="0" fontId="75" fillId="4" borderId="0" xfId="0" applyFont="1" applyFill="1" applyAlignment="1">
      <alignment horizontal="left" vertical="center"/>
    </xf>
    <xf numFmtId="0" fontId="76" fillId="4" borderId="0" xfId="0" applyFont="1" applyFill="1" applyAlignment="1">
      <alignment horizontal="left" vertical="center"/>
    </xf>
    <xf numFmtId="0" fontId="75" fillId="4" borderId="0" xfId="0" applyFont="1" applyFill="1" applyAlignment="1">
      <alignment horizontal="left" vertical="center" indent="1"/>
    </xf>
    <xf numFmtId="0" fontId="76" fillId="4" borderId="0" xfId="0" quotePrefix="1" applyFont="1" applyFill="1" applyAlignment="1">
      <alignment horizontal="left" vertical="center"/>
    </xf>
    <xf numFmtId="0" fontId="75" fillId="4" borderId="0" xfId="0" applyFont="1" applyFill="1" applyAlignment="1">
      <alignment vertical="center"/>
    </xf>
    <xf numFmtId="0" fontId="76" fillId="4" borderId="0" xfId="0" applyFont="1" applyFill="1" applyAlignment="1">
      <alignment vertical="center"/>
    </xf>
    <xf numFmtId="3" fontId="76" fillId="4" borderId="0" xfId="0" applyNumberFormat="1" applyFont="1" applyFill="1" applyAlignment="1">
      <alignment vertical="center"/>
    </xf>
    <xf numFmtId="0" fontId="76" fillId="4" borderId="0" xfId="0" applyFont="1" applyFill="1" applyAlignment="1">
      <alignment horizontal="left" vertical="center" indent="1"/>
    </xf>
    <xf numFmtId="0" fontId="76" fillId="4" borderId="33" xfId="0" applyFont="1" applyFill="1" applyBorder="1" applyAlignment="1">
      <alignment horizontal="left" vertical="center" indent="1"/>
    </xf>
    <xf numFmtId="0" fontId="76" fillId="4" borderId="33" xfId="0" quotePrefix="1" applyFont="1" applyFill="1" applyBorder="1" applyAlignment="1">
      <alignment horizontal="left" vertical="center"/>
    </xf>
    <xf numFmtId="164" fontId="76" fillId="4" borderId="33" xfId="1" applyNumberFormat="1" applyFont="1" applyFill="1" applyBorder="1" applyProtection="1"/>
    <xf numFmtId="10" fontId="76" fillId="4" borderId="0" xfId="2" applyNumberFormat="1" applyFont="1" applyFill="1" applyBorder="1" applyProtection="1"/>
    <xf numFmtId="10" fontId="76" fillId="4" borderId="0" xfId="2" applyNumberFormat="1" applyFont="1" applyFill="1" applyBorder="1" applyAlignment="1" applyProtection="1">
      <alignment vertical="center"/>
    </xf>
    <xf numFmtId="0" fontId="75" fillId="4" borderId="0" xfId="0" applyFont="1" applyFill="1" applyAlignment="1">
      <alignment horizontal="left"/>
    </xf>
    <xf numFmtId="0" fontId="76" fillId="4" borderId="0" xfId="0" applyFont="1" applyFill="1" applyAlignment="1">
      <alignment horizontal="left"/>
    </xf>
    <xf numFmtId="10" fontId="76" fillId="4" borderId="0" xfId="2" applyNumberFormat="1" applyFont="1" applyFill="1" applyBorder="1" applyAlignment="1" applyProtection="1">
      <alignment horizontal="right"/>
    </xf>
    <xf numFmtId="165" fontId="76" fillId="4" borderId="0" xfId="2" applyNumberFormat="1" applyFont="1" applyFill="1" applyBorder="1" applyProtection="1"/>
    <xf numFmtId="0" fontId="76" fillId="4" borderId="33" xfId="0" applyFont="1" applyFill="1" applyBorder="1" applyAlignment="1">
      <alignment horizontal="left" vertical="center"/>
    </xf>
    <xf numFmtId="165" fontId="76" fillId="4" borderId="33" xfId="2" applyNumberFormat="1" applyFont="1" applyFill="1" applyBorder="1" applyProtection="1"/>
    <xf numFmtId="0" fontId="76" fillId="4" borderId="0" xfId="0" applyFont="1" applyFill="1" applyAlignment="1" applyProtection="1">
      <alignment horizontal="left" vertical="center" indent="3"/>
      <protection locked="0"/>
    </xf>
    <xf numFmtId="0" fontId="35" fillId="4" borderId="0" xfId="0" applyFont="1" applyFill="1" applyAlignment="1" applyProtection="1">
      <alignment horizontal="center" vertical="center"/>
      <protection locked="0"/>
    </xf>
    <xf numFmtId="10" fontId="75" fillId="4" borderId="0" xfId="2" applyNumberFormat="1" applyFont="1" applyFill="1" applyBorder="1" applyAlignment="1" applyProtection="1">
      <alignment horizontal="center"/>
      <protection locked="0"/>
    </xf>
    <xf numFmtId="0" fontId="75" fillId="4" borderId="0" xfId="0" applyFont="1" applyFill="1" applyAlignment="1" applyProtection="1">
      <alignment horizontal="left"/>
      <protection locked="0"/>
    </xf>
    <xf numFmtId="0" fontId="76" fillId="4" borderId="0" xfId="0" applyFont="1" applyFill="1" applyAlignment="1">
      <alignment horizontal="left" vertical="center" indent="3"/>
    </xf>
    <xf numFmtId="3" fontId="76" fillId="4" borderId="0" xfId="0" applyNumberFormat="1" applyFont="1" applyFill="1" applyAlignment="1">
      <alignment horizontal="right"/>
    </xf>
    <xf numFmtId="0" fontId="58" fillId="4" borderId="0" xfId="0" applyFont="1" applyFill="1" applyProtection="1">
      <protection locked="0"/>
    </xf>
    <xf numFmtId="0" fontId="59" fillId="4" borderId="0" xfId="0" applyFont="1" applyFill="1" applyProtection="1">
      <protection locked="0"/>
    </xf>
    <xf numFmtId="0" fontId="29" fillId="4" borderId="0" xfId="0" applyFont="1" applyFill="1" applyAlignment="1" applyProtection="1">
      <alignment vertical="center" wrapText="1"/>
      <protection locked="0"/>
    </xf>
    <xf numFmtId="0" fontId="52" fillId="4" borderId="0" xfId="6" applyFont="1" applyFill="1" applyBorder="1" applyAlignment="1" applyProtection="1">
      <alignment horizontal="center"/>
      <protection locked="0"/>
    </xf>
    <xf numFmtId="0" fontId="48" fillId="4" borderId="0" xfId="6" applyFont="1" applyFill="1" applyBorder="1" applyAlignment="1" applyProtection="1">
      <alignment horizontal="center"/>
      <protection locked="0"/>
    </xf>
    <xf numFmtId="0" fontId="76" fillId="4" borderId="0" xfId="0" applyFont="1" applyFill="1" applyProtection="1">
      <protection locked="0"/>
    </xf>
    <xf numFmtId="2" fontId="3" fillId="4" borderId="0" xfId="0" applyNumberFormat="1" applyFont="1" applyFill="1" applyProtection="1">
      <protection locked="0"/>
    </xf>
    <xf numFmtId="2" fontId="73" fillId="4" borderId="0" xfId="0" applyNumberFormat="1" applyFont="1" applyFill="1" applyAlignment="1">
      <alignment horizontal="center"/>
    </xf>
    <xf numFmtId="2" fontId="73" fillId="4" borderId="34" xfId="0" applyNumberFormat="1" applyFont="1" applyFill="1" applyBorder="1" applyAlignment="1">
      <alignment horizontal="center"/>
    </xf>
    <xf numFmtId="2" fontId="73" fillId="4" borderId="35" xfId="0" applyNumberFormat="1" applyFont="1" applyFill="1" applyBorder="1" applyAlignment="1">
      <alignment horizontal="center"/>
    </xf>
    <xf numFmtId="2" fontId="73" fillId="4" borderId="36" xfId="0" applyNumberFormat="1" applyFont="1" applyFill="1" applyBorder="1" applyAlignment="1">
      <alignment horizontal="center"/>
    </xf>
    <xf numFmtId="0" fontId="48" fillId="4" borderId="0" xfId="6" applyFont="1" applyFill="1" applyAlignment="1" applyProtection="1">
      <alignment horizontal="center"/>
      <protection locked="0"/>
    </xf>
    <xf numFmtId="0" fontId="35" fillId="4" borderId="0" xfId="0" applyFont="1" applyFill="1" applyProtection="1">
      <protection locked="0"/>
    </xf>
    <xf numFmtId="0" fontId="29" fillId="4" borderId="0" xfId="0" applyFont="1" applyFill="1" applyAlignment="1" applyProtection="1">
      <alignment horizontal="center" vertical="center"/>
      <protection locked="0"/>
    </xf>
    <xf numFmtId="0" fontId="73" fillId="4" borderId="0" xfId="0" applyFont="1" applyFill="1" applyProtection="1">
      <protection locked="0"/>
    </xf>
    <xf numFmtId="166" fontId="73" fillId="4" borderId="0" xfId="0" applyNumberFormat="1" applyFont="1" applyFill="1" applyProtection="1">
      <protection locked="0"/>
    </xf>
    <xf numFmtId="0" fontId="77" fillId="4" borderId="0" xfId="0" applyFont="1" applyFill="1" applyAlignment="1">
      <alignment horizontal="left" vertical="center"/>
    </xf>
    <xf numFmtId="2" fontId="73" fillId="4" borderId="0" xfId="0" applyNumberFormat="1" applyFont="1" applyFill="1" applyAlignment="1">
      <alignment horizontal="center" vertical="center"/>
    </xf>
    <xf numFmtId="2" fontId="77" fillId="4" borderId="0" xfId="0" applyNumberFormat="1" applyFont="1" applyFill="1" applyAlignment="1">
      <alignment horizontal="center" vertical="center"/>
    </xf>
    <xf numFmtId="2" fontId="73" fillId="4" borderId="0" xfId="3" applyNumberFormat="1" applyFont="1" applyFill="1" applyAlignment="1">
      <alignment horizontal="left" vertical="center"/>
    </xf>
    <xf numFmtId="2" fontId="73" fillId="4" borderId="33" xfId="3" applyNumberFormat="1" applyFont="1" applyFill="1" applyBorder="1" applyAlignment="1">
      <alignment horizontal="left" vertical="center"/>
    </xf>
    <xf numFmtId="2" fontId="73" fillId="4" borderId="33" xfId="0" applyNumberFormat="1" applyFont="1" applyFill="1" applyBorder="1" applyAlignment="1">
      <alignment horizontal="center" vertical="center"/>
    </xf>
    <xf numFmtId="2" fontId="76" fillId="4" borderId="0" xfId="3" applyNumberFormat="1" applyFont="1" applyFill="1" applyAlignment="1">
      <alignment horizontal="left" vertical="center" indent="2"/>
    </xf>
    <xf numFmtId="2" fontId="76" fillId="4" borderId="0" xfId="0" applyNumberFormat="1" applyFont="1" applyFill="1" applyAlignment="1">
      <alignment horizontal="center" vertical="center"/>
    </xf>
    <xf numFmtId="2" fontId="77" fillId="4" borderId="0" xfId="3" applyNumberFormat="1" applyFont="1" applyFill="1" applyAlignment="1">
      <alignment horizontal="left" vertical="center"/>
    </xf>
    <xf numFmtId="2" fontId="77" fillId="4" borderId="33" xfId="3" applyNumberFormat="1" applyFont="1" applyFill="1" applyBorder="1" applyAlignment="1">
      <alignment horizontal="left" vertical="center"/>
    </xf>
    <xf numFmtId="2" fontId="77" fillId="4" borderId="33" xfId="0" applyNumberFormat="1" applyFont="1" applyFill="1" applyBorder="1" applyAlignment="1">
      <alignment horizontal="center" vertical="center"/>
    </xf>
    <xf numFmtId="0" fontId="76" fillId="4" borderId="0" xfId="0" applyFont="1" applyFill="1"/>
    <xf numFmtId="167" fontId="76" fillId="4" borderId="0" xfId="0" applyNumberFormat="1" applyFont="1" applyFill="1" applyAlignment="1">
      <alignment horizontal="center"/>
    </xf>
    <xf numFmtId="167" fontId="76" fillId="4" borderId="0" xfId="4" applyNumberFormat="1" applyFont="1" applyFill="1" applyBorder="1" applyAlignment="1">
      <alignment horizontal="center"/>
    </xf>
    <xf numFmtId="0" fontId="27" fillId="4" borderId="0" xfId="0" applyFont="1" applyFill="1" applyAlignment="1">
      <alignment vertical="center" wrapText="1"/>
    </xf>
    <xf numFmtId="0" fontId="35" fillId="4" borderId="0" xfId="0" applyFont="1" applyFill="1" applyAlignment="1">
      <alignment vertical="center" wrapText="1"/>
    </xf>
    <xf numFmtId="167" fontId="92" fillId="4" borderId="0" xfId="0" applyNumberFormat="1" applyFont="1" applyFill="1" applyAlignment="1">
      <alignment horizontal="center"/>
    </xf>
    <xf numFmtId="0" fontId="92" fillId="4" borderId="0" xfId="0" applyFont="1" applyFill="1" applyAlignment="1">
      <alignment horizontal="left" vertical="center" indent="1"/>
    </xf>
    <xf numFmtId="0" fontId="92" fillId="4" borderId="38" xfId="0" applyFont="1" applyFill="1" applyBorder="1" applyAlignment="1">
      <alignment horizontal="left" vertical="center" indent="1"/>
    </xf>
    <xf numFmtId="167" fontId="92" fillId="4" borderId="38" xfId="0" applyNumberFormat="1" applyFont="1" applyFill="1" applyBorder="1" applyAlignment="1">
      <alignment horizontal="center"/>
    </xf>
    <xf numFmtId="0" fontId="8" fillId="4" borderId="0" xfId="0" applyFont="1" applyFill="1"/>
    <xf numFmtId="0" fontId="92" fillId="4" borderId="0" xfId="0" applyFont="1" applyFill="1"/>
    <xf numFmtId="0" fontId="93" fillId="4" borderId="0" xfId="0" applyFont="1" applyFill="1" applyAlignment="1">
      <alignment horizontal="center" vertical="center"/>
    </xf>
    <xf numFmtId="0" fontId="92" fillId="4" borderId="0" xfId="0" applyFont="1" applyFill="1" applyAlignment="1">
      <alignment horizontal="left" indent="1"/>
    </xf>
    <xf numFmtId="172" fontId="92" fillId="4" borderId="0" xfId="1" applyNumberFormat="1" applyFont="1" applyFill="1" applyBorder="1" applyProtection="1"/>
    <xf numFmtId="0" fontId="91" fillId="4" borderId="0" xfId="0" applyFont="1" applyFill="1"/>
    <xf numFmtId="172" fontId="91" fillId="4" borderId="0" xfId="1" applyNumberFormat="1" applyFont="1" applyFill="1" applyBorder="1" applyProtection="1"/>
    <xf numFmtId="0" fontId="91" fillId="4" borderId="38" xfId="0" applyFont="1" applyFill="1" applyBorder="1"/>
    <xf numFmtId="172" fontId="91" fillId="4" borderId="38" xfId="1" applyNumberFormat="1" applyFont="1" applyFill="1" applyBorder="1" applyProtection="1"/>
    <xf numFmtId="167" fontId="92" fillId="30" borderId="0" xfId="2" applyNumberFormat="1" applyFont="1" applyFill="1" applyBorder="1" applyAlignment="1" applyProtection="1">
      <alignment horizontal="right"/>
    </xf>
    <xf numFmtId="167" fontId="91" fillId="30" borderId="0" xfId="2" applyNumberFormat="1" applyFont="1" applyFill="1" applyBorder="1" applyAlignment="1" applyProtection="1">
      <alignment horizontal="right"/>
    </xf>
    <xf numFmtId="167" fontId="91" fillId="30" borderId="37" xfId="2" applyNumberFormat="1" applyFont="1" applyFill="1" applyBorder="1" applyAlignment="1" applyProtection="1">
      <alignment horizontal="right"/>
    </xf>
    <xf numFmtId="0" fontId="48" fillId="4" borderId="0" xfId="6" applyFont="1" applyFill="1" applyBorder="1" applyAlignment="1" applyProtection="1"/>
    <xf numFmtId="167" fontId="92" fillId="4" borderId="0" xfId="0" applyNumberFormat="1" applyFont="1" applyFill="1" applyAlignment="1">
      <alignment horizontal="right"/>
    </xf>
    <xf numFmtId="167" fontId="92" fillId="4" borderId="0" xfId="1" applyNumberFormat="1" applyFont="1" applyFill="1" applyBorder="1" applyAlignment="1" applyProtection="1">
      <alignment horizontal="right"/>
    </xf>
    <xf numFmtId="167" fontId="92" fillId="4" borderId="38" xfId="1" applyNumberFormat="1" applyFont="1" applyFill="1" applyBorder="1" applyAlignment="1" applyProtection="1">
      <alignment horizontal="right"/>
    </xf>
    <xf numFmtId="167" fontId="92" fillId="4" borderId="38" xfId="0" applyNumberFormat="1" applyFont="1" applyFill="1" applyBorder="1" applyAlignment="1">
      <alignment horizontal="right"/>
    </xf>
    <xf numFmtId="2" fontId="122" fillId="22" borderId="0" xfId="0" applyNumberFormat="1" applyFont="1" applyFill="1" applyAlignment="1">
      <alignment horizontal="center"/>
    </xf>
    <xf numFmtId="0" fontId="33" fillId="4" borderId="0" xfId="0" applyFont="1" applyFill="1"/>
    <xf numFmtId="0" fontId="48" fillId="4" borderId="0" xfId="6" applyFont="1" applyFill="1" applyBorder="1" applyAlignment="1">
      <alignment horizontal="center" vertical="center"/>
    </xf>
    <xf numFmtId="0" fontId="98" fillId="4" borderId="0" xfId="0" applyFont="1" applyFill="1"/>
    <xf numFmtId="1" fontId="102" fillId="4" borderId="0" xfId="3" applyNumberFormat="1" applyFont="1" applyFill="1" applyAlignment="1">
      <alignment horizontal="center" vertical="center"/>
    </xf>
    <xf numFmtId="167" fontId="100" fillId="4" borderId="0" xfId="3" applyNumberFormat="1" applyFont="1" applyFill="1" applyAlignment="1">
      <alignment horizontal="center" vertical="center"/>
    </xf>
    <xf numFmtId="1" fontId="102" fillId="4" borderId="39" xfId="3" applyNumberFormat="1" applyFont="1" applyFill="1" applyBorder="1" applyAlignment="1">
      <alignment horizontal="center" vertical="center"/>
    </xf>
    <xf numFmtId="168" fontId="100" fillId="4" borderId="39" xfId="3" applyNumberFormat="1" applyFont="1" applyFill="1" applyBorder="1" applyAlignment="1">
      <alignment horizontal="center" vertical="center"/>
    </xf>
    <xf numFmtId="0" fontId="35" fillId="4" borderId="0" xfId="0" applyFont="1" applyFill="1"/>
    <xf numFmtId="14" fontId="35" fillId="4" borderId="0" xfId="0" applyNumberFormat="1" applyFont="1" applyFill="1"/>
    <xf numFmtId="0" fontId="100" fillId="4" borderId="0" xfId="0" applyFont="1" applyFill="1"/>
    <xf numFmtId="0" fontId="103" fillId="4" borderId="0" xfId="0" applyFont="1" applyFill="1"/>
    <xf numFmtId="0" fontId="102" fillId="4" borderId="0" xfId="3" applyFont="1" applyFill="1" applyAlignment="1">
      <alignment horizontal="center" vertical="center"/>
    </xf>
    <xf numFmtId="168" fontId="100" fillId="4" borderId="39" xfId="3" applyNumberFormat="1" applyFont="1" applyFill="1" applyBorder="1" applyAlignment="1" applyProtection="1">
      <alignment horizontal="center" vertical="center"/>
      <protection locked="0"/>
    </xf>
    <xf numFmtId="0" fontId="27" fillId="4" borderId="0" xfId="0" applyFont="1" applyFill="1" applyAlignment="1">
      <alignment horizontal="right" vertical="center"/>
    </xf>
    <xf numFmtId="0" fontId="29" fillId="4" borderId="0" xfId="0" quotePrefix="1" applyFont="1" applyFill="1"/>
    <xf numFmtId="0" fontId="69" fillId="3" borderId="0" xfId="0" applyFont="1" applyFill="1" applyAlignment="1"/>
    <xf numFmtId="0" fontId="48" fillId="4" borderId="0" xfId="6" applyFont="1" applyFill="1" applyBorder="1" applyAlignment="1" applyProtection="1">
      <alignment horizontal="center"/>
      <protection locked="0"/>
    </xf>
    <xf numFmtId="0" fontId="67" fillId="7" borderId="0" xfId="6" applyFont="1" applyFill="1" applyBorder="1" applyAlignment="1">
      <alignment horizontal="left"/>
    </xf>
    <xf numFmtId="0" fontId="68" fillId="4" borderId="0" xfId="0" applyFont="1" applyFill="1" applyAlignment="1">
      <alignment horizontal="left" vertical="center"/>
    </xf>
    <xf numFmtId="0" fontId="68" fillId="4" borderId="32" xfId="0" applyFont="1" applyFill="1" applyBorder="1" applyAlignment="1">
      <alignment horizontal="left" vertical="center"/>
    </xf>
    <xf numFmtId="3" fontId="68" fillId="4" borderId="32" xfId="3" applyNumberFormat="1" applyFont="1" applyFill="1" applyBorder="1" applyAlignment="1">
      <alignment horizontal="center" vertical="center"/>
    </xf>
    <xf numFmtId="3" fontId="68" fillId="6" borderId="32" xfId="3" applyNumberFormat="1" applyFont="1" applyFill="1" applyBorder="1" applyAlignment="1">
      <alignment horizontal="center" vertical="center"/>
    </xf>
    <xf numFmtId="0" fontId="123" fillId="4" borderId="0" xfId="0" applyFont="1" applyFill="1" applyAlignment="1">
      <alignment horizontal="left" vertical="center"/>
    </xf>
    <xf numFmtId="3" fontId="123" fillId="4" borderId="0" xfId="3" applyNumberFormat="1" applyFont="1" applyFill="1" applyAlignment="1">
      <alignment horizontal="right" vertical="center"/>
    </xf>
    <xf numFmtId="3" fontId="123" fillId="6" borderId="0" xfId="3" applyNumberFormat="1" applyFont="1" applyFill="1" applyAlignment="1">
      <alignment horizontal="right" vertical="center"/>
    </xf>
    <xf numFmtId="2" fontId="124" fillId="4" borderId="0" xfId="3" applyNumberFormat="1" applyFont="1" applyFill="1" applyAlignment="1">
      <alignment horizontal="left" vertical="center"/>
    </xf>
    <xf numFmtId="3" fontId="124" fillId="4" borderId="0" xfId="3" applyNumberFormat="1" applyFont="1" applyFill="1" applyAlignment="1">
      <alignment horizontal="right" vertical="center"/>
    </xf>
    <xf numFmtId="3" fontId="124" fillId="6" borderId="0" xfId="3" applyNumberFormat="1" applyFont="1" applyFill="1" applyAlignment="1">
      <alignment horizontal="right" vertical="center"/>
    </xf>
    <xf numFmtId="0" fontId="124" fillId="4" borderId="0" xfId="0" applyFont="1" applyFill="1" applyAlignment="1">
      <alignment horizontal="left" vertical="center"/>
    </xf>
    <xf numFmtId="0" fontId="125" fillId="4" borderId="0" xfId="0" applyFont="1" applyFill="1" applyAlignment="1">
      <alignment horizontal="left" vertical="center"/>
    </xf>
    <xf numFmtId="3" fontId="125" fillId="4" borderId="0" xfId="3" applyNumberFormat="1" applyFont="1" applyFill="1" applyAlignment="1">
      <alignment horizontal="right" vertical="center"/>
    </xf>
    <xf numFmtId="3" fontId="125" fillId="6" borderId="0" xfId="3" applyNumberFormat="1" applyFont="1" applyFill="1" applyAlignment="1">
      <alignment horizontal="right" vertical="center"/>
    </xf>
    <xf numFmtId="168" fontId="124" fillId="4" borderId="0" xfId="3" applyNumberFormat="1" applyFont="1" applyFill="1" applyAlignment="1">
      <alignment horizontal="center" vertical="center"/>
    </xf>
    <xf numFmtId="168" fontId="124" fillId="6" borderId="0" xfId="3" applyNumberFormat="1" applyFont="1" applyFill="1" applyAlignment="1">
      <alignment horizontal="center" vertical="center"/>
    </xf>
    <xf numFmtId="168" fontId="125" fillId="4" borderId="0" xfId="3" applyNumberFormat="1" applyFont="1" applyFill="1" applyAlignment="1">
      <alignment horizontal="center" vertical="center"/>
    </xf>
    <xf numFmtId="168" fontId="125" fillId="6" borderId="0" xfId="3" applyNumberFormat="1" applyFont="1" applyFill="1" applyAlignment="1">
      <alignment horizontal="center" vertical="center"/>
    </xf>
    <xf numFmtId="0" fontId="5" fillId="4" borderId="0" xfId="0" applyFont="1" applyFill="1" applyAlignment="1">
      <alignment horizontal="left" vertical="center"/>
    </xf>
    <xf numFmtId="174" fontId="124" fillId="4" borderId="0" xfId="3" applyNumberFormat="1" applyFont="1" applyFill="1" applyAlignment="1">
      <alignment horizontal="right" vertical="center"/>
    </xf>
    <xf numFmtId="174" fontId="124" fillId="6" borderId="0" xfId="3" applyNumberFormat="1" applyFont="1" applyFill="1" applyAlignment="1">
      <alignment horizontal="right" vertical="center"/>
    </xf>
    <xf numFmtId="168" fontId="68" fillId="4" borderId="0" xfId="3" applyNumberFormat="1" applyFont="1" applyFill="1" applyAlignment="1">
      <alignment horizontal="right" vertical="center"/>
    </xf>
    <xf numFmtId="168" fontId="68" fillId="6" borderId="0" xfId="3" applyNumberFormat="1" applyFont="1" applyFill="1" applyAlignment="1">
      <alignment horizontal="right" vertical="center"/>
    </xf>
    <xf numFmtId="43" fontId="124" fillId="4" borderId="0" xfId="1" applyNumberFormat="1" applyFont="1" applyFill="1" applyAlignment="1">
      <alignment horizontal="right" vertical="center"/>
    </xf>
    <xf numFmtId="172" fontId="124" fillId="4" borderId="0" xfId="1" applyNumberFormat="1" applyFont="1" applyFill="1" applyAlignment="1">
      <alignment horizontal="right" vertical="center"/>
    </xf>
    <xf numFmtId="172" fontId="124" fillId="6" borderId="0" xfId="1" applyNumberFormat="1" applyFont="1" applyFill="1" applyAlignment="1">
      <alignment horizontal="right" vertical="center"/>
    </xf>
    <xf numFmtId="0" fontId="124" fillId="4" borderId="0" xfId="0" applyFont="1" applyFill="1" applyAlignment="1">
      <alignment vertical="center"/>
    </xf>
    <xf numFmtId="43" fontId="124" fillId="4" borderId="0" xfId="1" applyNumberFormat="1" applyFont="1" applyFill="1" applyAlignment="1">
      <alignment vertical="center"/>
    </xf>
    <xf numFmtId="167" fontId="124" fillId="4" borderId="0" xfId="1" applyNumberFormat="1" applyFont="1" applyFill="1" applyAlignment="1">
      <alignment horizontal="center" vertical="center"/>
    </xf>
    <xf numFmtId="167" fontId="124" fillId="6" borderId="0" xfId="1" applyNumberFormat="1" applyFont="1" applyFill="1" applyAlignment="1">
      <alignment horizontal="center" vertical="center"/>
    </xf>
    <xf numFmtId="2" fontId="7" fillId="0" borderId="42" xfId="3" applyNumberFormat="1" applyFont="1" applyBorder="1" applyAlignment="1">
      <alignment horizontal="left" vertical="center" indent="2"/>
    </xf>
    <xf numFmtId="2" fontId="3" fillId="0" borderId="43" xfId="0" applyNumberFormat="1" applyFont="1" applyBorder="1" applyAlignment="1">
      <alignment horizontal="center" vertical="center"/>
    </xf>
    <xf numFmtId="0" fontId="41" fillId="31" borderId="0" xfId="0" applyFont="1" applyFill="1" applyAlignment="1" applyProtection="1">
      <alignment vertical="center" wrapText="1"/>
      <protection locked="0"/>
    </xf>
    <xf numFmtId="166" fontId="41" fillId="31" borderId="0" xfId="1" applyNumberFormat="1" applyFont="1" applyFill="1" applyAlignment="1" applyProtection="1">
      <alignment vertical="center" wrapText="1"/>
      <protection locked="0"/>
    </xf>
    <xf numFmtId="0" fontId="5" fillId="14" borderId="0" xfId="0" applyFont="1" applyFill="1" applyAlignment="1">
      <alignment horizontal="left" vertical="center"/>
    </xf>
    <xf numFmtId="0" fontId="5" fillId="14" borderId="0" xfId="0" applyFont="1" applyFill="1" applyAlignment="1">
      <alignment horizontal="left" vertical="top"/>
    </xf>
    <xf numFmtId="0" fontId="61" fillId="19" borderId="0" xfId="0" applyFont="1" applyFill="1" applyAlignment="1">
      <alignment horizontal="center"/>
    </xf>
    <xf numFmtId="0" fontId="60" fillId="14" borderId="0" xfId="0" applyFont="1" applyFill="1" applyAlignment="1">
      <alignment horizontal="center"/>
    </xf>
    <xf numFmtId="0" fontId="33" fillId="14" borderId="0" xfId="0" applyFont="1" applyFill="1" applyAlignment="1">
      <alignment horizontal="center" vertical="center"/>
    </xf>
    <xf numFmtId="0" fontId="41" fillId="15" borderId="0" xfId="0" applyFont="1" applyFill="1" applyAlignment="1">
      <alignment horizontal="center" vertical="center"/>
    </xf>
    <xf numFmtId="0" fontId="5" fillId="14" borderId="0" xfId="0" applyFont="1" applyFill="1" applyAlignment="1">
      <alignment horizontal="left"/>
    </xf>
    <xf numFmtId="0" fontId="63" fillId="16" borderId="0" xfId="0" applyFont="1" applyFill="1" applyAlignment="1">
      <alignment horizontal="center"/>
    </xf>
    <xf numFmtId="0" fontId="29" fillId="8" borderId="0" xfId="0" applyFont="1" applyFill="1" applyAlignment="1">
      <alignment horizontal="center" vertical="center" wrapText="1"/>
    </xf>
    <xf numFmtId="0" fontId="41" fillId="16" borderId="0" xfId="0" applyFont="1" applyFill="1" applyAlignment="1">
      <alignment horizontal="center"/>
    </xf>
    <xf numFmtId="0" fontId="67" fillId="17" borderId="0" xfId="6" applyFont="1" applyFill="1" applyBorder="1" applyAlignment="1">
      <alignment horizontal="left"/>
    </xf>
    <xf numFmtId="0" fontId="67" fillId="7" borderId="0" xfId="6" applyFont="1" applyFill="1" applyBorder="1" applyAlignment="1">
      <alignment horizontal="left"/>
    </xf>
    <xf numFmtId="0" fontId="67" fillId="18" borderId="0" xfId="6" applyFont="1" applyFill="1" applyBorder="1" applyAlignment="1">
      <alignment horizontal="left"/>
    </xf>
    <xf numFmtId="0" fontId="65" fillId="16" borderId="0" xfId="6" applyFont="1" applyFill="1" applyAlignment="1">
      <alignment horizontal="center" vertical="center"/>
    </xf>
    <xf numFmtId="0" fontId="67" fillId="3" borderId="0" xfId="6" applyFont="1" applyFill="1" applyBorder="1" applyAlignment="1">
      <alignment horizontal="left"/>
    </xf>
    <xf numFmtId="0" fontId="67" fillId="10" borderId="0" xfId="6" applyFont="1" applyFill="1" applyBorder="1" applyAlignment="1">
      <alignment horizontal="left"/>
    </xf>
    <xf numFmtId="0" fontId="67" fillId="8" borderId="0" xfId="6" applyFont="1" applyFill="1" applyBorder="1" applyAlignment="1">
      <alignment horizontal="left"/>
    </xf>
    <xf numFmtId="0" fontId="61" fillId="11" borderId="0" xfId="0" applyFont="1" applyFill="1" applyAlignment="1">
      <alignment horizontal="center"/>
    </xf>
    <xf numFmtId="0" fontId="27" fillId="4" borderId="0" xfId="0" applyFont="1" applyFill="1" applyAlignment="1">
      <alignment horizontal="left" vertical="center" wrapText="1"/>
    </xf>
    <xf numFmtId="0" fontId="29" fillId="4" borderId="0" xfId="0" applyFont="1" applyFill="1" applyAlignment="1">
      <alignment horizontal="left" vertical="center" wrapText="1"/>
    </xf>
    <xf numFmtId="0" fontId="68" fillId="4" borderId="0" xfId="0" applyFont="1" applyFill="1" applyAlignment="1">
      <alignment horizontal="left" vertical="center"/>
    </xf>
    <xf numFmtId="0" fontId="38" fillId="9" borderId="0" xfId="0" applyFont="1" applyFill="1" applyAlignment="1">
      <alignment horizontal="center"/>
    </xf>
    <xf numFmtId="0" fontId="41" fillId="9" borderId="0" xfId="0" applyFont="1" applyFill="1" applyAlignment="1">
      <alignment horizontal="center"/>
    </xf>
    <xf numFmtId="0" fontId="69" fillId="3" borderId="0" xfId="0" applyFont="1" applyFill="1" applyAlignment="1">
      <alignment horizontal="center" vertical="center"/>
    </xf>
    <xf numFmtId="0" fontId="69" fillId="3" borderId="0" xfId="0" applyFont="1" applyFill="1" applyAlignment="1">
      <alignment horizontal="center"/>
    </xf>
    <xf numFmtId="0" fontId="38" fillId="9" borderId="0" xfId="0" applyFont="1" applyFill="1" applyAlignment="1">
      <alignment horizontal="center" vertical="center"/>
    </xf>
    <xf numFmtId="0" fontId="70" fillId="3" borderId="0" xfId="0" applyFont="1" applyFill="1" applyAlignment="1">
      <alignment horizontal="left" vertical="center" wrapText="1"/>
    </xf>
    <xf numFmtId="0" fontId="47" fillId="3" borderId="0" xfId="0" applyFont="1" applyFill="1" applyAlignment="1">
      <alignment horizontal="center"/>
    </xf>
    <xf numFmtId="0" fontId="68" fillId="4" borderId="0" xfId="0" applyFont="1" applyFill="1" applyAlignment="1">
      <alignment horizontal="center" vertical="center" wrapText="1"/>
    </xf>
    <xf numFmtId="0" fontId="28" fillId="4" borderId="0" xfId="6" applyFill="1" applyBorder="1" applyAlignment="1">
      <alignment horizontal="center"/>
    </xf>
    <xf numFmtId="0" fontId="73" fillId="8" borderId="0" xfId="0" applyFont="1" applyFill="1" applyAlignment="1">
      <alignment horizontal="left" vertical="center" wrapText="1"/>
    </xf>
    <xf numFmtId="0" fontId="76" fillId="8" borderId="0" xfId="0" applyFont="1" applyFill="1" applyAlignment="1" applyProtection="1">
      <alignment horizontal="center"/>
      <protection locked="0"/>
    </xf>
    <xf numFmtId="0" fontId="73" fillId="8" borderId="0" xfId="0" applyFont="1" applyFill="1" applyAlignment="1" applyProtection="1">
      <alignment horizontal="left" vertical="center" wrapText="1"/>
      <protection locked="0"/>
    </xf>
    <xf numFmtId="0" fontId="79" fillId="11" borderId="0" xfId="0" applyFont="1" applyFill="1" applyAlignment="1">
      <alignment horizontal="left" vertical="center"/>
    </xf>
    <xf numFmtId="0" fontId="41" fillId="20" borderId="0" xfId="0" applyFont="1" applyFill="1" applyAlignment="1" applyProtection="1">
      <alignment horizontal="center" vertical="center"/>
      <protection locked="0"/>
    </xf>
    <xf numFmtId="0" fontId="75" fillId="11" borderId="0" xfId="0" applyFont="1" applyFill="1" applyAlignment="1">
      <alignment horizontal="center"/>
    </xf>
    <xf numFmtId="0" fontId="41" fillId="31" borderId="0" xfId="0" applyFont="1" applyFill="1" applyAlignment="1" applyProtection="1">
      <alignment horizontal="center" vertical="center"/>
      <protection locked="0"/>
    </xf>
    <xf numFmtId="0" fontId="38" fillId="20" borderId="0" xfId="0" applyFont="1" applyFill="1" applyAlignment="1" applyProtection="1">
      <alignment horizontal="center" vertical="center"/>
      <protection locked="0"/>
    </xf>
    <xf numFmtId="0" fontId="38" fillId="4" borderId="0" xfId="0" applyFont="1" applyFill="1" applyAlignment="1" applyProtection="1">
      <alignment horizontal="center"/>
      <protection locked="0"/>
    </xf>
    <xf numFmtId="0" fontId="74" fillId="11" borderId="0" xfId="0" applyFont="1" applyFill="1" applyAlignment="1" applyProtection="1">
      <alignment horizontal="left" vertical="center" wrapText="1"/>
      <protection locked="0"/>
    </xf>
    <xf numFmtId="0" fontId="6" fillId="11" borderId="0" xfId="0" applyFont="1" applyFill="1" applyAlignment="1">
      <alignment horizontal="center"/>
    </xf>
    <xf numFmtId="0" fontId="81" fillId="4" borderId="0" xfId="6" applyFont="1" applyFill="1" applyBorder="1" applyAlignment="1" applyProtection="1">
      <alignment horizontal="right"/>
      <protection locked="0"/>
    </xf>
    <xf numFmtId="0" fontId="5" fillId="8" borderId="0" xfId="0" applyFont="1" applyFill="1" applyAlignment="1" applyProtection="1">
      <alignment horizontal="center" vertical="center" wrapText="1"/>
      <protection locked="0"/>
    </xf>
    <xf numFmtId="0" fontId="40" fillId="20" borderId="0" xfId="0" applyFont="1" applyFill="1" applyAlignment="1" applyProtection="1">
      <alignment horizontal="center" vertical="center"/>
      <protection locked="0"/>
    </xf>
    <xf numFmtId="0" fontId="45" fillId="20" borderId="0" xfId="0" applyFont="1" applyFill="1" applyAlignment="1" applyProtection="1">
      <alignment horizontal="center" vertical="center"/>
      <protection locked="0"/>
    </xf>
    <xf numFmtId="0" fontId="75" fillId="11" borderId="0" xfId="0" applyFont="1" applyFill="1" applyAlignment="1" applyProtection="1">
      <alignment horizontal="center" vertical="center"/>
      <protection locked="0"/>
    </xf>
    <xf numFmtId="0" fontId="72" fillId="11" borderId="0" xfId="0" applyFont="1" applyFill="1" applyAlignment="1" applyProtection="1">
      <alignment horizontal="center" vertical="center"/>
      <protection locked="0"/>
    </xf>
    <xf numFmtId="0" fontId="76" fillId="0" borderId="0" xfId="0" applyFont="1" applyAlignment="1" applyProtection="1">
      <alignment horizontal="center" vertical="center"/>
      <protection locked="0"/>
    </xf>
    <xf numFmtId="0" fontId="72" fillId="11" borderId="0" xfId="0" applyFont="1" applyFill="1" applyAlignment="1" applyProtection="1">
      <alignment horizontal="center"/>
      <protection locked="0"/>
    </xf>
    <xf numFmtId="0" fontId="77" fillId="8" borderId="0" xfId="0" applyFont="1" applyFill="1" applyAlignment="1" applyProtection="1">
      <alignment horizontal="center" vertical="center" wrapText="1"/>
      <protection locked="0"/>
    </xf>
    <xf numFmtId="0" fontId="74" fillId="8" borderId="0" xfId="0" applyFont="1" applyFill="1" applyAlignment="1" applyProtection="1">
      <alignment horizontal="center" vertical="center" wrapText="1"/>
      <protection locked="0"/>
    </xf>
    <xf numFmtId="0" fontId="73" fillId="21" borderId="0" xfId="0" applyFont="1" applyFill="1" applyAlignment="1" applyProtection="1">
      <alignment horizontal="center" vertical="center" wrapText="1"/>
      <protection locked="0"/>
    </xf>
    <xf numFmtId="0" fontId="72" fillId="4" borderId="0" xfId="0" applyFont="1" applyFill="1" applyAlignment="1" applyProtection="1">
      <alignment horizontal="center"/>
      <protection locked="0"/>
    </xf>
    <xf numFmtId="0" fontId="29" fillId="21" borderId="0" xfId="0" applyFont="1" applyFill="1" applyAlignment="1" applyProtection="1">
      <alignment horizontal="center"/>
      <protection locked="0"/>
    </xf>
    <xf numFmtId="0" fontId="9" fillId="4" borderId="0" xfId="0" applyFont="1" applyFill="1" applyAlignment="1" applyProtection="1">
      <alignment horizontal="center" vertical="center"/>
      <protection locked="0"/>
    </xf>
    <xf numFmtId="0" fontId="52" fillId="4" borderId="0" xfId="6" applyFont="1" applyFill="1" applyBorder="1" applyAlignment="1" applyProtection="1">
      <alignment horizontal="center"/>
      <protection locked="0"/>
    </xf>
    <xf numFmtId="0" fontId="48" fillId="4" borderId="0" xfId="6" applyFont="1" applyFill="1" applyBorder="1" applyAlignment="1" applyProtection="1">
      <alignment horizontal="center"/>
      <protection locked="0"/>
    </xf>
    <xf numFmtId="0" fontId="77" fillId="8" borderId="0" xfId="0" applyFont="1" applyFill="1" applyAlignment="1" applyProtection="1">
      <alignment horizontal="center" vertical="center"/>
      <protection locked="0"/>
    </xf>
    <xf numFmtId="0" fontId="77" fillId="8" borderId="34" xfId="0" applyFont="1" applyFill="1" applyBorder="1" applyAlignment="1" applyProtection="1">
      <alignment horizontal="center" vertical="center" wrapText="1"/>
      <protection locked="0"/>
    </xf>
    <xf numFmtId="0" fontId="76" fillId="4" borderId="0" xfId="0" applyFont="1" applyFill="1" applyAlignment="1" applyProtection="1">
      <alignment horizontal="center" vertical="center"/>
      <protection locked="0"/>
    </xf>
    <xf numFmtId="0" fontId="74" fillId="11" borderId="0" xfId="0" applyFont="1" applyFill="1" applyAlignment="1">
      <alignment horizontal="center" vertical="center" wrapText="1"/>
    </xf>
    <xf numFmtId="0" fontId="77" fillId="11" borderId="0" xfId="0" applyFont="1" applyFill="1" applyAlignment="1">
      <alignment horizontal="center" vertical="center"/>
    </xf>
    <xf numFmtId="0" fontId="72" fillId="10" borderId="0" xfId="0" applyFont="1" applyFill="1" applyAlignment="1">
      <alignment horizontal="center" vertical="center"/>
    </xf>
    <xf numFmtId="0" fontId="79" fillId="11" borderId="0" xfId="0" applyFont="1" applyFill="1" applyAlignment="1">
      <alignment horizontal="center" vertical="center"/>
    </xf>
    <xf numFmtId="0" fontId="74" fillId="8" borderId="0" xfId="0" applyFont="1" applyFill="1" applyAlignment="1">
      <alignment horizontal="center"/>
    </xf>
    <xf numFmtId="1" fontId="77" fillId="11" borderId="0" xfId="3" applyNumberFormat="1" applyFont="1" applyFill="1" applyAlignment="1">
      <alignment horizontal="center" vertical="center"/>
    </xf>
    <xf numFmtId="0" fontId="86" fillId="23" borderId="0" xfId="0" applyFont="1" applyFill="1" applyAlignment="1">
      <alignment horizontal="left" vertical="center" wrapText="1"/>
    </xf>
    <xf numFmtId="0" fontId="83" fillId="24" borderId="0" xfId="0" applyFont="1" applyFill="1" applyAlignment="1">
      <alignment horizontal="center" vertical="center"/>
    </xf>
    <xf numFmtId="0" fontId="42" fillId="24" borderId="0" xfId="0" applyFont="1" applyFill="1" applyAlignment="1">
      <alignment horizontal="center" vertical="center"/>
    </xf>
    <xf numFmtId="0" fontId="84" fillId="4" borderId="0" xfId="0" applyFont="1" applyFill="1" applyAlignment="1">
      <alignment horizontal="center" vertical="center"/>
    </xf>
    <xf numFmtId="0" fontId="38" fillId="24" borderId="0" xfId="0" applyFont="1" applyFill="1" applyAlignment="1">
      <alignment horizontal="center"/>
    </xf>
    <xf numFmtId="0" fontId="85" fillId="22" borderId="0" xfId="0" applyFont="1" applyFill="1" applyAlignment="1">
      <alignment horizontal="left" vertical="center" wrapText="1"/>
    </xf>
    <xf numFmtId="0" fontId="87" fillId="23" borderId="0" xfId="0" applyFont="1" applyFill="1" applyAlignment="1">
      <alignment horizontal="center"/>
    </xf>
    <xf numFmtId="0" fontId="89" fillId="22" borderId="0" xfId="0" applyFont="1" applyFill="1" applyAlignment="1">
      <alignment horizontal="center" vertical="center" wrapText="1"/>
    </xf>
    <xf numFmtId="0" fontId="90" fillId="22" borderId="0" xfId="0" applyFont="1" applyFill="1" applyAlignment="1">
      <alignment horizontal="center" vertical="center" wrapText="1"/>
    </xf>
    <xf numFmtId="0" fontId="90" fillId="22" borderId="0" xfId="3" applyFont="1" applyFill="1" applyAlignment="1">
      <alignment horizontal="center" vertical="center"/>
    </xf>
    <xf numFmtId="0" fontId="90" fillId="22" borderId="0" xfId="0" applyFont="1" applyFill="1" applyAlignment="1">
      <alignment horizontal="center" vertical="center"/>
    </xf>
    <xf numFmtId="0" fontId="5" fillId="4" borderId="0" xfId="0" applyFont="1" applyFill="1" applyAlignment="1">
      <alignment horizontal="center" vertical="center" wrapText="1"/>
    </xf>
    <xf numFmtId="0" fontId="88" fillId="23" borderId="0" xfId="6" applyFont="1" applyFill="1" applyBorder="1" applyAlignment="1" applyProtection="1">
      <alignment horizontal="center" vertical="center" wrapText="1"/>
    </xf>
    <xf numFmtId="0" fontId="119" fillId="4" borderId="0" xfId="6" applyFont="1" applyFill="1" applyBorder="1" applyAlignment="1" applyProtection="1">
      <alignment horizontal="right"/>
    </xf>
    <xf numFmtId="0" fontId="92" fillId="4" borderId="0" xfId="0" applyFont="1" applyFill="1" applyAlignment="1">
      <alignment horizontal="left"/>
    </xf>
    <xf numFmtId="0" fontId="91" fillId="4" borderId="37" xfId="0" applyFont="1" applyFill="1" applyBorder="1" applyAlignment="1">
      <alignment horizontal="left"/>
    </xf>
    <xf numFmtId="0" fontId="45" fillId="24" borderId="0" xfId="0" applyFont="1" applyFill="1" applyAlignment="1">
      <alignment horizontal="center" vertical="center" wrapText="1"/>
    </xf>
    <xf numFmtId="0" fontId="45" fillId="24" borderId="0" xfId="0" applyFont="1" applyFill="1" applyAlignment="1">
      <alignment horizontal="center" vertical="center"/>
    </xf>
    <xf numFmtId="0" fontId="91" fillId="4" borderId="0" xfId="0" applyFont="1" applyFill="1" applyAlignment="1">
      <alignment horizontal="left"/>
    </xf>
    <xf numFmtId="0" fontId="98" fillId="26" borderId="0" xfId="0" applyFont="1" applyFill="1" applyAlignment="1">
      <alignment horizontal="center"/>
    </xf>
    <xf numFmtId="0" fontId="101" fillId="25" borderId="0" xfId="0" applyFont="1" applyFill="1" applyAlignment="1">
      <alignment horizontal="center"/>
    </xf>
    <xf numFmtId="0" fontId="107" fillId="26" borderId="0" xfId="0" applyFont="1" applyFill="1" applyAlignment="1">
      <alignment horizontal="center" vertical="center" wrapText="1"/>
    </xf>
    <xf numFmtId="0" fontId="28" fillId="4" borderId="0" xfId="6" applyFill="1" applyBorder="1" applyAlignment="1">
      <alignment horizontal="center" vertical="center"/>
    </xf>
    <xf numFmtId="0" fontId="96" fillId="25" borderId="0" xfId="0" applyFont="1" applyFill="1" applyAlignment="1">
      <alignment horizontal="center"/>
    </xf>
    <xf numFmtId="0" fontId="98" fillId="7" borderId="0" xfId="0" applyFont="1" applyFill="1" applyAlignment="1">
      <alignment horizontal="center" wrapText="1"/>
    </xf>
    <xf numFmtId="173" fontId="103" fillId="4" borderId="40" xfId="0" applyNumberFormat="1" applyFont="1" applyFill="1" applyBorder="1" applyAlignment="1">
      <alignment horizontal="center"/>
    </xf>
    <xf numFmtId="0" fontId="100" fillId="4" borderId="40" xfId="0" applyFont="1" applyFill="1" applyBorder="1" applyAlignment="1">
      <alignment horizontal="left"/>
    </xf>
    <xf numFmtId="1" fontId="102" fillId="26" borderId="0" xfId="3" applyNumberFormat="1" applyFont="1" applyFill="1" applyAlignment="1">
      <alignment horizontal="center" vertical="center"/>
    </xf>
    <xf numFmtId="0" fontId="102" fillId="4" borderId="0" xfId="0" applyFont="1" applyFill="1" applyAlignment="1">
      <alignment horizontal="center"/>
    </xf>
    <xf numFmtId="0" fontId="112" fillId="28" borderId="0" xfId="6" applyFont="1" applyFill="1" applyBorder="1" applyAlignment="1">
      <alignment horizontal="center" vertical="center"/>
    </xf>
    <xf numFmtId="0" fontId="108" fillId="4" borderId="0" xfId="0" applyFont="1" applyFill="1" applyAlignment="1">
      <alignment horizontal="center" vertical="center" wrapText="1"/>
    </xf>
    <xf numFmtId="0" fontId="109" fillId="4" borderId="0" xfId="0" applyFont="1" applyFill="1" applyAlignment="1">
      <alignment horizontal="center" vertical="center" wrapText="1"/>
    </xf>
    <xf numFmtId="0" fontId="29" fillId="4" borderId="0" xfId="0" applyFont="1" applyFill="1" applyAlignment="1">
      <alignment horizontal="center" vertical="center"/>
    </xf>
    <xf numFmtId="0" fontId="106" fillId="4" borderId="0" xfId="0" applyFont="1" applyFill="1" applyAlignment="1">
      <alignment horizontal="center" wrapText="1"/>
    </xf>
    <xf numFmtId="0" fontId="118" fillId="27" borderId="0" xfId="0" applyFont="1" applyFill="1" applyAlignment="1">
      <alignment horizontal="center"/>
    </xf>
    <xf numFmtId="0" fontId="117" fillId="29" borderId="0" xfId="0" applyFont="1" applyFill="1" applyAlignment="1">
      <alignment horizontal="center"/>
    </xf>
    <xf numFmtId="0" fontId="105" fillId="18" borderId="0" xfId="0" applyFont="1" applyFill="1" applyAlignment="1">
      <alignment horizontal="center"/>
    </xf>
    <xf numFmtId="0" fontId="110" fillId="3" borderId="0" xfId="0" applyFont="1" applyFill="1" applyAlignment="1">
      <alignment horizontal="left"/>
    </xf>
    <xf numFmtId="0" fontId="104" fillId="3" borderId="0" xfId="6" applyFont="1" applyFill="1" applyBorder="1" applyAlignment="1">
      <alignment horizontal="left"/>
    </xf>
    <xf numFmtId="0" fontId="104" fillId="4" borderId="0" xfId="3" applyFont="1" applyFill="1" applyAlignment="1">
      <alignment horizontal="center" vertical="center" wrapText="1"/>
    </xf>
    <xf numFmtId="0" fontId="104" fillId="10" borderId="0" xfId="6" applyFont="1" applyFill="1" applyBorder="1" applyAlignment="1">
      <alignment horizontal="left"/>
    </xf>
    <xf numFmtId="0" fontId="104" fillId="17" borderId="0" xfId="6" applyFont="1" applyFill="1" applyBorder="1" applyAlignment="1">
      <alignment horizontal="left"/>
    </xf>
    <xf numFmtId="0" fontId="104" fillId="8" borderId="0" xfId="6" applyFont="1" applyFill="1" applyBorder="1" applyAlignment="1">
      <alignment horizontal="left"/>
    </xf>
    <xf numFmtId="0" fontId="104" fillId="7" borderId="0" xfId="6" applyFont="1" applyFill="1" applyBorder="1" applyAlignment="1">
      <alignment horizontal="left"/>
    </xf>
    <xf numFmtId="0" fontId="110" fillId="10" borderId="0" xfId="0" applyFont="1" applyFill="1" applyAlignment="1">
      <alignment horizontal="left"/>
    </xf>
    <xf numFmtId="0" fontId="110" fillId="17" borderId="0" xfId="0" applyFont="1" applyFill="1" applyAlignment="1">
      <alignment horizontal="left"/>
    </xf>
    <xf numFmtId="0" fontId="110" fillId="8" borderId="0" xfId="0" applyFont="1" applyFill="1" applyAlignment="1">
      <alignment horizontal="left"/>
    </xf>
    <xf numFmtId="0" fontId="110" fillId="7" borderId="0" xfId="0" applyFont="1" applyFill="1" applyAlignment="1">
      <alignment horizontal="left"/>
    </xf>
    <xf numFmtId="0" fontId="37" fillId="22" borderId="0" xfId="0" applyFont="1" applyFill="1" applyAlignment="1">
      <alignment horizontal="center" vertical="center"/>
    </xf>
    <xf numFmtId="0" fontId="9" fillId="3" borderId="0" xfId="0" applyFont="1" applyFill="1" applyAlignment="1">
      <alignment horizontal="center"/>
    </xf>
    <xf numFmtId="0" fontId="9" fillId="10" borderId="0" xfId="0" applyFont="1" applyFill="1" applyAlignment="1">
      <alignment horizontal="center"/>
    </xf>
    <xf numFmtId="0" fontId="37" fillId="11" borderId="0" xfId="0" applyFont="1" applyFill="1" applyAlignment="1">
      <alignment horizontal="center" vertical="center"/>
    </xf>
    <xf numFmtId="0" fontId="9" fillId="17" borderId="0" xfId="0" applyFont="1" applyFill="1" applyAlignment="1">
      <alignment horizontal="center"/>
    </xf>
    <xf numFmtId="0" fontId="27" fillId="8" borderId="0" xfId="0" applyFont="1" applyFill="1" applyAlignment="1">
      <alignment horizontal="left" vertical="center"/>
    </xf>
    <xf numFmtId="0" fontId="111" fillId="27" borderId="0" xfId="0" applyFont="1" applyFill="1" applyAlignment="1">
      <alignment horizontal="center" vertical="center"/>
    </xf>
    <xf numFmtId="0" fontId="27" fillId="26" borderId="0" xfId="0" applyFont="1" applyFill="1" applyAlignment="1">
      <alignment horizontal="left" vertical="center"/>
    </xf>
    <xf numFmtId="0" fontId="27" fillId="6" borderId="0" xfId="0" applyFont="1" applyFill="1" applyAlignment="1">
      <alignment horizontal="left" vertical="center"/>
    </xf>
    <xf numFmtId="0" fontId="27" fillId="23" borderId="0" xfId="0" applyFont="1" applyFill="1" applyAlignment="1">
      <alignment horizontal="left" vertical="center"/>
    </xf>
    <xf numFmtId="0" fontId="9" fillId="25" borderId="0" xfId="0" applyFont="1" applyFill="1" applyAlignment="1">
      <alignment horizontal="center"/>
    </xf>
    <xf numFmtId="0" fontId="0" fillId="0" borderId="18" xfId="0" applyBorder="1" applyAlignment="1">
      <alignment horizontal="center"/>
    </xf>
    <xf numFmtId="0" fontId="0" fillId="0" borderId="19" xfId="0" applyBorder="1" applyAlignment="1">
      <alignment horizontal="center"/>
    </xf>
    <xf numFmtId="0" fontId="2" fillId="0" borderId="11" xfId="0" applyFont="1" applyBorder="1" applyAlignment="1">
      <alignment horizontal="center" vertical="center"/>
    </xf>
    <xf numFmtId="1" fontId="6" fillId="0" borderId="1" xfId="3" applyNumberFormat="1" applyFont="1" applyBorder="1" applyAlignment="1">
      <alignment horizontal="center" vertical="center"/>
    </xf>
    <xf numFmtId="0" fontId="116" fillId="18" borderId="0" xfId="3" applyFont="1" applyFill="1" applyAlignment="1">
      <alignment horizontal="center" vertical="center"/>
    </xf>
    <xf numFmtId="0" fontId="113" fillId="4" borderId="0" xfId="3" applyFont="1" applyFill="1" applyAlignment="1">
      <alignment horizontal="center" vertical="center"/>
    </xf>
  </cellXfs>
  <cellStyles count="7">
    <cellStyle name="Bad" xfId="4" builtinId="27"/>
    <cellStyle name="Comma" xfId="1" builtinId="3"/>
    <cellStyle name="Hyperlink" xfId="6" builtinId="8"/>
    <cellStyle name="Normal" xfId="0" builtinId="0"/>
    <cellStyle name="Normal 2" xfId="3" xr:uid="{F6EBCDF2-A09B-411C-93CD-8EB841F6697B}"/>
    <cellStyle name="Normal 3" xfId="5" xr:uid="{99291A49-B785-415A-8974-30C9DB9723C1}"/>
    <cellStyle name="Percent" xfId="2" builtinId="5"/>
  </cellStyles>
  <dxfs count="33">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b/>
        <i val="0"/>
        <color rgb="FFFF2D2D"/>
      </font>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color rgb="FF9C0006"/>
      </font>
      <fill>
        <patternFill>
          <bgColor rgb="FFFFC7CE"/>
        </patternFill>
      </fill>
    </dxf>
    <dxf>
      <font>
        <color rgb="FF002060"/>
      </font>
      <fill>
        <patternFill>
          <bgColor rgb="FFFFC7CE"/>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b/>
        <i val="0"/>
        <color rgb="FFFF0000"/>
      </font>
      <fill>
        <patternFill patternType="solid">
          <bgColor rgb="FFE2EFDA"/>
        </patternFill>
      </fill>
    </dxf>
    <dxf>
      <fill>
        <gradientFill>
          <stop position="0">
            <color theme="0"/>
          </stop>
          <stop position="0.5">
            <color rgb="FFFF2D2D"/>
          </stop>
          <stop position="1">
            <color theme="0"/>
          </stop>
        </gradientFill>
      </fill>
    </dxf>
    <dxf>
      <fill>
        <gradientFill>
          <stop position="0">
            <color theme="7" tint="0.80001220740379042"/>
          </stop>
          <stop position="0.5">
            <color theme="9" tint="0.40000610370189521"/>
          </stop>
          <stop position="1">
            <color theme="7" tint="0.80001220740379042"/>
          </stop>
        </gradientFill>
      </fill>
    </dxf>
    <dxf>
      <font>
        <color rgb="FFC00000"/>
      </font>
      <fill>
        <patternFill>
          <bgColor theme="7" tint="0.79998168889431442"/>
        </patternFill>
      </fill>
    </dxf>
    <dxf>
      <font>
        <color rgb="FFC00000"/>
      </font>
      <fill>
        <patternFill>
          <bgColor theme="7" tint="0.79998168889431442"/>
        </patternFill>
      </fill>
    </dxf>
    <dxf>
      <font>
        <b/>
        <i val="0"/>
        <color rgb="FFFF0000"/>
      </font>
      <fill>
        <patternFill patternType="solid">
          <bgColor rgb="FFE2EFDA"/>
        </patternFill>
      </fill>
    </dxf>
    <dxf>
      <fill>
        <gradientFill>
          <stop position="0">
            <color theme="0"/>
          </stop>
          <stop position="0.5">
            <color rgb="FFFF2D2D"/>
          </stop>
          <stop position="1">
            <color theme="0"/>
          </stop>
        </gradientFill>
      </fill>
    </dxf>
    <dxf>
      <fill>
        <gradientFill>
          <stop position="0">
            <color theme="7" tint="0.80001220740379042"/>
          </stop>
          <stop position="0.5">
            <color theme="9" tint="0.40000610370189521"/>
          </stop>
          <stop position="1">
            <color theme="7" tint="0.80001220740379042"/>
          </stop>
        </gradientFill>
      </fill>
    </dxf>
    <dxf>
      <font>
        <color auto="1"/>
      </font>
      <fill>
        <patternFill>
          <bgColor theme="8" tint="0.79998168889431442"/>
        </patternFill>
      </fill>
    </dxf>
    <dxf>
      <font>
        <strike/>
        <u val="double"/>
        <color theme="7" tint="-0.499984740745262"/>
      </font>
      <fill>
        <patternFill patternType="lightGrid">
          <fgColor theme="8" tint="-0.24994659260841701"/>
          <bgColor theme="8" tint="-0.499984740745262"/>
        </patternFill>
      </fill>
    </dxf>
  </dxfs>
  <tableStyles count="0" defaultTableStyle="TableStyleMedium2" defaultPivotStyle="PivotStyleLight16"/>
  <colors>
    <mruColors>
      <color rgb="FFFFC9C9"/>
      <color rgb="FF860000"/>
      <color rgb="FFFF9797"/>
      <color rgb="FFFFD9D9"/>
      <color rgb="FFFFEBEB"/>
      <color rgb="FFE7F4D8"/>
      <color rgb="FFCCE9AD"/>
      <color rgb="FFB8E08C"/>
      <color rgb="FF8DCD47"/>
      <color rgb="FF2133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Employment Growth by Sector (skilled)</a:t>
            </a:r>
          </a:p>
        </c:rich>
      </c:tx>
      <c:overlay val="0"/>
      <c:spPr>
        <a:noFill/>
        <a:ln>
          <a:noFill/>
        </a:ln>
        <a:effectLst/>
      </c:spPr>
      <c:txPr>
        <a:bodyPr rot="0" spcFirstLastPara="1" vertOverflow="ellipsis" vert="horz" wrap="square" anchor="ctr" anchorCtr="1"/>
        <a:lstStyle/>
        <a:p>
          <a:pPr>
            <a:defRPr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2"/>
          <c:order val="2"/>
          <c:tx>
            <c:strRef>
              <c:f>'CONTROL '!$R$6</c:f>
              <c:strCache>
                <c:ptCount val="1"/>
                <c:pt idx="0">
                  <c:v>Agriculture - skilled (actual data)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'!$S$6:$AD$6</c:f>
              <c:numCache>
                <c:formatCode>0.00</c:formatCode>
                <c:ptCount val="12"/>
                <c:pt idx="0">
                  <c:v>#N/A</c:v>
                </c:pt>
                <c:pt idx="1">
                  <c:v>#N/A</c:v>
                </c:pt>
                <c:pt idx="2">
                  <c:v>1.0535065077480921</c:v>
                </c:pt>
                <c:pt idx="3">
                  <c:v>1.0535065077480921</c:v>
                </c:pt>
                <c:pt idx="4">
                  <c:v>1.0535065077480921</c:v>
                </c:pt>
                <c:pt idx="5">
                  <c:v>1.0535065077480921</c:v>
                </c:pt>
                <c:pt idx="6">
                  <c:v>1.0535065077480921</c:v>
                </c:pt>
                <c:pt idx="7">
                  <c:v>1.0535065077480921</c:v>
                </c:pt>
                <c:pt idx="8">
                  <c:v>0.84623124438992625</c:v>
                </c:pt>
              </c:numCache>
            </c:numRef>
          </c:val>
          <c:smooth val="0"/>
          <c:extLst xmlns:c15="http://schemas.microsoft.com/office/drawing/2012/chart">
            <c:ext xmlns:c16="http://schemas.microsoft.com/office/drawing/2014/chart" uri="{C3380CC4-5D6E-409C-BE32-E72D297353CC}">
              <c16:uniqueId val="{00000000-D4E4-4976-A6E9-5DE80B996766}"/>
            </c:ext>
          </c:extLst>
        </c:ser>
        <c:ser>
          <c:idx val="3"/>
          <c:order val="3"/>
          <c:tx>
            <c:strRef>
              <c:f>'CONTROL '!$R$7</c:f>
              <c:strCache>
                <c:ptCount val="1"/>
                <c:pt idx="0">
                  <c:v>Agriculture - skilled (projected)</c:v>
                </c:pt>
              </c:strCache>
            </c:strRef>
          </c:tx>
          <c:spPr>
            <a:ln w="28575" cap="rnd">
              <a:solidFill>
                <a:schemeClr val="accent3"/>
              </a:solidFill>
              <a:prstDash val="dash"/>
              <a:round/>
            </a:ln>
            <a:effectLst/>
          </c:spPr>
          <c:marker>
            <c:symbol val="circle"/>
            <c:size val="5"/>
            <c:spPr>
              <a:solidFill>
                <a:schemeClr val="accent3"/>
              </a:solidFill>
              <a:ln w="9525">
                <a:solidFill>
                  <a:schemeClr val="accent3"/>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'!$S$7:$AD$7</c:f>
              <c:numCache>
                <c:formatCode>0.00</c:formatCode>
                <c:ptCount val="12"/>
                <c:pt idx="8">
                  <c:v>0.84623124438992625</c:v>
                </c:pt>
                <c:pt idx="9">
                  <c:v>0.76133330202750438</c:v>
                </c:pt>
                <c:pt idx="10">
                  <c:v>0.69381115691801454</c:v>
                </c:pt>
                <c:pt idx="11">
                  <c:v>0.65131678332529575</c:v>
                </c:pt>
              </c:numCache>
            </c:numRef>
          </c:val>
          <c:smooth val="0"/>
          <c:extLst>
            <c:ext xmlns:c16="http://schemas.microsoft.com/office/drawing/2014/chart" uri="{C3380CC4-5D6E-409C-BE32-E72D297353CC}">
              <c16:uniqueId val="{00000001-D4E4-4976-A6E9-5DE80B996766}"/>
            </c:ext>
          </c:extLst>
        </c:ser>
        <c:ser>
          <c:idx val="6"/>
          <c:order val="6"/>
          <c:tx>
            <c:strRef>
              <c:f>'CONTROL '!$R$14</c:f>
              <c:strCache>
                <c:ptCount val="1"/>
                <c:pt idx="0">
                  <c:v>Rest of industry - skilled (actual data)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'!$S$14:$AD$14</c:f>
              <c:numCache>
                <c:formatCode>0.00</c:formatCode>
                <c:ptCount val="12"/>
                <c:pt idx="0">
                  <c:v>#N/A</c:v>
                </c:pt>
                <c:pt idx="1">
                  <c:v>#N/A</c:v>
                </c:pt>
                <c:pt idx="2">
                  <c:v>13.999783586237768</c:v>
                </c:pt>
                <c:pt idx="3">
                  <c:v>13.999783586237768</c:v>
                </c:pt>
                <c:pt idx="4">
                  <c:v>13.999783586237768</c:v>
                </c:pt>
                <c:pt idx="5">
                  <c:v>13.999783586237768</c:v>
                </c:pt>
                <c:pt idx="6">
                  <c:v>13.999783586237768</c:v>
                </c:pt>
                <c:pt idx="7">
                  <c:v>13.999783586237768</c:v>
                </c:pt>
                <c:pt idx="8">
                  <c:v>2.2214133718780364</c:v>
                </c:pt>
              </c:numCache>
            </c:numRef>
          </c:val>
          <c:smooth val="0"/>
          <c:extLst>
            <c:ext xmlns:c16="http://schemas.microsoft.com/office/drawing/2014/chart" uri="{C3380CC4-5D6E-409C-BE32-E72D297353CC}">
              <c16:uniqueId val="{00000002-D4E4-4976-A6E9-5DE80B996766}"/>
            </c:ext>
          </c:extLst>
        </c:ser>
        <c:ser>
          <c:idx val="7"/>
          <c:order val="7"/>
          <c:tx>
            <c:strRef>
              <c:f>'CONTROL '!$R$15</c:f>
              <c:strCache>
                <c:ptCount val="1"/>
                <c:pt idx="0">
                  <c:v>Rest of industry - skilled (projected)</c:v>
                </c:pt>
              </c:strCache>
            </c:strRef>
          </c:tx>
          <c:spPr>
            <a:ln w="28575" cap="rnd">
              <a:solidFill>
                <a:schemeClr val="accent1"/>
              </a:solidFill>
              <a:prstDash val="dash"/>
              <a:round/>
            </a:ln>
            <a:effectLst/>
          </c:spPr>
          <c:marker>
            <c:symbol val="circle"/>
            <c:size val="5"/>
            <c:spPr>
              <a:solidFill>
                <a:schemeClr val="accent1"/>
              </a:solidFill>
              <a:ln w="9525">
                <a:solidFill>
                  <a:schemeClr val="accent1"/>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'!$S$15:$AD$15</c:f>
              <c:numCache>
                <c:formatCode>0.00</c:formatCode>
                <c:ptCount val="12"/>
                <c:pt idx="8">
                  <c:v>2.2214133718780364</c:v>
                </c:pt>
                <c:pt idx="9">
                  <c:v>2.0335642842693837</c:v>
                </c:pt>
                <c:pt idx="10">
                  <c:v>1.6256645010282536</c:v>
                </c:pt>
                <c:pt idx="11">
                  <c:v>1.230766844969565</c:v>
                </c:pt>
              </c:numCache>
            </c:numRef>
          </c:val>
          <c:smooth val="0"/>
          <c:extLst>
            <c:ext xmlns:c16="http://schemas.microsoft.com/office/drawing/2014/chart" uri="{C3380CC4-5D6E-409C-BE32-E72D297353CC}">
              <c16:uniqueId val="{00000003-D4E4-4976-A6E9-5DE80B996766}"/>
            </c:ext>
          </c:extLst>
        </c:ser>
        <c:ser>
          <c:idx val="10"/>
          <c:order val="10"/>
          <c:tx>
            <c:strRef>
              <c:f>'CONTROL '!$R$26</c:f>
              <c:strCache>
                <c:ptCount val="1"/>
                <c:pt idx="0">
                  <c:v>Rest of services - unskilled (actual data) </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'!$S$26:$AD$26</c:f>
              <c:numCache>
                <c:formatCode>0.00</c:formatCode>
                <c:ptCount val="12"/>
                <c:pt idx="0">
                  <c:v>#N/A</c:v>
                </c:pt>
                <c:pt idx="1">
                  <c:v>#N/A</c:v>
                </c:pt>
                <c:pt idx="2">
                  <c:v>3.4223589519351894</c:v>
                </c:pt>
                <c:pt idx="3">
                  <c:v>3.4223589519351894</c:v>
                </c:pt>
                <c:pt idx="4">
                  <c:v>3.4223589519351894</c:v>
                </c:pt>
                <c:pt idx="5">
                  <c:v>3.4223589519351894</c:v>
                </c:pt>
                <c:pt idx="6">
                  <c:v>3.4223589519351894</c:v>
                </c:pt>
                <c:pt idx="7">
                  <c:v>3.4223589519351894</c:v>
                </c:pt>
                <c:pt idx="8">
                  <c:v>1.3918400593740177</c:v>
                </c:pt>
              </c:numCache>
            </c:numRef>
          </c:val>
          <c:smooth val="0"/>
          <c:extLst>
            <c:ext xmlns:c16="http://schemas.microsoft.com/office/drawing/2014/chart" uri="{C3380CC4-5D6E-409C-BE32-E72D297353CC}">
              <c16:uniqueId val="{00000004-D4E4-4976-A6E9-5DE80B996766}"/>
            </c:ext>
          </c:extLst>
        </c:ser>
        <c:ser>
          <c:idx val="11"/>
          <c:order val="11"/>
          <c:tx>
            <c:strRef>
              <c:f>'CONTROL '!$R$27</c:f>
              <c:strCache>
                <c:ptCount val="1"/>
                <c:pt idx="0">
                  <c:v>Rest of services - skilled (projected) </c:v>
                </c:pt>
              </c:strCache>
            </c:strRef>
          </c:tx>
          <c:spPr>
            <a:ln w="28575" cap="rnd">
              <a:solidFill>
                <a:schemeClr val="accent1">
                  <a:lumMod val="75000"/>
                </a:schemeClr>
              </a:solidFill>
              <a:prstDash val="dash"/>
              <a:round/>
            </a:ln>
            <a:effectLst/>
          </c:spPr>
          <c:marker>
            <c:symbol val="circle"/>
            <c:size val="5"/>
            <c:spPr>
              <a:solidFill>
                <a:schemeClr val="accent1">
                  <a:lumMod val="75000"/>
                </a:schemeClr>
              </a:solidFill>
              <a:ln w="9525">
                <a:solidFill>
                  <a:schemeClr val="accent1">
                    <a:lumMod val="75000"/>
                  </a:schemeClr>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'!$S$27:$AD$27</c:f>
              <c:numCache>
                <c:formatCode>0.00</c:formatCode>
                <c:ptCount val="12"/>
                <c:pt idx="8">
                  <c:v>1.3918400593740177</c:v>
                </c:pt>
                <c:pt idx="9">
                  <c:v>1.3092630037113906</c:v>
                </c:pt>
                <c:pt idx="10">
                  <c:v>0.9245492578707708</c:v>
                </c:pt>
                <c:pt idx="11">
                  <c:v>0.99817293336576984</c:v>
                </c:pt>
              </c:numCache>
            </c:numRef>
          </c:val>
          <c:smooth val="0"/>
          <c:extLst>
            <c:ext xmlns:c16="http://schemas.microsoft.com/office/drawing/2014/chart" uri="{C3380CC4-5D6E-409C-BE32-E72D297353CC}">
              <c16:uniqueId val="{00000005-D4E4-4976-A6E9-5DE80B996766}"/>
            </c:ext>
          </c:extLst>
        </c:ser>
        <c:dLbls>
          <c:showLegendKey val="0"/>
          <c:showVal val="0"/>
          <c:showCatName val="0"/>
          <c:showSerName val="0"/>
          <c:showPercent val="0"/>
          <c:showBubbleSize val="0"/>
        </c:dLbls>
        <c:marker val="1"/>
        <c:smooth val="0"/>
        <c:axId val="1141569295"/>
        <c:axId val="1141573455"/>
        <c:extLst>
          <c:ext xmlns:c15="http://schemas.microsoft.com/office/drawing/2012/chart" uri="{02D57815-91ED-43cb-92C2-25804820EDAC}">
            <c15:filteredLineSeries>
              <c15:ser>
                <c:idx val="0"/>
                <c:order val="0"/>
                <c:tx>
                  <c:strRef>
                    <c:extLst>
                      <c:ext uri="{02D57815-91ED-43cb-92C2-25804820EDAC}">
                        <c15:formulaRef>
                          <c15:sqref>'CONTROL '!$R$4</c15:sqref>
                        </c15:formulaRef>
                      </c:ext>
                    </c:extLst>
                    <c:strCache>
                      <c:ptCount val="1"/>
                      <c:pt idx="0">
                        <c:v>Agriculture - unskilled (actual data)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extLst>
                      <c:ex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'!$S$4:$AD$4</c15:sqref>
                        </c15:formulaRef>
                      </c:ext>
                    </c:extLst>
                    <c:numCache>
                      <c:formatCode>0.00</c:formatCode>
                      <c:ptCount val="12"/>
                      <c:pt idx="0">
                        <c:v>#N/A</c:v>
                      </c:pt>
                      <c:pt idx="1">
                        <c:v>#N/A</c:v>
                      </c:pt>
                      <c:pt idx="2">
                        <c:v>2.531243626577262</c:v>
                      </c:pt>
                      <c:pt idx="3">
                        <c:v>2.531243626577262</c:v>
                      </c:pt>
                      <c:pt idx="4">
                        <c:v>2.531243626577262</c:v>
                      </c:pt>
                      <c:pt idx="5">
                        <c:v>2.531243626577262</c:v>
                      </c:pt>
                      <c:pt idx="6">
                        <c:v>2.531243626577262</c:v>
                      </c:pt>
                      <c:pt idx="7">
                        <c:v>2.531243626577262</c:v>
                      </c:pt>
                      <c:pt idx="8">
                        <c:v>0.84623124438992625</c:v>
                      </c:pt>
                    </c:numCache>
                  </c:numRef>
                </c:val>
                <c:smooth val="0"/>
                <c:extLst>
                  <c:ext xmlns:c16="http://schemas.microsoft.com/office/drawing/2014/chart" uri="{C3380CC4-5D6E-409C-BE32-E72D297353CC}">
                    <c16:uniqueId val="{00000006-D4E4-4976-A6E9-5DE80B996766}"/>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'CONTROL '!$R$5</c15:sqref>
                        </c15:formulaRef>
                      </c:ext>
                    </c:extLst>
                    <c:strCache>
                      <c:ptCount val="1"/>
                      <c:pt idx="0">
                        <c:v>Agriculture - unskilled (projected)</c:v>
                      </c:pt>
                    </c:strCache>
                  </c:strRef>
                </c:tx>
                <c:spPr>
                  <a:ln w="28575" cap="rnd">
                    <a:solidFill>
                      <a:schemeClr val="accent2"/>
                    </a:solidFill>
                    <a:round/>
                  </a:ln>
                  <a:effectLst/>
                </c:spPr>
                <c:marker>
                  <c:symbol val="circle"/>
                  <c:size val="5"/>
                  <c:spPr>
                    <a:solidFill>
                      <a:schemeClr val="accent1"/>
                    </a:solidFill>
                    <a:ln w="9525">
                      <a:solidFill>
                        <a:schemeClr val="accent1"/>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'!$S$5:$AD$5</c15:sqref>
                        </c15:formulaRef>
                      </c:ext>
                    </c:extLst>
                    <c:numCache>
                      <c:formatCode>0.00</c:formatCode>
                      <c:ptCount val="12"/>
                      <c:pt idx="8">
                        <c:v>0.84623124438992625</c:v>
                      </c:pt>
                      <c:pt idx="9">
                        <c:v>0.76133330202750438</c:v>
                      </c:pt>
                      <c:pt idx="10">
                        <c:v>0.69381115691801454</c:v>
                      </c:pt>
                      <c:pt idx="11">
                        <c:v>0.65131678332529575</c:v>
                      </c:pt>
                    </c:numCache>
                  </c:numRef>
                </c:val>
                <c:smooth val="0"/>
                <c:extLst xmlns:c15="http://schemas.microsoft.com/office/drawing/2012/chart">
                  <c:ext xmlns:c16="http://schemas.microsoft.com/office/drawing/2014/chart" uri="{C3380CC4-5D6E-409C-BE32-E72D297353CC}">
                    <c16:uniqueId val="{00000007-D4E4-4976-A6E9-5DE80B996766}"/>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'CONTROL '!$R$12</c15:sqref>
                        </c15:formulaRef>
                      </c:ext>
                    </c:extLst>
                    <c:strCache>
                      <c:ptCount val="1"/>
                      <c:pt idx="0">
                        <c:v>Rest of industry - unskilled (actual data)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'!$S$12:$AD$12</c15:sqref>
                        </c15:formulaRef>
                      </c:ext>
                    </c:extLst>
                    <c:numCache>
                      <c:formatCode>0.00</c:formatCode>
                      <c:ptCount val="12"/>
                      <c:pt idx="0">
                        <c:v>#N/A</c:v>
                      </c:pt>
                      <c:pt idx="1">
                        <c:v>#N/A</c:v>
                      </c:pt>
                      <c:pt idx="2">
                        <c:v>-0.56977665196038529</c:v>
                      </c:pt>
                      <c:pt idx="3">
                        <c:v>-0.56977665196038529</c:v>
                      </c:pt>
                      <c:pt idx="4">
                        <c:v>-0.56977665196038529</c:v>
                      </c:pt>
                      <c:pt idx="5">
                        <c:v>-0.56977665196038529</c:v>
                      </c:pt>
                      <c:pt idx="6">
                        <c:v>-0.56977665196038529</c:v>
                      </c:pt>
                      <c:pt idx="7">
                        <c:v>-0.56977665196038529</c:v>
                      </c:pt>
                      <c:pt idx="8">
                        <c:v>2.2214133718780364</c:v>
                      </c:pt>
                    </c:numCache>
                  </c:numRef>
                </c:val>
                <c:smooth val="0"/>
                <c:extLst xmlns:c15="http://schemas.microsoft.com/office/drawing/2012/chart">
                  <c:ext xmlns:c16="http://schemas.microsoft.com/office/drawing/2014/chart" uri="{C3380CC4-5D6E-409C-BE32-E72D297353CC}">
                    <c16:uniqueId val="{00000008-D4E4-4976-A6E9-5DE80B996766}"/>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'CONTROL '!$R$13</c15:sqref>
                        </c15:formulaRef>
                      </c:ext>
                    </c:extLst>
                    <c:strCache>
                      <c:ptCount val="1"/>
                      <c:pt idx="0">
                        <c:v>Rest of industry - unskilled (projected)</c:v>
                      </c:pt>
                    </c:strCache>
                  </c:strRef>
                </c:tx>
                <c:spPr>
                  <a:ln w="28575" cap="rnd">
                    <a:solidFill>
                      <a:schemeClr val="accent6"/>
                    </a:solidFill>
                    <a:round/>
                  </a:ln>
                  <a:effectLst/>
                </c:spPr>
                <c:marker>
                  <c:symbol val="circle"/>
                  <c:size val="5"/>
                  <c:spPr>
                    <a:solidFill>
                      <a:schemeClr val="accent1">
                        <a:lumMod val="75000"/>
                      </a:schemeClr>
                    </a:solidFill>
                    <a:ln w="9525">
                      <a:solidFill>
                        <a:schemeClr val="accent1">
                          <a:lumMod val="75000"/>
                        </a:schemeClr>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'!$S$13:$AD$13</c15:sqref>
                        </c15:formulaRef>
                      </c:ext>
                    </c:extLst>
                    <c:numCache>
                      <c:formatCode>0.00</c:formatCode>
                      <c:ptCount val="12"/>
                      <c:pt idx="8">
                        <c:v>2.2214133718780364</c:v>
                      </c:pt>
                      <c:pt idx="9">
                        <c:v>2.0335642842693837</c:v>
                      </c:pt>
                      <c:pt idx="10">
                        <c:v>1.6256645010282536</c:v>
                      </c:pt>
                      <c:pt idx="11">
                        <c:v>1.230766844969565</c:v>
                      </c:pt>
                    </c:numCache>
                  </c:numRef>
                </c:val>
                <c:smooth val="0"/>
                <c:extLst xmlns:c15="http://schemas.microsoft.com/office/drawing/2012/chart">
                  <c:ext xmlns:c16="http://schemas.microsoft.com/office/drawing/2014/chart" uri="{C3380CC4-5D6E-409C-BE32-E72D297353CC}">
                    <c16:uniqueId val="{00000009-D4E4-4976-A6E9-5DE80B996766}"/>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'CONTROL '!$R$24</c15:sqref>
                        </c15:formulaRef>
                      </c:ext>
                    </c:extLst>
                    <c:strCache>
                      <c:ptCount val="1"/>
                      <c:pt idx="0">
                        <c:v>Rest of services - unskilled (actual data) </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'!$S$24:$AD$24</c15:sqref>
                        </c15:formulaRef>
                      </c:ext>
                    </c:extLst>
                    <c:numCache>
                      <c:formatCode>0.00</c:formatCode>
                      <c:ptCount val="12"/>
                      <c:pt idx="0">
                        <c:v>#N/A</c:v>
                      </c:pt>
                      <c:pt idx="1">
                        <c:v>#N/A</c:v>
                      </c:pt>
                      <c:pt idx="2">
                        <c:v>-7.8153484264231636</c:v>
                      </c:pt>
                      <c:pt idx="3">
                        <c:v>-7.8153484264231636</c:v>
                      </c:pt>
                      <c:pt idx="4">
                        <c:v>-7.8153484264231636</c:v>
                      </c:pt>
                      <c:pt idx="5">
                        <c:v>-7.8153484264231636</c:v>
                      </c:pt>
                      <c:pt idx="6">
                        <c:v>-7.8153484264231636</c:v>
                      </c:pt>
                      <c:pt idx="7">
                        <c:v>-7.8153484264231636</c:v>
                      </c:pt>
                      <c:pt idx="8">
                        <c:v>1.3918400593740177</c:v>
                      </c:pt>
                    </c:numCache>
                  </c:numRef>
                </c:val>
                <c:smooth val="0"/>
                <c:extLst xmlns:c15="http://schemas.microsoft.com/office/drawing/2012/chart">
                  <c:ext xmlns:c16="http://schemas.microsoft.com/office/drawing/2014/chart" uri="{C3380CC4-5D6E-409C-BE32-E72D297353CC}">
                    <c16:uniqueId val="{0000000A-D4E4-4976-A6E9-5DE80B996766}"/>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'CONTROL '!$R$25</c15:sqref>
                        </c15:formulaRef>
                      </c:ext>
                    </c:extLst>
                    <c:strCache>
                      <c:ptCount val="1"/>
                      <c:pt idx="0">
                        <c:v>Rest of services - skilled (projected) </c:v>
                      </c:pt>
                    </c:strCache>
                  </c:strRef>
                </c:tx>
                <c:spPr>
                  <a:ln w="28575" cap="rnd">
                    <a:solidFill>
                      <a:schemeClr val="accent4">
                        <a:lumMod val="60000"/>
                      </a:schemeClr>
                    </a:solidFill>
                    <a:round/>
                  </a:ln>
                  <a:effectLst/>
                </c:spPr>
                <c:marker>
                  <c:symbol val="circle"/>
                  <c:size val="5"/>
                  <c:spPr>
                    <a:solidFill>
                      <a:schemeClr val="accent3"/>
                    </a:solidFill>
                    <a:ln w="9525">
                      <a:solidFill>
                        <a:schemeClr val="accent3"/>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'!$S$25:$AD$25</c15:sqref>
                        </c15:formulaRef>
                      </c:ext>
                    </c:extLst>
                    <c:numCache>
                      <c:formatCode>0.00</c:formatCode>
                      <c:ptCount val="12"/>
                      <c:pt idx="8">
                        <c:v>1.3918400593740177</c:v>
                      </c:pt>
                      <c:pt idx="9">
                        <c:v>1.3092630037113906</c:v>
                      </c:pt>
                      <c:pt idx="10">
                        <c:v>0.9245492578707708</c:v>
                      </c:pt>
                      <c:pt idx="11">
                        <c:v>0.99817293336576984</c:v>
                      </c:pt>
                    </c:numCache>
                  </c:numRef>
                </c:val>
                <c:smooth val="0"/>
                <c:extLst xmlns:c15="http://schemas.microsoft.com/office/drawing/2012/chart">
                  <c:ext xmlns:c16="http://schemas.microsoft.com/office/drawing/2014/chart" uri="{C3380CC4-5D6E-409C-BE32-E72D297353CC}">
                    <c16:uniqueId val="{0000000B-D4E4-4976-A6E9-5DE80B996766}"/>
                  </c:ext>
                </c:extLst>
              </c15:ser>
            </c15:filteredLineSeries>
          </c:ext>
        </c:extLst>
      </c:lineChart>
      <c:catAx>
        <c:axId val="11415692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73455"/>
        <c:crosses val="autoZero"/>
        <c:auto val="1"/>
        <c:lblAlgn val="ctr"/>
        <c:lblOffset val="100"/>
        <c:noMultiLvlLbl val="0"/>
      </c:catAx>
      <c:valAx>
        <c:axId val="114157345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692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rgbClr val="00206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Employment Growth by Sector (unskilled)</a:t>
            </a:r>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8.3784220982793811E-2"/>
          <c:y val="0.10568607422540006"/>
          <c:w val="0.8586347604986877"/>
          <c:h val="0.61830728768709831"/>
        </c:manualLayout>
      </c:layout>
      <c:lineChart>
        <c:grouping val="standard"/>
        <c:varyColors val="0"/>
        <c:ser>
          <c:idx val="0"/>
          <c:order val="0"/>
          <c:tx>
            <c:strRef>
              <c:f>'CONTROL '!$R$4</c:f>
              <c:strCache>
                <c:ptCount val="1"/>
                <c:pt idx="0">
                  <c:v>Agriculture - unskilled (actual data)</c:v>
                </c:pt>
              </c:strCache>
            </c:strRef>
          </c:tx>
          <c:spPr>
            <a:ln w="28575" cap="rnd">
              <a:solidFill>
                <a:schemeClr val="accent4">
                  <a:shade val="37000"/>
                </a:schemeClr>
              </a:solidFill>
              <a:round/>
            </a:ln>
            <a:effectLst/>
          </c:spPr>
          <c:marker>
            <c:symbol val="circle"/>
            <c:size val="5"/>
            <c:spPr>
              <a:solidFill>
                <a:schemeClr val="accent4">
                  <a:shade val="40000"/>
                </a:schemeClr>
              </a:solidFill>
              <a:ln w="9525">
                <a:solidFill>
                  <a:schemeClr val="accent4">
                    <a:shade val="40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'!$S$4:$AD$4</c15:sqref>
                  </c15:fullRef>
                </c:ext>
              </c:extLst>
              <c:f>'CONTROL '!$U$4:$AD$4</c:f>
              <c:numCache>
                <c:formatCode>0.00</c:formatCode>
                <c:ptCount val="10"/>
                <c:pt idx="0">
                  <c:v>2.531243626577262</c:v>
                </c:pt>
                <c:pt idx="1">
                  <c:v>2.531243626577262</c:v>
                </c:pt>
                <c:pt idx="2">
                  <c:v>2.531243626577262</c:v>
                </c:pt>
                <c:pt idx="3">
                  <c:v>2.531243626577262</c:v>
                </c:pt>
                <c:pt idx="4">
                  <c:v>2.531243626577262</c:v>
                </c:pt>
                <c:pt idx="5">
                  <c:v>2.531243626577262</c:v>
                </c:pt>
                <c:pt idx="6">
                  <c:v>0.84623124438992625</c:v>
                </c:pt>
              </c:numCache>
            </c:numRef>
          </c:val>
          <c:smooth val="0"/>
          <c:extLst xmlns:c15="http://schemas.microsoft.com/office/drawing/2012/chart">
            <c:ext xmlns:c16="http://schemas.microsoft.com/office/drawing/2014/chart" uri="{C3380CC4-5D6E-409C-BE32-E72D297353CC}">
              <c16:uniqueId val="{00000000-34EE-40CD-8DDC-598B48A55E2D}"/>
            </c:ext>
          </c:extLst>
        </c:ser>
        <c:ser>
          <c:idx val="1"/>
          <c:order val="1"/>
          <c:tx>
            <c:strRef>
              <c:f>'CONTROL '!$R$5</c:f>
              <c:strCache>
                <c:ptCount val="1"/>
                <c:pt idx="0">
                  <c:v>Agriculture - unskilled (projected)</c:v>
                </c:pt>
              </c:strCache>
            </c:strRef>
          </c:tx>
          <c:spPr>
            <a:ln w="28575" cap="rnd">
              <a:solidFill>
                <a:schemeClr val="accent2">
                  <a:lumMod val="50000"/>
                </a:schemeClr>
              </a:solidFill>
              <a:prstDash val="dash"/>
              <a:round/>
            </a:ln>
            <a:effectLst/>
          </c:spPr>
          <c:marker>
            <c:symbol val="circle"/>
            <c:size val="5"/>
            <c:spPr>
              <a:solidFill>
                <a:schemeClr val="accent4">
                  <a:shade val="51000"/>
                </a:schemeClr>
              </a:solidFill>
              <a:ln w="9525">
                <a:solidFill>
                  <a:schemeClr val="accent4">
                    <a:shade val="51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'!$S$5:$AD$5</c15:sqref>
                  </c15:fullRef>
                </c:ext>
              </c:extLst>
              <c:f>'CONTROL '!$U$5:$AD$5</c:f>
              <c:numCache>
                <c:formatCode>0.00</c:formatCode>
                <c:ptCount val="10"/>
                <c:pt idx="6">
                  <c:v>0.84623124438992625</c:v>
                </c:pt>
                <c:pt idx="7">
                  <c:v>0.76133330202750438</c:v>
                </c:pt>
                <c:pt idx="8">
                  <c:v>0.69381115691801454</c:v>
                </c:pt>
                <c:pt idx="9">
                  <c:v>0.65131678332529575</c:v>
                </c:pt>
              </c:numCache>
            </c:numRef>
          </c:val>
          <c:smooth val="0"/>
          <c:extLst xmlns:c15="http://schemas.microsoft.com/office/drawing/2012/chart">
            <c:ext xmlns:c16="http://schemas.microsoft.com/office/drawing/2014/chart" uri="{C3380CC4-5D6E-409C-BE32-E72D297353CC}">
              <c16:uniqueId val="{00000001-34EE-40CD-8DDC-598B48A55E2D}"/>
            </c:ext>
          </c:extLst>
        </c:ser>
        <c:ser>
          <c:idx val="12"/>
          <c:order val="4"/>
          <c:tx>
            <c:strRef>
              <c:f>'CONTROL '!$R$8</c:f>
              <c:strCache>
                <c:ptCount val="1"/>
                <c:pt idx="0">
                  <c:v>Construction - unskilled (actual data)</c:v>
                </c:pt>
              </c:strCache>
            </c:strRef>
          </c:tx>
          <c:spPr>
            <a:ln w="28575" cap="rnd">
              <a:solidFill>
                <a:schemeClr val="accent2">
                  <a:lumMod val="75000"/>
                </a:schemeClr>
              </a:solidFill>
              <a:round/>
            </a:ln>
            <a:effectLst/>
          </c:spPr>
          <c:marker>
            <c:symbol val="circle"/>
            <c:size val="5"/>
            <c:spPr>
              <a:solidFill>
                <a:schemeClr val="accent4">
                  <a:tint val="75000"/>
                </a:schemeClr>
              </a:solidFill>
              <a:ln w="9525">
                <a:solidFill>
                  <a:schemeClr val="accent4">
                    <a:tint val="75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'!$S$8:$AD$8</c15:sqref>
                  </c15:fullRef>
                </c:ext>
              </c:extLst>
              <c:f>'CONTROL '!$U$8:$AD$8</c:f>
              <c:numCache>
                <c:formatCode>0.00</c:formatCode>
                <c:ptCount val="10"/>
                <c:pt idx="0">
                  <c:v>4.9607262059719881</c:v>
                </c:pt>
                <c:pt idx="1">
                  <c:v>4.9607262059719881</c:v>
                </c:pt>
                <c:pt idx="2">
                  <c:v>4.9607262059719881</c:v>
                </c:pt>
                <c:pt idx="3">
                  <c:v>4.9607262059719881</c:v>
                </c:pt>
                <c:pt idx="4">
                  <c:v>4.9607262059719881</c:v>
                </c:pt>
                <c:pt idx="5">
                  <c:v>4.9607262059719881</c:v>
                </c:pt>
                <c:pt idx="6">
                  <c:v>1.752303720090906</c:v>
                </c:pt>
              </c:numCache>
            </c:numRef>
          </c:val>
          <c:smooth val="0"/>
          <c:extLst>
            <c:ext xmlns:c16="http://schemas.microsoft.com/office/drawing/2014/chart" uri="{C3380CC4-5D6E-409C-BE32-E72D297353CC}">
              <c16:uniqueId val="{00000001-7F03-48A1-B8AE-F08042521127}"/>
            </c:ext>
          </c:extLst>
        </c:ser>
        <c:ser>
          <c:idx val="13"/>
          <c:order val="5"/>
          <c:tx>
            <c:strRef>
              <c:f>'CONTROL '!$R$9</c:f>
              <c:strCache>
                <c:ptCount val="1"/>
                <c:pt idx="0">
                  <c:v>Construction - unskilled (projected)</c:v>
                </c:pt>
              </c:strCache>
            </c:strRef>
          </c:tx>
          <c:spPr>
            <a:ln w="28575" cap="rnd">
              <a:solidFill>
                <a:schemeClr val="accent2">
                  <a:lumMod val="75000"/>
                </a:schemeClr>
              </a:solidFill>
              <a:prstDash val="dash"/>
              <a:round/>
            </a:ln>
            <a:effectLst/>
          </c:spPr>
          <c:marker>
            <c:symbol val="circle"/>
            <c:size val="5"/>
            <c:spPr>
              <a:solidFill>
                <a:schemeClr val="accent4">
                  <a:tint val="67000"/>
                </a:schemeClr>
              </a:solidFill>
              <a:ln w="9525">
                <a:solidFill>
                  <a:schemeClr val="accent4">
                    <a:tint val="67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'!$S$9:$AD$9</c15:sqref>
                  </c15:fullRef>
                </c:ext>
              </c:extLst>
              <c:f>'CONTROL '!$U$9:$AD$9</c:f>
              <c:numCache>
                <c:formatCode>0.00</c:formatCode>
                <c:ptCount val="10"/>
                <c:pt idx="6">
                  <c:v>1.752303720090906</c:v>
                </c:pt>
                <c:pt idx="7">
                  <c:v>0.41582489551253909</c:v>
                </c:pt>
                <c:pt idx="8">
                  <c:v>1.5671786818467146</c:v>
                </c:pt>
                <c:pt idx="9">
                  <c:v>1.8618280673496355</c:v>
                </c:pt>
              </c:numCache>
            </c:numRef>
          </c:val>
          <c:smooth val="0"/>
          <c:extLst>
            <c:ext xmlns:c16="http://schemas.microsoft.com/office/drawing/2014/chart" uri="{C3380CC4-5D6E-409C-BE32-E72D297353CC}">
              <c16:uniqueId val="{00000002-7F03-48A1-B8AE-F08042521127}"/>
            </c:ext>
          </c:extLst>
        </c:ser>
        <c:ser>
          <c:idx val="4"/>
          <c:order val="6"/>
          <c:tx>
            <c:strRef>
              <c:f>'CONTROL '!$R$12</c:f>
              <c:strCache>
                <c:ptCount val="1"/>
                <c:pt idx="0">
                  <c:v>Rest of industry - unskilled (actual data)</c:v>
                </c:pt>
              </c:strCache>
            </c:strRef>
          </c:tx>
          <c:spPr>
            <a:ln w="28575" cap="rnd">
              <a:solidFill>
                <a:schemeClr val="accent4">
                  <a:shade val="66000"/>
                </a:schemeClr>
              </a:solidFill>
              <a:round/>
            </a:ln>
            <a:effectLst/>
          </c:spPr>
          <c:marker>
            <c:symbol val="circle"/>
            <c:size val="5"/>
            <c:spPr>
              <a:solidFill>
                <a:schemeClr val="accent4">
                  <a:shade val="83000"/>
                </a:schemeClr>
              </a:solidFill>
              <a:ln w="9525">
                <a:solidFill>
                  <a:schemeClr val="accent4">
                    <a:shade val="83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'!$S$12:$AD$12</c15:sqref>
                  </c15:fullRef>
                </c:ext>
              </c:extLst>
              <c:f>'CONTROL '!$U$12:$AD$12</c:f>
              <c:numCache>
                <c:formatCode>0.00</c:formatCode>
                <c:ptCount val="10"/>
                <c:pt idx="0">
                  <c:v>-0.56977665196038529</c:v>
                </c:pt>
                <c:pt idx="1">
                  <c:v>-0.56977665196038529</c:v>
                </c:pt>
                <c:pt idx="2">
                  <c:v>-0.56977665196038529</c:v>
                </c:pt>
                <c:pt idx="3">
                  <c:v>-0.56977665196038529</c:v>
                </c:pt>
                <c:pt idx="4">
                  <c:v>-0.56977665196038529</c:v>
                </c:pt>
                <c:pt idx="5">
                  <c:v>-0.56977665196038529</c:v>
                </c:pt>
                <c:pt idx="6">
                  <c:v>2.2214133718780364</c:v>
                </c:pt>
              </c:numCache>
            </c:numRef>
          </c:val>
          <c:smooth val="0"/>
          <c:extLst xmlns:c15="http://schemas.microsoft.com/office/drawing/2012/chart">
            <c:ext xmlns:c16="http://schemas.microsoft.com/office/drawing/2014/chart" uri="{C3380CC4-5D6E-409C-BE32-E72D297353CC}">
              <c16:uniqueId val="{00000002-34EE-40CD-8DDC-598B48A55E2D}"/>
            </c:ext>
          </c:extLst>
        </c:ser>
        <c:ser>
          <c:idx val="5"/>
          <c:order val="7"/>
          <c:tx>
            <c:strRef>
              <c:f>'CONTROL '!$R$13</c:f>
              <c:strCache>
                <c:ptCount val="1"/>
                <c:pt idx="0">
                  <c:v>Rest of industry - unskilled (projected)</c:v>
                </c:pt>
              </c:strCache>
            </c:strRef>
          </c:tx>
          <c:spPr>
            <a:ln w="28575" cap="rnd">
              <a:solidFill>
                <a:schemeClr val="accent2">
                  <a:lumMod val="60000"/>
                  <a:lumOff val="40000"/>
                </a:schemeClr>
              </a:solidFill>
              <a:prstDash val="dash"/>
              <a:round/>
            </a:ln>
            <a:effectLst/>
          </c:spPr>
          <c:marker>
            <c:symbol val="circle"/>
            <c:size val="5"/>
            <c:spPr>
              <a:solidFill>
                <a:schemeClr val="accent4">
                  <a:shade val="94000"/>
                </a:schemeClr>
              </a:solidFill>
              <a:ln w="9525">
                <a:solidFill>
                  <a:schemeClr val="accent4">
                    <a:shade val="94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'!$S$13:$AD$13</c15:sqref>
                  </c15:fullRef>
                </c:ext>
              </c:extLst>
              <c:f>'CONTROL '!$U$13:$AD$13</c:f>
              <c:numCache>
                <c:formatCode>0.00</c:formatCode>
                <c:ptCount val="10"/>
                <c:pt idx="6">
                  <c:v>2.2214133718780364</c:v>
                </c:pt>
                <c:pt idx="7">
                  <c:v>2.0335642842693837</c:v>
                </c:pt>
                <c:pt idx="8">
                  <c:v>1.6256645010282536</c:v>
                </c:pt>
                <c:pt idx="9">
                  <c:v>1.230766844969565</c:v>
                </c:pt>
              </c:numCache>
            </c:numRef>
          </c:val>
          <c:smooth val="0"/>
          <c:extLst xmlns:c15="http://schemas.microsoft.com/office/drawing/2012/chart">
            <c:ext xmlns:c16="http://schemas.microsoft.com/office/drawing/2014/chart" uri="{C3380CC4-5D6E-409C-BE32-E72D297353CC}">
              <c16:uniqueId val="{00000003-34EE-40CD-8DDC-598B48A55E2D}"/>
            </c:ext>
          </c:extLst>
        </c:ser>
        <c:ser>
          <c:idx val="14"/>
          <c:order val="10"/>
          <c:tx>
            <c:strRef>
              <c:f>'CONTROL '!$R$16</c:f>
              <c:strCache>
                <c:ptCount val="1"/>
                <c:pt idx="0">
                  <c:v>Transport - unskilled (actual data)</c:v>
                </c:pt>
              </c:strCache>
            </c:strRef>
          </c:tx>
          <c:spPr>
            <a:ln w="28575" cap="rnd">
              <a:solidFill>
                <a:schemeClr val="accent4">
                  <a:tint val="60000"/>
                </a:schemeClr>
              </a:solidFill>
              <a:round/>
            </a:ln>
            <a:effectLst/>
          </c:spPr>
          <c:marker>
            <c:symbol val="circle"/>
            <c:size val="5"/>
            <c:spPr>
              <a:solidFill>
                <a:schemeClr val="accent4">
                  <a:tint val="60000"/>
                </a:schemeClr>
              </a:solidFill>
              <a:ln w="9525">
                <a:solidFill>
                  <a:schemeClr val="accent4">
                    <a:tint val="60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'!$S$16:$AD$16</c15:sqref>
                  </c15:fullRef>
                </c:ext>
              </c:extLst>
              <c:f>'CONTROL '!$U$16:$AD$16</c:f>
              <c:numCache>
                <c:formatCode>0.00</c:formatCode>
                <c:ptCount val="10"/>
                <c:pt idx="0">
                  <c:v>-1.5037694874078467</c:v>
                </c:pt>
                <c:pt idx="1">
                  <c:v>-1.5037694874078467</c:v>
                </c:pt>
                <c:pt idx="2">
                  <c:v>-1.5037694874078467</c:v>
                </c:pt>
                <c:pt idx="3">
                  <c:v>-1.5037694874078467</c:v>
                </c:pt>
                <c:pt idx="4">
                  <c:v>-1.5037694874078467</c:v>
                </c:pt>
                <c:pt idx="5">
                  <c:v>-1.5037694874078467</c:v>
                </c:pt>
                <c:pt idx="6">
                  <c:v>1.409212948555796</c:v>
                </c:pt>
              </c:numCache>
            </c:numRef>
          </c:val>
          <c:smooth val="0"/>
          <c:extLst>
            <c:ext xmlns:c16="http://schemas.microsoft.com/office/drawing/2014/chart" uri="{C3380CC4-5D6E-409C-BE32-E72D297353CC}">
              <c16:uniqueId val="{00000003-7F03-48A1-B8AE-F08042521127}"/>
            </c:ext>
          </c:extLst>
        </c:ser>
        <c:ser>
          <c:idx val="15"/>
          <c:order val="11"/>
          <c:tx>
            <c:strRef>
              <c:f>'CONTROL '!$R$17</c:f>
              <c:strCache>
                <c:ptCount val="1"/>
                <c:pt idx="0">
                  <c:v>Transport - unskilled (projected)</c:v>
                </c:pt>
              </c:strCache>
            </c:strRef>
          </c:tx>
          <c:spPr>
            <a:ln w="28575" cap="rnd">
              <a:solidFill>
                <a:schemeClr val="accent2">
                  <a:lumMod val="40000"/>
                  <a:lumOff val="60000"/>
                </a:schemeClr>
              </a:solidFill>
              <a:prstDash val="dash"/>
              <a:round/>
            </a:ln>
            <a:effectLst/>
          </c:spPr>
          <c:marker>
            <c:symbol val="circle"/>
            <c:size val="5"/>
            <c:spPr>
              <a:solidFill>
                <a:schemeClr val="accent4">
                  <a:tint val="53000"/>
                </a:schemeClr>
              </a:solidFill>
              <a:ln w="9525">
                <a:solidFill>
                  <a:schemeClr val="accent4">
                    <a:tint val="53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'!$S$17:$AD$17</c15:sqref>
                  </c15:fullRef>
                </c:ext>
              </c:extLst>
              <c:f>'CONTROL '!$U$17:$AD$17</c:f>
              <c:numCache>
                <c:formatCode>0.00</c:formatCode>
                <c:ptCount val="10"/>
                <c:pt idx="6">
                  <c:v>1.409212948555796</c:v>
                </c:pt>
                <c:pt idx="7">
                  <c:v>1.6488432194457752</c:v>
                </c:pt>
                <c:pt idx="8">
                  <c:v>2.0047301499419601</c:v>
                </c:pt>
                <c:pt idx="9">
                  <c:v>1.8264039597002217</c:v>
                </c:pt>
              </c:numCache>
            </c:numRef>
          </c:val>
          <c:smooth val="0"/>
          <c:extLst>
            <c:ext xmlns:c16="http://schemas.microsoft.com/office/drawing/2014/chart" uri="{C3380CC4-5D6E-409C-BE32-E72D297353CC}">
              <c16:uniqueId val="{00000004-7F03-48A1-B8AE-F08042521127}"/>
            </c:ext>
          </c:extLst>
        </c:ser>
        <c:ser>
          <c:idx val="16"/>
          <c:order val="12"/>
          <c:tx>
            <c:strRef>
              <c:f>'CONTROL '!$R$20</c:f>
              <c:strCache>
                <c:ptCount val="1"/>
                <c:pt idx="0">
                  <c:v>Finance - unskilled (actual data)</c:v>
                </c:pt>
              </c:strCache>
            </c:strRef>
          </c:tx>
          <c:spPr>
            <a:ln w="28575" cap="rnd">
              <a:solidFill>
                <a:schemeClr val="accent4">
                  <a:tint val="45000"/>
                </a:schemeClr>
              </a:solidFill>
              <a:round/>
            </a:ln>
            <a:effectLst/>
          </c:spPr>
          <c:marker>
            <c:symbol val="circle"/>
            <c:size val="5"/>
            <c:spPr>
              <a:solidFill>
                <a:schemeClr val="accent4">
                  <a:tint val="45000"/>
                </a:schemeClr>
              </a:solidFill>
              <a:ln w="9525">
                <a:solidFill>
                  <a:schemeClr val="accent4">
                    <a:tint val="45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'!$S$20:$AD$20</c15:sqref>
                  </c15:fullRef>
                </c:ext>
              </c:extLst>
              <c:f>'CONTROL '!$U$20:$AD$20</c:f>
              <c:numCache>
                <c:formatCode>0.00</c:formatCode>
                <c:ptCount val="10"/>
                <c:pt idx="0">
                  <c:v>-2.56493183392561</c:v>
                </c:pt>
                <c:pt idx="1">
                  <c:v>-2.56493183392561</c:v>
                </c:pt>
                <c:pt idx="2">
                  <c:v>-2.56493183392561</c:v>
                </c:pt>
                <c:pt idx="3">
                  <c:v>-2.56493183392561</c:v>
                </c:pt>
                <c:pt idx="4">
                  <c:v>-2.56493183392561</c:v>
                </c:pt>
                <c:pt idx="5">
                  <c:v>-2.56493183392561</c:v>
                </c:pt>
                <c:pt idx="6">
                  <c:v>0.63951913519554682</c:v>
                </c:pt>
              </c:numCache>
            </c:numRef>
          </c:val>
          <c:smooth val="0"/>
          <c:extLst>
            <c:ext xmlns:c16="http://schemas.microsoft.com/office/drawing/2014/chart" uri="{C3380CC4-5D6E-409C-BE32-E72D297353CC}">
              <c16:uniqueId val="{00000005-7F03-48A1-B8AE-F08042521127}"/>
            </c:ext>
          </c:extLst>
        </c:ser>
        <c:ser>
          <c:idx val="17"/>
          <c:order val="13"/>
          <c:tx>
            <c:strRef>
              <c:f>'CONTROL '!$R$21</c:f>
              <c:strCache>
                <c:ptCount val="1"/>
                <c:pt idx="0">
                  <c:v>Finance - unskilled (projected)</c:v>
                </c:pt>
              </c:strCache>
            </c:strRef>
          </c:tx>
          <c:spPr>
            <a:ln w="28575" cap="rnd">
              <a:solidFill>
                <a:schemeClr val="accent4">
                  <a:lumMod val="75000"/>
                </a:schemeClr>
              </a:solidFill>
              <a:prstDash val="dash"/>
              <a:round/>
            </a:ln>
            <a:effectLst/>
          </c:spPr>
          <c:marker>
            <c:symbol val="circle"/>
            <c:size val="5"/>
            <c:spPr>
              <a:solidFill>
                <a:schemeClr val="accent4">
                  <a:tint val="38000"/>
                </a:schemeClr>
              </a:solidFill>
              <a:ln w="9525">
                <a:solidFill>
                  <a:schemeClr val="accent4">
                    <a:tint val="38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'!$S$21:$AD$21</c15:sqref>
                  </c15:fullRef>
                </c:ext>
              </c:extLst>
              <c:f>'CONTROL '!$U$21:$AD$21</c:f>
              <c:numCache>
                <c:formatCode>0.00</c:formatCode>
                <c:ptCount val="10"/>
                <c:pt idx="6">
                  <c:v>0.63951913519554682</c:v>
                </c:pt>
                <c:pt idx="7">
                  <c:v>1.6192254974243785</c:v>
                </c:pt>
                <c:pt idx="8">
                  <c:v>1.5219083442072632</c:v>
                </c:pt>
                <c:pt idx="9">
                  <c:v>1.6689992572710703</c:v>
                </c:pt>
              </c:numCache>
            </c:numRef>
          </c:val>
          <c:smooth val="0"/>
          <c:extLst>
            <c:ext xmlns:c16="http://schemas.microsoft.com/office/drawing/2014/chart" uri="{C3380CC4-5D6E-409C-BE32-E72D297353CC}">
              <c16:uniqueId val="{00000006-7F03-48A1-B8AE-F08042521127}"/>
            </c:ext>
          </c:extLst>
        </c:ser>
        <c:ser>
          <c:idx val="8"/>
          <c:order val="14"/>
          <c:tx>
            <c:strRef>
              <c:f>'CONTROL '!$R$24</c:f>
              <c:strCache>
                <c:ptCount val="1"/>
                <c:pt idx="0">
                  <c:v>Rest of services - unskilled (actual data) </c:v>
                </c:pt>
              </c:strCache>
            </c:strRef>
          </c:tx>
          <c:spPr>
            <a:ln w="28575" cap="rnd">
              <a:solidFill>
                <a:schemeClr val="accent4">
                  <a:tint val="74000"/>
                </a:schemeClr>
              </a:solidFill>
              <a:round/>
            </a:ln>
            <a:effectLst/>
          </c:spPr>
          <c:marker>
            <c:symbol val="circle"/>
            <c:size val="5"/>
            <c:spPr>
              <a:solidFill>
                <a:schemeClr val="accent4">
                  <a:tint val="74000"/>
                </a:schemeClr>
              </a:solidFill>
              <a:ln w="9525">
                <a:solidFill>
                  <a:schemeClr val="accent4">
                    <a:tint val="74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'!$S$24:$AD$24</c15:sqref>
                  </c15:fullRef>
                </c:ext>
              </c:extLst>
              <c:f>'CONTROL '!$U$24:$AD$24</c:f>
              <c:numCache>
                <c:formatCode>0.00</c:formatCode>
                <c:ptCount val="10"/>
                <c:pt idx="0">
                  <c:v>-7.8153484264231636</c:v>
                </c:pt>
                <c:pt idx="1">
                  <c:v>-7.8153484264231636</c:v>
                </c:pt>
                <c:pt idx="2">
                  <c:v>-7.8153484264231636</c:v>
                </c:pt>
                <c:pt idx="3">
                  <c:v>-7.8153484264231636</c:v>
                </c:pt>
                <c:pt idx="4">
                  <c:v>-7.8153484264231636</c:v>
                </c:pt>
                <c:pt idx="5">
                  <c:v>-7.8153484264231636</c:v>
                </c:pt>
                <c:pt idx="6">
                  <c:v>1.3918400593740177</c:v>
                </c:pt>
              </c:numCache>
            </c:numRef>
          </c:val>
          <c:smooth val="0"/>
          <c:extLst>
            <c:ext xmlns:c16="http://schemas.microsoft.com/office/drawing/2014/chart" uri="{C3380CC4-5D6E-409C-BE32-E72D297353CC}">
              <c16:uniqueId val="{00000004-34EE-40CD-8DDC-598B48A55E2D}"/>
            </c:ext>
          </c:extLst>
        </c:ser>
        <c:ser>
          <c:idx val="9"/>
          <c:order val="15"/>
          <c:tx>
            <c:strRef>
              <c:f>'CONTROL '!$R$25</c:f>
              <c:strCache>
                <c:ptCount val="1"/>
                <c:pt idx="0">
                  <c:v>Rest of services - skilled (projected) </c:v>
                </c:pt>
              </c:strCache>
            </c:strRef>
          </c:tx>
          <c:spPr>
            <a:ln w="28575" cap="rnd">
              <a:solidFill>
                <a:schemeClr val="accent4">
                  <a:lumMod val="40000"/>
                  <a:lumOff val="60000"/>
                </a:schemeClr>
              </a:solidFill>
              <a:prstDash val="dash"/>
              <a:round/>
            </a:ln>
            <a:effectLst/>
          </c:spPr>
          <c:marker>
            <c:symbol val="circle"/>
            <c:size val="5"/>
            <c:spPr>
              <a:solidFill>
                <a:schemeClr val="accent4">
                  <a:tint val="63000"/>
                </a:schemeClr>
              </a:solidFill>
              <a:ln w="9525">
                <a:solidFill>
                  <a:schemeClr val="accent4">
                    <a:tint val="63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'!$S$25:$AD$25</c15:sqref>
                  </c15:fullRef>
                </c:ext>
              </c:extLst>
              <c:f>'CONTROL '!$U$25:$AD$25</c:f>
              <c:numCache>
                <c:formatCode>0.00</c:formatCode>
                <c:ptCount val="10"/>
                <c:pt idx="6">
                  <c:v>1.3918400593740177</c:v>
                </c:pt>
                <c:pt idx="7">
                  <c:v>1.3092630037113906</c:v>
                </c:pt>
                <c:pt idx="8">
                  <c:v>0.9245492578707708</c:v>
                </c:pt>
                <c:pt idx="9">
                  <c:v>0.99817293336576984</c:v>
                </c:pt>
              </c:numCache>
            </c:numRef>
          </c:val>
          <c:smooth val="0"/>
          <c:extLst>
            <c:ext xmlns:c16="http://schemas.microsoft.com/office/drawing/2014/chart" uri="{C3380CC4-5D6E-409C-BE32-E72D297353CC}">
              <c16:uniqueId val="{00000005-34EE-40CD-8DDC-598B48A55E2D}"/>
            </c:ext>
          </c:extLst>
        </c:ser>
        <c:dLbls>
          <c:showLegendKey val="0"/>
          <c:showVal val="0"/>
          <c:showCatName val="0"/>
          <c:showSerName val="0"/>
          <c:showPercent val="0"/>
          <c:showBubbleSize val="0"/>
        </c:dLbls>
        <c:marker val="1"/>
        <c:smooth val="0"/>
        <c:axId val="1141569295"/>
        <c:axId val="1141573455"/>
        <c:extLst>
          <c:ext xmlns:c15="http://schemas.microsoft.com/office/drawing/2012/chart" uri="{02D57815-91ED-43cb-92C2-25804820EDAC}">
            <c15:filteredLineSeries>
              <c15:ser>
                <c:idx val="2"/>
                <c:order val="2"/>
                <c:tx>
                  <c:strRef>
                    <c:extLst>
                      <c:ext uri="{02D57815-91ED-43cb-92C2-25804820EDAC}">
                        <c15:formulaRef>
                          <c15:sqref>'CONTROL '!$R$6</c15:sqref>
                        </c15:formulaRef>
                      </c:ext>
                    </c:extLst>
                    <c:strCache>
                      <c:ptCount val="1"/>
                      <c:pt idx="0">
                        <c:v>Agriculture - skilled (actual data)</c:v>
                      </c:pt>
                    </c:strCache>
                  </c:strRef>
                </c:tx>
                <c:spPr>
                  <a:ln w="28575" cap="rnd">
                    <a:solidFill>
                      <a:schemeClr val="accent4">
                        <a:shade val="52000"/>
                      </a:schemeClr>
                    </a:solidFill>
                    <a:round/>
                  </a:ln>
                  <a:effectLst/>
                </c:spPr>
                <c:marker>
                  <c:symbol val="circle"/>
                  <c:size val="5"/>
                  <c:spPr>
                    <a:solidFill>
                      <a:schemeClr val="accent4">
                        <a:shade val="62000"/>
                      </a:schemeClr>
                    </a:solidFill>
                    <a:ln w="9525">
                      <a:solidFill>
                        <a:schemeClr val="accent4">
                          <a:shade val="62000"/>
                        </a:schemeClr>
                      </a:solidFill>
                    </a:ln>
                    <a:effectLst/>
                  </c:spPr>
                </c:marker>
                <c:cat>
                  <c:numRef>
                    <c:extLst>
                      <c:ex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uri="{02D57815-91ED-43cb-92C2-25804820EDAC}">
                        <c15:fullRef>
                          <c15:sqref>'CONTROL '!$S$6:$AD$6</c15:sqref>
                        </c15:fullRef>
                        <c15:formulaRef>
                          <c15:sqref>'CONTROL '!$U$6:$AD$6</c15:sqref>
                        </c15:formulaRef>
                      </c:ext>
                    </c:extLst>
                    <c:numCache>
                      <c:formatCode>0.00</c:formatCode>
                      <c:ptCount val="10"/>
                      <c:pt idx="0">
                        <c:v>1.0535065077480921</c:v>
                      </c:pt>
                      <c:pt idx="1">
                        <c:v>1.0535065077480921</c:v>
                      </c:pt>
                      <c:pt idx="2">
                        <c:v>1.0535065077480921</c:v>
                      </c:pt>
                      <c:pt idx="3">
                        <c:v>1.0535065077480921</c:v>
                      </c:pt>
                      <c:pt idx="4">
                        <c:v>1.0535065077480921</c:v>
                      </c:pt>
                      <c:pt idx="5">
                        <c:v>1.0535065077480921</c:v>
                      </c:pt>
                      <c:pt idx="6">
                        <c:v>0.84623124438992625</c:v>
                      </c:pt>
                    </c:numCache>
                  </c:numRef>
                </c:val>
                <c:smooth val="0"/>
                <c:extLst>
                  <c:ext xmlns:c16="http://schemas.microsoft.com/office/drawing/2014/chart" uri="{C3380CC4-5D6E-409C-BE32-E72D297353CC}">
                    <c16:uniqueId val="{00000006-34EE-40CD-8DDC-598B48A55E2D}"/>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'CONTROL '!$R$7</c15:sqref>
                        </c15:formulaRef>
                      </c:ext>
                    </c:extLst>
                    <c:strCache>
                      <c:ptCount val="1"/>
                      <c:pt idx="0">
                        <c:v>Agriculture - skilled (projected)</c:v>
                      </c:pt>
                    </c:strCache>
                  </c:strRef>
                </c:tx>
                <c:spPr>
                  <a:ln w="28575" cap="rnd">
                    <a:solidFill>
                      <a:schemeClr val="accent4">
                        <a:shade val="59000"/>
                      </a:schemeClr>
                    </a:solidFill>
                    <a:round/>
                  </a:ln>
                  <a:effectLst/>
                </c:spPr>
                <c:marker>
                  <c:symbol val="circle"/>
                  <c:size val="5"/>
                  <c:spPr>
                    <a:solidFill>
                      <a:schemeClr val="accent4">
                        <a:shade val="73000"/>
                      </a:schemeClr>
                    </a:solidFill>
                    <a:ln w="9525">
                      <a:solidFill>
                        <a:schemeClr val="accent4">
                          <a:shade val="73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'!$S$7:$AD$7</c15:sqref>
                        </c15:fullRef>
                        <c15:formulaRef>
                          <c15:sqref>'CONTROL '!$U$7:$AD$7</c15:sqref>
                        </c15:formulaRef>
                      </c:ext>
                    </c:extLst>
                    <c:numCache>
                      <c:formatCode>0.00</c:formatCode>
                      <c:ptCount val="10"/>
                      <c:pt idx="6">
                        <c:v>0.84623124438992625</c:v>
                      </c:pt>
                      <c:pt idx="7">
                        <c:v>0.76133330202750438</c:v>
                      </c:pt>
                      <c:pt idx="8">
                        <c:v>0.69381115691801454</c:v>
                      </c:pt>
                      <c:pt idx="9">
                        <c:v>0.65131678332529575</c:v>
                      </c:pt>
                    </c:numCache>
                  </c:numRef>
                </c:val>
                <c:smooth val="0"/>
                <c:extLst xmlns:c15="http://schemas.microsoft.com/office/drawing/2012/chart">
                  <c:ext xmlns:c16="http://schemas.microsoft.com/office/drawing/2014/chart" uri="{C3380CC4-5D6E-409C-BE32-E72D297353CC}">
                    <c16:uniqueId val="{00000007-34EE-40CD-8DDC-598B48A55E2D}"/>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'CONTROL '!$R$14</c15:sqref>
                        </c15:formulaRef>
                      </c:ext>
                    </c:extLst>
                    <c:strCache>
                      <c:ptCount val="1"/>
                      <c:pt idx="0">
                        <c:v>Rest of industry - skilled (actual data)</c:v>
                      </c:pt>
                    </c:strCache>
                  </c:strRef>
                </c:tx>
                <c:spPr>
                  <a:ln w="28575" cap="rnd">
                    <a:solidFill>
                      <a:schemeClr val="accent4">
                        <a:tint val="95000"/>
                      </a:schemeClr>
                    </a:solidFill>
                    <a:round/>
                  </a:ln>
                  <a:effectLst/>
                </c:spPr>
                <c:marker>
                  <c:symbol val="circle"/>
                  <c:size val="5"/>
                  <c:spPr>
                    <a:solidFill>
                      <a:schemeClr val="accent4">
                        <a:tint val="95000"/>
                      </a:schemeClr>
                    </a:solidFill>
                    <a:ln w="9525">
                      <a:solidFill>
                        <a:schemeClr val="accent4">
                          <a:tint val="95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'!$S$14:$AD$14</c15:sqref>
                        </c15:fullRef>
                        <c15:formulaRef>
                          <c15:sqref>'CONTROL '!$U$14:$AD$14</c15:sqref>
                        </c15:formulaRef>
                      </c:ext>
                    </c:extLst>
                    <c:numCache>
                      <c:formatCode>0.00</c:formatCode>
                      <c:ptCount val="10"/>
                      <c:pt idx="0">
                        <c:v>13.999783586237768</c:v>
                      </c:pt>
                      <c:pt idx="1">
                        <c:v>13.999783586237768</c:v>
                      </c:pt>
                      <c:pt idx="2">
                        <c:v>13.999783586237768</c:v>
                      </c:pt>
                      <c:pt idx="3">
                        <c:v>13.999783586237768</c:v>
                      </c:pt>
                      <c:pt idx="4">
                        <c:v>13.999783586237768</c:v>
                      </c:pt>
                      <c:pt idx="5">
                        <c:v>13.999783586237768</c:v>
                      </c:pt>
                      <c:pt idx="6">
                        <c:v>2.2214133718780364</c:v>
                      </c:pt>
                    </c:numCache>
                  </c:numRef>
                </c:val>
                <c:smooth val="0"/>
                <c:extLst xmlns:c15="http://schemas.microsoft.com/office/drawing/2012/chart">
                  <c:ext xmlns:c16="http://schemas.microsoft.com/office/drawing/2014/chart" uri="{C3380CC4-5D6E-409C-BE32-E72D297353CC}">
                    <c16:uniqueId val="{00000008-34EE-40CD-8DDC-598B48A55E2D}"/>
                  </c:ext>
                </c:extLst>
              </c15:ser>
            </c15:filteredLineSeries>
            <c15:filteredLineSeries>
              <c15:ser>
                <c:idx val="7"/>
                <c:order val="9"/>
                <c:tx>
                  <c:strRef>
                    <c:extLst xmlns:c15="http://schemas.microsoft.com/office/drawing/2012/chart">
                      <c:ext xmlns:c15="http://schemas.microsoft.com/office/drawing/2012/chart" uri="{02D57815-91ED-43cb-92C2-25804820EDAC}">
                        <c15:formulaRef>
                          <c15:sqref>'CONTROL '!$R$15</c15:sqref>
                        </c15:formulaRef>
                      </c:ext>
                    </c:extLst>
                    <c:strCache>
                      <c:ptCount val="1"/>
                      <c:pt idx="0">
                        <c:v>Rest of industry - skilled (projected)</c:v>
                      </c:pt>
                    </c:strCache>
                  </c:strRef>
                </c:tx>
                <c:spPr>
                  <a:ln w="28575" cap="rnd">
                    <a:solidFill>
                      <a:schemeClr val="accent4">
                        <a:tint val="84000"/>
                      </a:schemeClr>
                    </a:solidFill>
                    <a:round/>
                  </a:ln>
                  <a:effectLst/>
                </c:spPr>
                <c:marker>
                  <c:symbol val="circle"/>
                  <c:size val="5"/>
                  <c:spPr>
                    <a:solidFill>
                      <a:schemeClr val="accent4">
                        <a:tint val="84000"/>
                      </a:schemeClr>
                    </a:solidFill>
                    <a:ln w="9525">
                      <a:solidFill>
                        <a:schemeClr val="accent4">
                          <a:tint val="84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'!$S$15:$AD$15</c15:sqref>
                        </c15:fullRef>
                        <c15:formulaRef>
                          <c15:sqref>'CONTROL '!$U$15:$AD$15</c15:sqref>
                        </c15:formulaRef>
                      </c:ext>
                    </c:extLst>
                    <c:numCache>
                      <c:formatCode>0.00</c:formatCode>
                      <c:ptCount val="10"/>
                      <c:pt idx="6">
                        <c:v>2.2214133718780364</c:v>
                      </c:pt>
                      <c:pt idx="7">
                        <c:v>2.0335642842693837</c:v>
                      </c:pt>
                      <c:pt idx="8">
                        <c:v>1.6256645010282536</c:v>
                      </c:pt>
                      <c:pt idx="9">
                        <c:v>1.230766844969565</c:v>
                      </c:pt>
                    </c:numCache>
                  </c:numRef>
                </c:val>
                <c:smooth val="0"/>
                <c:extLst xmlns:c15="http://schemas.microsoft.com/office/drawing/2012/chart">
                  <c:ext xmlns:c16="http://schemas.microsoft.com/office/drawing/2014/chart" uri="{C3380CC4-5D6E-409C-BE32-E72D297353CC}">
                    <c16:uniqueId val="{00000009-34EE-40CD-8DDC-598B48A55E2D}"/>
                  </c:ext>
                </c:extLst>
              </c15:ser>
            </c15:filteredLineSeries>
            <c15:filteredLineSeries>
              <c15:ser>
                <c:idx val="10"/>
                <c:order val="16"/>
                <c:tx>
                  <c:strRef>
                    <c:extLst xmlns:c15="http://schemas.microsoft.com/office/drawing/2012/chart">
                      <c:ext xmlns:c15="http://schemas.microsoft.com/office/drawing/2012/chart" uri="{02D57815-91ED-43cb-92C2-25804820EDAC}">
                        <c15:formulaRef>
                          <c15:sqref>'CONTROL '!$R$26</c15:sqref>
                        </c15:formulaRef>
                      </c:ext>
                    </c:extLst>
                    <c:strCache>
                      <c:ptCount val="1"/>
                      <c:pt idx="0">
                        <c:v>Rest of services - unskilled (actual data) </c:v>
                      </c:pt>
                    </c:strCache>
                  </c:strRef>
                </c:tx>
                <c:spPr>
                  <a:ln w="28575" cap="rnd">
                    <a:solidFill>
                      <a:schemeClr val="accent4">
                        <a:tint val="52000"/>
                      </a:schemeClr>
                    </a:solidFill>
                    <a:round/>
                  </a:ln>
                  <a:effectLst/>
                </c:spPr>
                <c:marker>
                  <c:symbol val="circle"/>
                  <c:size val="5"/>
                  <c:spPr>
                    <a:solidFill>
                      <a:schemeClr val="accent4">
                        <a:tint val="52000"/>
                      </a:schemeClr>
                    </a:solidFill>
                    <a:ln w="9525">
                      <a:solidFill>
                        <a:schemeClr val="accent4">
                          <a:tint val="52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'!$S$26:$AD$26</c15:sqref>
                        </c15:fullRef>
                        <c15:formulaRef>
                          <c15:sqref>'CONTROL '!$U$26:$AD$26</c15:sqref>
                        </c15:formulaRef>
                      </c:ext>
                    </c:extLst>
                    <c:numCache>
                      <c:formatCode>0.00</c:formatCode>
                      <c:ptCount val="10"/>
                      <c:pt idx="0">
                        <c:v>3.4223589519351894</c:v>
                      </c:pt>
                      <c:pt idx="1">
                        <c:v>3.4223589519351894</c:v>
                      </c:pt>
                      <c:pt idx="2">
                        <c:v>3.4223589519351894</c:v>
                      </c:pt>
                      <c:pt idx="3">
                        <c:v>3.4223589519351894</c:v>
                      </c:pt>
                      <c:pt idx="4">
                        <c:v>3.4223589519351894</c:v>
                      </c:pt>
                      <c:pt idx="5">
                        <c:v>3.4223589519351894</c:v>
                      </c:pt>
                      <c:pt idx="6">
                        <c:v>1.3918400593740177</c:v>
                      </c:pt>
                    </c:numCache>
                  </c:numRef>
                </c:val>
                <c:smooth val="0"/>
                <c:extLst xmlns:c15="http://schemas.microsoft.com/office/drawing/2012/chart">
                  <c:ext xmlns:c16="http://schemas.microsoft.com/office/drawing/2014/chart" uri="{C3380CC4-5D6E-409C-BE32-E72D297353CC}">
                    <c16:uniqueId val="{0000000A-34EE-40CD-8DDC-598B48A55E2D}"/>
                  </c:ext>
                </c:extLst>
              </c15:ser>
            </c15:filteredLineSeries>
            <c15:filteredLineSeries>
              <c15:ser>
                <c:idx val="11"/>
                <c:order val="17"/>
                <c:tx>
                  <c:strRef>
                    <c:extLst xmlns:c15="http://schemas.microsoft.com/office/drawing/2012/chart">
                      <c:ext xmlns:c15="http://schemas.microsoft.com/office/drawing/2012/chart" uri="{02D57815-91ED-43cb-92C2-25804820EDAC}">
                        <c15:formulaRef>
                          <c15:sqref>'CONTROL '!$R$27</c15:sqref>
                        </c15:formulaRef>
                      </c:ext>
                    </c:extLst>
                    <c:strCache>
                      <c:ptCount val="1"/>
                      <c:pt idx="0">
                        <c:v>Rest of services - skilled (projected) </c:v>
                      </c:pt>
                    </c:strCache>
                  </c:strRef>
                </c:tx>
                <c:spPr>
                  <a:ln w="28575" cap="rnd">
                    <a:solidFill>
                      <a:schemeClr val="accent4">
                        <a:tint val="41000"/>
                      </a:schemeClr>
                    </a:solidFill>
                    <a:round/>
                  </a:ln>
                  <a:effectLst/>
                </c:spPr>
                <c:marker>
                  <c:symbol val="circle"/>
                  <c:size val="5"/>
                  <c:spPr>
                    <a:solidFill>
                      <a:schemeClr val="accent4">
                        <a:tint val="41000"/>
                      </a:schemeClr>
                    </a:solidFill>
                    <a:ln w="9525">
                      <a:solidFill>
                        <a:schemeClr val="accent4">
                          <a:tint val="41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'!$S$27:$AD$27</c15:sqref>
                        </c15:fullRef>
                        <c15:formulaRef>
                          <c15:sqref>'CONTROL '!$U$27:$AD$27</c15:sqref>
                        </c15:formulaRef>
                      </c:ext>
                    </c:extLst>
                    <c:numCache>
                      <c:formatCode>0.00</c:formatCode>
                      <c:ptCount val="10"/>
                      <c:pt idx="6">
                        <c:v>1.3918400593740177</c:v>
                      </c:pt>
                      <c:pt idx="7">
                        <c:v>1.3092630037113906</c:v>
                      </c:pt>
                      <c:pt idx="8">
                        <c:v>0.9245492578707708</c:v>
                      </c:pt>
                      <c:pt idx="9">
                        <c:v>0.99817293336576984</c:v>
                      </c:pt>
                    </c:numCache>
                  </c:numRef>
                </c:val>
                <c:smooth val="0"/>
                <c:extLst xmlns:c15="http://schemas.microsoft.com/office/drawing/2012/chart">
                  <c:ext xmlns:c16="http://schemas.microsoft.com/office/drawing/2014/chart" uri="{C3380CC4-5D6E-409C-BE32-E72D297353CC}">
                    <c16:uniqueId val="{0000000B-34EE-40CD-8DDC-598B48A55E2D}"/>
                  </c:ext>
                </c:extLst>
              </c15:ser>
            </c15:filteredLineSeries>
          </c:ext>
        </c:extLst>
      </c:lineChart>
      <c:catAx>
        <c:axId val="11415692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73455"/>
        <c:crosses val="autoZero"/>
        <c:auto val="1"/>
        <c:lblAlgn val="ctr"/>
        <c:lblOffset val="100"/>
        <c:noMultiLvlLbl val="0"/>
      </c:catAx>
      <c:valAx>
        <c:axId val="114157345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69295"/>
        <c:crosses val="autoZero"/>
        <c:crossBetween val="midCat"/>
      </c:valAx>
      <c:spPr>
        <a:noFill/>
        <a:ln>
          <a:noFill/>
        </a:ln>
        <a:effectLst/>
      </c:spPr>
    </c:plotArea>
    <c:legend>
      <c:legendPos val="b"/>
      <c:legendEntry>
        <c:idx val="0"/>
        <c:delete val="1"/>
      </c:legendEntry>
      <c:legendEntry>
        <c:idx val="2"/>
        <c:delete val="1"/>
      </c:legendEntry>
      <c:legendEntry>
        <c:idx val="4"/>
        <c:delete val="1"/>
      </c:legendEntry>
      <c:legendEntry>
        <c:idx val="6"/>
        <c:delete val="1"/>
      </c:legendEntry>
      <c:legendEntry>
        <c:idx val="8"/>
        <c:delete val="1"/>
      </c:legendEntry>
      <c:legendEntry>
        <c:idx val="10"/>
        <c:delete val="1"/>
      </c:legendEntry>
      <c:layout>
        <c:manualLayout>
          <c:xMode val="edge"/>
          <c:yMode val="edge"/>
          <c:x val="2.0275134878973474E-2"/>
          <c:y val="0.78276644173308774"/>
          <c:w val="0.93630158209390479"/>
          <c:h val="0.19680454907385814"/>
        </c:manualLayout>
      </c:layout>
      <c:overlay val="0"/>
      <c:spPr>
        <a:noFill/>
        <a:ln>
          <a:noFill/>
        </a:ln>
        <a:effectLst/>
      </c:spPr>
      <c:txPr>
        <a:bodyPr rot="0" spcFirstLastPara="1" vertOverflow="ellipsis" vert="horz" wrap="square" anchor="ctr" anchorCtr="0"/>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Labor Income Growth by sector (formal)</a:t>
            </a:r>
          </a:p>
          <a:p>
            <a:pPr>
              <a:defRPr/>
            </a:pPr>
            <a:endParaRPr lang="en-US"/>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9"/>
          <c:order val="1"/>
          <c:tx>
            <c:strRef>
              <c:f>'CONTROL '!$R$30</c:f>
              <c:strCache>
                <c:ptCount val="1"/>
                <c:pt idx="0">
                  <c:v>Agriculture - formal (actual data)</c:v>
                </c:pt>
              </c:strCache>
            </c:strRef>
          </c:tx>
          <c:spPr>
            <a:ln w="28575" cap="rnd">
              <a:solidFill>
                <a:schemeClr val="accent6"/>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'!$S$30:$AD$30</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B829-48D1-AAD1-2A47B768D6BA}"/>
            </c:ext>
          </c:extLst>
        </c:ser>
        <c:ser>
          <c:idx val="11"/>
          <c:order val="3"/>
          <c:tx>
            <c:strRef>
              <c:f>'CONTROL '!$R$32</c:f>
              <c:strCache>
                <c:ptCount val="1"/>
                <c:pt idx="0">
                  <c:v>Industry - formal (actual data)</c:v>
                </c:pt>
              </c:strCache>
            </c:strRef>
          </c:tx>
          <c:spPr>
            <a:ln w="28575" cap="rnd">
              <a:solidFill>
                <a:schemeClr val="accent6">
                  <a:lumMod val="40000"/>
                  <a:lumOff val="6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'!$S$32:$AD$32</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1-B829-48D1-AAD1-2A47B768D6BA}"/>
            </c:ext>
          </c:extLst>
        </c:ser>
        <c:ser>
          <c:idx val="3"/>
          <c:order val="5"/>
          <c:tx>
            <c:strRef>
              <c:f>'CONTROL '!$R$34</c:f>
              <c:strCache>
                <c:ptCount val="1"/>
                <c:pt idx="0">
                  <c:v>Services - formal (actual data)</c:v>
                </c:pt>
              </c:strCache>
            </c:strRef>
          </c:tx>
          <c:spPr>
            <a:ln w="28575" cap="rnd">
              <a:solidFill>
                <a:schemeClr val="accent6">
                  <a:lumMod val="5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'!$S$34:$AD$34</c:f>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2-B829-48D1-AAD1-2A47B768D6BA}"/>
            </c:ext>
          </c:extLst>
        </c:ser>
        <c:ser>
          <c:idx val="7"/>
          <c:order val="10"/>
          <c:tx>
            <c:strRef>
              <c:f>'CONTROL '!$R$39</c:f>
              <c:strCache>
                <c:ptCount val="1"/>
                <c:pt idx="0">
                  <c:v>Agriculture - formal (projected)</c:v>
                </c:pt>
              </c:strCache>
            </c:strRef>
          </c:tx>
          <c:spPr>
            <a:ln w="28575" cap="rnd">
              <a:solidFill>
                <a:schemeClr val="accent6">
                  <a:shade val="86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'!$S$39:$AD$39</c:f>
              <c:numCache>
                <c:formatCode>General</c:formatCode>
                <c:ptCount val="12"/>
                <c:pt idx="8" formatCode="0.00">
                  <c:v>#N/A</c:v>
                </c:pt>
                <c:pt idx="9" formatCode="0.00">
                  <c:v>#N/A</c:v>
                </c:pt>
                <c:pt idx="10" formatCode="0.00">
                  <c:v>0.570017257116054</c:v>
                </c:pt>
                <c:pt idx="11" formatCode="0.00">
                  <c:v>0.53481838954110561</c:v>
                </c:pt>
              </c:numCache>
            </c:numRef>
          </c:val>
          <c:smooth val="0"/>
          <c:extLst xmlns:c15="http://schemas.microsoft.com/office/drawing/2012/chart">
            <c:ext xmlns:c16="http://schemas.microsoft.com/office/drawing/2014/chart" uri="{C3380CC4-5D6E-409C-BE32-E72D297353CC}">
              <c16:uniqueId val="{00000003-B829-48D1-AAD1-2A47B768D6BA}"/>
            </c:ext>
          </c:extLst>
        </c:ser>
        <c:ser>
          <c:idx val="16"/>
          <c:order val="12"/>
          <c:tx>
            <c:strRef>
              <c:f>'CONTROL '!$R$41</c:f>
              <c:strCache>
                <c:ptCount val="1"/>
                <c:pt idx="0">
                  <c:v>Industry - formal (projected)</c:v>
                </c:pt>
              </c:strCache>
            </c:strRef>
          </c:tx>
          <c:spPr>
            <a:ln w="28575" cap="rnd">
              <a:solidFill>
                <a:schemeClr val="accent6">
                  <a:lumMod val="40000"/>
                  <a:lumOff val="6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'!$S$41:$AD$41</c:f>
              <c:numCache>
                <c:formatCode>General</c:formatCode>
                <c:ptCount val="12"/>
                <c:pt idx="8" formatCode="0.00">
                  <c:v>#N/A</c:v>
                </c:pt>
                <c:pt idx="9" formatCode="0.00">
                  <c:v>#N/A</c:v>
                </c:pt>
                <c:pt idx="10" formatCode="0.00">
                  <c:v>1.5124899828330756</c:v>
                </c:pt>
                <c:pt idx="11" formatCode="0.00">
                  <c:v>1.2412301327693218</c:v>
                </c:pt>
              </c:numCache>
            </c:numRef>
          </c:val>
          <c:smooth val="0"/>
          <c:extLst xmlns:c15="http://schemas.microsoft.com/office/drawing/2012/chart">
            <c:ext xmlns:c16="http://schemas.microsoft.com/office/drawing/2014/chart" uri="{C3380CC4-5D6E-409C-BE32-E72D297353CC}">
              <c16:uniqueId val="{00000004-B829-48D1-AAD1-2A47B768D6BA}"/>
            </c:ext>
          </c:extLst>
        </c:ser>
        <c:ser>
          <c:idx val="12"/>
          <c:order val="14"/>
          <c:tx>
            <c:strRef>
              <c:f>'CONTROL '!$R$43</c:f>
              <c:strCache>
                <c:ptCount val="1"/>
                <c:pt idx="0">
                  <c:v>Services - formal (projected)</c:v>
                </c:pt>
              </c:strCache>
            </c:strRef>
          </c:tx>
          <c:spPr>
            <a:ln w="28575" cap="rnd">
              <a:solidFill>
                <a:schemeClr val="accent6">
                  <a:lumMod val="5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'!$S$43:$AD$43</c:f>
              <c:numCache>
                <c:formatCode>General</c:formatCode>
                <c:ptCount val="12"/>
                <c:pt idx="8" formatCode="0.00">
                  <c:v>#N/A</c:v>
                </c:pt>
                <c:pt idx="9" formatCode="0.00">
                  <c:v>#N/A</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5-B829-48D1-AAD1-2A47B768D6BA}"/>
            </c:ext>
          </c:extLst>
        </c:ser>
        <c:dLbls>
          <c:showLegendKey val="0"/>
          <c:showVal val="0"/>
          <c:showCatName val="0"/>
          <c:showSerName val="0"/>
          <c:showPercent val="0"/>
          <c:showBubbleSize val="0"/>
        </c:dLbls>
        <c:smooth val="0"/>
        <c:axId val="1832017327"/>
        <c:axId val="1832014415"/>
        <c:extLst>
          <c:ext xmlns:c15="http://schemas.microsoft.com/office/drawing/2012/chart" uri="{02D57815-91ED-43cb-92C2-25804820EDAC}">
            <c15:filteredLineSeries>
              <c15:ser>
                <c:idx val="0"/>
                <c:order val="0"/>
                <c:tx>
                  <c:strRef>
                    <c:extLst>
                      <c:ext uri="{02D57815-91ED-43cb-92C2-25804820EDAC}">
                        <c15:formulaRef>
                          <c15:sqref>'CONTROL '!$R$29</c15:sqref>
                        </c15:formulaRef>
                      </c:ext>
                    </c:extLst>
                    <c:strCache>
                      <c:ptCount val="1"/>
                      <c:pt idx="0">
                        <c:v>labor income</c:v>
                      </c:pt>
                    </c:strCache>
                  </c:strRef>
                </c:tx>
                <c:spPr>
                  <a:ln w="28575" cap="rnd">
                    <a:solidFill>
                      <a:schemeClr val="accent6">
                        <a:shade val="37000"/>
                      </a:schemeClr>
                    </a:solidFill>
                    <a:round/>
                  </a:ln>
                  <a:effectLst/>
                </c:spPr>
                <c:marker>
                  <c:symbol val="none"/>
                </c:marker>
                <c:cat>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val>
                <c:smooth val="0"/>
                <c:extLst>
                  <c:ext xmlns:c16="http://schemas.microsoft.com/office/drawing/2014/chart" uri="{C3380CC4-5D6E-409C-BE32-E72D297353CC}">
                    <c16:uniqueId val="{00000006-B829-48D1-AAD1-2A47B768D6BA}"/>
                  </c:ext>
                </c:extLst>
              </c15:ser>
            </c15:filteredLineSeries>
            <c15:filteredLineSeries>
              <c15:ser>
                <c:idx val="1"/>
                <c:order val="2"/>
                <c:tx>
                  <c:strRef>
                    <c:extLst xmlns:c15="http://schemas.microsoft.com/office/drawing/2012/chart">
                      <c:ext xmlns:c15="http://schemas.microsoft.com/office/drawing/2012/chart" uri="{02D57815-91ED-43cb-92C2-25804820EDAC}">
                        <c15:formulaRef>
                          <c15:sqref>'CONTROL '!$R$31</c15:sqref>
                        </c15:formulaRef>
                      </c:ext>
                    </c:extLst>
                    <c:strCache>
                      <c:ptCount val="1"/>
                      <c:pt idx="0">
                        <c:v>Agriculture - informal (actual data)</c:v>
                      </c:pt>
                    </c:strCache>
                  </c:strRef>
                </c:tx>
                <c:spPr>
                  <a:ln w="28575" cap="rnd">
                    <a:solidFill>
                      <a:schemeClr val="accent6">
                        <a:shade val="44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'!$S$31:$AD$31</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7-B829-48D1-AAD1-2A47B768D6BA}"/>
                  </c:ext>
                </c:extLst>
              </c15:ser>
            </c15:filteredLineSeries>
            <c15:filteredLineSeries>
              <c15:ser>
                <c:idx val="2"/>
                <c:order val="4"/>
                <c:tx>
                  <c:strRef>
                    <c:extLst xmlns:c15="http://schemas.microsoft.com/office/drawing/2012/chart">
                      <c:ext xmlns:c15="http://schemas.microsoft.com/office/drawing/2012/chart" uri="{02D57815-91ED-43cb-92C2-25804820EDAC}">
                        <c15:formulaRef>
                          <c15:sqref>'CONTROL '!$R$33</c15:sqref>
                        </c15:formulaRef>
                      </c:ext>
                    </c:extLst>
                    <c:strCache>
                      <c:ptCount val="1"/>
                      <c:pt idx="0">
                        <c:v>Industry - informal (actual data)</c:v>
                      </c:pt>
                    </c:strCache>
                  </c:strRef>
                </c:tx>
                <c:spPr>
                  <a:ln w="28575" cap="rnd">
                    <a:solidFill>
                      <a:schemeClr val="accent6">
                        <a:shade val="51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'!$S$33:$AD$33</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8-B829-48D1-AAD1-2A47B768D6BA}"/>
                  </c:ext>
                </c:extLst>
              </c15:ser>
            </c15:filteredLineSeries>
            <c15:filteredLineSeries>
              <c15:ser>
                <c:idx val="4"/>
                <c:order val="6"/>
                <c:tx>
                  <c:strRef>
                    <c:extLst xmlns:c15="http://schemas.microsoft.com/office/drawing/2012/chart">
                      <c:ext xmlns:c15="http://schemas.microsoft.com/office/drawing/2012/chart" uri="{02D57815-91ED-43cb-92C2-25804820EDAC}">
                        <c15:formulaRef>
                          <c15:sqref>'CONTROL '!$R$35</c15:sqref>
                        </c15:formulaRef>
                      </c:ext>
                    </c:extLst>
                    <c:strCache>
                      <c:ptCount val="1"/>
                      <c:pt idx="0">
                        <c:v>Services - informal (actual data)</c:v>
                      </c:pt>
                    </c:strCache>
                  </c:strRef>
                </c:tx>
                <c:spPr>
                  <a:ln w="28575" cap="rnd">
                    <a:solidFill>
                      <a:schemeClr val="accent6">
                        <a:shade val="74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'!$S$35:$AD$35</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9-B829-48D1-AAD1-2A47B768D6BA}"/>
                  </c:ext>
                </c:extLst>
              </c15:ser>
            </c15:filteredLineSeries>
            <c15:filteredLineSeries>
              <c15:ser>
                <c:idx val="13"/>
                <c:order val="7"/>
                <c:tx>
                  <c:strRef>
                    <c:extLst xmlns:c15="http://schemas.microsoft.com/office/drawing/2012/chart">
                      <c:ext xmlns:c15="http://schemas.microsoft.com/office/drawing/2012/chart" uri="{02D57815-91ED-43cb-92C2-25804820EDAC}">
                        <c15:formulaRef>
                          <c15:sqref>'CONTROL '!$R$36</c15:sqref>
                        </c15:formulaRef>
                      </c:ext>
                    </c:extLst>
                    <c:strCache>
                      <c:ptCount val="1"/>
                      <c:pt idx="0">
                        <c:v>Total - Main Occupation (actual data)</c:v>
                      </c:pt>
                    </c:strCache>
                  </c:strRef>
                </c:tx>
                <c:spPr>
                  <a:ln w="28575" cap="rnd">
                    <a:solidFill>
                      <a:schemeClr val="accent6">
                        <a:shade val="81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'!$S$36:$AD$36</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A-B829-48D1-AAD1-2A47B768D6BA}"/>
                  </c:ext>
                </c:extLst>
              </c15:ser>
            </c15:filteredLineSeries>
            <c15:filteredLineSeries>
              <c15:ser>
                <c:idx val="5"/>
                <c:order val="8"/>
                <c:tx>
                  <c:strRef>
                    <c:extLst xmlns:c15="http://schemas.microsoft.com/office/drawing/2012/chart">
                      <c:ext xmlns:c15="http://schemas.microsoft.com/office/drawing/2012/chart" uri="{02D57815-91ED-43cb-92C2-25804820EDAC}">
                        <c15:formulaRef>
                          <c15:sqref>'CONTROL '!$R$37</c15:sqref>
                        </c15:formulaRef>
                      </c:ext>
                    </c:extLst>
                    <c:strCache>
                      <c:ptCount val="1"/>
                      <c:pt idx="0">
                        <c:v>Total - formal Income (actual data) </c:v>
                      </c:pt>
                    </c:strCache>
                  </c:strRef>
                </c:tx>
                <c:spPr>
                  <a:ln w="28575" cap="rnd">
                    <a:solidFill>
                      <a:schemeClr val="accent6">
                        <a:shade val="88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'!$S$37:$AD$37</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B-B829-48D1-AAD1-2A47B768D6BA}"/>
                  </c:ext>
                </c:extLst>
              </c15:ser>
            </c15:filteredLineSeries>
            <c15:filteredLineSeries>
              <c15:ser>
                <c:idx val="6"/>
                <c:order val="9"/>
                <c:tx>
                  <c:strRef>
                    <c:extLst xmlns:c15="http://schemas.microsoft.com/office/drawing/2012/chart">
                      <c:ext xmlns:c15="http://schemas.microsoft.com/office/drawing/2012/chart" uri="{02D57815-91ED-43cb-92C2-25804820EDAC}">
                        <c15:formulaRef>
                          <c15:sqref>'CONTROL '!$R$38</c15:sqref>
                        </c15:formulaRef>
                      </c:ext>
                    </c:extLst>
                    <c:strCache>
                      <c:ptCount val="1"/>
                      <c:pt idx="0">
                        <c:v>Total - Informal Income (actual data) </c:v>
                      </c:pt>
                    </c:strCache>
                  </c:strRef>
                </c:tx>
                <c:spPr>
                  <a:ln w="28575" cap="rnd">
                    <a:solidFill>
                      <a:schemeClr val="accent6">
                        <a:shade val="96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'!$S$38:$AD$38</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C-B829-48D1-AAD1-2A47B768D6BA}"/>
                  </c:ext>
                </c:extLst>
              </c15:ser>
            </c15:filteredLineSeries>
            <c15:filteredLineSeries>
              <c15:ser>
                <c:idx val="8"/>
                <c:order val="11"/>
                <c:tx>
                  <c:strRef>
                    <c:extLst xmlns:c15="http://schemas.microsoft.com/office/drawing/2012/chart">
                      <c:ext xmlns:c15="http://schemas.microsoft.com/office/drawing/2012/chart" uri="{02D57815-91ED-43cb-92C2-25804820EDAC}">
                        <c15:formulaRef>
                          <c15:sqref>'CONTROL '!$R$40</c15:sqref>
                        </c15:formulaRef>
                      </c:ext>
                    </c:extLst>
                    <c:strCache>
                      <c:ptCount val="1"/>
                      <c:pt idx="0">
                        <c:v>Agriculture - informal (projected)</c:v>
                      </c:pt>
                    </c:strCache>
                  </c:strRef>
                </c:tx>
                <c:spPr>
                  <a:ln w="28575" cap="rnd">
                    <a:solidFill>
                      <a:schemeClr val="accent6">
                        <a:tint val="89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'!$S$40:$AD$40</c15:sqref>
                        </c15:formulaRef>
                      </c:ext>
                    </c:extLst>
                    <c:numCache>
                      <c:formatCode>General</c:formatCode>
                      <c:ptCount val="12"/>
                      <c:pt idx="8" formatCode="0.00">
                        <c:v>#N/A</c:v>
                      </c:pt>
                      <c:pt idx="9" formatCode="0.00">
                        <c:v>#N/A</c:v>
                      </c:pt>
                      <c:pt idx="10" formatCode="0.00">
                        <c:v>0.570017257116054</c:v>
                      </c:pt>
                      <c:pt idx="11" formatCode="0.00">
                        <c:v>0.53481838954110561</c:v>
                      </c:pt>
                    </c:numCache>
                  </c:numRef>
                </c:val>
                <c:smooth val="0"/>
                <c:extLst xmlns:c15="http://schemas.microsoft.com/office/drawing/2012/chart">
                  <c:ext xmlns:c16="http://schemas.microsoft.com/office/drawing/2014/chart" uri="{C3380CC4-5D6E-409C-BE32-E72D297353CC}">
                    <c16:uniqueId val="{0000000D-B829-48D1-AAD1-2A47B768D6BA}"/>
                  </c:ext>
                </c:extLst>
              </c15:ser>
            </c15:filteredLineSeries>
            <c15:filteredLineSeries>
              <c15:ser>
                <c:idx val="10"/>
                <c:order val="13"/>
                <c:tx>
                  <c:strRef>
                    <c:extLst xmlns:c15="http://schemas.microsoft.com/office/drawing/2012/chart">
                      <c:ext xmlns:c15="http://schemas.microsoft.com/office/drawing/2012/chart" uri="{02D57815-91ED-43cb-92C2-25804820EDAC}">
                        <c15:formulaRef>
                          <c15:sqref>'CONTROL '!$R$42</c15:sqref>
                        </c15:formulaRef>
                      </c:ext>
                    </c:extLst>
                    <c:strCache>
                      <c:ptCount val="1"/>
                      <c:pt idx="0">
                        <c:v>Industry - informal (projected)</c:v>
                      </c:pt>
                    </c:strCache>
                  </c:strRef>
                </c:tx>
                <c:spPr>
                  <a:ln w="28575" cap="rnd">
                    <a:solidFill>
                      <a:schemeClr val="accent6">
                        <a:tint val="75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'!$S$42:$AD$42</c15:sqref>
                        </c15:formulaRef>
                      </c:ext>
                    </c:extLst>
                    <c:numCache>
                      <c:formatCode>General</c:formatCode>
                      <c:ptCount val="12"/>
                      <c:pt idx="8" formatCode="0.00">
                        <c:v>#N/A</c:v>
                      </c:pt>
                      <c:pt idx="9" formatCode="0.00">
                        <c:v>#N/A</c:v>
                      </c:pt>
                      <c:pt idx="10" formatCode="0.00">
                        <c:v>1.5124899828330756</c:v>
                      </c:pt>
                      <c:pt idx="11" formatCode="0.00">
                        <c:v>1.2412301327693218</c:v>
                      </c:pt>
                    </c:numCache>
                  </c:numRef>
                </c:val>
                <c:smooth val="0"/>
                <c:extLst xmlns:c15="http://schemas.microsoft.com/office/drawing/2012/chart">
                  <c:ext xmlns:c16="http://schemas.microsoft.com/office/drawing/2014/chart" uri="{C3380CC4-5D6E-409C-BE32-E72D297353CC}">
                    <c16:uniqueId val="{0000000E-B829-48D1-AAD1-2A47B768D6BA}"/>
                  </c:ext>
                </c:extLst>
              </c15:ser>
            </c15:filteredLineSeries>
            <c15:filteredLineSeries>
              <c15:ser>
                <c:idx val="14"/>
                <c:order val="15"/>
                <c:tx>
                  <c:strRef>
                    <c:extLst xmlns:c15="http://schemas.microsoft.com/office/drawing/2012/chart">
                      <c:ext xmlns:c15="http://schemas.microsoft.com/office/drawing/2012/chart" uri="{02D57815-91ED-43cb-92C2-25804820EDAC}">
                        <c15:formulaRef>
                          <c15:sqref>'CONTROL '!$R$44</c15:sqref>
                        </c15:formulaRef>
                      </c:ext>
                    </c:extLst>
                    <c:strCache>
                      <c:ptCount val="1"/>
                      <c:pt idx="0">
                        <c:v>Services - informal (projected)</c:v>
                      </c:pt>
                    </c:strCache>
                  </c:strRef>
                </c:tx>
                <c:spPr>
                  <a:ln w="28575" cap="rnd">
                    <a:solidFill>
                      <a:schemeClr val="accent6">
                        <a:tint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'!$S$44:$AD$44</c15:sqref>
                        </c15:formulaRef>
                      </c:ext>
                    </c:extLst>
                    <c:numCache>
                      <c:formatCode>General</c:formatCode>
                      <c:ptCount val="12"/>
                      <c:pt idx="8" formatCode="0.00">
                        <c:v>#N/A</c:v>
                      </c:pt>
                      <c:pt idx="9" formatCode="0.00">
                        <c:v>#N/A</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F-B829-48D1-AAD1-2A47B768D6BA}"/>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'CONTROL '!$R$45</c15:sqref>
                        </c15:formulaRef>
                      </c:ext>
                    </c:extLst>
                    <c:strCache>
                      <c:ptCount val="1"/>
                      <c:pt idx="0">
                        <c:v>Total - Main Occupation (projected)</c:v>
                      </c:pt>
                    </c:strCache>
                  </c:strRef>
                </c:tx>
                <c:spPr>
                  <a:ln w="28575" cap="rnd">
                    <a:solidFill>
                      <a:schemeClr val="accent6">
                        <a:tint val="53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'!$S$45:$AD$45</c15:sqref>
                        </c15:formulaRef>
                      </c:ext>
                    </c:extLst>
                    <c:numCache>
                      <c:formatCode>General</c:formatCode>
                      <c:ptCount val="12"/>
                      <c:pt idx="8" formatCode="0.00">
                        <c:v>#N/A</c:v>
                      </c:pt>
                      <c:pt idx="9" formatCode="0.00">
                        <c:v>#N/A</c:v>
                      </c:pt>
                      <c:pt idx="10" formatCode="0.00">
                        <c:v>#N/A</c:v>
                      </c:pt>
                      <c:pt idx="11" formatCode="0.00">
                        <c:v>#N/A</c:v>
                      </c:pt>
                    </c:numCache>
                  </c:numRef>
                </c:val>
                <c:smooth val="0"/>
                <c:extLst xmlns:c15="http://schemas.microsoft.com/office/drawing/2012/chart">
                  <c:ext xmlns:c16="http://schemas.microsoft.com/office/drawing/2014/chart" uri="{C3380CC4-5D6E-409C-BE32-E72D297353CC}">
                    <c16:uniqueId val="{00000010-B829-48D1-AAD1-2A47B768D6BA}"/>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'CONTROL '!$R$46</c15:sqref>
                        </c15:formulaRef>
                      </c:ext>
                    </c:extLst>
                    <c:strCache>
                      <c:ptCount val="1"/>
                      <c:pt idx="0">
                        <c:v>Total - formal Income (projected) </c:v>
                      </c:pt>
                    </c:strCache>
                  </c:strRef>
                </c:tx>
                <c:spPr>
                  <a:ln w="28575" cap="rnd">
                    <a:solidFill>
                      <a:schemeClr val="accent6">
                        <a:tint val="45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'!$S$46:$AD$46</c15:sqref>
                        </c15:formulaRef>
                      </c:ext>
                    </c:extLst>
                    <c:numCache>
                      <c:formatCode>General</c:formatCode>
                      <c:ptCount val="12"/>
                      <c:pt idx="8" formatCode="0.00">
                        <c:v>#N/A</c:v>
                      </c:pt>
                      <c:pt idx="9" formatCode="0.00">
                        <c:v>#N/A</c:v>
                      </c:pt>
                      <c:pt idx="10" formatCode="0.00">
                        <c:v>#N/A</c:v>
                      </c:pt>
                      <c:pt idx="11" formatCode="0.00">
                        <c:v>#N/A</c:v>
                      </c:pt>
                    </c:numCache>
                  </c:numRef>
                </c:val>
                <c:smooth val="0"/>
                <c:extLst xmlns:c15="http://schemas.microsoft.com/office/drawing/2012/chart">
                  <c:ext xmlns:c16="http://schemas.microsoft.com/office/drawing/2014/chart" uri="{C3380CC4-5D6E-409C-BE32-E72D297353CC}">
                    <c16:uniqueId val="{00000011-B829-48D1-AAD1-2A47B768D6BA}"/>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'CONTROL '!$R$47</c15:sqref>
                        </c15:formulaRef>
                      </c:ext>
                    </c:extLst>
                    <c:strCache>
                      <c:ptCount val="1"/>
                      <c:pt idx="0">
                        <c:v>Total - Informal Income (projected) </c:v>
                      </c:pt>
                    </c:strCache>
                  </c:strRef>
                </c:tx>
                <c:spPr>
                  <a:ln w="28575" cap="rnd">
                    <a:solidFill>
                      <a:schemeClr val="accent6">
                        <a:tint val="37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'!$S$47:$AD$47</c15:sqref>
                        </c15:formulaRef>
                      </c:ext>
                    </c:extLst>
                    <c:numCache>
                      <c:formatCode>General</c:formatCode>
                      <c:ptCount val="12"/>
                      <c:pt idx="8" formatCode="0.00">
                        <c:v>#N/A</c:v>
                      </c:pt>
                      <c:pt idx="9" formatCode="0.00">
                        <c:v>#N/A</c:v>
                      </c:pt>
                      <c:pt idx="10" formatCode="0.00">
                        <c:v>#N/A</c:v>
                      </c:pt>
                      <c:pt idx="11" formatCode="0.00">
                        <c:v>#N/A</c:v>
                      </c:pt>
                    </c:numCache>
                  </c:numRef>
                </c:val>
                <c:smooth val="0"/>
                <c:extLst xmlns:c15="http://schemas.microsoft.com/office/drawing/2012/chart">
                  <c:ext xmlns:c16="http://schemas.microsoft.com/office/drawing/2014/chart" uri="{C3380CC4-5D6E-409C-BE32-E72D297353CC}">
                    <c16:uniqueId val="{00000012-B829-48D1-AAD1-2A47B768D6BA}"/>
                  </c:ext>
                </c:extLst>
              </c15:ser>
            </c15:filteredLineSeries>
          </c:ext>
        </c:extLst>
      </c:lineChart>
      <c:catAx>
        <c:axId val="1832017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4415"/>
        <c:crosses val="autoZero"/>
        <c:auto val="1"/>
        <c:lblAlgn val="ctr"/>
        <c:lblOffset val="100"/>
        <c:noMultiLvlLbl val="0"/>
      </c:catAx>
      <c:valAx>
        <c:axId val="18320144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Labor Income Growth by sector (informal)</a:t>
            </a:r>
          </a:p>
          <a:p>
            <a:pPr>
              <a:defRPr/>
            </a:pPr>
            <a:endParaRPr lang="en-US"/>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1"/>
          <c:order val="2"/>
          <c:tx>
            <c:strRef>
              <c:f>'CONTROL '!$R$31</c:f>
              <c:strCache>
                <c:ptCount val="1"/>
                <c:pt idx="0">
                  <c:v>Agriculture - informal (actual data)</c:v>
                </c:pt>
              </c:strCache>
            </c:strRef>
          </c:tx>
          <c:spPr>
            <a:ln w="28575" cap="rnd">
              <a:solidFill>
                <a:srgbClr val="A5A5A5"/>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'!$S$31:$AD$31</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1D89-4836-AB6E-0C853B416441}"/>
            </c:ext>
          </c:extLst>
        </c:ser>
        <c:ser>
          <c:idx val="11"/>
          <c:order val="4"/>
          <c:tx>
            <c:strRef>
              <c:f>'CONTROL '!$R$33</c:f>
              <c:strCache>
                <c:ptCount val="1"/>
                <c:pt idx="0">
                  <c:v>Industry - informal (actual data)</c:v>
                </c:pt>
              </c:strCache>
            </c:strRef>
          </c:tx>
          <c:spPr>
            <a:ln w="28575" cap="rnd">
              <a:solidFill>
                <a:srgbClr val="327DC2"/>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'!$S$33:$AD$33</c:f>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1-1D89-4836-AB6E-0C853B416441}"/>
            </c:ext>
          </c:extLst>
        </c:ser>
        <c:ser>
          <c:idx val="3"/>
          <c:order val="6"/>
          <c:tx>
            <c:strRef>
              <c:f>'CONTROL '!$R$35</c:f>
              <c:strCache>
                <c:ptCount val="1"/>
                <c:pt idx="0">
                  <c:v>Services - informal (actual data)</c:v>
                </c:pt>
              </c:strCache>
            </c:strRef>
          </c:tx>
          <c:spPr>
            <a:ln w="28575" cap="rnd">
              <a:solidFill>
                <a:schemeClr val="accent1">
                  <a:lumMod val="6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'!$S$35:$AD$35</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2-1D89-4836-AB6E-0C853B416441}"/>
            </c:ext>
          </c:extLst>
        </c:ser>
        <c:ser>
          <c:idx val="14"/>
          <c:order val="11"/>
          <c:tx>
            <c:strRef>
              <c:f>'CONTROL '!$R$40</c:f>
              <c:strCache>
                <c:ptCount val="1"/>
                <c:pt idx="0">
                  <c:v>Agriculture - informal (projected)</c:v>
                </c:pt>
              </c:strCache>
            </c:strRef>
          </c:tx>
          <c:spPr>
            <a:ln w="28575" cap="rnd">
              <a:solidFill>
                <a:srgbClr val="A5A5A5"/>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'!$S$40:$AD$40</c:f>
              <c:numCache>
                <c:formatCode>General</c:formatCode>
                <c:ptCount val="12"/>
                <c:pt idx="8" formatCode="0.00">
                  <c:v>#N/A</c:v>
                </c:pt>
                <c:pt idx="9" formatCode="0.00">
                  <c:v>#N/A</c:v>
                </c:pt>
                <c:pt idx="10" formatCode="0.00">
                  <c:v>0.570017257116054</c:v>
                </c:pt>
                <c:pt idx="11" formatCode="0.00">
                  <c:v>0.53481838954110561</c:v>
                </c:pt>
              </c:numCache>
            </c:numRef>
          </c:val>
          <c:smooth val="0"/>
          <c:extLst>
            <c:ext xmlns:c16="http://schemas.microsoft.com/office/drawing/2014/chart" uri="{C3380CC4-5D6E-409C-BE32-E72D297353CC}">
              <c16:uniqueId val="{00000003-1D89-4836-AB6E-0C853B416441}"/>
            </c:ext>
          </c:extLst>
        </c:ser>
        <c:ser>
          <c:idx val="7"/>
          <c:order val="13"/>
          <c:tx>
            <c:strRef>
              <c:f>'CONTROL '!$R$42</c:f>
              <c:strCache>
                <c:ptCount val="1"/>
                <c:pt idx="0">
                  <c:v>Industry - informal (projected)</c:v>
                </c:pt>
              </c:strCache>
            </c:strRef>
          </c:tx>
          <c:spPr>
            <a:ln w="28575" cap="rnd">
              <a:solidFill>
                <a:srgbClr val="327DC2"/>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'!$S$42:$AD$42</c:f>
              <c:numCache>
                <c:formatCode>General</c:formatCode>
                <c:ptCount val="12"/>
                <c:pt idx="8" formatCode="0.00">
                  <c:v>#N/A</c:v>
                </c:pt>
                <c:pt idx="9" formatCode="0.00">
                  <c:v>#N/A</c:v>
                </c:pt>
                <c:pt idx="10" formatCode="0.00">
                  <c:v>1.5124899828330756</c:v>
                </c:pt>
                <c:pt idx="11" formatCode="0.00">
                  <c:v>1.2412301327693218</c:v>
                </c:pt>
              </c:numCache>
            </c:numRef>
          </c:val>
          <c:smooth val="0"/>
          <c:extLst xmlns:c15="http://schemas.microsoft.com/office/drawing/2012/chart">
            <c:ext xmlns:c16="http://schemas.microsoft.com/office/drawing/2014/chart" uri="{C3380CC4-5D6E-409C-BE32-E72D297353CC}">
              <c16:uniqueId val="{00000004-1D89-4836-AB6E-0C853B416441}"/>
            </c:ext>
          </c:extLst>
        </c:ser>
        <c:ser>
          <c:idx val="16"/>
          <c:order val="15"/>
          <c:tx>
            <c:strRef>
              <c:f>'CONTROL '!$R$44</c:f>
              <c:strCache>
                <c:ptCount val="1"/>
                <c:pt idx="0">
                  <c:v>Services - informal (projected)</c:v>
                </c:pt>
              </c:strCache>
            </c:strRef>
          </c:tx>
          <c:spPr>
            <a:ln w="28575" cap="rnd">
              <a:solidFill>
                <a:schemeClr val="accent3">
                  <a:lumMod val="5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'!$S$44:$AD$44</c:f>
              <c:numCache>
                <c:formatCode>General</c:formatCode>
                <c:ptCount val="12"/>
                <c:pt idx="8" formatCode="0.00">
                  <c:v>#N/A</c:v>
                </c:pt>
                <c:pt idx="9" formatCode="0.00">
                  <c:v>#N/A</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5-1D89-4836-AB6E-0C853B416441}"/>
            </c:ext>
          </c:extLst>
        </c:ser>
        <c:dLbls>
          <c:showLegendKey val="0"/>
          <c:showVal val="0"/>
          <c:showCatName val="0"/>
          <c:showSerName val="0"/>
          <c:showPercent val="0"/>
          <c:showBubbleSize val="0"/>
        </c:dLbls>
        <c:smooth val="0"/>
        <c:axId val="1832017327"/>
        <c:axId val="1832014415"/>
        <c:extLst>
          <c:ext xmlns:c15="http://schemas.microsoft.com/office/drawing/2012/chart" uri="{02D57815-91ED-43cb-92C2-25804820EDAC}">
            <c15:filteredLineSeries>
              <c15:ser>
                <c:idx val="0"/>
                <c:order val="0"/>
                <c:tx>
                  <c:strRef>
                    <c:extLst>
                      <c:ext uri="{02D57815-91ED-43cb-92C2-25804820EDAC}">
                        <c15:formulaRef>
                          <c15:sqref>'CONTROL '!$R$29</c15:sqref>
                        </c15:formulaRef>
                      </c:ext>
                    </c:extLst>
                    <c:strCache>
                      <c:ptCount val="1"/>
                      <c:pt idx="0">
                        <c:v>labor income</c:v>
                      </c:pt>
                    </c:strCache>
                  </c:strRef>
                </c:tx>
                <c:spPr>
                  <a:ln w="28575" cap="rnd">
                    <a:solidFill>
                      <a:schemeClr val="accent1"/>
                    </a:solidFill>
                    <a:round/>
                  </a:ln>
                  <a:effectLst/>
                </c:spPr>
                <c:marker>
                  <c:symbol val="none"/>
                </c:marker>
                <c:cat>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val>
                <c:smooth val="0"/>
                <c:extLst>
                  <c:ext xmlns:c16="http://schemas.microsoft.com/office/drawing/2014/chart" uri="{C3380CC4-5D6E-409C-BE32-E72D297353CC}">
                    <c16:uniqueId val="{00000006-1D89-4836-AB6E-0C853B416441}"/>
                  </c:ext>
                </c:extLst>
              </c15:ser>
            </c15:filteredLineSeries>
            <c15:filteredLineSeries>
              <c15:ser>
                <c:idx val="9"/>
                <c:order val="1"/>
                <c:tx>
                  <c:strRef>
                    <c:extLst xmlns:c15="http://schemas.microsoft.com/office/drawing/2012/chart">
                      <c:ext xmlns:c15="http://schemas.microsoft.com/office/drawing/2012/chart" uri="{02D57815-91ED-43cb-92C2-25804820EDAC}">
                        <c15:formulaRef>
                          <c15:sqref>'CONTROL '!$R$30</c15:sqref>
                        </c15:formulaRef>
                      </c:ext>
                    </c:extLst>
                    <c:strCache>
                      <c:ptCount val="1"/>
                      <c:pt idx="0">
                        <c:v>Agriculture - formal (actual data)</c:v>
                      </c:pt>
                    </c:strCache>
                  </c:strRef>
                </c:tx>
                <c:spPr>
                  <a:ln w="28575" cap="rnd">
                    <a:solidFill>
                      <a:schemeClr val="accent1">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'!$S$30:$AD$30</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7-1D89-4836-AB6E-0C853B416441}"/>
                  </c:ext>
                </c:extLst>
              </c15:ser>
            </c15:filteredLineSeries>
            <c15:filteredLineSeries>
              <c15:ser>
                <c:idx val="10"/>
                <c:order val="3"/>
                <c:tx>
                  <c:strRef>
                    <c:extLst xmlns:c15="http://schemas.microsoft.com/office/drawing/2012/chart">
                      <c:ext xmlns:c15="http://schemas.microsoft.com/office/drawing/2012/chart" uri="{02D57815-91ED-43cb-92C2-25804820EDAC}">
                        <c15:formulaRef>
                          <c15:sqref>'CONTROL '!$R$32</c15:sqref>
                        </c15:formulaRef>
                      </c:ext>
                    </c:extLst>
                    <c:strCache>
                      <c:ptCount val="1"/>
                      <c:pt idx="0">
                        <c:v>Industry - formal (actual data)</c:v>
                      </c:pt>
                    </c:strCache>
                  </c:strRef>
                </c:tx>
                <c:spPr>
                  <a:ln w="28575" cap="rnd">
                    <a:solidFill>
                      <a:schemeClr val="accent3">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'!$S$32:$AD$32</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8-1D89-4836-AB6E-0C853B416441}"/>
                  </c:ext>
                </c:extLst>
              </c15:ser>
            </c15:filteredLineSeries>
            <c15:filteredLineSeries>
              <c15:ser>
                <c:idx val="2"/>
                <c:order val="5"/>
                <c:tx>
                  <c:strRef>
                    <c:extLst xmlns:c15="http://schemas.microsoft.com/office/drawing/2012/chart">
                      <c:ext xmlns:c15="http://schemas.microsoft.com/office/drawing/2012/chart" uri="{02D57815-91ED-43cb-92C2-25804820EDAC}">
                        <c15:formulaRef>
                          <c15:sqref>'CONTROL '!$R$34</c15:sqref>
                        </c15:formulaRef>
                      </c:ext>
                    </c:extLst>
                    <c:strCache>
                      <c:ptCount val="1"/>
                      <c:pt idx="0">
                        <c:v>Services - formal (actual data)</c:v>
                      </c:pt>
                    </c:strCache>
                  </c:strRef>
                </c:tx>
                <c:spPr>
                  <a:ln w="28575" cap="rnd">
                    <a:solidFill>
                      <a:schemeClr val="accent5"/>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'!$S$34:$AD$34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9-1D89-4836-AB6E-0C853B416441}"/>
                  </c:ext>
                </c:extLst>
              </c15:ser>
            </c15:filteredLineSeries>
            <c15:filteredLineSeries>
              <c15:ser>
                <c:idx val="12"/>
                <c:order val="7"/>
                <c:tx>
                  <c:strRef>
                    <c:extLst xmlns:c15="http://schemas.microsoft.com/office/drawing/2012/chart">
                      <c:ext xmlns:c15="http://schemas.microsoft.com/office/drawing/2012/chart" uri="{02D57815-91ED-43cb-92C2-25804820EDAC}">
                        <c15:formulaRef>
                          <c15:sqref>'CONTROL '!$R$36</c15:sqref>
                        </c15:formulaRef>
                      </c:ext>
                    </c:extLst>
                    <c:strCache>
                      <c:ptCount val="1"/>
                      <c:pt idx="0">
                        <c:v>Total - Main Occupation (actual data)</c:v>
                      </c:pt>
                    </c:strCache>
                  </c:strRef>
                </c:tx>
                <c:spPr>
                  <a:ln w="28575" cap="rnd">
                    <a:solidFill>
                      <a:schemeClr val="accent1">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'!$S$36:$AD$36</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A-1D89-4836-AB6E-0C853B416441}"/>
                  </c:ext>
                </c:extLst>
              </c15:ser>
            </c15:filteredLineSeries>
            <c15:filteredLineSeries>
              <c15:ser>
                <c:idx val="4"/>
                <c:order val="8"/>
                <c:tx>
                  <c:strRef>
                    <c:extLst xmlns:c15="http://schemas.microsoft.com/office/drawing/2012/chart">
                      <c:ext xmlns:c15="http://schemas.microsoft.com/office/drawing/2012/chart" uri="{02D57815-91ED-43cb-92C2-25804820EDAC}">
                        <c15:formulaRef>
                          <c15:sqref>'CONTROL '!$R$37</c15:sqref>
                        </c15:formulaRef>
                      </c:ext>
                    </c:extLst>
                    <c:strCache>
                      <c:ptCount val="1"/>
                      <c:pt idx="0">
                        <c:v>Total - formal Income (actual data) </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'!$S$37:$AD$37</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B-1D89-4836-AB6E-0C853B416441}"/>
                  </c:ext>
                </c:extLst>
              </c15:ser>
            </c15:filteredLineSeries>
            <c15:filteredLineSeries>
              <c15:ser>
                <c:idx val="13"/>
                <c:order val="9"/>
                <c:tx>
                  <c:strRef>
                    <c:extLst xmlns:c15="http://schemas.microsoft.com/office/drawing/2012/chart">
                      <c:ext xmlns:c15="http://schemas.microsoft.com/office/drawing/2012/chart" uri="{02D57815-91ED-43cb-92C2-25804820EDAC}">
                        <c15:formulaRef>
                          <c15:sqref>'CONTROL '!$R$38</c15:sqref>
                        </c15:formulaRef>
                      </c:ext>
                    </c:extLst>
                    <c:strCache>
                      <c:ptCount val="1"/>
                      <c:pt idx="0">
                        <c:v>Total - Informal Income (actual data) </c:v>
                      </c:pt>
                    </c:strCache>
                  </c:strRef>
                </c:tx>
                <c:spPr>
                  <a:ln w="28575" cap="rnd">
                    <a:solidFill>
                      <a:schemeClr val="accent3">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'!$S$38:$AD$38</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C-1D89-4836-AB6E-0C853B416441}"/>
                  </c:ext>
                </c:extLst>
              </c15:ser>
            </c15:filteredLineSeries>
            <c15:filteredLineSeries>
              <c15:ser>
                <c:idx val="5"/>
                <c:order val="10"/>
                <c:tx>
                  <c:strRef>
                    <c:extLst xmlns:c15="http://schemas.microsoft.com/office/drawing/2012/chart">
                      <c:ext xmlns:c15="http://schemas.microsoft.com/office/drawing/2012/chart" uri="{02D57815-91ED-43cb-92C2-25804820EDAC}">
                        <c15:formulaRef>
                          <c15:sqref>'CONTROL '!$R$39</c15:sqref>
                        </c15:formulaRef>
                      </c:ext>
                    </c:extLst>
                    <c:strCache>
                      <c:ptCount val="1"/>
                      <c:pt idx="0">
                        <c:v>Agriculture - formal (projected)</c:v>
                      </c:pt>
                    </c:strCache>
                  </c:strRef>
                </c:tx>
                <c:spPr>
                  <a:ln w="28575" cap="rnd">
                    <a:solidFill>
                      <a:schemeClr val="accent5">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'!$S$39:$AD$39</c15:sqref>
                        </c15:formulaRef>
                      </c:ext>
                    </c:extLst>
                    <c:numCache>
                      <c:formatCode>General</c:formatCode>
                      <c:ptCount val="12"/>
                      <c:pt idx="8" formatCode="0.00">
                        <c:v>#N/A</c:v>
                      </c:pt>
                      <c:pt idx="9" formatCode="0.00">
                        <c:v>#N/A</c:v>
                      </c:pt>
                      <c:pt idx="10" formatCode="0.00">
                        <c:v>0.570017257116054</c:v>
                      </c:pt>
                      <c:pt idx="11" formatCode="0.00">
                        <c:v>0.53481838954110561</c:v>
                      </c:pt>
                    </c:numCache>
                  </c:numRef>
                </c:val>
                <c:smooth val="0"/>
                <c:extLst xmlns:c15="http://schemas.microsoft.com/office/drawing/2012/chart">
                  <c:ext xmlns:c16="http://schemas.microsoft.com/office/drawing/2014/chart" uri="{C3380CC4-5D6E-409C-BE32-E72D297353CC}">
                    <c16:uniqueId val="{0000000D-1D89-4836-AB6E-0C853B416441}"/>
                  </c:ext>
                </c:extLst>
              </c15:ser>
            </c15:filteredLineSeries>
            <c15:filteredLineSeries>
              <c15:ser>
                <c:idx val="6"/>
                <c:order val="12"/>
                <c:tx>
                  <c:strRef>
                    <c:extLst xmlns:c15="http://schemas.microsoft.com/office/drawing/2012/chart">
                      <c:ext xmlns:c15="http://schemas.microsoft.com/office/drawing/2012/chart" uri="{02D57815-91ED-43cb-92C2-25804820EDAC}">
                        <c15:formulaRef>
                          <c15:sqref>'CONTROL '!$R$41</c15:sqref>
                        </c15:formulaRef>
                      </c:ext>
                    </c:extLst>
                    <c:strCache>
                      <c:ptCount val="1"/>
                      <c:pt idx="0">
                        <c:v>Industry - formal (projected)</c:v>
                      </c:pt>
                    </c:strCache>
                  </c:strRef>
                </c:tx>
                <c:spPr>
                  <a:ln w="28575" cap="rnd">
                    <a:solidFill>
                      <a:schemeClr val="accent1">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'!$S$41:$AD$41</c15:sqref>
                        </c15:formulaRef>
                      </c:ext>
                    </c:extLst>
                    <c:numCache>
                      <c:formatCode>General</c:formatCode>
                      <c:ptCount val="12"/>
                      <c:pt idx="8" formatCode="0.00">
                        <c:v>#N/A</c:v>
                      </c:pt>
                      <c:pt idx="9" formatCode="0.00">
                        <c:v>#N/A</c:v>
                      </c:pt>
                      <c:pt idx="10" formatCode="0.00">
                        <c:v>1.5124899828330756</c:v>
                      </c:pt>
                      <c:pt idx="11" formatCode="0.00">
                        <c:v>1.2412301327693218</c:v>
                      </c:pt>
                    </c:numCache>
                  </c:numRef>
                </c:val>
                <c:smooth val="0"/>
                <c:extLst xmlns:c15="http://schemas.microsoft.com/office/drawing/2012/chart">
                  <c:ext xmlns:c16="http://schemas.microsoft.com/office/drawing/2014/chart" uri="{C3380CC4-5D6E-409C-BE32-E72D297353CC}">
                    <c16:uniqueId val="{0000000E-1D89-4836-AB6E-0C853B416441}"/>
                  </c:ext>
                </c:extLst>
              </c15:ser>
            </c15:filteredLineSeries>
            <c15:filteredLineSeries>
              <c15:ser>
                <c:idx val="8"/>
                <c:order val="14"/>
                <c:tx>
                  <c:strRef>
                    <c:extLst xmlns:c15="http://schemas.microsoft.com/office/drawing/2012/chart">
                      <c:ext xmlns:c15="http://schemas.microsoft.com/office/drawing/2012/chart" uri="{02D57815-91ED-43cb-92C2-25804820EDAC}">
                        <c15:formulaRef>
                          <c15:sqref>'CONTROL '!$R$43</c15:sqref>
                        </c15:formulaRef>
                      </c:ext>
                    </c:extLst>
                    <c:strCache>
                      <c:ptCount val="1"/>
                      <c:pt idx="0">
                        <c:v>Services - formal (projected)</c:v>
                      </c:pt>
                    </c:strCache>
                  </c:strRef>
                </c:tx>
                <c:spPr>
                  <a:ln w="28575" cap="rnd">
                    <a:solidFill>
                      <a:schemeClr val="accent5">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'!$S$43:$AD$43</c15:sqref>
                        </c15:formulaRef>
                      </c:ext>
                    </c:extLst>
                    <c:numCache>
                      <c:formatCode>General</c:formatCode>
                      <c:ptCount val="12"/>
                      <c:pt idx="8" formatCode="0.00">
                        <c:v>#N/A</c:v>
                      </c:pt>
                      <c:pt idx="9" formatCode="0.00">
                        <c:v>#N/A</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F-1D89-4836-AB6E-0C853B416441}"/>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'CONTROL '!$R$45</c15:sqref>
                        </c15:formulaRef>
                      </c:ext>
                    </c:extLst>
                    <c:strCache>
                      <c:ptCount val="1"/>
                      <c:pt idx="0">
                        <c:v>Total - Main Occupation (projected)</c:v>
                      </c:pt>
                    </c:strCache>
                  </c:strRef>
                </c:tx>
                <c:spPr>
                  <a:ln w="28575" cap="rnd">
                    <a:solidFill>
                      <a:schemeClr val="accent1">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'!$S$45:$AD$45</c15:sqref>
                        </c15:formulaRef>
                      </c:ext>
                    </c:extLst>
                    <c:numCache>
                      <c:formatCode>General</c:formatCode>
                      <c:ptCount val="12"/>
                      <c:pt idx="8" formatCode="0.00">
                        <c:v>#N/A</c:v>
                      </c:pt>
                      <c:pt idx="9" formatCode="0.00">
                        <c:v>#N/A</c:v>
                      </c:pt>
                      <c:pt idx="10" formatCode="0.00">
                        <c:v>#N/A</c:v>
                      </c:pt>
                      <c:pt idx="11" formatCode="0.00">
                        <c:v>#N/A</c:v>
                      </c:pt>
                    </c:numCache>
                  </c:numRef>
                </c:val>
                <c:smooth val="0"/>
                <c:extLst xmlns:c15="http://schemas.microsoft.com/office/drawing/2012/chart">
                  <c:ext xmlns:c16="http://schemas.microsoft.com/office/drawing/2014/chart" uri="{C3380CC4-5D6E-409C-BE32-E72D297353CC}">
                    <c16:uniqueId val="{00000010-1D89-4836-AB6E-0C853B416441}"/>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'CONTROL '!$R$46</c15:sqref>
                        </c15:formulaRef>
                      </c:ext>
                    </c:extLst>
                    <c:strCache>
                      <c:ptCount val="1"/>
                      <c:pt idx="0">
                        <c:v>Total - formal Income (projected) </c:v>
                      </c:pt>
                    </c:strCache>
                  </c:strRef>
                </c:tx>
                <c:spPr>
                  <a:ln w="28575" cap="rnd">
                    <a:solidFill>
                      <a:schemeClr val="accent5">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'!$S$46:$AD$46</c15:sqref>
                        </c15:formulaRef>
                      </c:ext>
                    </c:extLst>
                    <c:numCache>
                      <c:formatCode>General</c:formatCode>
                      <c:ptCount val="12"/>
                      <c:pt idx="8" formatCode="0.00">
                        <c:v>#N/A</c:v>
                      </c:pt>
                      <c:pt idx="9" formatCode="0.00">
                        <c:v>#N/A</c:v>
                      </c:pt>
                      <c:pt idx="10" formatCode="0.00">
                        <c:v>#N/A</c:v>
                      </c:pt>
                      <c:pt idx="11" formatCode="0.00">
                        <c:v>#N/A</c:v>
                      </c:pt>
                    </c:numCache>
                  </c:numRef>
                </c:val>
                <c:smooth val="0"/>
                <c:extLst xmlns:c15="http://schemas.microsoft.com/office/drawing/2012/chart">
                  <c:ext xmlns:c16="http://schemas.microsoft.com/office/drawing/2014/chart" uri="{C3380CC4-5D6E-409C-BE32-E72D297353CC}">
                    <c16:uniqueId val="{00000011-1D89-4836-AB6E-0C853B416441}"/>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'CONTROL '!$R$47</c15:sqref>
                        </c15:formulaRef>
                      </c:ext>
                    </c:extLst>
                    <c:strCache>
                      <c:ptCount val="1"/>
                      <c:pt idx="0">
                        <c:v>Total - Informal Income (projected) </c:v>
                      </c:pt>
                    </c:strCache>
                  </c:strRef>
                </c:tx>
                <c:spPr>
                  <a:ln w="28575" cap="rnd">
                    <a:solidFill>
                      <a:schemeClr val="accent1">
                        <a:lumMod val="70000"/>
                        <a:lumOff val="3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'!$S$47:$AD$47</c15:sqref>
                        </c15:formulaRef>
                      </c:ext>
                    </c:extLst>
                    <c:numCache>
                      <c:formatCode>General</c:formatCode>
                      <c:ptCount val="12"/>
                      <c:pt idx="8" formatCode="0.00">
                        <c:v>#N/A</c:v>
                      </c:pt>
                      <c:pt idx="9" formatCode="0.00">
                        <c:v>#N/A</c:v>
                      </c:pt>
                      <c:pt idx="10" formatCode="0.00">
                        <c:v>#N/A</c:v>
                      </c:pt>
                      <c:pt idx="11" formatCode="0.00">
                        <c:v>#N/A</c:v>
                      </c:pt>
                    </c:numCache>
                  </c:numRef>
                </c:val>
                <c:smooth val="0"/>
                <c:extLst xmlns:c15="http://schemas.microsoft.com/office/drawing/2012/chart">
                  <c:ext xmlns:c16="http://schemas.microsoft.com/office/drawing/2014/chart" uri="{C3380CC4-5D6E-409C-BE32-E72D297353CC}">
                    <c16:uniqueId val="{00000012-1D89-4836-AB6E-0C853B416441}"/>
                  </c:ext>
                </c:extLst>
              </c15:ser>
            </c15:filteredLineSeries>
          </c:ext>
        </c:extLst>
      </c:lineChart>
      <c:catAx>
        <c:axId val="1832017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4415"/>
        <c:crosses val="autoZero"/>
        <c:auto val="1"/>
        <c:lblAlgn val="ctr"/>
        <c:lblOffset val="100"/>
        <c:noMultiLvlLbl val="0"/>
      </c:catAx>
      <c:valAx>
        <c:axId val="18320144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Remittances (growth rates)</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'!$AF$3</c:f>
              <c:strCache>
                <c:ptCount val="1"/>
                <c:pt idx="0">
                  <c:v>Remittances (actual data)</c:v>
                </c:pt>
              </c:strCache>
            </c:strRef>
          </c:tx>
          <c:spPr>
            <a:ln w="28575" cap="rnd">
              <a:solidFill>
                <a:schemeClr val="accent2">
                  <a:lumMod val="60000"/>
                  <a:lumOff val="40000"/>
                </a:schemeClr>
              </a:solidFill>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'!$AG$3:$AR$3</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F201-4B37-8022-346CFB04E497}"/>
            </c:ext>
          </c:extLst>
        </c:ser>
        <c:ser>
          <c:idx val="1"/>
          <c:order val="1"/>
          <c:tx>
            <c:strRef>
              <c:f>'CONTROL '!$AF$4</c:f>
              <c:strCache>
                <c:ptCount val="1"/>
                <c:pt idx="0">
                  <c:v>Remittances (projected)</c:v>
                </c:pt>
              </c:strCache>
            </c:strRef>
          </c:tx>
          <c:spPr>
            <a:ln w="28575" cap="rnd">
              <a:solidFill>
                <a:schemeClr val="accent2">
                  <a:lumMod val="60000"/>
                  <a:lumOff val="40000"/>
                </a:schemeClr>
              </a:solidFill>
              <a:prstDash val="dash"/>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'!$AG$4:$AR$4</c:f>
              <c:numCache>
                <c:formatCode>General</c:formatCode>
                <c:ptCount val="12"/>
                <c:pt idx="8" formatCode="0.00">
                  <c:v>#N/A</c:v>
                </c:pt>
                <c:pt idx="9" formatCode="0.00">
                  <c:v>#N/A</c:v>
                </c:pt>
                <c:pt idx="10" formatCode="0.00">
                  <c:v>#N/A</c:v>
                </c:pt>
                <c:pt idx="11" formatCode="0.00">
                  <c:v>#N/A</c:v>
                </c:pt>
              </c:numCache>
            </c:numRef>
          </c:val>
          <c:smooth val="0"/>
          <c:extLst>
            <c:ext xmlns:c16="http://schemas.microsoft.com/office/drawing/2014/chart" uri="{C3380CC4-5D6E-409C-BE32-E72D297353CC}">
              <c16:uniqueId val="{00000001-F201-4B37-8022-346CFB04E497}"/>
            </c:ext>
          </c:extLst>
        </c:ser>
        <c:dLbls>
          <c:showLegendKey val="0"/>
          <c:showVal val="0"/>
          <c:showCatName val="0"/>
          <c:showSerName val="0"/>
          <c:showPercent val="0"/>
          <c:showBubbleSize val="0"/>
        </c:dLbls>
        <c:smooth val="0"/>
        <c:axId val="1747574799"/>
        <c:axId val="1747575631"/>
      </c:lineChart>
      <c:catAx>
        <c:axId val="17475747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5631"/>
        <c:crosses val="autoZero"/>
        <c:auto val="1"/>
        <c:lblAlgn val="ctr"/>
        <c:lblOffset val="100"/>
        <c:noMultiLvlLbl val="0"/>
      </c:catAx>
      <c:valAx>
        <c:axId val="17475756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4799"/>
        <c:crosses val="autoZero"/>
        <c:crossBetween val="between"/>
      </c:valAx>
      <c:spPr>
        <a:noFill/>
        <a:ln>
          <a:noFill/>
        </a:ln>
        <a:effectLst/>
      </c:spPr>
    </c:plotArea>
    <c:legend>
      <c:legendPos val="b"/>
      <c:layout>
        <c:manualLayout>
          <c:xMode val="edge"/>
          <c:yMode val="edge"/>
          <c:x val="4.352750809061489E-2"/>
          <c:y val="0.86504355097205754"/>
          <c:w val="0.9"/>
          <c:h val="9.95582189394467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700">
          <a:solidFill>
            <a:schemeClr val="accent2">
              <a:lumMod val="50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Pensions and Capital (growth rates)</a:t>
            </a:r>
          </a:p>
        </c:rich>
      </c:tx>
      <c:overlay val="0"/>
      <c:spPr>
        <a:noFill/>
        <a:ln>
          <a:noFill/>
        </a:ln>
        <a:effectLst/>
      </c:spPr>
      <c:txPr>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'!$AF$6</c:f>
              <c:strCache>
                <c:ptCount val="1"/>
                <c:pt idx="0">
                  <c:v>Capital and Pensions (actual data)</c:v>
                </c:pt>
              </c:strCache>
            </c:strRef>
          </c:tx>
          <c:spPr>
            <a:ln w="28575" cap="rnd">
              <a:solidFill>
                <a:schemeClr val="accent2">
                  <a:lumMod val="60000"/>
                  <a:lumOff val="40000"/>
                </a:schemeClr>
              </a:solidFill>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'!$AG$6:$AR$6</c:f>
              <c:numCache>
                <c:formatCode>0.00</c:formatCode>
                <c:ptCount val="12"/>
                <c:pt idx="0">
                  <c:v>6.5526448353302902</c:v>
                </c:pt>
                <c:pt idx="1">
                  <c:v>7.1134728556473181</c:v>
                </c:pt>
                <c:pt idx="2">
                  <c:v>6.5902394107701268</c:v>
                </c:pt>
                <c:pt idx="3">
                  <c:v>7.3194122993388344</c:v>
                </c:pt>
                <c:pt idx="4">
                  <c:v>7.8819021854025229</c:v>
                </c:pt>
                <c:pt idx="5">
                  <c:v>3.4480295312287579</c:v>
                </c:pt>
                <c:pt idx="6">
                  <c:v>6.938675089101598</c:v>
                </c:pt>
                <c:pt idx="7">
                  <c:v>7.099828775751571</c:v>
                </c:pt>
                <c:pt idx="8">
                  <c:v>5.7751090753483725</c:v>
                </c:pt>
              </c:numCache>
            </c:numRef>
          </c:val>
          <c:smooth val="0"/>
          <c:extLst>
            <c:ext xmlns:c16="http://schemas.microsoft.com/office/drawing/2014/chart" uri="{C3380CC4-5D6E-409C-BE32-E72D297353CC}">
              <c16:uniqueId val="{00000000-60F2-45F3-8783-AD2BB6F539A9}"/>
            </c:ext>
          </c:extLst>
        </c:ser>
        <c:ser>
          <c:idx val="1"/>
          <c:order val="1"/>
          <c:tx>
            <c:strRef>
              <c:f>'CONTROL '!$AF$7</c:f>
              <c:strCache>
                <c:ptCount val="1"/>
                <c:pt idx="0">
                  <c:v>Capital and Pensions (projected)</c:v>
                </c:pt>
              </c:strCache>
            </c:strRef>
          </c:tx>
          <c:spPr>
            <a:ln w="28575" cap="rnd">
              <a:solidFill>
                <a:schemeClr val="accent2">
                  <a:lumMod val="60000"/>
                  <a:lumOff val="40000"/>
                </a:schemeClr>
              </a:solidFill>
              <a:prstDash val="dash"/>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'!$AG$7:$AR$7</c:f>
              <c:numCache>
                <c:formatCode>General</c:formatCode>
                <c:ptCount val="12"/>
                <c:pt idx="8" formatCode="0.00">
                  <c:v>5.7751090753483725</c:v>
                </c:pt>
                <c:pt idx="9" formatCode="0.00">
                  <c:v>5.6430273201793835</c:v>
                </c:pt>
                <c:pt idx="10" formatCode="0.00">
                  <c:v>5.6820170690020433</c:v>
                </c:pt>
                <c:pt idx="11" formatCode="0.00">
                  <c:v>5.9219103171221699</c:v>
                </c:pt>
              </c:numCache>
            </c:numRef>
          </c:val>
          <c:smooth val="0"/>
          <c:extLst>
            <c:ext xmlns:c16="http://schemas.microsoft.com/office/drawing/2014/chart" uri="{C3380CC4-5D6E-409C-BE32-E72D297353CC}">
              <c16:uniqueId val="{00000001-60F2-45F3-8783-AD2BB6F539A9}"/>
            </c:ext>
          </c:extLst>
        </c:ser>
        <c:dLbls>
          <c:showLegendKey val="0"/>
          <c:showVal val="0"/>
          <c:showCatName val="0"/>
          <c:showSerName val="0"/>
          <c:showPercent val="0"/>
          <c:showBubbleSize val="0"/>
        </c:dLbls>
        <c:smooth val="0"/>
        <c:axId val="273537264"/>
        <c:axId val="273519792"/>
      </c:lineChart>
      <c:catAx>
        <c:axId val="2735372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19792"/>
        <c:crosses val="autoZero"/>
        <c:auto val="1"/>
        <c:lblAlgn val="ctr"/>
        <c:lblOffset val="100"/>
        <c:noMultiLvlLbl val="0"/>
      </c:catAx>
      <c:valAx>
        <c:axId val="2735197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3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75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CONTROL '!$B$2" lockText="1" noThreeD="1"/>
</file>

<file path=xl/ctrlProps/ctrlProp2.xml><?xml version="1.0" encoding="utf-8"?>
<formControlPr xmlns="http://schemas.microsoft.com/office/spreadsheetml/2009/9/main" objectType="CheckBox" fmlaLink="'CONTROL '!$B$3" lockText="1" noThreeD="1"/>
</file>

<file path=xl/ctrlProps/ctrlProp3.xml><?xml version="1.0" encoding="utf-8"?>
<formControlPr xmlns="http://schemas.microsoft.com/office/spreadsheetml/2009/9/main" objectType="CheckBox" fmlaLink="'CONTROL '!$B$5" lockText="1" noThreeD="1"/>
</file>

<file path=xl/ctrlProps/ctrlProp4.xml><?xml version="1.0" encoding="utf-8"?>
<formControlPr xmlns="http://schemas.microsoft.com/office/spreadsheetml/2009/9/main" objectType="CheckBox" fmlaLink="'CONTROL '!$B$6" lockText="1" noThreeD="1"/>
</file>

<file path=xl/ctrlProps/ctrlProp5.xml><?xml version="1.0" encoding="utf-8"?>
<formControlPr xmlns="http://schemas.microsoft.com/office/spreadsheetml/2009/9/main" objectType="CheckBox" fmlaLink="'CONTROL '!$B$12" lockText="1" noThreeD="1"/>
</file>

<file path=xl/ctrlProps/ctrlProp6.xml><?xml version="1.0" encoding="utf-8"?>
<formControlPr xmlns="http://schemas.microsoft.com/office/spreadsheetml/2009/9/main" objectType="CheckBox" fmlaLink="'CONTROL '!$B$13" lockText="1" noThreeD="1"/>
</file>

<file path=xl/ctrlProps/ctrlProp7.xml><?xml version="1.0" encoding="utf-8"?>
<formControlPr xmlns="http://schemas.microsoft.com/office/spreadsheetml/2009/9/main" objectType="CheckBox" fmlaLink="'CONTROL '!$B$14" lockText="1" noThreeD="1"/>
</file>

<file path=xl/ctrlProps/ctrlProp8.xml><?xml version="1.0" encoding="utf-8"?>
<formControlPr xmlns="http://schemas.microsoft.com/office/spreadsheetml/2009/9/main" objectType="CheckBox" fmlaLink="'CONTROL '!$B$8" lockText="1" noThreeD="1"/>
</file>

<file path=xl/ctrlProps/ctrlProp9.xml><?xml version="1.0" encoding="utf-8"?>
<formControlPr xmlns="http://schemas.microsoft.com/office/spreadsheetml/2009/9/main" objectType="CheckBox" fmlaLink="'CONTROL '!$B$9" lockText="1" noThreeD="1"/>
</file>

<file path=xl/ctrlProps/ctrlProp10.xml><?xml version="1.0" encoding="utf-8"?>
<formControlPr xmlns="http://schemas.microsoft.com/office/spreadsheetml/2009/9/main" objectType="CheckBox" fmlaLink="'CONTROL '!$B$10" lockText="1" noThreeD="1"/>
</file>

<file path=xl/ctrlProps/ctrlProp11.xml><?xml version="1.0" encoding="utf-8"?>
<formControlPr xmlns="http://schemas.microsoft.com/office/spreadsheetml/2009/9/main" objectType="CheckBox" fmlaLink="'CONTROL '!$B$11" lockText="1" noThreeD="1"/>
</file>

<file path=xl/ctrlProps/ctrlProp12.xml><?xml version="1.0" encoding="utf-8"?>
<formControlPr xmlns="http://schemas.microsoft.com/office/spreadsheetml/2009/9/main" objectType="CheckBox" fmlaLink="'CONTROL '!$B$15" lockText="1" noThreeD="1"/>
</file>

<file path=xl/ctrlProps/ctrlProp13.xml><?xml version="1.0" encoding="utf-8"?>
<formControlPr xmlns="http://schemas.microsoft.com/office/spreadsheetml/2009/9/main" objectType="CheckBox" fmlaLink="'CONTROL '!$B$16" lockText="1" noThreeD="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848062C-7075-4D8A-9667-4D8C7C68DDD8}" type="doc">
      <dgm:prSet loTypeId="urn:microsoft.com/office/officeart/2005/8/layout/bProcess3" loCatId="process" qsTypeId="urn:microsoft.com/office/officeart/2005/8/quickstyle/simple1" qsCatId="simple" csTypeId="urn:microsoft.com/office/officeart/2005/8/colors/accent1_2" csCatId="accent1" phldr="1"/>
      <dgm:spPr/>
      <dgm:t>
        <a:bodyPr/>
        <a:lstStyle/>
        <a:p>
          <a:endParaRPr lang="en-US"/>
        </a:p>
      </dgm:t>
    </dgm:pt>
    <dgm:pt modelId="{34CEEF71-5798-4725-90CB-C4F580BAC008}">
      <dgm:prSet phldrT="[Text]" custT="1"/>
      <dgm:spPr>
        <a:solidFill>
          <a:schemeClr val="bg2">
            <a:lumMod val="90000"/>
          </a:schemeClr>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1. Revise GDP and Population</a:t>
          </a:r>
        </a:p>
      </dgm:t>
    </dgm:pt>
    <dgm:pt modelId="{A6FD8B62-33E3-4BE9-8064-F10783DA39AF}" type="parTrans" cxnId="{9F85A102-D54C-4372-A299-B835FDF69EE9}">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4C4F102-D9A2-4DA0-AFEE-246820A63F0A}" type="sibTrans" cxnId="{9F85A102-D54C-4372-A299-B835FDF69EE9}">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F6FBAFC7-337E-488E-ACCE-F13A116CD1AE}">
      <dgm:prSet phldrT="[Text]" custT="1"/>
      <dgm:spPr>
        <a:solidFill>
          <a:schemeClr val="accent5">
            <a:lumMod val="75000"/>
          </a:schemeClr>
        </a:solidFill>
        <a:ln>
          <a:noFill/>
        </a:ln>
      </dgm:spPr>
      <dgm:t>
        <a:bodyPr/>
        <a:lstStyle/>
        <a:p>
          <a:r>
            <a:rPr lang="en-US" sz="1100">
              <a:solidFill>
                <a:schemeClr val="bg1"/>
              </a:solidFill>
              <a:latin typeface="Arial" panose="020B0604020202020204" pitchFamily="34" charset="0"/>
              <a:cs typeface="Arial" panose="020B0604020202020204" pitchFamily="34" charset="0"/>
            </a:rPr>
            <a:t>2.1. Revise Labor Market Structure</a:t>
          </a:r>
        </a:p>
      </dgm:t>
    </dgm:pt>
    <dgm:pt modelId="{EC7AFD48-34D9-4A14-B686-751178C83E70}" type="parTrans" cxnId="{78762CD1-0010-47A5-88FC-126BCB09232D}">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DE81A3DA-9A36-418A-ABD9-FE791EFF741F}" type="sibTrans" cxnId="{78762CD1-0010-47A5-88FC-126BCB09232D}">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179714D-371A-49D9-86C2-AD20D5A33948}">
      <dgm:prSet phldrT="[Text]" custT="1"/>
      <dgm:spPr>
        <a:solidFill>
          <a:schemeClr val="accent5">
            <a:lumMod val="20000"/>
            <a:lumOff val="80000"/>
          </a:schemeClr>
        </a:solidFill>
        <a:ln>
          <a:noFill/>
        </a:ln>
      </dgm:spPr>
      <dgm:t>
        <a:bodyPr/>
        <a:lstStyle/>
        <a:p>
          <a:r>
            <a:rPr lang="en-US" sz="1100" b="0">
              <a:solidFill>
                <a:sysClr val="windowText" lastClr="000000"/>
              </a:solidFill>
              <a:latin typeface="Arial" panose="020B0604020202020204" pitchFamily="34" charset="0"/>
              <a:cs typeface="Arial" panose="020B0604020202020204" pitchFamily="34" charset="0"/>
            </a:rPr>
            <a:t>Adjust Elasticities for Labor Market and check growth rates</a:t>
          </a:r>
        </a:p>
      </dgm:t>
    </dgm:pt>
    <dgm:pt modelId="{90A6C351-DA17-4296-8629-A42F9237B10B}" type="parTrans" cxnId="{925C26E3-2475-4B47-8D13-467825C3A830}">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F0E6FA8-DDBD-4690-9AA8-F772031D4A98}" type="sibTrans" cxnId="{925C26E3-2475-4B47-8D13-467825C3A830}">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2A00AE26-9D46-49DB-9E51-BD7F76698509}">
      <dgm:prSet phldrT="[Text]" custT="1"/>
      <dgm:spPr>
        <a:solidFill>
          <a:srgbClr val="B8E08C"/>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2.2. Revise Labor Income	</a:t>
          </a:r>
        </a:p>
      </dgm:t>
    </dgm:pt>
    <dgm:pt modelId="{95F2124D-6565-42E8-AB18-ED242F9BA6F1}" type="parTrans" cxnId="{972CB1A0-E330-4817-BACA-40CD1F805EEB}">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913EB00F-CCC1-48A7-9420-F3E78ED11281}" type="sibTrans" cxnId="{972CB1A0-E330-4817-BACA-40CD1F805EEB}">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1870E7CC-077D-496F-A414-0BB4CD090BEC}">
      <dgm:prSet phldrT="[Text]" custT="1"/>
      <dgm:spPr>
        <a:solidFill>
          <a:schemeClr val="accent5">
            <a:lumMod val="20000"/>
            <a:lumOff val="80000"/>
          </a:schemeClr>
        </a:solidFill>
        <a:ln>
          <a:noFill/>
        </a:ln>
      </dgm:spPr>
      <dgm:t>
        <a:bodyPr/>
        <a:lstStyle/>
        <a:p>
          <a:r>
            <a:rPr lang="en-US" sz="1100" b="0">
              <a:solidFill>
                <a:sysClr val="windowText" lastClr="000000"/>
              </a:solidFill>
              <a:latin typeface="Arial" panose="020B0604020202020204" pitchFamily="34" charset="0"/>
              <a:cs typeface="Arial" panose="020B0604020202020204" pitchFamily="34" charset="0"/>
            </a:rPr>
            <a:t>Adjust Elasticities for Labor Income and check growth rates</a:t>
          </a:r>
        </a:p>
      </dgm:t>
    </dgm:pt>
    <dgm:pt modelId="{2486FC75-ADC5-43E6-B45F-4CE0A600A359}" type="parTrans" cxnId="{440FCE19-6DB4-4D39-9E2C-B4BE9B7D4C36}">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1198130-2416-4F63-B6BF-17993F5FE209}" type="sibTrans" cxnId="{440FCE19-6DB4-4D39-9E2C-B4BE9B7D4C36}">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B47321F-C433-4656-BAA4-D33215A089BC}">
      <dgm:prSet custT="1"/>
      <dgm:spPr>
        <a:solidFill>
          <a:schemeClr val="accent2">
            <a:lumMod val="40000"/>
            <a:lumOff val="60000"/>
          </a:schemeClr>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3. Revise Non-Labor Income</a:t>
          </a:r>
        </a:p>
      </dgm:t>
    </dgm:pt>
    <dgm:pt modelId="{F9D6D2F1-9711-4C1D-8D9D-5BE187F4EB37}" type="parTrans" cxnId="{97611FAA-4EFA-4C44-B029-B7F7C036D957}">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B751302B-D6AF-4E52-AD96-EE5473FCF970}" type="sibTrans" cxnId="{97611FAA-4EFA-4C44-B029-B7F7C036D957}">
      <dgm:prSet/>
      <dgm:spPr/>
      <dgm:t>
        <a:bodyPr/>
        <a:lstStyle/>
        <a:p>
          <a:endParaRPr lang="en-US"/>
        </a:p>
      </dgm:t>
    </dgm:pt>
    <dgm:pt modelId="{48DE0BBC-64D8-4CDC-B8BE-F6AFB59AAE36}">
      <dgm:prSet custT="1"/>
      <dgm:spPr>
        <a:solidFill>
          <a:srgbClr val="FF9797"/>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4. Make sure you marked all checkboxes, save the file and </a:t>
          </a:r>
          <a:r>
            <a:rPr lang="en-US" sz="1100" b="1">
              <a:solidFill>
                <a:sysClr val="windowText" lastClr="000000"/>
              </a:solidFill>
              <a:latin typeface="Arial" panose="020B0604020202020204" pitchFamily="34" charset="0"/>
              <a:cs typeface="Arial" panose="020B0604020202020204" pitchFamily="34" charset="0"/>
            </a:rPr>
            <a:t>Submit</a:t>
          </a:r>
          <a:endParaRPr lang="en-US" sz="1100">
            <a:solidFill>
              <a:sysClr val="windowText" lastClr="000000"/>
            </a:solidFill>
            <a:latin typeface="Arial" panose="020B0604020202020204" pitchFamily="34" charset="0"/>
            <a:cs typeface="Arial" panose="020B0604020202020204" pitchFamily="34" charset="0"/>
          </a:endParaRPr>
        </a:p>
      </dgm:t>
    </dgm:pt>
    <dgm:pt modelId="{DF021A1E-FD6B-4762-A5D4-C4E1D94E7F93}" type="parTrans" cxnId="{9A04EAB8-D11E-4CB5-8D03-11148A9C7DA4}">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C2745D5B-A64D-46DE-AA29-A6613529FE8C}" type="sibTrans" cxnId="{9A04EAB8-D11E-4CB5-8D03-11148A9C7DA4}">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852E0FB-48E1-4283-A918-EE3F97F11562}" type="pres">
      <dgm:prSet presAssocID="{3848062C-7075-4D8A-9667-4D8C7C68DDD8}" presName="Name0" presStyleCnt="0">
        <dgm:presLayoutVars>
          <dgm:dir/>
          <dgm:resizeHandles val="exact"/>
        </dgm:presLayoutVars>
      </dgm:prSet>
      <dgm:spPr/>
    </dgm:pt>
    <dgm:pt modelId="{78EBEF2A-ADDD-49EA-AA45-D99AB9A30A39}" type="pres">
      <dgm:prSet presAssocID="{34CEEF71-5798-4725-90CB-C4F580BAC008}" presName="node" presStyleLbl="node1" presStyleIdx="0" presStyleCnt="7">
        <dgm:presLayoutVars>
          <dgm:bulletEnabled val="1"/>
        </dgm:presLayoutVars>
      </dgm:prSet>
      <dgm:spPr/>
    </dgm:pt>
    <dgm:pt modelId="{F180CE88-0981-4949-8B52-19EDC2C937C7}" type="pres">
      <dgm:prSet presAssocID="{44C4F102-D9A2-4DA0-AFEE-246820A63F0A}" presName="sibTrans" presStyleLbl="sibTrans1D1" presStyleIdx="0" presStyleCnt="6"/>
      <dgm:spPr/>
    </dgm:pt>
    <dgm:pt modelId="{1B2C03A8-C3CA-4686-970A-1EE28AFB5997}" type="pres">
      <dgm:prSet presAssocID="{44C4F102-D9A2-4DA0-AFEE-246820A63F0A}" presName="connectorText" presStyleLbl="sibTrans1D1" presStyleIdx="0" presStyleCnt="6"/>
      <dgm:spPr/>
    </dgm:pt>
    <dgm:pt modelId="{FAC23C14-6389-47A4-B147-367CCBB71195}" type="pres">
      <dgm:prSet presAssocID="{F6FBAFC7-337E-488E-ACCE-F13A116CD1AE}" presName="node" presStyleLbl="node1" presStyleIdx="1" presStyleCnt="7">
        <dgm:presLayoutVars>
          <dgm:bulletEnabled val="1"/>
        </dgm:presLayoutVars>
      </dgm:prSet>
      <dgm:spPr/>
    </dgm:pt>
    <dgm:pt modelId="{851E0005-E275-4839-8808-CAE5B17C02C4}" type="pres">
      <dgm:prSet presAssocID="{DE81A3DA-9A36-418A-ABD9-FE791EFF741F}" presName="sibTrans" presStyleLbl="sibTrans1D1" presStyleIdx="1" presStyleCnt="6"/>
      <dgm:spPr/>
    </dgm:pt>
    <dgm:pt modelId="{933CB84E-E683-4727-9095-D5F3F5B6D61B}" type="pres">
      <dgm:prSet presAssocID="{DE81A3DA-9A36-418A-ABD9-FE791EFF741F}" presName="connectorText" presStyleLbl="sibTrans1D1" presStyleIdx="1" presStyleCnt="6"/>
      <dgm:spPr/>
    </dgm:pt>
    <dgm:pt modelId="{F5730EB6-018A-4D93-BE26-7BCC3AD4EE33}" type="pres">
      <dgm:prSet presAssocID="{7179714D-371A-49D9-86C2-AD20D5A33948}" presName="node" presStyleLbl="node1" presStyleIdx="2" presStyleCnt="7">
        <dgm:presLayoutVars>
          <dgm:bulletEnabled val="1"/>
        </dgm:presLayoutVars>
      </dgm:prSet>
      <dgm:spPr/>
    </dgm:pt>
    <dgm:pt modelId="{B8ABC35F-D263-43F0-9A8C-5C6C0545973D}" type="pres">
      <dgm:prSet presAssocID="{4F0E6FA8-DDBD-4690-9AA8-F772031D4A98}" presName="sibTrans" presStyleLbl="sibTrans1D1" presStyleIdx="2" presStyleCnt="6"/>
      <dgm:spPr/>
    </dgm:pt>
    <dgm:pt modelId="{6095CCD9-6658-44A9-BF5E-94232FA150DD}" type="pres">
      <dgm:prSet presAssocID="{4F0E6FA8-DDBD-4690-9AA8-F772031D4A98}" presName="connectorText" presStyleLbl="sibTrans1D1" presStyleIdx="2" presStyleCnt="6"/>
      <dgm:spPr/>
    </dgm:pt>
    <dgm:pt modelId="{37555171-A11F-44AF-9E11-F5B1112E45E9}" type="pres">
      <dgm:prSet presAssocID="{2A00AE26-9D46-49DB-9E51-BD7F76698509}" presName="node" presStyleLbl="node1" presStyleIdx="3" presStyleCnt="7">
        <dgm:presLayoutVars>
          <dgm:bulletEnabled val="1"/>
        </dgm:presLayoutVars>
      </dgm:prSet>
      <dgm:spPr/>
    </dgm:pt>
    <dgm:pt modelId="{A288D1F6-D3D5-4705-A1E3-B8412149DABF}" type="pres">
      <dgm:prSet presAssocID="{913EB00F-CCC1-48A7-9420-F3E78ED11281}" presName="sibTrans" presStyleLbl="sibTrans1D1" presStyleIdx="3" presStyleCnt="6"/>
      <dgm:spPr/>
    </dgm:pt>
    <dgm:pt modelId="{518282AE-8774-4C78-8B04-8E6D012E895C}" type="pres">
      <dgm:prSet presAssocID="{913EB00F-CCC1-48A7-9420-F3E78ED11281}" presName="connectorText" presStyleLbl="sibTrans1D1" presStyleIdx="3" presStyleCnt="6"/>
      <dgm:spPr/>
    </dgm:pt>
    <dgm:pt modelId="{2A9060D3-3E73-4BB9-A71E-70BAE38028AC}" type="pres">
      <dgm:prSet presAssocID="{1870E7CC-077D-496F-A414-0BB4CD090BEC}" presName="node" presStyleLbl="node1" presStyleIdx="4" presStyleCnt="7">
        <dgm:presLayoutVars>
          <dgm:bulletEnabled val="1"/>
        </dgm:presLayoutVars>
      </dgm:prSet>
      <dgm:spPr/>
    </dgm:pt>
    <dgm:pt modelId="{8E752894-ADCC-4174-AF57-FD05DB5ED81A}" type="pres">
      <dgm:prSet presAssocID="{41198130-2416-4F63-B6BF-17993F5FE209}" presName="sibTrans" presStyleLbl="sibTrans1D1" presStyleIdx="4" presStyleCnt="6"/>
      <dgm:spPr/>
    </dgm:pt>
    <dgm:pt modelId="{0A381857-8A39-4A99-933F-02528970ABF8}" type="pres">
      <dgm:prSet presAssocID="{41198130-2416-4F63-B6BF-17993F5FE209}" presName="connectorText" presStyleLbl="sibTrans1D1" presStyleIdx="4" presStyleCnt="6"/>
      <dgm:spPr/>
    </dgm:pt>
    <dgm:pt modelId="{1E1922FD-BE32-4F47-8ED4-A46AB5AE2822}" type="pres">
      <dgm:prSet presAssocID="{7B47321F-C433-4656-BAA4-D33215A089BC}" presName="node" presStyleLbl="node1" presStyleIdx="5" presStyleCnt="7">
        <dgm:presLayoutVars>
          <dgm:bulletEnabled val="1"/>
        </dgm:presLayoutVars>
      </dgm:prSet>
      <dgm:spPr/>
    </dgm:pt>
    <dgm:pt modelId="{C0E00D76-3902-4A34-A198-A2AB4448A2B3}" type="pres">
      <dgm:prSet presAssocID="{B751302B-D6AF-4E52-AD96-EE5473FCF970}" presName="sibTrans" presStyleLbl="sibTrans1D1" presStyleIdx="5" presStyleCnt="6"/>
      <dgm:spPr/>
    </dgm:pt>
    <dgm:pt modelId="{6E1B4C5C-7BD5-4F12-A404-F518733FD7D5}" type="pres">
      <dgm:prSet presAssocID="{B751302B-D6AF-4E52-AD96-EE5473FCF970}" presName="connectorText" presStyleLbl="sibTrans1D1" presStyleIdx="5" presStyleCnt="6"/>
      <dgm:spPr/>
    </dgm:pt>
    <dgm:pt modelId="{78FA6027-4658-429F-8339-97D71E2A94B5}" type="pres">
      <dgm:prSet presAssocID="{48DE0BBC-64D8-4CDC-B8BE-F6AFB59AAE36}" presName="node" presStyleLbl="node1" presStyleIdx="6" presStyleCnt="7" custLinFactX="15266" custLinFactNeighborX="100000" custLinFactNeighborY="-2033">
        <dgm:presLayoutVars>
          <dgm:bulletEnabled val="1"/>
        </dgm:presLayoutVars>
      </dgm:prSet>
      <dgm:spPr/>
    </dgm:pt>
  </dgm:ptLst>
  <dgm:cxnLst>
    <dgm:cxn modelId="{9F85A102-D54C-4372-A299-B835FDF69EE9}" srcId="{3848062C-7075-4D8A-9667-4D8C7C68DDD8}" destId="{34CEEF71-5798-4725-90CB-C4F580BAC008}" srcOrd="0" destOrd="0" parTransId="{A6FD8B62-33E3-4BE9-8064-F10783DA39AF}" sibTransId="{44C4F102-D9A2-4DA0-AFEE-246820A63F0A}"/>
    <dgm:cxn modelId="{05929F05-73C6-4993-81BB-A322628838F8}" type="presOf" srcId="{DE81A3DA-9A36-418A-ABD9-FE791EFF741F}" destId="{851E0005-E275-4839-8808-CAE5B17C02C4}" srcOrd="0" destOrd="0" presId="urn:microsoft.com/office/officeart/2005/8/layout/bProcess3"/>
    <dgm:cxn modelId="{440FCE19-6DB4-4D39-9E2C-B4BE9B7D4C36}" srcId="{3848062C-7075-4D8A-9667-4D8C7C68DDD8}" destId="{1870E7CC-077D-496F-A414-0BB4CD090BEC}" srcOrd="4" destOrd="0" parTransId="{2486FC75-ADC5-43E6-B45F-4CE0A600A359}" sibTransId="{41198130-2416-4F63-B6BF-17993F5FE209}"/>
    <dgm:cxn modelId="{F918FF3D-C88F-419B-88C4-435805EEB20F}" type="presOf" srcId="{1870E7CC-077D-496F-A414-0BB4CD090BEC}" destId="{2A9060D3-3E73-4BB9-A71E-70BAE38028AC}" srcOrd="0" destOrd="0" presId="urn:microsoft.com/office/officeart/2005/8/layout/bProcess3"/>
    <dgm:cxn modelId="{27B2305B-CA3C-4331-9422-A630E644E861}" type="presOf" srcId="{913EB00F-CCC1-48A7-9420-F3E78ED11281}" destId="{518282AE-8774-4C78-8B04-8E6D012E895C}" srcOrd="1" destOrd="0" presId="urn:microsoft.com/office/officeart/2005/8/layout/bProcess3"/>
    <dgm:cxn modelId="{22DF8B67-3570-4359-BEC0-9B1AD4AF2A46}" type="presOf" srcId="{2A00AE26-9D46-49DB-9E51-BD7F76698509}" destId="{37555171-A11F-44AF-9E11-F5B1112E45E9}" srcOrd="0" destOrd="0" presId="urn:microsoft.com/office/officeart/2005/8/layout/bProcess3"/>
    <dgm:cxn modelId="{96C7276E-B7E1-47BF-9630-9766A0515B30}" type="presOf" srcId="{44C4F102-D9A2-4DA0-AFEE-246820A63F0A}" destId="{1B2C03A8-C3CA-4686-970A-1EE28AFB5997}" srcOrd="1" destOrd="0" presId="urn:microsoft.com/office/officeart/2005/8/layout/bProcess3"/>
    <dgm:cxn modelId="{F1312D6F-09DA-4F1C-A6BB-36763C147A6B}" type="presOf" srcId="{7B47321F-C433-4656-BAA4-D33215A089BC}" destId="{1E1922FD-BE32-4F47-8ED4-A46AB5AE2822}" srcOrd="0" destOrd="0" presId="urn:microsoft.com/office/officeart/2005/8/layout/bProcess3"/>
    <dgm:cxn modelId="{BE013F4F-A079-41E1-9811-5D3C3FE8C1EC}" type="presOf" srcId="{B751302B-D6AF-4E52-AD96-EE5473FCF970}" destId="{6E1B4C5C-7BD5-4F12-A404-F518733FD7D5}" srcOrd="1" destOrd="0" presId="urn:microsoft.com/office/officeart/2005/8/layout/bProcess3"/>
    <dgm:cxn modelId="{55234D50-AD76-4FF6-B3A6-95A55AD0B9DA}" type="presOf" srcId="{4F0E6FA8-DDBD-4690-9AA8-F772031D4A98}" destId="{B8ABC35F-D263-43F0-9A8C-5C6C0545973D}" srcOrd="0" destOrd="0" presId="urn:microsoft.com/office/officeart/2005/8/layout/bProcess3"/>
    <dgm:cxn modelId="{E6394A75-431A-47AF-9D69-49855813075F}" type="presOf" srcId="{44C4F102-D9A2-4DA0-AFEE-246820A63F0A}" destId="{F180CE88-0981-4949-8B52-19EDC2C937C7}" srcOrd="0" destOrd="0" presId="urn:microsoft.com/office/officeart/2005/8/layout/bProcess3"/>
    <dgm:cxn modelId="{A59F7B55-370C-405C-95B2-33D5AC051EB2}" type="presOf" srcId="{B751302B-D6AF-4E52-AD96-EE5473FCF970}" destId="{C0E00D76-3902-4A34-A198-A2AB4448A2B3}" srcOrd="0" destOrd="0" presId="urn:microsoft.com/office/officeart/2005/8/layout/bProcess3"/>
    <dgm:cxn modelId="{F87F5384-E2B0-4CA0-94F2-6D47511FAC7A}" type="presOf" srcId="{DE81A3DA-9A36-418A-ABD9-FE791EFF741F}" destId="{933CB84E-E683-4727-9095-D5F3F5B6D61B}" srcOrd="1" destOrd="0" presId="urn:microsoft.com/office/officeart/2005/8/layout/bProcess3"/>
    <dgm:cxn modelId="{D9966292-2523-40B4-9EDF-04BE03EF8863}" type="presOf" srcId="{913EB00F-CCC1-48A7-9420-F3E78ED11281}" destId="{A288D1F6-D3D5-4705-A1E3-B8412149DABF}" srcOrd="0" destOrd="0" presId="urn:microsoft.com/office/officeart/2005/8/layout/bProcess3"/>
    <dgm:cxn modelId="{972CB1A0-E330-4817-BACA-40CD1F805EEB}" srcId="{3848062C-7075-4D8A-9667-4D8C7C68DDD8}" destId="{2A00AE26-9D46-49DB-9E51-BD7F76698509}" srcOrd="3" destOrd="0" parTransId="{95F2124D-6565-42E8-AB18-ED242F9BA6F1}" sibTransId="{913EB00F-CCC1-48A7-9420-F3E78ED11281}"/>
    <dgm:cxn modelId="{2873E3A9-C08E-4A62-8D0A-C7D0368DF22E}" type="presOf" srcId="{7179714D-371A-49D9-86C2-AD20D5A33948}" destId="{F5730EB6-018A-4D93-BE26-7BCC3AD4EE33}" srcOrd="0" destOrd="0" presId="urn:microsoft.com/office/officeart/2005/8/layout/bProcess3"/>
    <dgm:cxn modelId="{97611FAA-4EFA-4C44-B029-B7F7C036D957}" srcId="{3848062C-7075-4D8A-9667-4D8C7C68DDD8}" destId="{7B47321F-C433-4656-BAA4-D33215A089BC}" srcOrd="5" destOrd="0" parTransId="{F9D6D2F1-9711-4C1D-8D9D-5BE187F4EB37}" sibTransId="{B751302B-D6AF-4E52-AD96-EE5473FCF970}"/>
    <dgm:cxn modelId="{1C1DE2B0-C418-453D-94B3-27AF11DE2E78}" type="presOf" srcId="{4F0E6FA8-DDBD-4690-9AA8-F772031D4A98}" destId="{6095CCD9-6658-44A9-BF5E-94232FA150DD}" srcOrd="1" destOrd="0" presId="urn:microsoft.com/office/officeart/2005/8/layout/bProcess3"/>
    <dgm:cxn modelId="{73A97DB4-D358-422E-BAB3-F2C21F1DE4EA}" type="presOf" srcId="{41198130-2416-4F63-B6BF-17993F5FE209}" destId="{8E752894-ADCC-4174-AF57-FD05DB5ED81A}" srcOrd="0" destOrd="0" presId="urn:microsoft.com/office/officeart/2005/8/layout/bProcess3"/>
    <dgm:cxn modelId="{F7D968B5-AF74-4E19-909A-2B27F74227BB}" type="presOf" srcId="{34CEEF71-5798-4725-90CB-C4F580BAC008}" destId="{78EBEF2A-ADDD-49EA-AA45-D99AB9A30A39}" srcOrd="0" destOrd="0" presId="urn:microsoft.com/office/officeart/2005/8/layout/bProcess3"/>
    <dgm:cxn modelId="{9A04EAB8-D11E-4CB5-8D03-11148A9C7DA4}" srcId="{3848062C-7075-4D8A-9667-4D8C7C68DDD8}" destId="{48DE0BBC-64D8-4CDC-B8BE-F6AFB59AAE36}" srcOrd="6" destOrd="0" parTransId="{DF021A1E-FD6B-4762-A5D4-C4E1D94E7F93}" sibTransId="{C2745D5B-A64D-46DE-AA29-A6613529FE8C}"/>
    <dgm:cxn modelId="{057E9CC4-207D-4669-BCD4-56A375086423}" type="presOf" srcId="{41198130-2416-4F63-B6BF-17993F5FE209}" destId="{0A381857-8A39-4A99-933F-02528970ABF8}" srcOrd="1" destOrd="0" presId="urn:microsoft.com/office/officeart/2005/8/layout/bProcess3"/>
    <dgm:cxn modelId="{78762CD1-0010-47A5-88FC-126BCB09232D}" srcId="{3848062C-7075-4D8A-9667-4D8C7C68DDD8}" destId="{F6FBAFC7-337E-488E-ACCE-F13A116CD1AE}" srcOrd="1" destOrd="0" parTransId="{EC7AFD48-34D9-4A14-B686-751178C83E70}" sibTransId="{DE81A3DA-9A36-418A-ABD9-FE791EFF741F}"/>
    <dgm:cxn modelId="{925C26E3-2475-4B47-8D13-467825C3A830}" srcId="{3848062C-7075-4D8A-9667-4D8C7C68DDD8}" destId="{7179714D-371A-49D9-86C2-AD20D5A33948}" srcOrd="2" destOrd="0" parTransId="{90A6C351-DA17-4296-8629-A42F9237B10B}" sibTransId="{4F0E6FA8-DDBD-4690-9AA8-F772031D4A98}"/>
    <dgm:cxn modelId="{6B1127F3-7032-4E4B-876C-4A18A3745916}" type="presOf" srcId="{F6FBAFC7-337E-488E-ACCE-F13A116CD1AE}" destId="{FAC23C14-6389-47A4-B147-367CCBB71195}" srcOrd="0" destOrd="0" presId="urn:microsoft.com/office/officeart/2005/8/layout/bProcess3"/>
    <dgm:cxn modelId="{DACD2FF6-1EA9-492C-B5D1-F427A90E4379}" type="presOf" srcId="{48DE0BBC-64D8-4CDC-B8BE-F6AFB59AAE36}" destId="{78FA6027-4658-429F-8339-97D71E2A94B5}" srcOrd="0" destOrd="0" presId="urn:microsoft.com/office/officeart/2005/8/layout/bProcess3"/>
    <dgm:cxn modelId="{61294AFD-FEA0-4070-A5E9-3E6E7DF2EF1B}" type="presOf" srcId="{3848062C-7075-4D8A-9667-4D8C7C68DDD8}" destId="{7852E0FB-48E1-4283-A918-EE3F97F11562}" srcOrd="0" destOrd="0" presId="urn:microsoft.com/office/officeart/2005/8/layout/bProcess3"/>
    <dgm:cxn modelId="{8C66CB49-8D2C-4245-BB04-AB32D8E76A47}" type="presParOf" srcId="{7852E0FB-48E1-4283-A918-EE3F97F11562}" destId="{78EBEF2A-ADDD-49EA-AA45-D99AB9A30A39}" srcOrd="0" destOrd="0" presId="urn:microsoft.com/office/officeart/2005/8/layout/bProcess3"/>
    <dgm:cxn modelId="{6AFC73B6-20C3-4CBC-A277-C7C9305E8A50}" type="presParOf" srcId="{7852E0FB-48E1-4283-A918-EE3F97F11562}" destId="{F180CE88-0981-4949-8B52-19EDC2C937C7}" srcOrd="1" destOrd="0" presId="urn:microsoft.com/office/officeart/2005/8/layout/bProcess3"/>
    <dgm:cxn modelId="{A1F909CB-67A4-4425-80BB-57E24D9179D8}" type="presParOf" srcId="{F180CE88-0981-4949-8B52-19EDC2C937C7}" destId="{1B2C03A8-C3CA-4686-970A-1EE28AFB5997}" srcOrd="0" destOrd="0" presId="urn:microsoft.com/office/officeart/2005/8/layout/bProcess3"/>
    <dgm:cxn modelId="{FAB534E6-9554-454A-9572-FB042E936535}" type="presParOf" srcId="{7852E0FB-48E1-4283-A918-EE3F97F11562}" destId="{FAC23C14-6389-47A4-B147-367CCBB71195}" srcOrd="2" destOrd="0" presId="urn:microsoft.com/office/officeart/2005/8/layout/bProcess3"/>
    <dgm:cxn modelId="{FF2041A0-5BF2-45FD-8319-68847F0CE0F8}" type="presParOf" srcId="{7852E0FB-48E1-4283-A918-EE3F97F11562}" destId="{851E0005-E275-4839-8808-CAE5B17C02C4}" srcOrd="3" destOrd="0" presId="urn:microsoft.com/office/officeart/2005/8/layout/bProcess3"/>
    <dgm:cxn modelId="{4C773211-323B-4A64-9ED6-51F58FD3006F}" type="presParOf" srcId="{851E0005-E275-4839-8808-CAE5B17C02C4}" destId="{933CB84E-E683-4727-9095-D5F3F5B6D61B}" srcOrd="0" destOrd="0" presId="urn:microsoft.com/office/officeart/2005/8/layout/bProcess3"/>
    <dgm:cxn modelId="{B9FB4AE6-1710-4945-BB2B-7C030BAB7809}" type="presParOf" srcId="{7852E0FB-48E1-4283-A918-EE3F97F11562}" destId="{F5730EB6-018A-4D93-BE26-7BCC3AD4EE33}" srcOrd="4" destOrd="0" presId="urn:microsoft.com/office/officeart/2005/8/layout/bProcess3"/>
    <dgm:cxn modelId="{2F787D87-E183-4E0D-A07C-CF3BE759D89A}" type="presParOf" srcId="{7852E0FB-48E1-4283-A918-EE3F97F11562}" destId="{B8ABC35F-D263-43F0-9A8C-5C6C0545973D}" srcOrd="5" destOrd="0" presId="urn:microsoft.com/office/officeart/2005/8/layout/bProcess3"/>
    <dgm:cxn modelId="{E93C5905-A71E-4DD8-BD1E-EB4A10A11EF7}" type="presParOf" srcId="{B8ABC35F-D263-43F0-9A8C-5C6C0545973D}" destId="{6095CCD9-6658-44A9-BF5E-94232FA150DD}" srcOrd="0" destOrd="0" presId="urn:microsoft.com/office/officeart/2005/8/layout/bProcess3"/>
    <dgm:cxn modelId="{D42BDC5B-94E7-4BB3-91DD-04FF70B75EAC}" type="presParOf" srcId="{7852E0FB-48E1-4283-A918-EE3F97F11562}" destId="{37555171-A11F-44AF-9E11-F5B1112E45E9}" srcOrd="6" destOrd="0" presId="urn:microsoft.com/office/officeart/2005/8/layout/bProcess3"/>
    <dgm:cxn modelId="{34FE0E30-12F9-4430-8B61-1B0162D9DE96}" type="presParOf" srcId="{7852E0FB-48E1-4283-A918-EE3F97F11562}" destId="{A288D1F6-D3D5-4705-A1E3-B8412149DABF}" srcOrd="7" destOrd="0" presId="urn:microsoft.com/office/officeart/2005/8/layout/bProcess3"/>
    <dgm:cxn modelId="{B11C6A91-2728-44D4-94F1-A18AED488B8E}" type="presParOf" srcId="{A288D1F6-D3D5-4705-A1E3-B8412149DABF}" destId="{518282AE-8774-4C78-8B04-8E6D012E895C}" srcOrd="0" destOrd="0" presId="urn:microsoft.com/office/officeart/2005/8/layout/bProcess3"/>
    <dgm:cxn modelId="{89AB0BDD-24C0-4E23-8DF6-53D1D725B0CF}" type="presParOf" srcId="{7852E0FB-48E1-4283-A918-EE3F97F11562}" destId="{2A9060D3-3E73-4BB9-A71E-70BAE38028AC}" srcOrd="8" destOrd="0" presId="urn:microsoft.com/office/officeart/2005/8/layout/bProcess3"/>
    <dgm:cxn modelId="{3C7C5E27-9C6F-487A-B2F4-7EB4E4188EFC}" type="presParOf" srcId="{7852E0FB-48E1-4283-A918-EE3F97F11562}" destId="{8E752894-ADCC-4174-AF57-FD05DB5ED81A}" srcOrd="9" destOrd="0" presId="urn:microsoft.com/office/officeart/2005/8/layout/bProcess3"/>
    <dgm:cxn modelId="{BE757408-0978-40B0-B3EA-F665311B21A6}" type="presParOf" srcId="{8E752894-ADCC-4174-AF57-FD05DB5ED81A}" destId="{0A381857-8A39-4A99-933F-02528970ABF8}" srcOrd="0" destOrd="0" presId="urn:microsoft.com/office/officeart/2005/8/layout/bProcess3"/>
    <dgm:cxn modelId="{7517DF02-3FDE-4D14-A305-9B6C30E9A16D}" type="presParOf" srcId="{7852E0FB-48E1-4283-A918-EE3F97F11562}" destId="{1E1922FD-BE32-4F47-8ED4-A46AB5AE2822}" srcOrd="10" destOrd="0" presId="urn:microsoft.com/office/officeart/2005/8/layout/bProcess3"/>
    <dgm:cxn modelId="{D6AE5A2E-41A2-4A30-BECC-182D46BA40A3}" type="presParOf" srcId="{7852E0FB-48E1-4283-A918-EE3F97F11562}" destId="{C0E00D76-3902-4A34-A198-A2AB4448A2B3}" srcOrd="11" destOrd="0" presId="urn:microsoft.com/office/officeart/2005/8/layout/bProcess3"/>
    <dgm:cxn modelId="{E0FC3BA0-5402-4FB9-84FA-BC3A4F50BF76}" type="presParOf" srcId="{C0E00D76-3902-4A34-A198-A2AB4448A2B3}" destId="{6E1B4C5C-7BD5-4F12-A404-F518733FD7D5}" srcOrd="0" destOrd="0" presId="urn:microsoft.com/office/officeart/2005/8/layout/bProcess3"/>
    <dgm:cxn modelId="{A9719ED2-44D4-47BC-83F7-07C0036EDA74}" type="presParOf" srcId="{7852E0FB-48E1-4283-A918-EE3F97F11562}" destId="{78FA6027-4658-429F-8339-97D71E2A94B5}" srcOrd="12" destOrd="0" presId="urn:microsoft.com/office/officeart/2005/8/layout/bProcess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180CE88-0981-4949-8B52-19EDC2C937C7}">
      <dsp:nvSpPr>
        <dsp:cNvPr id="0" name=""/>
        <dsp:cNvSpPr/>
      </dsp:nvSpPr>
      <dsp:spPr>
        <a:xfrm>
          <a:off x="2160796" y="404782"/>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2309364" y="448777"/>
        <a:ext cx="17249" cy="3449"/>
      </dsp:txXfrm>
    </dsp:sp>
    <dsp:sp modelId="{78EBEF2A-ADDD-49EA-AA45-D99AB9A30A39}">
      <dsp:nvSpPr>
        <dsp:cNvPr id="0" name=""/>
        <dsp:cNvSpPr/>
      </dsp:nvSpPr>
      <dsp:spPr>
        <a:xfrm>
          <a:off x="662660" y="521"/>
          <a:ext cx="1499936" cy="899961"/>
        </a:xfrm>
        <a:prstGeom prst="rect">
          <a:avLst/>
        </a:prstGeom>
        <a:solidFill>
          <a:schemeClr val="bg2">
            <a:lumMod val="9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1. Revise GDP and Population</a:t>
          </a:r>
        </a:p>
      </dsp:txBody>
      <dsp:txXfrm>
        <a:off x="662660" y="521"/>
        <a:ext cx="1499936" cy="899961"/>
      </dsp:txXfrm>
    </dsp:sp>
    <dsp:sp modelId="{851E0005-E275-4839-8808-CAE5B17C02C4}">
      <dsp:nvSpPr>
        <dsp:cNvPr id="0" name=""/>
        <dsp:cNvSpPr/>
      </dsp:nvSpPr>
      <dsp:spPr>
        <a:xfrm>
          <a:off x="4005718" y="404782"/>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4154286" y="448777"/>
        <a:ext cx="17249" cy="3449"/>
      </dsp:txXfrm>
    </dsp:sp>
    <dsp:sp modelId="{FAC23C14-6389-47A4-B147-367CCBB71195}">
      <dsp:nvSpPr>
        <dsp:cNvPr id="0" name=""/>
        <dsp:cNvSpPr/>
      </dsp:nvSpPr>
      <dsp:spPr>
        <a:xfrm>
          <a:off x="2507582" y="521"/>
          <a:ext cx="1499936" cy="899961"/>
        </a:xfrm>
        <a:prstGeom prst="rect">
          <a:avLst/>
        </a:prstGeom>
        <a:solidFill>
          <a:schemeClr val="accent5">
            <a:lumMod val="75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chemeClr val="bg1"/>
              </a:solidFill>
              <a:latin typeface="Arial" panose="020B0604020202020204" pitchFamily="34" charset="0"/>
              <a:cs typeface="Arial" panose="020B0604020202020204" pitchFamily="34" charset="0"/>
            </a:rPr>
            <a:t>2.1. Revise Labor Market Structure</a:t>
          </a:r>
        </a:p>
      </dsp:txBody>
      <dsp:txXfrm>
        <a:off x="2507582" y="521"/>
        <a:ext cx="1499936" cy="899961"/>
      </dsp:txXfrm>
    </dsp:sp>
    <dsp:sp modelId="{B8ABC35F-D263-43F0-9A8C-5C6C0545973D}">
      <dsp:nvSpPr>
        <dsp:cNvPr id="0" name=""/>
        <dsp:cNvSpPr/>
      </dsp:nvSpPr>
      <dsp:spPr>
        <a:xfrm>
          <a:off x="1412628" y="898683"/>
          <a:ext cx="3689843" cy="314385"/>
        </a:xfrm>
        <a:custGeom>
          <a:avLst/>
          <a:gdLst/>
          <a:ahLst/>
          <a:cxnLst/>
          <a:rect l="0" t="0" r="0" b="0"/>
          <a:pathLst>
            <a:path>
              <a:moveTo>
                <a:pt x="3689843" y="0"/>
              </a:moveTo>
              <a:lnTo>
                <a:pt x="3689843" y="174292"/>
              </a:lnTo>
              <a:lnTo>
                <a:pt x="0" y="174292"/>
              </a:lnTo>
              <a:lnTo>
                <a:pt x="0" y="314385"/>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3164902" y="1054151"/>
        <a:ext cx="185296" cy="3449"/>
      </dsp:txXfrm>
    </dsp:sp>
    <dsp:sp modelId="{F5730EB6-018A-4D93-BE26-7BCC3AD4EE33}">
      <dsp:nvSpPr>
        <dsp:cNvPr id="0" name=""/>
        <dsp:cNvSpPr/>
      </dsp:nvSpPr>
      <dsp:spPr>
        <a:xfrm>
          <a:off x="4352504" y="521"/>
          <a:ext cx="1499936" cy="899961"/>
        </a:xfrm>
        <a:prstGeom prst="rect">
          <a:avLst/>
        </a:prstGeom>
        <a:solidFill>
          <a:schemeClr val="accent5">
            <a:lumMod val="20000"/>
            <a:lumOff val="8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b="0" kern="1200">
              <a:solidFill>
                <a:sysClr val="windowText" lastClr="000000"/>
              </a:solidFill>
              <a:latin typeface="Arial" panose="020B0604020202020204" pitchFamily="34" charset="0"/>
              <a:cs typeface="Arial" panose="020B0604020202020204" pitchFamily="34" charset="0"/>
            </a:rPr>
            <a:t>Adjust Elasticities for Labor Market and check growth rates</a:t>
          </a:r>
        </a:p>
      </dsp:txBody>
      <dsp:txXfrm>
        <a:off x="4352504" y="521"/>
        <a:ext cx="1499936" cy="899961"/>
      </dsp:txXfrm>
    </dsp:sp>
    <dsp:sp modelId="{A288D1F6-D3D5-4705-A1E3-B8412149DABF}">
      <dsp:nvSpPr>
        <dsp:cNvPr id="0" name=""/>
        <dsp:cNvSpPr/>
      </dsp:nvSpPr>
      <dsp:spPr>
        <a:xfrm>
          <a:off x="2160796" y="1649729"/>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2309364" y="1693725"/>
        <a:ext cx="17249" cy="3449"/>
      </dsp:txXfrm>
    </dsp:sp>
    <dsp:sp modelId="{37555171-A11F-44AF-9E11-F5B1112E45E9}">
      <dsp:nvSpPr>
        <dsp:cNvPr id="0" name=""/>
        <dsp:cNvSpPr/>
      </dsp:nvSpPr>
      <dsp:spPr>
        <a:xfrm>
          <a:off x="662660" y="1245469"/>
          <a:ext cx="1499936" cy="899961"/>
        </a:xfrm>
        <a:prstGeom prst="rect">
          <a:avLst/>
        </a:prstGeom>
        <a:solidFill>
          <a:srgbClr val="B8E08C"/>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2.2. Revise Labor Income	</a:t>
          </a:r>
        </a:p>
      </dsp:txBody>
      <dsp:txXfrm>
        <a:off x="662660" y="1245469"/>
        <a:ext cx="1499936" cy="899961"/>
      </dsp:txXfrm>
    </dsp:sp>
    <dsp:sp modelId="{8E752894-ADCC-4174-AF57-FD05DB5ED81A}">
      <dsp:nvSpPr>
        <dsp:cNvPr id="0" name=""/>
        <dsp:cNvSpPr/>
      </dsp:nvSpPr>
      <dsp:spPr>
        <a:xfrm>
          <a:off x="4005718" y="1649729"/>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4154286" y="1693725"/>
        <a:ext cx="17249" cy="3449"/>
      </dsp:txXfrm>
    </dsp:sp>
    <dsp:sp modelId="{2A9060D3-3E73-4BB9-A71E-70BAE38028AC}">
      <dsp:nvSpPr>
        <dsp:cNvPr id="0" name=""/>
        <dsp:cNvSpPr/>
      </dsp:nvSpPr>
      <dsp:spPr>
        <a:xfrm>
          <a:off x="2507582" y="1245469"/>
          <a:ext cx="1499936" cy="899961"/>
        </a:xfrm>
        <a:prstGeom prst="rect">
          <a:avLst/>
        </a:prstGeom>
        <a:solidFill>
          <a:schemeClr val="accent5">
            <a:lumMod val="20000"/>
            <a:lumOff val="8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b="0" kern="1200">
              <a:solidFill>
                <a:sysClr val="windowText" lastClr="000000"/>
              </a:solidFill>
              <a:latin typeface="Arial" panose="020B0604020202020204" pitchFamily="34" charset="0"/>
              <a:cs typeface="Arial" panose="020B0604020202020204" pitchFamily="34" charset="0"/>
            </a:rPr>
            <a:t>Adjust Elasticities for Labor Income and check growth rates</a:t>
          </a:r>
        </a:p>
      </dsp:txBody>
      <dsp:txXfrm>
        <a:off x="2507582" y="1245469"/>
        <a:ext cx="1499936" cy="899961"/>
      </dsp:txXfrm>
    </dsp:sp>
    <dsp:sp modelId="{C0E00D76-3902-4A34-A198-A2AB4448A2B3}">
      <dsp:nvSpPr>
        <dsp:cNvPr id="0" name=""/>
        <dsp:cNvSpPr/>
      </dsp:nvSpPr>
      <dsp:spPr>
        <a:xfrm>
          <a:off x="3141545" y="2143630"/>
          <a:ext cx="1960927" cy="296089"/>
        </a:xfrm>
        <a:custGeom>
          <a:avLst/>
          <a:gdLst/>
          <a:ahLst/>
          <a:cxnLst/>
          <a:rect l="0" t="0" r="0" b="0"/>
          <a:pathLst>
            <a:path>
              <a:moveTo>
                <a:pt x="1960927" y="0"/>
              </a:moveTo>
              <a:lnTo>
                <a:pt x="1960927" y="165144"/>
              </a:lnTo>
              <a:lnTo>
                <a:pt x="0" y="165144"/>
              </a:lnTo>
              <a:lnTo>
                <a:pt x="0" y="296089"/>
              </a:lnTo>
            </a:path>
          </a:pathLst>
        </a:custGeom>
        <a:noFill/>
        <a:ln w="6350" cap="flat" cmpd="sng" algn="ctr">
          <a:solidFill>
            <a:schemeClr val="accent1">
              <a:hueOff val="0"/>
              <a:satOff val="0"/>
              <a:lumOff val="0"/>
              <a:alphaOff val="0"/>
            </a:schemeClr>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en-US" sz="500" kern="1200"/>
        </a:p>
      </dsp:txBody>
      <dsp:txXfrm>
        <a:off x="4072310" y="2289950"/>
        <a:ext cx="99397" cy="3449"/>
      </dsp:txXfrm>
    </dsp:sp>
    <dsp:sp modelId="{1E1922FD-BE32-4F47-8ED4-A46AB5AE2822}">
      <dsp:nvSpPr>
        <dsp:cNvPr id="0" name=""/>
        <dsp:cNvSpPr/>
      </dsp:nvSpPr>
      <dsp:spPr>
        <a:xfrm>
          <a:off x="4352504" y="1245469"/>
          <a:ext cx="1499936" cy="899961"/>
        </a:xfrm>
        <a:prstGeom prst="rect">
          <a:avLst/>
        </a:prstGeom>
        <a:solidFill>
          <a:schemeClr val="accent2">
            <a:lumMod val="40000"/>
            <a:lumOff val="6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3. Revise Non-Labor Income</a:t>
          </a:r>
        </a:p>
      </dsp:txBody>
      <dsp:txXfrm>
        <a:off x="4352504" y="1245469"/>
        <a:ext cx="1499936" cy="899961"/>
      </dsp:txXfrm>
    </dsp:sp>
    <dsp:sp modelId="{78FA6027-4658-429F-8339-97D71E2A94B5}">
      <dsp:nvSpPr>
        <dsp:cNvPr id="0" name=""/>
        <dsp:cNvSpPr/>
      </dsp:nvSpPr>
      <dsp:spPr>
        <a:xfrm>
          <a:off x="2391577" y="2472120"/>
          <a:ext cx="1499936" cy="899961"/>
        </a:xfrm>
        <a:prstGeom prst="rect">
          <a:avLst/>
        </a:prstGeom>
        <a:solidFill>
          <a:srgbClr val="FF9797"/>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4. Make sure you marked all checkboxes, save the file and </a:t>
          </a:r>
          <a:r>
            <a:rPr lang="en-US" sz="1100" b="1" kern="1200">
              <a:solidFill>
                <a:sysClr val="windowText" lastClr="000000"/>
              </a:solidFill>
              <a:latin typeface="Arial" panose="020B0604020202020204" pitchFamily="34" charset="0"/>
              <a:cs typeface="Arial" panose="020B0604020202020204" pitchFamily="34" charset="0"/>
            </a:rPr>
            <a:t>Submit</a:t>
          </a:r>
          <a:endParaRPr lang="en-US" sz="1100" kern="1200">
            <a:solidFill>
              <a:sysClr val="windowText" lastClr="000000"/>
            </a:solidFill>
            <a:latin typeface="Arial" panose="020B0604020202020204" pitchFamily="34" charset="0"/>
            <a:cs typeface="Arial" panose="020B0604020202020204" pitchFamily="34" charset="0"/>
          </a:endParaRPr>
        </a:p>
      </dsp:txBody>
      <dsp:txXfrm>
        <a:off x="2391577" y="2472120"/>
        <a:ext cx="1499936" cy="899961"/>
      </dsp:txXfrm>
    </dsp:sp>
  </dsp:spTree>
</dsp:drawing>
</file>

<file path=xl/diagrams/layout1.xml><?xml version="1.0" encoding="utf-8"?>
<dgm:layoutDef xmlns:dgm="http://schemas.openxmlformats.org/drawingml/2006/diagram" xmlns:a="http://schemas.openxmlformats.org/drawingml/2006/main" uniqueId="urn:microsoft.com/office/officeart/2005/8/layout/bProcess3">
  <dgm:title val=""/>
  <dgm:desc val=""/>
  <dgm:catLst>
    <dgm:cat type="process" pri="18000"/>
  </dgm:catLst>
  <dgm:sampData>
    <dgm:dataModel>
      <dgm:ptLst>
        <dgm:pt modelId="0" type="doc"/>
        <dgm:pt modelId="1">
          <dgm:prSet phldr="1"/>
        </dgm:pt>
        <dgm:pt modelId="2">
          <dgm:prSet phldr="1"/>
        </dgm:pt>
        <dgm:pt modelId="3">
          <dgm:prSet phldr="1"/>
        </dgm:pt>
        <dgm:pt modelId="4">
          <dgm:prSet phldr="1"/>
        </dgm:pt>
        <dgm:pt modelId="5">
          <dgm:prSet phldr="1"/>
        </dgm:pt>
      </dgm:ptLst>
      <dgm:cxnLst>
        <dgm:cxn modelId="7" srcId="0" destId="1" srcOrd="0" destOrd="0"/>
        <dgm:cxn modelId="8" srcId="0" destId="2" srcOrd="1" destOrd="0"/>
        <dgm:cxn modelId="9" srcId="0" destId="3" srcOrd="2" destOrd="0"/>
        <dgm:cxn modelId="10" srcId="0" destId="4" srcOrd="3" destOrd="0"/>
        <dgm:cxn modelId="11" srcId="0" destId="5" srcOrd="4"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bkpt" val="endCnv"/>
        </dgm:alg>
      </dgm:if>
      <dgm:else name="Name3">
        <dgm:alg type="snake">
          <dgm:param type="grDir" val="tR"/>
          <dgm:param type="flowDir" val="row"/>
          <dgm:param type="contDir" val="sameDir"/>
          <dgm:param type="bkpt" val="endCnv"/>
        </dgm:alg>
      </dgm:else>
    </dgm:choose>
    <dgm:shape xmlns:r="http://schemas.openxmlformats.org/officeDocument/2006/relationships" r:blip="">
      <dgm:adjLst/>
    </dgm:shape>
    <dgm:presOf/>
    <dgm:constrLst>
      <dgm:constr type="w" for="ch" ptType="node" refType="w"/>
      <dgm:constr type="w" for="ch" forName="sibTrans" refType="w" refFor="ch" refPtType="node" op="equ" fact="0.23"/>
      <dgm:constr type="sp" refType="w" refFor="ch" refForName="sibTrans" op="equ"/>
      <dgm:constr type="userB" for="des" forName="connectorText" refType="sp"/>
      <dgm:constr type="primFontSz" for="ch" ptType="node" op="equ" val="65"/>
      <dgm:constr type="h" for="ch" ptType="sibTrans" op="equ"/>
      <dgm:constr type="primFontSz" for="des" forName="connectorText" op="equ" val="55"/>
      <dgm:constr type="primFontSz" for="des" forName="connectorText" refType="primFontSz" refFor="ch" refPtType="node" op="lte" fact="0.8"/>
    </dgm:constrLst>
    <dgm:ruleLst/>
    <dgm:forEach name="nodesForEach" axis="ch" ptType="node">
      <dgm:layoutNode name="node">
        <dgm:varLst>
          <dgm:bulletEnabled val="1"/>
        </dgm:varLst>
        <dgm:alg type="tx"/>
        <dgm:shape xmlns:r="http://schemas.openxmlformats.org/officeDocument/2006/relationships" type="rect" r:blip="">
          <dgm:adjLst/>
        </dgm:shape>
        <dgm:presOf axis="desOrSelf" ptType="node"/>
        <dgm:constrLst>
          <dgm:constr type="h" refType="w" fact="0.6"/>
        </dgm:constrLst>
        <dgm:ruleLst>
          <dgm:rule type="primFontSz" val="5" fact="NaN" max="NaN"/>
        </dgm:ruleLst>
      </dgm:layoutNode>
      <dgm:forEach name="sibTransForEach" axis="followSib" ptType="sibTrans" cnt="1">
        <dgm:layoutNode name="sibTrans">
          <dgm:choose name="Name4">
            <dgm:if name="Name5" axis="self" func="var" arg="dir" op="equ" val="norm">
              <dgm:alg type="conn">
                <dgm:param type="connRout" val="bend"/>
                <dgm:param type="dim" val="1D"/>
                <dgm:param type="begPts" val="midR bCtr"/>
                <dgm:param type="endPts" val="midL tCtr"/>
              </dgm:alg>
            </dgm:if>
            <dgm:else name="Name6">
              <dgm:alg type="conn">
                <dgm:param type="connRout" val="bend"/>
                <dgm:param type="dim" val="1D"/>
                <dgm:param type="begPts" val="midL bCtr"/>
                <dgm:param type="endPts" val="midR tCtr"/>
              </dgm:alg>
            </dgm:else>
          </dgm:choose>
          <dgm:shape xmlns:r="http://schemas.openxmlformats.org/officeDocument/2006/relationships" type="conn" r:blip="" zOrderOff="-2">
            <dgm:adjLst/>
          </dgm:shape>
          <dgm:presOf axis="self"/>
          <dgm:constrLst>
            <dgm:constr type="begPad" val="-0.05"/>
            <dgm:constr type="endPad" val="0.9"/>
            <dgm:constr type="userA" for="ch" refType="connDist"/>
          </dgm:constrLst>
          <dgm:ruleLst/>
          <dgm:layoutNode name="connectorText">
            <dgm:alg type="tx">
              <dgm:param type="autoTxRot" val="upr"/>
            </dgm:alg>
            <dgm:shape xmlns:r="http://schemas.openxmlformats.org/officeDocument/2006/relationships" type="rect" r:blip="" hideGeom="1">
              <dgm:adjLst/>
            </dgm:shape>
            <dgm:presOf axis="self"/>
            <dgm:constrLst>
              <dgm:constr type="userA"/>
              <dgm:constr type="userB"/>
              <dgm:constr type="w" refType="userA" fact="0.05"/>
              <dgm:constr type="h" refType="userB" fact="0.01"/>
              <dgm:constr type="lMarg" val="1"/>
              <dgm:constr type="rMarg" val="1"/>
              <dgm:constr type="tMarg"/>
              <dgm:constr type="bMarg"/>
            </dgm:constrLst>
            <dgm:ruleLst>
              <dgm:rule type="w" val="NaN" fact="0.6" max="NaN"/>
              <dgm:rule type="h" val="NaN" fact="0.6" max="NaN"/>
              <dgm:rule type="primFontSz" val="5" fact="NaN" max="NaN"/>
            </dgm:ruleLst>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2.xml.rels><?xml version="1.0" encoding="UTF-8" standalone="yes"?>
<Relationships xmlns="http://schemas.openxmlformats.org/package/2006/relationships"><Relationship Id="rId1" Type="http://schemas.openxmlformats.org/officeDocument/2006/relationships/hyperlink" Target="#'2.1 LABOR STRUCTURE'!A1"/></Relationships>
</file>

<file path=xl/drawings/_rels/drawing3.xml.rels><?xml version="1.0" encoding="UTF-8" standalone="yes"?>
<Relationships xmlns="http://schemas.openxmlformats.org/package/2006/relationships"><Relationship Id="rId2" Type="http://schemas.openxmlformats.org/officeDocument/2006/relationships/hyperlink" Target="#'2.2 LABOR INCOME &amp; PRODUCTIVITY'!B4"/><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2.1 LABOR STRUCTURE'!A1"/><Relationship Id="rId5" Type="http://schemas.openxmlformats.org/officeDocument/2006/relationships/hyperlink" Target="#'2.2 LABOR INCOME &amp; PRODUCTIVITY'!B12"/><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hyperlink" Target="#'3. NON-LABOR INCOME'!B4"/><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hyperlink" Target="#'4. SUMMARY AND SUBMISSION'!A1"/></Relationships>
</file>

<file path=xl/drawings/_rels/vmlDrawing7.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xdr:col>
      <xdr:colOff>352424</xdr:colOff>
      <xdr:row>23</xdr:row>
      <xdr:rowOff>28575</xdr:rowOff>
    </xdr:from>
    <xdr:to>
      <xdr:col>6</xdr:col>
      <xdr:colOff>619125</xdr:colOff>
      <xdr:row>41</xdr:row>
      <xdr:rowOff>161925</xdr:rowOff>
    </xdr:to>
    <xdr:graphicFrame macro="">
      <xdr:nvGraphicFramePr>
        <xdr:cNvPr id="13" name="Diagram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390525</xdr:colOff>
          <xdr:row>5</xdr:row>
          <xdr:rowOff>190500</xdr:rowOff>
        </xdr:from>
        <xdr:to>
          <xdr:col>5</xdr:col>
          <xdr:colOff>609600</xdr:colOff>
          <xdr:row>6</xdr:row>
          <xdr:rowOff>180975</xdr:rowOff>
        </xdr:to>
        <xdr:sp macro="" textlink="">
          <xdr:nvSpPr>
            <xdr:cNvPr id="67585" name="Check Box 1" hidden="1">
              <a:extLst>
                <a:ext uri="{63B3BB69-23CF-44E3-9099-C40C66FF867C}">
                  <a14:compatExt spid="_x0000_s67585"/>
                </a:ext>
                <a:ext uri="{FF2B5EF4-FFF2-40B4-BE49-F238E27FC236}">
                  <a16:creationId xmlns:a16="http://schemas.microsoft.com/office/drawing/2014/main" id="{00000000-0008-0000-0200-0000010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180974</xdr:colOff>
      <xdr:row>11</xdr:row>
      <xdr:rowOff>85725</xdr:rowOff>
    </xdr:from>
    <xdr:to>
      <xdr:col>6</xdr:col>
      <xdr:colOff>112394</xdr:colOff>
      <xdr:row>18</xdr:row>
      <xdr:rowOff>57150</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180974" y="2143125"/>
          <a:ext cx="3093720" cy="1238250"/>
        </a:xfrm>
        <a:prstGeom prst="rightArrow">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GO TO LABOR STUCTURE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8</xdr:row>
          <xdr:rowOff>76200</xdr:rowOff>
        </xdr:from>
        <xdr:to>
          <xdr:col>4</xdr:col>
          <xdr:colOff>790575</xdr:colOff>
          <xdr:row>9</xdr:row>
          <xdr:rowOff>142875</xdr:rowOff>
        </xdr:to>
        <xdr:sp macro="" textlink="">
          <xdr:nvSpPr>
            <xdr:cNvPr id="66561" name="Check Box 1" hidden="1">
              <a:extLst>
                <a:ext uri="{63B3BB69-23CF-44E3-9099-C40C66FF867C}">
                  <a14:compatExt spid="_x0000_s66561"/>
                </a:ext>
                <a:ext uri="{FF2B5EF4-FFF2-40B4-BE49-F238E27FC236}">
                  <a16:creationId xmlns:a16="http://schemas.microsoft.com/office/drawing/2014/main" id="{00000000-0008-0000-0300-000001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190500</xdr:rowOff>
        </xdr:from>
        <xdr:to>
          <xdr:col>4</xdr:col>
          <xdr:colOff>790575</xdr:colOff>
          <xdr:row>11</xdr:row>
          <xdr:rowOff>66675</xdr:rowOff>
        </xdr:to>
        <xdr:sp macro="" textlink="">
          <xdr:nvSpPr>
            <xdr:cNvPr id="66562" name="Check Box 2"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11</xdr:row>
          <xdr:rowOff>295275</xdr:rowOff>
        </xdr:from>
        <xdr:to>
          <xdr:col>4</xdr:col>
          <xdr:colOff>800100</xdr:colOff>
          <xdr:row>13</xdr:row>
          <xdr:rowOff>28575</xdr:rowOff>
        </xdr:to>
        <xdr:sp macro="" textlink="">
          <xdr:nvSpPr>
            <xdr:cNvPr id="66563" name="Check Box 3"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1257300</xdr:colOff>
      <xdr:row>20</xdr:row>
      <xdr:rowOff>95250</xdr:rowOff>
    </xdr:from>
    <xdr:to>
      <xdr:col>2</xdr:col>
      <xdr:colOff>1990959</xdr:colOff>
      <xdr:row>23</xdr:row>
      <xdr:rowOff>97609</xdr:rowOff>
    </xdr:to>
    <xdr:sp macro="[0]!Module8.sbHidingUnHideColumns" textlink="">
      <xdr:nvSpPr>
        <xdr:cNvPr id="3" name="Rectangle 2">
          <a:extLst>
            <a:ext uri="{FF2B5EF4-FFF2-40B4-BE49-F238E27FC236}">
              <a16:creationId xmlns:a16="http://schemas.microsoft.com/office/drawing/2014/main" id="{00000000-0008-0000-0300-000003000000}"/>
            </a:ext>
          </a:extLst>
        </xdr:cNvPr>
        <xdr:cNvSpPr/>
      </xdr:nvSpPr>
      <xdr:spPr>
        <a:xfrm>
          <a:off x="3038475" y="3514725"/>
          <a:ext cx="733659" cy="564334"/>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2060"/>
              </a:solidFill>
              <a:latin typeface="Arial" panose="020B0604020202020204" pitchFamily="34" charset="0"/>
              <a:cs typeface="Arial" panose="020B0604020202020204" pitchFamily="34" charset="0"/>
            </a:rPr>
            <a:t>Show</a:t>
          </a:r>
          <a:r>
            <a:rPr lang="en-US" sz="900" b="1" baseline="0">
              <a:solidFill>
                <a:srgbClr val="002060"/>
              </a:solidFill>
              <a:latin typeface="Arial" panose="020B0604020202020204" pitchFamily="34" charset="0"/>
              <a:cs typeface="Arial" panose="020B0604020202020204" pitchFamily="34" charset="0"/>
            </a:rPr>
            <a:t> historical data</a:t>
          </a:r>
        </a:p>
      </xdr:txBody>
    </xdr:sp>
    <xdr:clientData/>
  </xdr:twoCellAnchor>
  <xdr:twoCellAnchor>
    <xdr:from>
      <xdr:col>2</xdr:col>
      <xdr:colOff>2130426</xdr:colOff>
      <xdr:row>20</xdr:row>
      <xdr:rowOff>95250</xdr:rowOff>
    </xdr:from>
    <xdr:to>
      <xdr:col>2</xdr:col>
      <xdr:colOff>2861946</xdr:colOff>
      <xdr:row>23</xdr:row>
      <xdr:rowOff>82550</xdr:rowOff>
    </xdr:to>
    <xdr:sp macro="[0]!Module7.Hide_Columns" textlink="">
      <xdr:nvSpPr>
        <xdr:cNvPr id="4" name="Rectangle 3">
          <a:extLst>
            <a:ext uri="{FF2B5EF4-FFF2-40B4-BE49-F238E27FC236}">
              <a16:creationId xmlns:a16="http://schemas.microsoft.com/office/drawing/2014/main" id="{00000000-0008-0000-0300-000004000000}"/>
            </a:ext>
          </a:extLst>
        </xdr:cNvPr>
        <xdr:cNvSpPr/>
      </xdr:nvSpPr>
      <xdr:spPr>
        <a:xfrm>
          <a:off x="3911601" y="3514725"/>
          <a:ext cx="731520" cy="54927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2060"/>
              </a:solidFill>
              <a:latin typeface="Arial" panose="020B0604020202020204" pitchFamily="34" charset="0"/>
              <a:cs typeface="Arial" panose="020B0604020202020204" pitchFamily="34" charset="0"/>
            </a:rPr>
            <a:t>Hide</a:t>
          </a:r>
          <a:r>
            <a:rPr lang="en-US" sz="900" b="1" baseline="0">
              <a:solidFill>
                <a:srgbClr val="002060"/>
              </a:solidFill>
              <a:latin typeface="Arial" panose="020B0604020202020204" pitchFamily="34" charset="0"/>
              <a:cs typeface="Arial" panose="020B0604020202020204" pitchFamily="34" charset="0"/>
            </a:rPr>
            <a:t> historical data</a:t>
          </a:r>
        </a:p>
        <a:p>
          <a:pPr algn="ctr"/>
          <a:endParaRPr lang="en-US" sz="900" b="1">
            <a:solidFill>
              <a:srgbClr val="002060"/>
            </a:solidFill>
            <a:latin typeface="Arial" panose="020B0604020202020204" pitchFamily="34" charset="0"/>
            <a:cs typeface="Arial" panose="020B0604020202020204" pitchFamily="34" charset="0"/>
          </a:endParaRPr>
        </a:p>
      </xdr:txBody>
    </xdr:sp>
    <xdr:clientData/>
  </xdr:twoCellAnchor>
  <xdr:twoCellAnchor editAs="oneCell">
    <xdr:from>
      <xdr:col>6</xdr:col>
      <xdr:colOff>92076</xdr:colOff>
      <xdr:row>65</xdr:row>
      <xdr:rowOff>47625</xdr:rowOff>
    </xdr:from>
    <xdr:to>
      <xdr:col>7</xdr:col>
      <xdr:colOff>1704975</xdr:colOff>
      <xdr:row>69</xdr:row>
      <xdr:rowOff>140969</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l="-1" r="6498"/>
        <a:stretch/>
      </xdr:blipFill>
      <xdr:spPr>
        <a:xfrm>
          <a:off x="7407276" y="8626475"/>
          <a:ext cx="3803650" cy="812799"/>
        </a:xfrm>
        <a:prstGeom prst="rect">
          <a:avLst/>
        </a:prstGeom>
      </xdr:spPr>
    </xdr:pic>
    <xdr:clientData/>
  </xdr:twoCellAnchor>
  <xdr:twoCellAnchor>
    <xdr:from>
      <xdr:col>2</xdr:col>
      <xdr:colOff>1038225</xdr:colOff>
      <xdr:row>35</xdr:row>
      <xdr:rowOff>171450</xdr:rowOff>
    </xdr:from>
    <xdr:to>
      <xdr:col>3</xdr:col>
      <xdr:colOff>569595</xdr:colOff>
      <xdr:row>41</xdr:row>
      <xdr:rowOff>114300</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1228725" y="5267325"/>
          <a:ext cx="2560320" cy="914400"/>
        </a:xfrm>
        <a:prstGeom prst="rightArrow">
          <a:avLst/>
        </a:prstGeom>
        <a:solidFill>
          <a:srgbClr val="B8E08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213315"/>
              </a:solidFill>
              <a:effectLst/>
              <a:uLnTx/>
              <a:uFillTx/>
              <a:latin typeface="Arial" panose="020B0604020202020204" pitchFamily="34" charset="0"/>
              <a:ea typeface="+mn-ea"/>
              <a:cs typeface="Arial" panose="020B0604020202020204" pitchFamily="34" charset="0"/>
            </a:rPr>
            <a:t>GO TO LABOR INCOME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276225</xdr:colOff>
          <xdr:row>8</xdr:row>
          <xdr:rowOff>161925</xdr:rowOff>
        </xdr:from>
        <xdr:to>
          <xdr:col>8</xdr:col>
          <xdr:colOff>0</xdr:colOff>
          <xdr:row>10</xdr:row>
          <xdr:rowOff>9525</xdr:rowOff>
        </xdr:to>
        <xdr:sp macro="" textlink="">
          <xdr:nvSpPr>
            <xdr:cNvPr id="70657" name="Check Box 1" hidden="1">
              <a:extLst>
                <a:ext uri="{63B3BB69-23CF-44E3-9099-C40C66FF867C}">
                  <a14:compatExt spid="_x0000_s70657"/>
                </a:ext>
                <a:ext uri="{FF2B5EF4-FFF2-40B4-BE49-F238E27FC236}">
                  <a16:creationId xmlns:a16="http://schemas.microsoft.com/office/drawing/2014/main" id="{00000000-0008-0000-0400-0000011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28575</xdr:colOff>
      <xdr:row>3</xdr:row>
      <xdr:rowOff>219074</xdr:rowOff>
    </xdr:from>
    <xdr:to>
      <xdr:col>21</xdr:col>
      <xdr:colOff>942975</xdr:colOff>
      <xdr:row>7</xdr:row>
      <xdr:rowOff>22859</xdr:rowOff>
    </xdr:to>
    <xdr:sp macro="[0]!Module4.Hide_Columns" textlink="">
      <xdr:nvSpPr>
        <xdr:cNvPr id="2" name="Rectangle 1">
          <a:extLst>
            <a:ext uri="{FF2B5EF4-FFF2-40B4-BE49-F238E27FC236}">
              <a16:creationId xmlns:a16="http://schemas.microsoft.com/office/drawing/2014/main" id="{00000000-0008-0000-0400-000002000000}"/>
            </a:ext>
            <a:ext uri="{147F2762-F138-4A5C-976F-8EAC2B608ADB}">
              <a16:predDERef xmlns:a16="http://schemas.microsoft.com/office/drawing/2014/main" pred="{00000000-0008-0000-0400-000001A40000}"/>
            </a:ext>
          </a:extLst>
        </xdr:cNvPr>
        <xdr:cNvSpPr/>
      </xdr:nvSpPr>
      <xdr:spPr>
        <a:xfrm>
          <a:off x="11734800" y="819149"/>
          <a:ext cx="914400" cy="58483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002060"/>
              </a:solidFill>
              <a:latin typeface="Arial" panose="020B0604020202020204" pitchFamily="34" charset="0"/>
              <a:cs typeface="Arial" panose="020B0604020202020204" pitchFamily="34" charset="0"/>
            </a:rPr>
            <a:t>Hide  Elasticity per Year</a:t>
          </a:r>
          <a:endParaRPr lang="en-US" sz="800" b="1" baseline="0">
            <a:solidFill>
              <a:srgbClr val="002060"/>
            </a:solidFill>
            <a:latin typeface="Arial" panose="020B0604020202020204" pitchFamily="34" charset="0"/>
            <a:cs typeface="Arial" panose="020B0604020202020204" pitchFamily="34" charset="0"/>
          </a:endParaRPr>
        </a:p>
      </xdr:txBody>
    </xdr:sp>
    <xdr:clientData/>
  </xdr:twoCellAnchor>
  <xdr:twoCellAnchor>
    <xdr:from>
      <xdr:col>21</xdr:col>
      <xdr:colOff>38099</xdr:colOff>
      <xdr:row>0</xdr:row>
      <xdr:rowOff>180974</xdr:rowOff>
    </xdr:from>
    <xdr:to>
      <xdr:col>21</xdr:col>
      <xdr:colOff>952499</xdr:colOff>
      <xdr:row>3</xdr:row>
      <xdr:rowOff>165734</xdr:rowOff>
    </xdr:to>
    <xdr:sp macro="[0]!Module3.sbHidingUnHideColumns" textlink="">
      <xdr:nvSpPr>
        <xdr:cNvPr id="3" name="Rectangle 2">
          <a:extLst>
            <a:ext uri="{FF2B5EF4-FFF2-40B4-BE49-F238E27FC236}">
              <a16:creationId xmlns:a16="http://schemas.microsoft.com/office/drawing/2014/main" id="{00000000-0008-0000-0400-000003000000}"/>
            </a:ext>
            <a:ext uri="{147F2762-F138-4A5C-976F-8EAC2B608ADB}">
              <a16:predDERef xmlns:a16="http://schemas.microsoft.com/office/drawing/2014/main" pred="{00000000-0008-0000-0400-000002000000}"/>
            </a:ext>
          </a:extLst>
        </xdr:cNvPr>
        <xdr:cNvSpPr/>
      </xdr:nvSpPr>
      <xdr:spPr>
        <a:xfrm>
          <a:off x="11744324" y="180974"/>
          <a:ext cx="914400" cy="58483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800" b="1">
              <a:solidFill>
                <a:srgbClr val="002060"/>
              </a:solidFill>
              <a:latin typeface="Arial" panose="020B0604020202020204" pitchFamily="34" charset="0"/>
              <a:ea typeface="+mn-lt"/>
              <a:cs typeface="Arial" panose="020B0604020202020204" pitchFamily="34" charset="0"/>
            </a:rPr>
            <a:t>Show Elasticity per year</a:t>
          </a:r>
        </a:p>
      </xdr:txBody>
    </xdr:sp>
    <xdr:clientData/>
  </xdr:twoCellAnchor>
  <xdr:twoCellAnchor editAs="oneCell">
    <xdr:from>
      <xdr:col>45</xdr:col>
      <xdr:colOff>85725</xdr:colOff>
      <xdr:row>4</xdr:row>
      <xdr:rowOff>142874</xdr:rowOff>
    </xdr:from>
    <xdr:to>
      <xdr:col>53</xdr:col>
      <xdr:colOff>1</xdr:colOff>
      <xdr:row>27</xdr:row>
      <xdr:rowOff>129644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934950" y="685799"/>
          <a:ext cx="4752976" cy="4187295"/>
        </a:xfrm>
        <a:prstGeom prst="rect">
          <a:avLst/>
        </a:prstGeom>
        <a:solidFill>
          <a:schemeClr val="accent5">
            <a:lumMod val="20000"/>
            <a:lumOff val="80000"/>
          </a:schemeClr>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35</xdr:col>
      <xdr:colOff>85725</xdr:colOff>
      <xdr:row>4</xdr:row>
      <xdr:rowOff>38100</xdr:rowOff>
    </xdr:from>
    <xdr:to>
      <xdr:col>42</xdr:col>
      <xdr:colOff>474345</xdr:colOff>
      <xdr:row>24</xdr:row>
      <xdr:rowOff>120015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180975</xdr:colOff>
          <xdr:row>6</xdr:row>
          <xdr:rowOff>76200</xdr:rowOff>
        </xdr:from>
        <xdr:to>
          <xdr:col>3</xdr:col>
          <xdr:colOff>409575</xdr:colOff>
          <xdr:row>7</xdr:row>
          <xdr:rowOff>104775</xdr:rowOff>
        </xdr:to>
        <xdr:sp macro="" textlink="">
          <xdr:nvSpPr>
            <xdr:cNvPr id="69633" name="Check Box 1" hidden="1">
              <a:extLst>
                <a:ext uri="{63B3BB69-23CF-44E3-9099-C40C66FF867C}">
                  <a14:compatExt spid="_x0000_s69633"/>
                </a:ext>
                <a:ext uri="{FF2B5EF4-FFF2-40B4-BE49-F238E27FC236}">
                  <a16:creationId xmlns:a16="http://schemas.microsoft.com/office/drawing/2014/main" id="{00000000-0008-0000-0500-000001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27</xdr:col>
      <xdr:colOff>295275</xdr:colOff>
      <xdr:row>4</xdr:row>
      <xdr:rowOff>38099</xdr:rowOff>
    </xdr:from>
    <xdr:to>
      <xdr:col>35</xdr:col>
      <xdr:colOff>112395</xdr:colOff>
      <xdr:row>24</xdr:row>
      <xdr:rowOff>120014</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234950</xdr:colOff>
      <xdr:row>28</xdr:row>
      <xdr:rowOff>38099</xdr:rowOff>
    </xdr:from>
    <xdr:to>
      <xdr:col>35</xdr:col>
      <xdr:colOff>52070</xdr:colOff>
      <xdr:row>47</xdr:row>
      <xdr:rowOff>139064</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57150</xdr:colOff>
      <xdr:row>28</xdr:row>
      <xdr:rowOff>28575</xdr:rowOff>
    </xdr:from>
    <xdr:to>
      <xdr:col>42</xdr:col>
      <xdr:colOff>445770</xdr:colOff>
      <xdr:row>47</xdr:row>
      <xdr:rowOff>129540</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40</xdr:row>
      <xdr:rowOff>133350</xdr:rowOff>
    </xdr:from>
    <xdr:to>
      <xdr:col>3</xdr:col>
      <xdr:colOff>264795</xdr:colOff>
      <xdr:row>45</xdr:row>
      <xdr:rowOff>142875</xdr:rowOff>
    </xdr:to>
    <xdr:sp macro="" textlink="">
      <xdr:nvSpPr>
        <xdr:cNvPr id="7" name="Arrow: Left 6">
          <a:hlinkClick xmlns:r="http://schemas.openxmlformats.org/officeDocument/2006/relationships" r:id="rId5"/>
          <a:extLst>
            <a:ext uri="{FF2B5EF4-FFF2-40B4-BE49-F238E27FC236}">
              <a16:creationId xmlns:a16="http://schemas.microsoft.com/office/drawing/2014/main" id="{00000000-0008-0000-0500-000007000000}"/>
            </a:ext>
          </a:extLst>
        </xdr:cNvPr>
        <xdr:cNvSpPr/>
      </xdr:nvSpPr>
      <xdr:spPr>
        <a:xfrm>
          <a:off x="190500" y="5695950"/>
          <a:ext cx="2560320" cy="914400"/>
        </a:xfrm>
        <a:prstGeom prst="leftArrow">
          <a:avLst/>
        </a:prstGeom>
        <a:solidFill>
          <a:srgbClr val="B8E08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213315"/>
              </a:solidFill>
              <a:latin typeface="Arial" panose="020B0604020202020204" pitchFamily="34" charset="0"/>
              <a:cs typeface="Arial" panose="020B0604020202020204" pitchFamily="34" charset="0"/>
            </a:rPr>
            <a:t>REVISE LABOR INCOME</a:t>
          </a:r>
        </a:p>
      </xdr:txBody>
    </xdr:sp>
    <xdr:clientData/>
  </xdr:twoCellAnchor>
  <mc:AlternateContent xmlns:mc="http://schemas.openxmlformats.org/markup-compatibility/2006">
    <mc:Choice xmlns:a14="http://schemas.microsoft.com/office/drawing/2010/main" Requires="a14">
      <xdr:twoCellAnchor editAs="oneCell">
        <xdr:from>
          <xdr:col>2</xdr:col>
          <xdr:colOff>190500</xdr:colOff>
          <xdr:row>30</xdr:row>
          <xdr:rowOff>104775</xdr:rowOff>
        </xdr:from>
        <xdr:to>
          <xdr:col>3</xdr:col>
          <xdr:colOff>409575</xdr:colOff>
          <xdr:row>31</xdr:row>
          <xdr:rowOff>123825</xdr:rowOff>
        </xdr:to>
        <xdr:sp macro="" textlink="">
          <xdr:nvSpPr>
            <xdr:cNvPr id="69636" name="Check Box 4" hidden="1">
              <a:extLst>
                <a:ext uri="{63B3BB69-23CF-44E3-9099-C40C66FF867C}">
                  <a14:compatExt spid="_x0000_s69636"/>
                </a:ext>
                <a:ext uri="{FF2B5EF4-FFF2-40B4-BE49-F238E27FC236}">
                  <a16:creationId xmlns:a16="http://schemas.microsoft.com/office/drawing/2014/main" id="{00000000-0008-0000-0500-000004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114299</xdr:colOff>
      <xdr:row>23</xdr:row>
      <xdr:rowOff>133350</xdr:rowOff>
    </xdr:from>
    <xdr:to>
      <xdr:col>3</xdr:col>
      <xdr:colOff>188594</xdr:colOff>
      <xdr:row>28</xdr:row>
      <xdr:rowOff>76200</xdr:rowOff>
    </xdr:to>
    <xdr:sp macro="" textlink="">
      <xdr:nvSpPr>
        <xdr:cNvPr id="9" name="Arrow: Left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4299" y="3448050"/>
          <a:ext cx="2560320" cy="914400"/>
        </a:xfrm>
        <a:prstGeom prst="leftArrow">
          <a:avLst/>
        </a:prstGeom>
        <a:solidFill>
          <a:schemeClr val="accent5">
            <a:lumMod val="75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chemeClr val="bg1"/>
              </a:solidFill>
              <a:effectLst/>
              <a:uLnTx/>
              <a:uFillTx/>
              <a:latin typeface="Arial" panose="020B0604020202020204" pitchFamily="34" charset="0"/>
              <a:ea typeface="+mn-ea"/>
              <a:cs typeface="Arial" panose="020B0604020202020204" pitchFamily="34" charset="0"/>
            </a:rPr>
            <a:t>REVISE LABOR STRUCTURE</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485775</xdr:colOff>
          <xdr:row>6</xdr:row>
          <xdr:rowOff>28575</xdr:rowOff>
        </xdr:from>
        <xdr:to>
          <xdr:col>5</xdr:col>
          <xdr:colOff>561975</xdr:colOff>
          <xdr:row>7</xdr:row>
          <xdr:rowOff>9525</xdr:rowOff>
        </xdr:to>
        <xdr:sp macro="" textlink="">
          <xdr:nvSpPr>
            <xdr:cNvPr id="71681" name="Check Box 1" hidden="1">
              <a:extLst>
                <a:ext uri="{63B3BB69-23CF-44E3-9099-C40C66FF867C}">
                  <a14:compatExt spid="_x0000_s71681"/>
                </a:ext>
                <a:ext uri="{FF2B5EF4-FFF2-40B4-BE49-F238E27FC236}">
                  <a16:creationId xmlns:a16="http://schemas.microsoft.com/office/drawing/2014/main" id="{00000000-0008-0000-0600-000001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8</xdr:row>
          <xdr:rowOff>114300</xdr:rowOff>
        </xdr:from>
        <xdr:to>
          <xdr:col>5</xdr:col>
          <xdr:colOff>0</xdr:colOff>
          <xdr:row>9</xdr:row>
          <xdr:rowOff>161925</xdr:rowOff>
        </xdr:to>
        <xdr:sp macro="" textlink="">
          <xdr:nvSpPr>
            <xdr:cNvPr id="71682" name="Check Box 2" hidden="1">
              <a:extLst>
                <a:ext uri="{63B3BB69-23CF-44E3-9099-C40C66FF867C}">
                  <a14:compatExt spid="_x0000_s71682"/>
                </a:ext>
                <a:ext uri="{FF2B5EF4-FFF2-40B4-BE49-F238E27FC236}">
                  <a16:creationId xmlns:a16="http://schemas.microsoft.com/office/drawing/2014/main" id="{00000000-0008-0000-0600-000002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9</xdr:row>
          <xdr:rowOff>276225</xdr:rowOff>
        </xdr:from>
        <xdr:to>
          <xdr:col>5</xdr:col>
          <xdr:colOff>561975</xdr:colOff>
          <xdr:row>11</xdr:row>
          <xdr:rowOff>0</xdr:rowOff>
        </xdr:to>
        <xdr:sp macro="" textlink="">
          <xdr:nvSpPr>
            <xdr:cNvPr id="71683" name="Check Box 3" hidden="1">
              <a:extLst>
                <a:ext uri="{63B3BB69-23CF-44E3-9099-C40C66FF867C}">
                  <a14:compatExt spid="_x0000_s71683"/>
                </a:ext>
                <a:ext uri="{FF2B5EF4-FFF2-40B4-BE49-F238E27FC236}">
                  <a16:creationId xmlns:a16="http://schemas.microsoft.com/office/drawing/2014/main" id="{00000000-0008-0000-0600-000003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12</xdr:row>
          <xdr:rowOff>47625</xdr:rowOff>
        </xdr:from>
        <xdr:to>
          <xdr:col>5</xdr:col>
          <xdr:colOff>523875</xdr:colOff>
          <xdr:row>13</xdr:row>
          <xdr:rowOff>66675</xdr:rowOff>
        </xdr:to>
        <xdr:sp macro="" textlink="">
          <xdr:nvSpPr>
            <xdr:cNvPr id="71684" name="Check Box 4" hidden="1">
              <a:extLst>
                <a:ext uri="{63B3BB69-23CF-44E3-9099-C40C66FF867C}">
                  <a14:compatExt spid="_x0000_s71684"/>
                </a:ext>
                <a:ext uri="{FF2B5EF4-FFF2-40B4-BE49-F238E27FC236}">
                  <a16:creationId xmlns:a16="http://schemas.microsoft.com/office/drawing/2014/main" id="{00000000-0008-0000-0600-000004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2398186</xdr:colOff>
      <xdr:row>15</xdr:row>
      <xdr:rowOff>160871</xdr:rowOff>
    </xdr:from>
    <xdr:to>
      <xdr:col>2</xdr:col>
      <xdr:colOff>3129706</xdr:colOff>
      <xdr:row>18</xdr:row>
      <xdr:rowOff>62573</xdr:rowOff>
    </xdr:to>
    <xdr:sp macro="[0]!Module6.Hide_Columns" textlink="">
      <xdr:nvSpPr>
        <xdr:cNvPr id="3" name="Rectangle 2">
          <a:extLst>
            <a:ext uri="{FF2B5EF4-FFF2-40B4-BE49-F238E27FC236}">
              <a16:creationId xmlns:a16="http://schemas.microsoft.com/office/drawing/2014/main" id="{00000000-0008-0000-0600-000003000000}"/>
            </a:ext>
          </a:extLst>
        </xdr:cNvPr>
        <xdr:cNvSpPr/>
      </xdr:nvSpPr>
      <xdr:spPr>
        <a:xfrm>
          <a:off x="2588686" y="3475571"/>
          <a:ext cx="731520" cy="530352"/>
        </a:xfrm>
        <a:prstGeom prst="rect">
          <a:avLst/>
        </a:prstGeom>
        <a:solidFill>
          <a:srgbClr val="CCE9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b="1">
              <a:solidFill>
                <a:srgbClr val="213315"/>
              </a:solidFill>
              <a:latin typeface="Arial" panose="020B0604020202020204" pitchFamily="34" charset="0"/>
              <a:cs typeface="Arial" panose="020B0604020202020204" pitchFamily="34" charset="0"/>
            </a:rPr>
            <a:t>Hide</a:t>
          </a:r>
          <a:r>
            <a:rPr lang="en-US" sz="900" b="1" baseline="0">
              <a:solidFill>
                <a:srgbClr val="213315"/>
              </a:solidFill>
              <a:latin typeface="Arial" panose="020B0604020202020204" pitchFamily="34" charset="0"/>
              <a:cs typeface="Arial" panose="020B0604020202020204" pitchFamily="34" charset="0"/>
            </a:rPr>
            <a:t> historical data</a:t>
          </a:r>
        </a:p>
        <a:p>
          <a:pPr algn="ctr"/>
          <a:endParaRPr lang="en-US" sz="900" b="1">
            <a:solidFill>
              <a:srgbClr val="213315"/>
            </a:solidFill>
            <a:latin typeface="Arial" panose="020B0604020202020204" pitchFamily="34" charset="0"/>
            <a:cs typeface="Arial" panose="020B0604020202020204" pitchFamily="34" charset="0"/>
          </a:endParaRPr>
        </a:p>
      </xdr:txBody>
    </xdr:sp>
    <xdr:clientData/>
  </xdr:twoCellAnchor>
  <xdr:twoCellAnchor>
    <xdr:from>
      <xdr:col>2</xdr:col>
      <xdr:colOff>1562103</xdr:colOff>
      <xdr:row>15</xdr:row>
      <xdr:rowOff>151346</xdr:rowOff>
    </xdr:from>
    <xdr:to>
      <xdr:col>2</xdr:col>
      <xdr:colOff>2293623</xdr:colOff>
      <xdr:row>18</xdr:row>
      <xdr:rowOff>53048</xdr:rowOff>
    </xdr:to>
    <xdr:sp macro="[0]!Module5.sbHidingUnHideColumns" textlink="">
      <xdr:nvSpPr>
        <xdr:cNvPr id="4" name="Rectangle 3">
          <a:extLst>
            <a:ext uri="{FF2B5EF4-FFF2-40B4-BE49-F238E27FC236}">
              <a16:creationId xmlns:a16="http://schemas.microsoft.com/office/drawing/2014/main" id="{00000000-0008-0000-0600-000004000000}"/>
            </a:ext>
          </a:extLst>
        </xdr:cNvPr>
        <xdr:cNvSpPr/>
      </xdr:nvSpPr>
      <xdr:spPr>
        <a:xfrm>
          <a:off x="1752603" y="3466046"/>
          <a:ext cx="731520" cy="530352"/>
        </a:xfrm>
        <a:prstGeom prst="rect">
          <a:avLst/>
        </a:prstGeom>
        <a:solidFill>
          <a:srgbClr val="CCE9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b="1">
              <a:solidFill>
                <a:srgbClr val="213315"/>
              </a:solidFill>
              <a:latin typeface="Arial" panose="020B0604020202020204" pitchFamily="34" charset="0"/>
              <a:cs typeface="Arial" panose="020B0604020202020204" pitchFamily="34" charset="0"/>
            </a:rPr>
            <a:t>Show</a:t>
          </a:r>
          <a:r>
            <a:rPr lang="en-US" sz="900" b="1" baseline="0">
              <a:solidFill>
                <a:srgbClr val="213315"/>
              </a:solidFill>
              <a:latin typeface="Arial" panose="020B0604020202020204" pitchFamily="34" charset="0"/>
              <a:cs typeface="Arial" panose="020B0604020202020204" pitchFamily="34" charset="0"/>
            </a:rPr>
            <a:t> historical data</a:t>
          </a:r>
        </a:p>
        <a:p>
          <a:pPr algn="ctr"/>
          <a:endParaRPr lang="en-US" sz="900" b="1">
            <a:solidFill>
              <a:srgbClr val="213315"/>
            </a:solidFill>
            <a:latin typeface="Arial" panose="020B0604020202020204" pitchFamily="34" charset="0"/>
            <a:cs typeface="Arial" panose="020B0604020202020204" pitchFamily="34" charset="0"/>
          </a:endParaRPr>
        </a:p>
      </xdr:txBody>
    </xdr:sp>
    <xdr:clientData/>
  </xdr:twoCellAnchor>
  <xdr:twoCellAnchor editAs="oneCell">
    <xdr:from>
      <xdr:col>6</xdr:col>
      <xdr:colOff>133350</xdr:colOff>
      <xdr:row>37</xdr:row>
      <xdr:rowOff>47625</xdr:rowOff>
    </xdr:from>
    <xdr:to>
      <xdr:col>9</xdr:col>
      <xdr:colOff>284481</xdr:colOff>
      <xdr:row>41</xdr:row>
      <xdr:rowOff>53975</xdr:rowOff>
    </xdr:to>
    <xdr:pic>
      <xdr:nvPicPr>
        <xdr:cNvPr id="5" name="Picture 2">
          <a:extLst>
            <a:ext uri="{FF2B5EF4-FFF2-40B4-BE49-F238E27FC236}">
              <a16:creationId xmlns:a16="http://schemas.microsoft.com/office/drawing/2014/main" id="{00000000-0008-0000-0600-000005000000}"/>
            </a:ext>
            <a:ext uri="{147F2762-F138-4A5C-976F-8EAC2B608ADB}">
              <a16:predDERef xmlns:a16="http://schemas.microsoft.com/office/drawing/2014/main" pred="{00000000-0008-0000-0300-00000A000000}"/>
            </a:ext>
          </a:extLst>
        </xdr:cNvPr>
        <xdr:cNvPicPr>
          <a:picLocks noChangeAspect="1"/>
        </xdr:cNvPicPr>
      </xdr:nvPicPr>
      <xdr:blipFill>
        <a:blip xmlns:r="http://schemas.openxmlformats.org/officeDocument/2006/relationships" r:embed="rId1"/>
        <a:stretch>
          <a:fillRect/>
        </a:stretch>
      </xdr:blipFill>
      <xdr:spPr>
        <a:xfrm>
          <a:off x="7486650" y="7550150"/>
          <a:ext cx="3619500" cy="714375"/>
        </a:xfrm>
        <a:prstGeom prst="rect">
          <a:avLst/>
        </a:prstGeom>
      </xdr:spPr>
    </xdr:pic>
    <xdr:clientData/>
  </xdr:twoCellAnchor>
  <xdr:twoCellAnchor>
    <xdr:from>
      <xdr:col>2</xdr:col>
      <xdr:colOff>1171575</xdr:colOff>
      <xdr:row>20</xdr:row>
      <xdr:rowOff>85724</xdr:rowOff>
    </xdr:from>
    <xdr:to>
      <xdr:col>3</xdr:col>
      <xdr:colOff>426720</xdr:colOff>
      <xdr:row>25</xdr:row>
      <xdr:rowOff>66674</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00000000-0008-0000-0600-000006000000}"/>
            </a:ext>
          </a:extLst>
        </xdr:cNvPr>
        <xdr:cNvSpPr/>
      </xdr:nvSpPr>
      <xdr:spPr>
        <a:xfrm>
          <a:off x="1362075" y="4591049"/>
          <a:ext cx="2560320" cy="914400"/>
        </a:xfrm>
        <a:prstGeom prst="rightArrow">
          <a:avLst/>
        </a:prstGeom>
        <a:solidFill>
          <a:schemeClr val="accent2">
            <a:lumMod val="40000"/>
            <a:lumOff val="60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chemeClr val="accent2">
                  <a:lumMod val="50000"/>
                </a:schemeClr>
              </a:solidFill>
              <a:effectLst/>
              <a:uLnTx/>
              <a:uFillTx/>
              <a:latin typeface="Calibri" panose="020F0502020204030204"/>
              <a:ea typeface="+mn-ea"/>
              <a:cs typeface="+mn-cs"/>
            </a:rPr>
            <a:t>GO TO LABOR NON-LABOR INCOME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595923</xdr:colOff>
      <xdr:row>17</xdr:row>
      <xdr:rowOff>158507</xdr:rowOff>
    </xdr:from>
    <xdr:to>
      <xdr:col>2</xdr:col>
      <xdr:colOff>2973363</xdr:colOff>
      <xdr:row>22</xdr:row>
      <xdr:rowOff>63257</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805473" y="3597032"/>
          <a:ext cx="2377440" cy="914400"/>
        </a:xfrm>
        <a:prstGeom prst="rightArrow">
          <a:avLst/>
        </a:prstGeom>
        <a:solidFill>
          <a:srgbClr val="FF979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GO</a:t>
          </a:r>
          <a:r>
            <a:rPr lang="en-US" sz="1100" b="1" baseline="0">
              <a:latin typeface="Arial" panose="020B0604020202020204" pitchFamily="34" charset="0"/>
              <a:cs typeface="Arial" panose="020B0604020202020204" pitchFamily="34" charset="0"/>
            </a:rPr>
            <a:t> TO SUMMARY</a:t>
          </a:r>
        </a:p>
      </xdr:txBody>
    </xdr:sp>
    <xdr:clientData/>
  </xdr:twoCellAnchor>
  <mc:AlternateContent xmlns:mc="http://schemas.openxmlformats.org/markup-compatibility/2006">
    <mc:Choice xmlns:a14="http://schemas.microsoft.com/office/drawing/2010/main" Requires="a14">
      <xdr:twoCellAnchor editAs="oneCell">
        <xdr:from>
          <xdr:col>3</xdr:col>
          <xdr:colOff>447675</xdr:colOff>
          <xdr:row>6</xdr:row>
          <xdr:rowOff>85725</xdr:rowOff>
        </xdr:from>
        <xdr:to>
          <xdr:col>3</xdr:col>
          <xdr:colOff>752475</xdr:colOff>
          <xdr:row>7</xdr:row>
          <xdr:rowOff>123825</xdr:rowOff>
        </xdr:to>
        <xdr:sp macro="" textlink="">
          <xdr:nvSpPr>
            <xdr:cNvPr id="78849" name="Check Box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8</xdr:row>
          <xdr:rowOff>0</xdr:rowOff>
        </xdr:from>
        <xdr:to>
          <xdr:col>3</xdr:col>
          <xdr:colOff>733425</xdr:colOff>
          <xdr:row>9</xdr:row>
          <xdr:rowOff>9525</xdr:rowOff>
        </xdr:to>
        <xdr:sp macro="" textlink="">
          <xdr:nvSpPr>
            <xdr:cNvPr id="78850" name="Check Box 2" hidden="1">
              <a:extLst>
                <a:ext uri="{63B3BB69-23CF-44E3-9099-C40C66FF867C}">
                  <a14:compatExt spid="_x0000_s78850"/>
                </a:ext>
                <a:ext uri="{FF2B5EF4-FFF2-40B4-BE49-F238E27FC236}">
                  <a16:creationId xmlns:a16="http://schemas.microsoft.com/office/drawing/2014/main" id="{00000000-0008-0000-07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0</xdr:colOff>
      <xdr:row>3</xdr:row>
      <xdr:rowOff>0</xdr:rowOff>
    </xdr:from>
    <xdr:to>
      <xdr:col>29</xdr:col>
      <xdr:colOff>548640</xdr:colOff>
      <xdr:row>13</xdr:row>
      <xdr:rowOff>184785</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15</xdr:row>
      <xdr:rowOff>0</xdr:rowOff>
    </xdr:from>
    <xdr:to>
      <xdr:col>29</xdr:col>
      <xdr:colOff>548640</xdr:colOff>
      <xdr:row>25</xdr:row>
      <xdr:rowOff>194310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647700</xdr:colOff>
          <xdr:row>22</xdr:row>
          <xdr:rowOff>152400</xdr:rowOff>
        </xdr:from>
        <xdr:to>
          <xdr:col>7</xdr:col>
          <xdr:colOff>95250</xdr:colOff>
          <xdr:row>25</xdr:row>
          <xdr:rowOff>66675</xdr:rowOff>
        </xdr:to>
        <xdr:sp macro="" textlink="">
          <xdr:nvSpPr>
            <xdr:cNvPr id="25601" name="CommandButton1" hidden="1">
              <a:extLst>
                <a:ext uri="{63B3BB69-23CF-44E3-9099-C40C66FF867C}">
                  <a14:compatExt spid="_x0000_s25601"/>
                </a:ext>
                <a:ext uri="{FF2B5EF4-FFF2-40B4-BE49-F238E27FC236}">
                  <a16:creationId xmlns:a16="http://schemas.microsoft.com/office/drawing/2014/main" id="{00000000-0008-0000-0800-000001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9f3d9369a3ab00f0/WBG/ETIRI/Projects/FY25/FY25%20-%20SAR%20MPO%20AM24/BGD-MPO-Microsimulation/2024AM/input_MASTER.xlsx" TargetMode="External"/><Relationship Id="rId1" Type="http://schemas.openxmlformats.org/officeDocument/2006/relationships/externalLinkPath" Target="input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pNMHQPvFkEyYE099RgRMUh8GWUr3y9BNk960nVskN52SOlvM48NOQaV9E0WEmkAM" itemId="012IPJAULPFOB3XDQKEFDIG5TY4Y6GTTW4">
      <xxl21:absoluteUrl r:id="rId2"/>
    </xxl21:alternateUrls>
    <sheetNames>
      <sheetName val="input-labor-sedlac"/>
      <sheetName val="input-labor-microsimulated"/>
      <sheetName val="Elasticities by year"/>
      <sheetName val="Elasticities"/>
      <sheetName val="input-mpo"/>
      <sheetName val="input-labor"/>
      <sheetName val="Remittances"/>
      <sheetName val="inflows"/>
    </sheetNames>
    <sheetDataSet>
      <sheetData sheetId="0"/>
      <sheetData sheetId="1"/>
      <sheetData sheetId="2">
        <row r="1">
          <cell r="A1" t="str">
            <v>country</v>
          </cell>
          <cell r="B1" t="str">
            <v>year</v>
          </cell>
          <cell r="C1" t="str">
            <v>elas</v>
          </cell>
          <cell r="D1" t="str">
            <v>elas_</v>
          </cell>
        </row>
        <row r="2">
          <cell r="A2" t="str">
            <v>ARG</v>
          </cell>
          <cell r="B2">
            <v>2008</v>
          </cell>
          <cell r="C2" t="str">
            <v>gdp_activity</v>
          </cell>
          <cell r="D2">
            <v>0.38340073823928827</v>
          </cell>
        </row>
        <row r="3">
          <cell r="A3" t="str">
            <v>ARG</v>
          </cell>
          <cell r="B3">
            <v>2008</v>
          </cell>
          <cell r="C3" t="str">
            <v>gdp_for_agri</v>
          </cell>
          <cell r="D3">
            <v>6.1470599174499512</v>
          </cell>
        </row>
        <row r="4">
          <cell r="A4" t="str">
            <v>ARG</v>
          </cell>
          <cell r="B4">
            <v>2008</v>
          </cell>
          <cell r="C4" t="str">
            <v>gdp_for_ind</v>
          </cell>
          <cell r="D4">
            <v>0.47527790069580078</v>
          </cell>
        </row>
        <row r="5">
          <cell r="A5" t="str">
            <v>ARG</v>
          </cell>
          <cell r="B5">
            <v>2008</v>
          </cell>
          <cell r="C5" t="str">
            <v>gdp_for_serv</v>
          </cell>
          <cell r="D5">
            <v>0.949424147605896</v>
          </cell>
        </row>
        <row r="6">
          <cell r="A6" t="str">
            <v>ARG</v>
          </cell>
          <cell r="B6">
            <v>2008</v>
          </cell>
          <cell r="C6" t="str">
            <v>gdp_inf_agri</v>
          </cell>
          <cell r="D6">
            <v>-45.542373657226563</v>
          </cell>
        </row>
        <row r="7">
          <cell r="A7" t="str">
            <v>ARG</v>
          </cell>
          <cell r="B7">
            <v>2008</v>
          </cell>
          <cell r="C7" t="str">
            <v>gdp_inf_ind</v>
          </cell>
          <cell r="D7">
            <v>-0.53330206871032715</v>
          </cell>
        </row>
        <row r="8">
          <cell r="A8" t="str">
            <v>ARG</v>
          </cell>
          <cell r="B8">
            <v>2008</v>
          </cell>
          <cell r="C8" t="str">
            <v>gdp_inf_serv</v>
          </cell>
          <cell r="D8">
            <v>-0.66126573085784912</v>
          </cell>
        </row>
        <row r="9">
          <cell r="A9" t="str">
            <v>ARG</v>
          </cell>
          <cell r="B9">
            <v>2008</v>
          </cell>
          <cell r="C9" t="str">
            <v>prod_for_agri</v>
          </cell>
          <cell r="D9">
            <v>0.87764382362365723</v>
          </cell>
        </row>
        <row r="10">
          <cell r="A10" t="str">
            <v>ARG</v>
          </cell>
          <cell r="B10">
            <v>2008</v>
          </cell>
          <cell r="C10" t="str">
            <v>prod_for_ind</v>
          </cell>
          <cell r="D10">
            <v>0.80736041069030762</v>
          </cell>
        </row>
        <row r="11">
          <cell r="A11" t="str">
            <v>ARG</v>
          </cell>
          <cell r="B11">
            <v>2008</v>
          </cell>
          <cell r="C11" t="str">
            <v>prod_for_serv</v>
          </cell>
          <cell r="D11">
            <v>-0.48192977905273438</v>
          </cell>
        </row>
        <row r="12">
          <cell r="A12" t="str">
            <v>ARG</v>
          </cell>
          <cell r="B12">
            <v>2008</v>
          </cell>
          <cell r="C12" t="str">
            <v>prod_inf_agri</v>
          </cell>
          <cell r="D12">
            <v>1.2446162700653081</v>
          </cell>
        </row>
        <row r="13">
          <cell r="A13" t="str">
            <v>ARG</v>
          </cell>
          <cell r="B13">
            <v>2008</v>
          </cell>
          <cell r="C13" t="str">
            <v>prod_inf_ind</v>
          </cell>
          <cell r="D13">
            <v>0.71366620063781738</v>
          </cell>
        </row>
        <row r="14">
          <cell r="A14" t="str">
            <v>ARG</v>
          </cell>
          <cell r="B14">
            <v>2008</v>
          </cell>
          <cell r="C14" t="str">
            <v>prod_inf_serv</v>
          </cell>
          <cell r="D14">
            <v>-3.9367716759443283E-2</v>
          </cell>
        </row>
        <row r="15">
          <cell r="A15" t="str">
            <v>ARG</v>
          </cell>
          <cell r="B15">
            <v>2009</v>
          </cell>
          <cell r="C15" t="str">
            <v>gdp_activity</v>
          </cell>
          <cell r="D15">
            <v>-0.29083153605461121</v>
          </cell>
        </row>
        <row r="16">
          <cell r="A16" t="str">
            <v>ARG</v>
          </cell>
          <cell r="B16">
            <v>2009</v>
          </cell>
          <cell r="C16" t="str">
            <v>gdp_for_agri</v>
          </cell>
          <cell r="D16">
            <v>-1.3294050693511961</v>
          </cell>
        </row>
        <row r="17">
          <cell r="A17" t="str">
            <v>ARG</v>
          </cell>
          <cell r="B17">
            <v>2009</v>
          </cell>
          <cell r="C17" t="str">
            <v>gdp_for_ind</v>
          </cell>
          <cell r="D17">
            <v>0.76586532592773438</v>
          </cell>
        </row>
        <row r="18">
          <cell r="A18" t="str">
            <v>ARG</v>
          </cell>
          <cell r="B18">
            <v>2009</v>
          </cell>
          <cell r="C18" t="str">
            <v>gdp_for_serv</v>
          </cell>
          <cell r="D18">
            <v>1.204733610153198</v>
          </cell>
        </row>
        <row r="19">
          <cell r="A19" t="str">
            <v>ARG</v>
          </cell>
          <cell r="B19">
            <v>2009</v>
          </cell>
          <cell r="C19" t="str">
            <v>gdp_inf_agri</v>
          </cell>
          <cell r="D19">
            <v>1.952168345451355E-2</v>
          </cell>
        </row>
        <row r="20">
          <cell r="A20" t="str">
            <v>ARG</v>
          </cell>
          <cell r="B20">
            <v>2009</v>
          </cell>
          <cell r="C20" t="str">
            <v>gdp_inf_ind</v>
          </cell>
          <cell r="D20">
            <v>-5.5550452321767807E-2</v>
          </cell>
        </row>
        <row r="21">
          <cell r="A21" t="str">
            <v>ARG</v>
          </cell>
          <cell r="B21">
            <v>2009</v>
          </cell>
          <cell r="C21" t="str">
            <v>gdp_inf_serv</v>
          </cell>
          <cell r="D21">
            <v>-0.28819280862808228</v>
          </cell>
        </row>
        <row r="22">
          <cell r="A22" t="str">
            <v>ARG</v>
          </cell>
          <cell r="B22">
            <v>2009</v>
          </cell>
          <cell r="C22" t="str">
            <v>prod_for_agri</v>
          </cell>
          <cell r="D22">
            <v>-0.31654146313667297</v>
          </cell>
        </row>
        <row r="23">
          <cell r="A23" t="str">
            <v>ARG</v>
          </cell>
          <cell r="B23">
            <v>2009</v>
          </cell>
          <cell r="C23" t="str">
            <v>prod_for_ind</v>
          </cell>
          <cell r="D23">
            <v>-0.31353157758712769</v>
          </cell>
        </row>
        <row r="24">
          <cell r="A24" t="str">
            <v>ARG</v>
          </cell>
          <cell r="B24">
            <v>2009</v>
          </cell>
          <cell r="C24" t="str">
            <v>prod_for_serv</v>
          </cell>
          <cell r="D24">
            <v>3.2238080501556401</v>
          </cell>
        </row>
        <row r="25">
          <cell r="A25" t="str">
            <v>ARG</v>
          </cell>
          <cell r="B25">
            <v>2009</v>
          </cell>
          <cell r="C25" t="str">
            <v>prod_inf_agri</v>
          </cell>
          <cell r="D25">
            <v>0.19876231253147131</v>
          </cell>
        </row>
        <row r="26">
          <cell r="A26" t="str">
            <v>ARG</v>
          </cell>
          <cell r="B26">
            <v>2009</v>
          </cell>
          <cell r="C26" t="str">
            <v>prod_inf_ind</v>
          </cell>
          <cell r="D26">
            <v>-9.3703925609588623E-2</v>
          </cell>
        </row>
        <row r="27">
          <cell r="A27" t="str">
            <v>ARG</v>
          </cell>
          <cell r="B27">
            <v>2009</v>
          </cell>
          <cell r="C27" t="str">
            <v>prod_inf_serv</v>
          </cell>
          <cell r="D27">
            <v>-0.53809171915054321</v>
          </cell>
        </row>
        <row r="28">
          <cell r="A28" t="str">
            <v>ARG</v>
          </cell>
          <cell r="B28">
            <v>2010</v>
          </cell>
          <cell r="C28" t="str">
            <v>gdp_activity</v>
          </cell>
          <cell r="D28">
            <v>1.559819653630257E-2</v>
          </cell>
        </row>
        <row r="29">
          <cell r="A29" t="str">
            <v>ARG</v>
          </cell>
          <cell r="B29">
            <v>2010</v>
          </cell>
          <cell r="C29" t="str">
            <v>gdp_for_agri</v>
          </cell>
          <cell r="D29">
            <v>-0.38450080156326288</v>
          </cell>
        </row>
        <row r="30">
          <cell r="A30" t="str">
            <v>ARG</v>
          </cell>
          <cell r="B30">
            <v>2010</v>
          </cell>
          <cell r="C30" t="str">
            <v>gdp_for_ind</v>
          </cell>
          <cell r="D30">
            <v>0.69468283653259277</v>
          </cell>
        </row>
        <row r="31">
          <cell r="A31" t="str">
            <v>ARG</v>
          </cell>
          <cell r="B31">
            <v>2010</v>
          </cell>
          <cell r="C31" t="str">
            <v>gdp_for_serv</v>
          </cell>
          <cell r="D31">
            <v>6.1006875038146973</v>
          </cell>
        </row>
        <row r="32">
          <cell r="A32" t="str">
            <v>ARG</v>
          </cell>
          <cell r="B32">
            <v>2010</v>
          </cell>
          <cell r="C32" t="str">
            <v>gdp_inf_agri</v>
          </cell>
          <cell r="D32">
            <v>-0.1694549769163132</v>
          </cell>
        </row>
        <row r="33">
          <cell r="A33" t="str">
            <v>ARG</v>
          </cell>
          <cell r="B33">
            <v>2010</v>
          </cell>
          <cell r="C33" t="str">
            <v>gdp_inf_ind</v>
          </cell>
          <cell r="D33">
            <v>-0.19063940644264221</v>
          </cell>
        </row>
        <row r="34">
          <cell r="A34" t="str">
            <v>ARG</v>
          </cell>
          <cell r="B34">
            <v>2010</v>
          </cell>
          <cell r="C34" t="str">
            <v>gdp_inf_serv</v>
          </cell>
          <cell r="D34">
            <v>-4.1751875877380371</v>
          </cell>
        </row>
        <row r="35">
          <cell r="A35" t="str">
            <v>ARG</v>
          </cell>
          <cell r="B35">
            <v>2010</v>
          </cell>
          <cell r="C35" t="str">
            <v>prod_for_agri</v>
          </cell>
          <cell r="D35">
            <v>0.1735769659280777</v>
          </cell>
        </row>
        <row r="36">
          <cell r="A36" t="str">
            <v>ARG</v>
          </cell>
          <cell r="B36">
            <v>2010</v>
          </cell>
          <cell r="C36" t="str">
            <v>prod_for_ind</v>
          </cell>
          <cell r="D36">
            <v>0.30693027377128601</v>
          </cell>
        </row>
        <row r="37">
          <cell r="A37" t="str">
            <v>ARG</v>
          </cell>
          <cell r="B37">
            <v>2010</v>
          </cell>
          <cell r="C37" t="str">
            <v>prod_for_serv</v>
          </cell>
          <cell r="D37">
            <v>0.71325582265853882</v>
          </cell>
        </row>
        <row r="38">
          <cell r="A38" t="str">
            <v>ARG</v>
          </cell>
          <cell r="B38">
            <v>2010</v>
          </cell>
          <cell r="C38" t="str">
            <v>prod_inf_agri</v>
          </cell>
          <cell r="D38">
            <v>0.10334339737892149</v>
          </cell>
        </row>
        <row r="39">
          <cell r="A39" t="str">
            <v>ARG</v>
          </cell>
          <cell r="B39">
            <v>2010</v>
          </cell>
          <cell r="C39" t="str">
            <v>prod_inf_ind</v>
          </cell>
          <cell r="D39">
            <v>7.8249022364616394E-2</v>
          </cell>
        </row>
        <row r="40">
          <cell r="A40" t="str">
            <v>ARG</v>
          </cell>
          <cell r="B40">
            <v>2010</v>
          </cell>
          <cell r="C40" t="str">
            <v>prod_inf_serv</v>
          </cell>
          <cell r="D40">
            <v>-3.1467807292938228</v>
          </cell>
        </row>
        <row r="41">
          <cell r="A41" t="str">
            <v>ARG</v>
          </cell>
          <cell r="B41">
            <v>2011</v>
          </cell>
          <cell r="C41" t="str">
            <v>gdp_activity</v>
          </cell>
          <cell r="D41">
            <v>0.34519064426422119</v>
          </cell>
        </row>
        <row r="42">
          <cell r="A42" t="str">
            <v>ARG</v>
          </cell>
          <cell r="B42">
            <v>2011</v>
          </cell>
          <cell r="C42" t="str">
            <v>gdp_for_agri</v>
          </cell>
          <cell r="D42">
            <v>0.17968365550041199</v>
          </cell>
        </row>
        <row r="43">
          <cell r="A43" t="str">
            <v>ARG</v>
          </cell>
          <cell r="B43">
            <v>2011</v>
          </cell>
          <cell r="C43" t="str">
            <v>gdp_for_ind</v>
          </cell>
          <cell r="D43">
            <v>0.99291646480560303</v>
          </cell>
        </row>
        <row r="44">
          <cell r="A44" t="str">
            <v>ARG</v>
          </cell>
          <cell r="B44">
            <v>2011</v>
          </cell>
          <cell r="C44" t="str">
            <v>gdp_for_serv</v>
          </cell>
          <cell r="D44">
            <v>-2.6874784380197528E-2</v>
          </cell>
        </row>
        <row r="45">
          <cell r="A45" t="str">
            <v>ARG</v>
          </cell>
          <cell r="B45">
            <v>2011</v>
          </cell>
          <cell r="C45" t="str">
            <v>gdp_inf_agri</v>
          </cell>
          <cell r="D45">
            <v>0.34881284832954412</v>
          </cell>
        </row>
        <row r="46">
          <cell r="A46" t="str">
            <v>ARG</v>
          </cell>
          <cell r="B46">
            <v>2011</v>
          </cell>
          <cell r="C46" t="str">
            <v>gdp_inf_ind</v>
          </cell>
          <cell r="D46">
            <v>1.0690948963165281</v>
          </cell>
        </row>
        <row r="47">
          <cell r="A47" t="str">
            <v>ARG</v>
          </cell>
          <cell r="B47">
            <v>2011</v>
          </cell>
          <cell r="C47" t="str">
            <v>gdp_inf_serv</v>
          </cell>
          <cell r="D47">
            <v>0.1327660083770752</v>
          </cell>
        </row>
        <row r="48">
          <cell r="A48" t="str">
            <v>ARG</v>
          </cell>
          <cell r="B48">
            <v>2011</v>
          </cell>
          <cell r="C48" t="str">
            <v>prod_for_agri</v>
          </cell>
          <cell r="D48">
            <v>14.312578201293951</v>
          </cell>
        </row>
        <row r="49">
          <cell r="A49" t="str">
            <v>ARG</v>
          </cell>
          <cell r="B49">
            <v>2011</v>
          </cell>
          <cell r="C49" t="str">
            <v>prod_for_ind</v>
          </cell>
          <cell r="D49">
            <v>-34.789340972900391</v>
          </cell>
        </row>
        <row r="50">
          <cell r="A50" t="str">
            <v>ARG</v>
          </cell>
          <cell r="B50">
            <v>2011</v>
          </cell>
          <cell r="C50" t="str">
            <v>prod_for_serv</v>
          </cell>
          <cell r="D50">
            <v>0.92641037702560425</v>
          </cell>
        </row>
        <row r="51">
          <cell r="A51" t="str">
            <v>ARG</v>
          </cell>
          <cell r="B51">
            <v>2011</v>
          </cell>
          <cell r="C51" t="str">
            <v>prod_inf_agri</v>
          </cell>
          <cell r="D51">
            <v>-7.2281179428100586</v>
          </cell>
        </row>
        <row r="52">
          <cell r="A52" t="str">
            <v>ARG</v>
          </cell>
          <cell r="B52">
            <v>2011</v>
          </cell>
          <cell r="C52" t="str">
            <v>prod_inf_ind</v>
          </cell>
          <cell r="D52">
            <v>-10.08771896362305</v>
          </cell>
        </row>
        <row r="53">
          <cell r="A53" t="str">
            <v>ARG</v>
          </cell>
          <cell r="B53">
            <v>2011</v>
          </cell>
          <cell r="C53" t="str">
            <v>prod_inf_serv</v>
          </cell>
          <cell r="D53">
            <v>1.2246474027633669</v>
          </cell>
        </row>
        <row r="54">
          <cell r="A54" t="str">
            <v>ARG</v>
          </cell>
          <cell r="B54">
            <v>2012</v>
          </cell>
          <cell r="C54" t="str">
            <v>gdp_activity</v>
          </cell>
          <cell r="D54">
            <v>-1.9368050098419189</v>
          </cell>
        </row>
        <row r="55">
          <cell r="A55" t="str">
            <v>ARG</v>
          </cell>
          <cell r="B55">
            <v>2012</v>
          </cell>
          <cell r="C55" t="str">
            <v>gdp_for_agri</v>
          </cell>
          <cell r="D55">
            <v>0.55459147691726685</v>
          </cell>
        </row>
        <row r="56">
          <cell r="A56" t="str">
            <v>ARG</v>
          </cell>
          <cell r="B56">
            <v>2012</v>
          </cell>
          <cell r="C56" t="str">
            <v>gdp_for_ind</v>
          </cell>
          <cell r="D56">
            <v>3.9740233421325679</v>
          </cell>
        </row>
        <row r="57">
          <cell r="A57" t="str">
            <v>ARG</v>
          </cell>
          <cell r="B57">
            <v>2012</v>
          </cell>
          <cell r="C57" t="str">
            <v>gdp_for_serv</v>
          </cell>
          <cell r="D57">
            <v>6.2446775436401367</v>
          </cell>
        </row>
        <row r="58">
          <cell r="A58" t="str">
            <v>ARG</v>
          </cell>
          <cell r="B58">
            <v>2012</v>
          </cell>
          <cell r="C58" t="str">
            <v>gdp_inf_agri</v>
          </cell>
          <cell r="D58">
            <v>-0.34374368190765381</v>
          </cell>
        </row>
        <row r="59">
          <cell r="A59" t="str">
            <v>ARG</v>
          </cell>
          <cell r="B59">
            <v>2012</v>
          </cell>
          <cell r="C59" t="str">
            <v>gdp_inf_ind</v>
          </cell>
          <cell r="D59">
            <v>-0.47415351867675781</v>
          </cell>
        </row>
        <row r="60">
          <cell r="A60" t="str">
            <v>ARG</v>
          </cell>
          <cell r="B60">
            <v>2012</v>
          </cell>
          <cell r="C60" t="str">
            <v>gdp_inf_serv</v>
          </cell>
          <cell r="D60">
            <v>4.7425804138183594</v>
          </cell>
        </row>
        <row r="61">
          <cell r="A61" t="str">
            <v>ARG</v>
          </cell>
          <cell r="B61">
            <v>2012</v>
          </cell>
          <cell r="C61" t="str">
            <v>prod_for_agri</v>
          </cell>
          <cell r="D61">
            <v>-0.2451299577951431</v>
          </cell>
        </row>
        <row r="62">
          <cell r="A62" t="str">
            <v>ARG</v>
          </cell>
          <cell r="B62">
            <v>2012</v>
          </cell>
          <cell r="C62" t="str">
            <v>prod_for_ind</v>
          </cell>
          <cell r="D62">
            <v>-3.1654882431030269</v>
          </cell>
        </row>
        <row r="63">
          <cell r="A63" t="str">
            <v>ARG</v>
          </cell>
          <cell r="B63">
            <v>2012</v>
          </cell>
          <cell r="C63" t="str">
            <v>prod_for_serv</v>
          </cell>
          <cell r="D63">
            <v>1.193236351013184</v>
          </cell>
        </row>
        <row r="64">
          <cell r="A64" t="str">
            <v>ARG</v>
          </cell>
          <cell r="B64">
            <v>2012</v>
          </cell>
          <cell r="C64" t="str">
            <v>prod_inf_agri</v>
          </cell>
          <cell r="D64">
            <v>0.49550420045852661</v>
          </cell>
        </row>
        <row r="65">
          <cell r="A65" t="str">
            <v>ARG</v>
          </cell>
          <cell r="B65">
            <v>2012</v>
          </cell>
          <cell r="C65" t="str">
            <v>prod_inf_ind</v>
          </cell>
          <cell r="D65">
            <v>2.2321970462799068</v>
          </cell>
        </row>
        <row r="66">
          <cell r="A66" t="str">
            <v>ARG</v>
          </cell>
          <cell r="B66">
            <v>2012</v>
          </cell>
          <cell r="C66" t="str">
            <v>prod_inf_serv</v>
          </cell>
          <cell r="D66">
            <v>0.6999891996383667</v>
          </cell>
        </row>
        <row r="67">
          <cell r="A67" t="str">
            <v>ARG</v>
          </cell>
          <cell r="B67">
            <v>2013</v>
          </cell>
          <cell r="C67" t="str">
            <v>gdp_activity</v>
          </cell>
          <cell r="D67">
            <v>-2.246616035699844E-2</v>
          </cell>
        </row>
        <row r="68">
          <cell r="A68" t="str">
            <v>ARG</v>
          </cell>
          <cell r="B68">
            <v>2013</v>
          </cell>
          <cell r="C68" t="str">
            <v>gdp_for_agri</v>
          </cell>
          <cell r="D68">
            <v>0.14678339660167691</v>
          </cell>
        </row>
        <row r="69">
          <cell r="A69" t="str">
            <v>ARG</v>
          </cell>
          <cell r="B69">
            <v>2013</v>
          </cell>
          <cell r="C69" t="str">
            <v>gdp_for_ind</v>
          </cell>
          <cell r="D69">
            <v>7.3721637725830078</v>
          </cell>
        </row>
        <row r="70">
          <cell r="A70" t="str">
            <v>ARG</v>
          </cell>
          <cell r="B70">
            <v>2013</v>
          </cell>
          <cell r="C70" t="str">
            <v>gdp_for_serv</v>
          </cell>
          <cell r="D70">
            <v>0.73138874769210815</v>
          </cell>
        </row>
        <row r="71">
          <cell r="A71" t="str">
            <v>ARG</v>
          </cell>
          <cell r="B71">
            <v>2013</v>
          </cell>
          <cell r="C71" t="str">
            <v>gdp_inf_agri</v>
          </cell>
          <cell r="D71">
            <v>-0.30567967891693121</v>
          </cell>
        </row>
        <row r="72">
          <cell r="A72" t="str">
            <v>ARG</v>
          </cell>
          <cell r="B72">
            <v>2013</v>
          </cell>
          <cell r="C72" t="str">
            <v>gdp_inf_ind</v>
          </cell>
          <cell r="D72">
            <v>1.0766981840133669</v>
          </cell>
        </row>
        <row r="73">
          <cell r="A73" t="str">
            <v>ARG</v>
          </cell>
          <cell r="B73">
            <v>2013</v>
          </cell>
          <cell r="C73" t="str">
            <v>gdp_inf_serv</v>
          </cell>
          <cell r="D73">
            <v>-1.0761482715606689</v>
          </cell>
        </row>
        <row r="74">
          <cell r="A74" t="str">
            <v>ARG</v>
          </cell>
          <cell r="B74">
            <v>2013</v>
          </cell>
          <cell r="C74" t="str">
            <v>prod_for_agri</v>
          </cell>
          <cell r="D74">
            <v>-0.1018610671162605</v>
          </cell>
        </row>
        <row r="75">
          <cell r="A75" t="str">
            <v>ARG</v>
          </cell>
          <cell r="B75">
            <v>2013</v>
          </cell>
          <cell r="C75" t="str">
            <v>prod_for_ind</v>
          </cell>
          <cell r="D75">
            <v>-1.2557011842727659</v>
          </cell>
        </row>
        <row r="76">
          <cell r="A76" t="str">
            <v>ARG</v>
          </cell>
          <cell r="B76">
            <v>2013</v>
          </cell>
          <cell r="C76" t="str">
            <v>prod_for_serv</v>
          </cell>
          <cell r="D76">
            <v>0.26984423398971558</v>
          </cell>
        </row>
        <row r="77">
          <cell r="A77" t="str">
            <v>ARG</v>
          </cell>
          <cell r="B77">
            <v>2013</v>
          </cell>
          <cell r="C77" t="str">
            <v>prod_inf_agri</v>
          </cell>
          <cell r="D77">
            <v>1.125622034072876</v>
          </cell>
        </row>
        <row r="78">
          <cell r="A78" t="str">
            <v>ARG</v>
          </cell>
          <cell r="B78">
            <v>2013</v>
          </cell>
          <cell r="C78" t="str">
            <v>prod_inf_ind</v>
          </cell>
          <cell r="D78">
            <v>-2.4588568210601811</v>
          </cell>
        </row>
        <row r="79">
          <cell r="A79" t="str">
            <v>ARG</v>
          </cell>
          <cell r="B79">
            <v>2013</v>
          </cell>
          <cell r="C79" t="str">
            <v>prod_inf_serv</v>
          </cell>
          <cell r="D79">
            <v>1.3688158988952639</v>
          </cell>
        </row>
        <row r="80">
          <cell r="A80" t="str">
            <v>ARG</v>
          </cell>
          <cell r="B80">
            <v>2014</v>
          </cell>
          <cell r="C80" t="str">
            <v>gdp_activity</v>
          </cell>
          <cell r="D80">
            <v>-0.59915632009506226</v>
          </cell>
        </row>
        <row r="81">
          <cell r="A81" t="str">
            <v>ARG</v>
          </cell>
          <cell r="B81">
            <v>2014</v>
          </cell>
          <cell r="C81" t="str">
            <v>gdp_for_agri</v>
          </cell>
          <cell r="D81">
            <v>1.195024251937866</v>
          </cell>
        </row>
        <row r="82">
          <cell r="A82" t="str">
            <v>ARG</v>
          </cell>
          <cell r="B82">
            <v>2014</v>
          </cell>
          <cell r="C82" t="str">
            <v>gdp_for_ind</v>
          </cell>
          <cell r="D82">
            <v>-8.6646407842636108E-2</v>
          </cell>
        </row>
        <row r="83">
          <cell r="A83" t="str">
            <v>ARG</v>
          </cell>
          <cell r="B83">
            <v>2014</v>
          </cell>
          <cell r="C83" t="str">
            <v>gdp_for_serv</v>
          </cell>
          <cell r="D83">
            <v>-0.86128973960876465</v>
          </cell>
        </row>
        <row r="84">
          <cell r="A84" t="str">
            <v>ARG</v>
          </cell>
          <cell r="B84">
            <v>2014</v>
          </cell>
          <cell r="C84" t="str">
            <v>gdp_inf_agri</v>
          </cell>
          <cell r="D84">
            <v>5.3556127548217773</v>
          </cell>
        </row>
        <row r="85">
          <cell r="A85" t="str">
            <v>ARG</v>
          </cell>
          <cell r="B85">
            <v>2014</v>
          </cell>
          <cell r="C85" t="str">
            <v>gdp_inf_ind</v>
          </cell>
          <cell r="D85">
            <v>-1.114027261734009</v>
          </cell>
        </row>
        <row r="86">
          <cell r="A86" t="str">
            <v>ARG</v>
          </cell>
          <cell r="B86">
            <v>2014</v>
          </cell>
          <cell r="C86" t="str">
            <v>gdp_inf_serv</v>
          </cell>
          <cell r="D86">
            <v>0.27868396043777471</v>
          </cell>
        </row>
        <row r="87">
          <cell r="A87" t="str">
            <v>ARG</v>
          </cell>
          <cell r="B87">
            <v>2014</v>
          </cell>
          <cell r="C87" t="str">
            <v>prod_for_agri</v>
          </cell>
          <cell r="D87">
            <v>0.25332233309745789</v>
          </cell>
        </row>
        <row r="88">
          <cell r="A88" t="str">
            <v>ARG</v>
          </cell>
          <cell r="B88">
            <v>2014</v>
          </cell>
          <cell r="C88" t="str">
            <v>prod_for_ind</v>
          </cell>
          <cell r="D88">
            <v>1.7473258972167971</v>
          </cell>
        </row>
        <row r="89">
          <cell r="A89" t="str">
            <v>ARG</v>
          </cell>
          <cell r="B89">
            <v>2014</v>
          </cell>
          <cell r="C89" t="str">
            <v>prod_for_serv</v>
          </cell>
          <cell r="D89">
            <v>3.04570484161377</v>
          </cell>
        </row>
        <row r="90">
          <cell r="A90" t="str">
            <v>ARG</v>
          </cell>
          <cell r="B90">
            <v>2014</v>
          </cell>
          <cell r="C90" t="str">
            <v>prod_inf_agri</v>
          </cell>
          <cell r="D90">
            <v>3.0932576656341548</v>
          </cell>
        </row>
        <row r="91">
          <cell r="A91" t="str">
            <v>ARG</v>
          </cell>
          <cell r="B91">
            <v>2014</v>
          </cell>
          <cell r="C91" t="str">
            <v>prod_inf_ind</v>
          </cell>
          <cell r="D91">
            <v>1.859418630599976</v>
          </cell>
        </row>
        <row r="92">
          <cell r="A92" t="str">
            <v>ARG</v>
          </cell>
          <cell r="B92">
            <v>2014</v>
          </cell>
          <cell r="C92" t="str">
            <v>prod_inf_serv</v>
          </cell>
          <cell r="D92">
            <v>4.4202227592468262</v>
          </cell>
        </row>
        <row r="93">
          <cell r="A93" t="str">
            <v>ARG</v>
          </cell>
          <cell r="B93">
            <v>2016</v>
          </cell>
          <cell r="C93" t="str">
            <v>gdp_activity</v>
          </cell>
          <cell r="D93">
            <v>4.4355640411376953</v>
          </cell>
        </row>
        <row r="94">
          <cell r="A94" t="str">
            <v>ARG</v>
          </cell>
          <cell r="B94">
            <v>2016</v>
          </cell>
          <cell r="C94" t="str">
            <v>gdp_for_agri</v>
          </cell>
          <cell r="D94">
            <v>1.6842126846313481</v>
          </cell>
        </row>
        <row r="95">
          <cell r="A95" t="str">
            <v>ARG</v>
          </cell>
          <cell r="B95">
            <v>2016</v>
          </cell>
          <cell r="C95" t="str">
            <v>gdp_for_ind</v>
          </cell>
          <cell r="D95">
            <v>0.69155740737915039</v>
          </cell>
        </row>
        <row r="96">
          <cell r="A96" t="str">
            <v>ARG</v>
          </cell>
          <cell r="B96">
            <v>2016</v>
          </cell>
          <cell r="C96" t="str">
            <v>gdp_for_serv</v>
          </cell>
          <cell r="D96">
            <v>0.3763052225112915</v>
          </cell>
        </row>
        <row r="97">
          <cell r="A97" t="str">
            <v>ARG</v>
          </cell>
          <cell r="B97">
            <v>2016</v>
          </cell>
          <cell r="C97" t="str">
            <v>gdp_inf_agri</v>
          </cell>
          <cell r="D97">
            <v>-5.4246859550476074</v>
          </cell>
        </row>
        <row r="98">
          <cell r="A98" t="str">
            <v>ARG</v>
          </cell>
          <cell r="B98">
            <v>2016</v>
          </cell>
          <cell r="C98" t="str">
            <v>gdp_inf_ind</v>
          </cell>
          <cell r="D98">
            <v>0.28801864385604858</v>
          </cell>
        </row>
        <row r="99">
          <cell r="A99" t="str">
            <v>ARG</v>
          </cell>
          <cell r="B99">
            <v>2016</v>
          </cell>
          <cell r="C99" t="str">
            <v>gdp_inf_serv</v>
          </cell>
          <cell r="D99">
            <v>1.3158165216445921</v>
          </cell>
        </row>
        <row r="100">
          <cell r="A100" t="str">
            <v>ARG</v>
          </cell>
          <cell r="B100">
            <v>2016</v>
          </cell>
          <cell r="C100" t="str">
            <v>prod_for_agri</v>
          </cell>
          <cell r="D100">
            <v>0.85487234592437744</v>
          </cell>
        </row>
        <row r="101">
          <cell r="A101" t="str">
            <v>ARG</v>
          </cell>
          <cell r="B101">
            <v>2016</v>
          </cell>
          <cell r="C101" t="str">
            <v>prod_for_ind</v>
          </cell>
          <cell r="D101">
            <v>-0.7538411021232605</v>
          </cell>
        </row>
        <row r="102">
          <cell r="A102" t="str">
            <v>ARG</v>
          </cell>
          <cell r="B102">
            <v>2016</v>
          </cell>
          <cell r="C102" t="str">
            <v>prod_for_serv</v>
          </cell>
          <cell r="D102">
            <v>0.45584213733673101</v>
          </cell>
        </row>
        <row r="103">
          <cell r="A103" t="str">
            <v>ARG</v>
          </cell>
          <cell r="B103">
            <v>2016</v>
          </cell>
          <cell r="C103" t="str">
            <v>prod_inf_agri</v>
          </cell>
          <cell r="D103">
            <v>0.34312841296195978</v>
          </cell>
        </row>
        <row r="104">
          <cell r="A104" t="str">
            <v>ARG</v>
          </cell>
          <cell r="B104">
            <v>2016</v>
          </cell>
          <cell r="C104" t="str">
            <v>prod_inf_ind</v>
          </cell>
          <cell r="D104">
            <v>2.4274590015411381</v>
          </cell>
        </row>
        <row r="105">
          <cell r="A105" t="str">
            <v>ARG</v>
          </cell>
          <cell r="B105">
            <v>2016</v>
          </cell>
          <cell r="C105" t="str">
            <v>prod_inf_serv</v>
          </cell>
          <cell r="D105">
            <v>-2.7622940540313721</v>
          </cell>
        </row>
        <row r="106">
          <cell r="A106" t="str">
            <v>ARG</v>
          </cell>
          <cell r="B106">
            <v>2017</v>
          </cell>
          <cell r="C106" t="str">
            <v>gdp_activity</v>
          </cell>
          <cell r="D106">
            <v>0.72029054164886475</v>
          </cell>
        </row>
        <row r="107">
          <cell r="A107" t="str">
            <v>ARG</v>
          </cell>
          <cell r="B107">
            <v>2017</v>
          </cell>
          <cell r="C107" t="str">
            <v>gdp_for_agri</v>
          </cell>
          <cell r="D107">
            <v>-2.0425887107849121</v>
          </cell>
        </row>
        <row r="108">
          <cell r="A108" t="str">
            <v>ARG</v>
          </cell>
          <cell r="B108">
            <v>2017</v>
          </cell>
          <cell r="C108" t="str">
            <v>gdp_for_ind</v>
          </cell>
          <cell r="D108">
            <v>-0.96931916475296021</v>
          </cell>
        </row>
        <row r="109">
          <cell r="A109" t="str">
            <v>ARG</v>
          </cell>
          <cell r="B109">
            <v>2017</v>
          </cell>
          <cell r="C109" t="str">
            <v>gdp_for_serv</v>
          </cell>
          <cell r="D109">
            <v>0.75905591249465942</v>
          </cell>
        </row>
        <row r="110">
          <cell r="A110" t="str">
            <v>ARG</v>
          </cell>
          <cell r="B110">
            <v>2017</v>
          </cell>
          <cell r="C110" t="str">
            <v>gdp_inf_agri</v>
          </cell>
          <cell r="D110">
            <v>-0.81141793727874756</v>
          </cell>
        </row>
        <row r="111">
          <cell r="A111" t="str">
            <v>ARG</v>
          </cell>
          <cell r="B111">
            <v>2017</v>
          </cell>
          <cell r="C111" t="str">
            <v>gdp_inf_ind</v>
          </cell>
          <cell r="D111">
            <v>0.73286747932434082</v>
          </cell>
        </row>
        <row r="112">
          <cell r="A112" t="str">
            <v>ARG</v>
          </cell>
          <cell r="B112">
            <v>2017</v>
          </cell>
          <cell r="C112" t="str">
            <v>gdp_inf_serv</v>
          </cell>
          <cell r="D112">
            <v>1.906492233276367</v>
          </cell>
        </row>
        <row r="113">
          <cell r="A113" t="str">
            <v>ARG</v>
          </cell>
          <cell r="B113">
            <v>2017</v>
          </cell>
          <cell r="C113" t="str">
            <v>prod_for_agri</v>
          </cell>
          <cell r="D113">
            <v>-0.48345887660980219</v>
          </cell>
        </row>
        <row r="114">
          <cell r="A114" t="str">
            <v>ARG</v>
          </cell>
          <cell r="B114">
            <v>2017</v>
          </cell>
          <cell r="C114" t="str">
            <v>prod_for_ind</v>
          </cell>
          <cell r="D114">
            <v>1.892663359642029</v>
          </cell>
        </row>
        <row r="115">
          <cell r="A115" t="str">
            <v>ARG</v>
          </cell>
          <cell r="B115">
            <v>2017</v>
          </cell>
          <cell r="C115" t="str">
            <v>prod_for_serv</v>
          </cell>
          <cell r="D115">
            <v>-4.4259400367736816</v>
          </cell>
        </row>
        <row r="116">
          <cell r="A116" t="str">
            <v>ARG</v>
          </cell>
          <cell r="B116">
            <v>2017</v>
          </cell>
          <cell r="C116" t="str">
            <v>prod_inf_agri</v>
          </cell>
          <cell r="D116">
            <v>-1.213283777236938</v>
          </cell>
        </row>
        <row r="117">
          <cell r="A117" t="str">
            <v>ARG</v>
          </cell>
          <cell r="B117">
            <v>2017</v>
          </cell>
          <cell r="C117" t="str">
            <v>prod_inf_ind</v>
          </cell>
          <cell r="D117">
            <v>2.8089804649353032</v>
          </cell>
        </row>
        <row r="118">
          <cell r="A118" t="str">
            <v>ARG</v>
          </cell>
          <cell r="B118">
            <v>2017</v>
          </cell>
          <cell r="C118" t="str">
            <v>prod_inf_serv</v>
          </cell>
          <cell r="D118">
            <v>-16.76259613037109</v>
          </cell>
        </row>
        <row r="119">
          <cell r="A119" t="str">
            <v>ARG</v>
          </cell>
          <cell r="B119">
            <v>2018</v>
          </cell>
          <cell r="C119" t="str">
            <v>gdp_activity</v>
          </cell>
          <cell r="D119">
            <v>-0.75503998994827271</v>
          </cell>
        </row>
        <row r="120">
          <cell r="A120" t="str">
            <v>ARG</v>
          </cell>
          <cell r="B120">
            <v>2018</v>
          </cell>
          <cell r="C120" t="str">
            <v>gdp_for_agri</v>
          </cell>
          <cell r="D120">
            <v>1.53052818775177</v>
          </cell>
        </row>
        <row r="121">
          <cell r="A121" t="str">
            <v>ARG</v>
          </cell>
          <cell r="B121">
            <v>2018</v>
          </cell>
          <cell r="C121" t="str">
            <v>gdp_for_ind</v>
          </cell>
          <cell r="D121">
            <v>6.1816975474357598E-2</v>
          </cell>
        </row>
        <row r="122">
          <cell r="A122" t="str">
            <v>ARG</v>
          </cell>
          <cell r="B122">
            <v>2018</v>
          </cell>
          <cell r="C122" t="str">
            <v>gdp_for_serv</v>
          </cell>
          <cell r="D122">
            <v>0.75009042024612427</v>
          </cell>
        </row>
        <row r="123">
          <cell r="A123" t="str">
            <v>ARG</v>
          </cell>
          <cell r="B123">
            <v>2018</v>
          </cell>
          <cell r="C123" t="str">
            <v>gdp_inf_agri</v>
          </cell>
          <cell r="D123">
            <v>0.40935096144676208</v>
          </cell>
        </row>
        <row r="124">
          <cell r="A124" t="str">
            <v>ARG</v>
          </cell>
          <cell r="B124">
            <v>2018</v>
          </cell>
          <cell r="C124" t="str">
            <v>gdp_inf_ind</v>
          </cell>
          <cell r="D124">
            <v>0.97557562589645386</v>
          </cell>
        </row>
        <row r="125">
          <cell r="A125" t="str">
            <v>ARG</v>
          </cell>
          <cell r="B125">
            <v>2018</v>
          </cell>
          <cell r="C125" t="str">
            <v>gdp_inf_serv</v>
          </cell>
          <cell r="D125">
            <v>-3.837501049041748</v>
          </cell>
        </row>
        <row r="126">
          <cell r="A126" t="str">
            <v>ARG</v>
          </cell>
          <cell r="B126">
            <v>2018</v>
          </cell>
          <cell r="C126" t="str">
            <v>prod_for_agri</v>
          </cell>
          <cell r="D126">
            <v>1.07372510433197</v>
          </cell>
        </row>
        <row r="127">
          <cell r="A127" t="str">
            <v>ARG</v>
          </cell>
          <cell r="B127">
            <v>2018</v>
          </cell>
          <cell r="C127" t="str">
            <v>prod_for_ind</v>
          </cell>
          <cell r="D127">
            <v>8.0126266479492188</v>
          </cell>
        </row>
        <row r="128">
          <cell r="A128" t="str">
            <v>ARG</v>
          </cell>
          <cell r="B128">
            <v>2018</v>
          </cell>
          <cell r="C128" t="str">
            <v>prod_for_serv</v>
          </cell>
          <cell r="D128">
            <v>6.6055822372436523</v>
          </cell>
        </row>
        <row r="129">
          <cell r="A129" t="str">
            <v>ARG</v>
          </cell>
          <cell r="B129">
            <v>2018</v>
          </cell>
          <cell r="C129" t="str">
            <v>prod_inf_agri</v>
          </cell>
          <cell r="D129">
            <v>-3.5621168613433838</v>
          </cell>
        </row>
        <row r="130">
          <cell r="A130" t="str">
            <v>ARG</v>
          </cell>
          <cell r="B130">
            <v>2018</v>
          </cell>
          <cell r="C130" t="str">
            <v>prod_inf_ind</v>
          </cell>
          <cell r="D130">
            <v>9.3993892669677734</v>
          </cell>
        </row>
        <row r="131">
          <cell r="A131" t="str">
            <v>ARG</v>
          </cell>
          <cell r="B131">
            <v>2018</v>
          </cell>
          <cell r="C131" t="str">
            <v>prod_inf_serv</v>
          </cell>
          <cell r="D131">
            <v>9.4036407470703125</v>
          </cell>
        </row>
        <row r="132">
          <cell r="A132" t="str">
            <v>ARG</v>
          </cell>
          <cell r="B132">
            <v>2019</v>
          </cell>
          <cell r="C132" t="str">
            <v>gdp_activity</v>
          </cell>
          <cell r="D132">
            <v>-1.1223586797714229</v>
          </cell>
        </row>
        <row r="133">
          <cell r="A133" t="str">
            <v>ARG</v>
          </cell>
          <cell r="B133">
            <v>2019</v>
          </cell>
          <cell r="C133" t="str">
            <v>gdp_for_agri</v>
          </cell>
          <cell r="D133">
            <v>1.901602625846863</v>
          </cell>
        </row>
        <row r="134">
          <cell r="A134" t="str">
            <v>ARG</v>
          </cell>
          <cell r="B134">
            <v>2019</v>
          </cell>
          <cell r="C134" t="str">
            <v>gdp_for_ind</v>
          </cell>
          <cell r="D134">
            <v>0.52037298679351807</v>
          </cell>
        </row>
        <row r="135">
          <cell r="A135" t="str">
            <v>ARG</v>
          </cell>
          <cell r="B135">
            <v>2019</v>
          </cell>
          <cell r="C135" t="str">
            <v>gdp_for_serv</v>
          </cell>
          <cell r="D135">
            <v>-0.63178431987762451</v>
          </cell>
        </row>
        <row r="136">
          <cell r="A136" t="str">
            <v>ARG</v>
          </cell>
          <cell r="B136">
            <v>2019</v>
          </cell>
          <cell r="C136" t="str">
            <v>gdp_inf_agri</v>
          </cell>
          <cell r="D136">
            <v>0.2458040118217468</v>
          </cell>
        </row>
        <row r="137">
          <cell r="A137" t="str">
            <v>ARG</v>
          </cell>
          <cell r="B137">
            <v>2019</v>
          </cell>
          <cell r="C137" t="str">
            <v>gdp_inf_ind</v>
          </cell>
          <cell r="D137">
            <v>-0.98073077201843262</v>
          </cell>
        </row>
        <row r="138">
          <cell r="A138" t="str">
            <v>ARG</v>
          </cell>
          <cell r="B138">
            <v>2019</v>
          </cell>
          <cell r="C138" t="str">
            <v>gdp_inf_serv</v>
          </cell>
          <cell r="D138">
            <v>-1.278555035591125</v>
          </cell>
        </row>
        <row r="139">
          <cell r="A139" t="str">
            <v>ARG</v>
          </cell>
          <cell r="B139">
            <v>2019</v>
          </cell>
          <cell r="C139" t="str">
            <v>prod_for_agri</v>
          </cell>
          <cell r="D139">
            <v>1.689147472381592</v>
          </cell>
        </row>
        <row r="140">
          <cell r="A140" t="str">
            <v>ARG</v>
          </cell>
          <cell r="B140">
            <v>2019</v>
          </cell>
          <cell r="C140" t="str">
            <v>prod_for_ind</v>
          </cell>
          <cell r="D140">
            <v>0.96365523338317871</v>
          </cell>
        </row>
        <row r="141">
          <cell r="A141" t="str">
            <v>ARG</v>
          </cell>
          <cell r="B141">
            <v>2019</v>
          </cell>
          <cell r="C141" t="str">
            <v>prod_for_serv</v>
          </cell>
          <cell r="D141">
            <v>0.57299554347991943</v>
          </cell>
        </row>
        <row r="142">
          <cell r="A142" t="str">
            <v>ARG</v>
          </cell>
          <cell r="B142">
            <v>2019</v>
          </cell>
          <cell r="C142" t="str">
            <v>prod_inf_agri</v>
          </cell>
          <cell r="D142">
            <v>0.34185367822647089</v>
          </cell>
        </row>
        <row r="143">
          <cell r="A143" t="str">
            <v>ARG</v>
          </cell>
          <cell r="B143">
            <v>2019</v>
          </cell>
          <cell r="C143" t="str">
            <v>prod_inf_ind</v>
          </cell>
          <cell r="D143">
            <v>1.7769831418991091</v>
          </cell>
        </row>
        <row r="144">
          <cell r="A144" t="str">
            <v>ARG</v>
          </cell>
          <cell r="B144">
            <v>2019</v>
          </cell>
          <cell r="C144" t="str">
            <v>prod_inf_serv</v>
          </cell>
          <cell r="D144">
            <v>1.4992872476577761</v>
          </cell>
        </row>
        <row r="145">
          <cell r="A145" t="str">
            <v>ARG</v>
          </cell>
          <cell r="B145">
            <v>2020</v>
          </cell>
          <cell r="C145" t="str">
            <v>gdp_activity</v>
          </cell>
          <cell r="D145">
            <v>0.48722732067108149</v>
          </cell>
        </row>
        <row r="146">
          <cell r="A146" t="str">
            <v>ARG</v>
          </cell>
          <cell r="B146">
            <v>2020</v>
          </cell>
          <cell r="C146" t="str">
            <v>gdp_for_agri</v>
          </cell>
          <cell r="D146">
            <v>1.7106913328170781</v>
          </cell>
        </row>
        <row r="147">
          <cell r="A147" t="str">
            <v>ARG</v>
          </cell>
          <cell r="B147">
            <v>2020</v>
          </cell>
          <cell r="C147" t="str">
            <v>gdp_for_ind</v>
          </cell>
          <cell r="D147">
            <v>0.70263528823852539</v>
          </cell>
        </row>
        <row r="148">
          <cell r="A148" t="str">
            <v>ARG</v>
          </cell>
          <cell r="B148">
            <v>2020</v>
          </cell>
          <cell r="C148" t="str">
            <v>gdp_for_serv</v>
          </cell>
          <cell r="D148">
            <v>0.42473137378692633</v>
          </cell>
        </row>
        <row r="149">
          <cell r="A149" t="str">
            <v>ARG</v>
          </cell>
          <cell r="B149">
            <v>2020</v>
          </cell>
          <cell r="C149" t="str">
            <v>gdp_inf_agri</v>
          </cell>
          <cell r="D149">
            <v>-4.5946106910705566</v>
          </cell>
        </row>
        <row r="150">
          <cell r="A150" t="str">
            <v>ARG</v>
          </cell>
          <cell r="B150">
            <v>2020</v>
          </cell>
          <cell r="C150" t="str">
            <v>gdp_inf_ind</v>
          </cell>
          <cell r="D150">
            <v>-0.33547759056091309</v>
          </cell>
        </row>
        <row r="151">
          <cell r="A151" t="str">
            <v>ARG</v>
          </cell>
          <cell r="B151">
            <v>2020</v>
          </cell>
          <cell r="C151" t="str">
            <v>gdp_inf_serv</v>
          </cell>
          <cell r="D151">
            <v>1.504239439964294</v>
          </cell>
        </row>
        <row r="152">
          <cell r="A152" t="str">
            <v>ARG</v>
          </cell>
          <cell r="B152">
            <v>2020</v>
          </cell>
          <cell r="C152" t="str">
            <v>prod_for_agri</v>
          </cell>
          <cell r="D152">
            <v>1.416828870773315</v>
          </cell>
        </row>
        <row r="153">
          <cell r="A153" t="str">
            <v>ARG</v>
          </cell>
          <cell r="B153">
            <v>2020</v>
          </cell>
          <cell r="C153" t="str">
            <v>prod_for_ind</v>
          </cell>
          <cell r="D153">
            <v>1.142093181610107</v>
          </cell>
        </row>
        <row r="154">
          <cell r="A154" t="str">
            <v>ARG</v>
          </cell>
          <cell r="B154">
            <v>2020</v>
          </cell>
          <cell r="C154" t="str">
            <v>prod_for_serv</v>
          </cell>
          <cell r="D154">
            <v>5.9876770973205566</v>
          </cell>
        </row>
        <row r="155">
          <cell r="A155" t="str">
            <v>ARG</v>
          </cell>
          <cell r="B155">
            <v>2020</v>
          </cell>
          <cell r="C155" t="str">
            <v>prod_inf_agri</v>
          </cell>
          <cell r="D155">
            <v>1.10592257976532</v>
          </cell>
        </row>
        <row r="156">
          <cell r="A156" t="str">
            <v>ARG</v>
          </cell>
          <cell r="B156">
            <v>2020</v>
          </cell>
          <cell r="C156" t="str">
            <v>prod_inf_ind</v>
          </cell>
          <cell r="D156">
            <v>1.3911734819412229</v>
          </cell>
        </row>
        <row r="157">
          <cell r="A157" t="str">
            <v>ARG</v>
          </cell>
          <cell r="B157">
            <v>2020</v>
          </cell>
          <cell r="C157" t="str">
            <v>prod_inf_serv</v>
          </cell>
          <cell r="D157">
            <v>10.637576103210449</v>
          </cell>
        </row>
        <row r="158">
          <cell r="A158" t="str">
            <v>ARG</v>
          </cell>
          <cell r="B158">
            <v>2021</v>
          </cell>
          <cell r="C158" t="str">
            <v>gdp_activity</v>
          </cell>
          <cell r="D158">
            <v>0.80681794881820679</v>
          </cell>
        </row>
        <row r="159">
          <cell r="A159" t="str">
            <v>ARG</v>
          </cell>
          <cell r="B159">
            <v>2021</v>
          </cell>
          <cell r="C159" t="str">
            <v>gdp_for_agri</v>
          </cell>
          <cell r="D159">
            <v>10.508414268493651</v>
          </cell>
        </row>
        <row r="160">
          <cell r="A160" t="str">
            <v>ARG</v>
          </cell>
          <cell r="B160">
            <v>2021</v>
          </cell>
          <cell r="C160" t="str">
            <v>gdp_for_ind</v>
          </cell>
          <cell r="D160">
            <v>0.82997846603393555</v>
          </cell>
        </row>
        <row r="161">
          <cell r="A161" t="str">
            <v>ARG</v>
          </cell>
          <cell r="B161">
            <v>2021</v>
          </cell>
          <cell r="C161" t="str">
            <v>gdp_for_serv</v>
          </cell>
          <cell r="D161">
            <v>1.295888304710388</v>
          </cell>
        </row>
        <row r="162">
          <cell r="A162" t="str">
            <v>ARG</v>
          </cell>
          <cell r="B162">
            <v>2021</v>
          </cell>
          <cell r="C162" t="str">
            <v>gdp_inf_agri</v>
          </cell>
          <cell r="D162">
            <v>-2.607300996780396</v>
          </cell>
        </row>
        <row r="163">
          <cell r="A163" t="str">
            <v>ARG</v>
          </cell>
          <cell r="B163">
            <v>2021</v>
          </cell>
          <cell r="C163" t="str">
            <v>gdp_inf_ind</v>
          </cell>
          <cell r="D163">
            <v>-0.23452229797840121</v>
          </cell>
        </row>
        <row r="164">
          <cell r="A164" t="str">
            <v>ARG</v>
          </cell>
          <cell r="B164">
            <v>2021</v>
          </cell>
          <cell r="C164" t="str">
            <v>gdp_inf_serv</v>
          </cell>
          <cell r="D164">
            <v>2.4153256416320801</v>
          </cell>
        </row>
        <row r="165">
          <cell r="A165" t="str">
            <v>ARG</v>
          </cell>
          <cell r="B165">
            <v>2021</v>
          </cell>
          <cell r="C165" t="str">
            <v>prod_for_agri</v>
          </cell>
          <cell r="D165">
            <v>5.6571054458618164</v>
          </cell>
        </row>
        <row r="166">
          <cell r="A166" t="str">
            <v>ARG</v>
          </cell>
          <cell r="B166">
            <v>2021</v>
          </cell>
          <cell r="C166" t="str">
            <v>prod_for_ind</v>
          </cell>
          <cell r="D166">
            <v>0.57477092742919922</v>
          </cell>
        </row>
        <row r="167">
          <cell r="A167" t="str">
            <v>ARG</v>
          </cell>
          <cell r="B167">
            <v>2021</v>
          </cell>
          <cell r="C167" t="str">
            <v>prod_for_serv</v>
          </cell>
          <cell r="D167">
            <v>-0.62683534622192383</v>
          </cell>
        </row>
        <row r="168">
          <cell r="A168" t="str">
            <v>ARG</v>
          </cell>
          <cell r="B168">
            <v>2021</v>
          </cell>
          <cell r="C168" t="str">
            <v>prod_inf_agri</v>
          </cell>
          <cell r="D168">
            <v>1.5344253778457639</v>
          </cell>
        </row>
        <row r="169">
          <cell r="A169" t="str">
            <v>ARG</v>
          </cell>
          <cell r="B169">
            <v>2021</v>
          </cell>
          <cell r="C169" t="str">
            <v>prod_inf_ind</v>
          </cell>
          <cell r="D169">
            <v>1.4580762386322019</v>
          </cell>
        </row>
        <row r="170">
          <cell r="A170" t="str">
            <v>ARG</v>
          </cell>
          <cell r="B170">
            <v>2021</v>
          </cell>
          <cell r="C170" t="str">
            <v>prod_inf_serv</v>
          </cell>
          <cell r="D170">
            <v>-3.8979496955871582</v>
          </cell>
        </row>
        <row r="171">
          <cell r="A171" t="str">
            <v>ARG</v>
          </cell>
          <cell r="B171">
            <v>2022</v>
          </cell>
          <cell r="C171" t="str">
            <v>gdp_activity</v>
          </cell>
          <cell r="D171">
            <v>0.53386479616165161</v>
          </cell>
        </row>
        <row r="172">
          <cell r="A172" t="str">
            <v>ARG</v>
          </cell>
          <cell r="B172">
            <v>2022</v>
          </cell>
          <cell r="C172" t="str">
            <v>gdp_for_agri</v>
          </cell>
          <cell r="D172">
            <v>-4.5503430366516113</v>
          </cell>
        </row>
        <row r="173">
          <cell r="A173" t="str">
            <v>ARG</v>
          </cell>
          <cell r="B173">
            <v>2022</v>
          </cell>
          <cell r="C173" t="str">
            <v>gdp_for_ind</v>
          </cell>
          <cell r="D173">
            <v>-0.18914200365543371</v>
          </cell>
        </row>
        <row r="174">
          <cell r="A174" t="str">
            <v>ARG</v>
          </cell>
          <cell r="B174">
            <v>2022</v>
          </cell>
          <cell r="C174" t="str">
            <v>gdp_for_serv</v>
          </cell>
          <cell r="D174">
            <v>-0.12539419531822199</v>
          </cell>
        </row>
        <row r="175">
          <cell r="A175" t="str">
            <v>ARG</v>
          </cell>
          <cell r="B175">
            <v>2022</v>
          </cell>
          <cell r="C175" t="str">
            <v>gdp_inf_agri</v>
          </cell>
          <cell r="D175">
            <v>-1.1385587453842161</v>
          </cell>
        </row>
        <row r="176">
          <cell r="A176" t="str">
            <v>ARG</v>
          </cell>
          <cell r="B176">
            <v>2022</v>
          </cell>
          <cell r="C176" t="str">
            <v>gdp_inf_ind</v>
          </cell>
          <cell r="D176">
            <v>2.556578397750854</v>
          </cell>
        </row>
        <row r="177">
          <cell r="A177" t="str">
            <v>ARG</v>
          </cell>
          <cell r="B177">
            <v>2022</v>
          </cell>
          <cell r="C177" t="str">
            <v>gdp_inf_serv</v>
          </cell>
          <cell r="D177">
            <v>1.2958041429519651</v>
          </cell>
        </row>
        <row r="178">
          <cell r="A178" t="str">
            <v>ARG</v>
          </cell>
          <cell r="B178">
            <v>2022</v>
          </cell>
          <cell r="C178" t="str">
            <v>prod_for_agri</v>
          </cell>
          <cell r="D178">
            <v>0.8937528133392334</v>
          </cell>
        </row>
        <row r="179">
          <cell r="A179" t="str">
            <v>ARG</v>
          </cell>
          <cell r="B179">
            <v>2022</v>
          </cell>
          <cell r="C179" t="str">
            <v>prod_for_ind</v>
          </cell>
          <cell r="D179">
            <v>4.0350594520568848</v>
          </cell>
        </row>
        <row r="180">
          <cell r="A180" t="str">
            <v>ARG</v>
          </cell>
          <cell r="B180">
            <v>2022</v>
          </cell>
          <cell r="C180" t="str">
            <v>prod_for_serv</v>
          </cell>
          <cell r="D180">
            <v>-2.070522546768188</v>
          </cell>
        </row>
        <row r="181">
          <cell r="A181" t="str">
            <v>ARG</v>
          </cell>
          <cell r="B181">
            <v>2022</v>
          </cell>
          <cell r="C181" t="str">
            <v>prod_inf_agri</v>
          </cell>
          <cell r="D181">
            <v>0.46510639786720281</v>
          </cell>
        </row>
        <row r="182">
          <cell r="A182" t="str">
            <v>ARG</v>
          </cell>
          <cell r="B182">
            <v>2022</v>
          </cell>
          <cell r="C182" t="str">
            <v>prod_inf_ind</v>
          </cell>
          <cell r="D182">
            <v>4.8809828758239746</v>
          </cell>
        </row>
        <row r="183">
          <cell r="A183" t="str">
            <v>ARG</v>
          </cell>
          <cell r="B183">
            <v>2022</v>
          </cell>
          <cell r="C183" t="str">
            <v>prod_inf_serv</v>
          </cell>
          <cell r="D183">
            <v>-3.777106761932373</v>
          </cell>
        </row>
        <row r="184">
          <cell r="A184" t="str">
            <v>ARG</v>
          </cell>
          <cell r="B184">
            <v>2023</v>
          </cell>
          <cell r="C184" t="str">
            <v>gdp_activity</v>
          </cell>
          <cell r="D184">
            <v>-1.169668316841125</v>
          </cell>
        </row>
        <row r="185">
          <cell r="A185" t="str">
            <v>ARG</v>
          </cell>
          <cell r="B185">
            <v>2023</v>
          </cell>
          <cell r="C185" t="str">
            <v>gdp_for_agri</v>
          </cell>
          <cell r="D185">
            <v>-1.073553323745728</v>
          </cell>
        </row>
        <row r="186">
          <cell r="A186" t="str">
            <v>ARG</v>
          </cell>
          <cell r="B186">
            <v>2023</v>
          </cell>
          <cell r="C186" t="str">
            <v>gdp_for_ind</v>
          </cell>
          <cell r="D186">
            <v>7.3831968307495117</v>
          </cell>
        </row>
        <row r="187">
          <cell r="A187" t="str">
            <v>ARG</v>
          </cell>
          <cell r="B187">
            <v>2023</v>
          </cell>
          <cell r="C187" t="str">
            <v>gdp_for_serv</v>
          </cell>
          <cell r="D187">
            <v>14.611807823181151</v>
          </cell>
        </row>
        <row r="188">
          <cell r="A188" t="str">
            <v>ARG</v>
          </cell>
          <cell r="B188">
            <v>2023</v>
          </cell>
          <cell r="C188" t="str">
            <v>gdp_inf_agri</v>
          </cell>
          <cell r="D188">
            <v>-2.560808323323727E-2</v>
          </cell>
        </row>
        <row r="189">
          <cell r="A189" t="str">
            <v>ARG</v>
          </cell>
          <cell r="B189">
            <v>2023</v>
          </cell>
          <cell r="C189" t="str">
            <v>gdp_inf_ind</v>
          </cell>
          <cell r="D189">
            <v>-4.4806830585002899E-2</v>
          </cell>
        </row>
        <row r="190">
          <cell r="A190" t="str">
            <v>ARG</v>
          </cell>
          <cell r="B190">
            <v>2023</v>
          </cell>
          <cell r="C190" t="str">
            <v>gdp_inf_serv</v>
          </cell>
          <cell r="D190">
            <v>6.8697481155395508</v>
          </cell>
        </row>
        <row r="191">
          <cell r="A191" t="str">
            <v>ARG</v>
          </cell>
          <cell r="B191">
            <v>2023</v>
          </cell>
          <cell r="C191" t="str">
            <v>prod_for_agri</v>
          </cell>
          <cell r="D191">
            <v>0.11411160230636599</v>
          </cell>
        </row>
        <row r="192">
          <cell r="A192" t="str">
            <v>ARG</v>
          </cell>
          <cell r="B192">
            <v>2023</v>
          </cell>
          <cell r="C192" t="str">
            <v>prod_for_ind</v>
          </cell>
          <cell r="D192">
            <v>3.161982536315918</v>
          </cell>
        </row>
        <row r="193">
          <cell r="A193" t="str">
            <v>ARG</v>
          </cell>
          <cell r="B193">
            <v>2023</v>
          </cell>
          <cell r="C193" t="str">
            <v>prod_for_serv</v>
          </cell>
          <cell r="D193">
            <v>0.57186698913574219</v>
          </cell>
        </row>
        <row r="194">
          <cell r="A194" t="str">
            <v>ARG</v>
          </cell>
          <cell r="B194">
            <v>2023</v>
          </cell>
          <cell r="C194" t="str">
            <v>prod_inf_agri</v>
          </cell>
          <cell r="D194">
            <v>0.42578795552253718</v>
          </cell>
        </row>
        <row r="195">
          <cell r="A195" t="str">
            <v>ARG</v>
          </cell>
          <cell r="B195">
            <v>2023</v>
          </cell>
          <cell r="C195" t="str">
            <v>prod_inf_ind</v>
          </cell>
          <cell r="D195">
            <v>-0.91434794664382935</v>
          </cell>
        </row>
        <row r="196">
          <cell r="A196" t="str">
            <v>ARG</v>
          </cell>
          <cell r="B196">
            <v>2023</v>
          </cell>
          <cell r="C196" t="str">
            <v>prod_inf_serv</v>
          </cell>
          <cell r="D196">
            <v>0.75571948289871216</v>
          </cell>
        </row>
        <row r="197">
          <cell r="A197" t="str">
            <v>BOL</v>
          </cell>
          <cell r="B197">
            <v>2008</v>
          </cell>
          <cell r="C197" t="str">
            <v>gdp_activity</v>
          </cell>
          <cell r="D197">
            <v>0.99236828088760376</v>
          </cell>
        </row>
        <row r="198">
          <cell r="A198" t="str">
            <v>BOL</v>
          </cell>
          <cell r="B198">
            <v>2008</v>
          </cell>
          <cell r="C198" t="str">
            <v>gdp_for_agri</v>
          </cell>
          <cell r="D198">
            <v>-7.0687212944030762</v>
          </cell>
        </row>
        <row r="199">
          <cell r="A199" t="str">
            <v>BOL</v>
          </cell>
          <cell r="B199">
            <v>2008</v>
          </cell>
          <cell r="C199" t="str">
            <v>gdp_for_ind</v>
          </cell>
          <cell r="D199">
            <v>-0.5096973180770874</v>
          </cell>
        </row>
        <row r="200">
          <cell r="A200" t="str">
            <v>BOL</v>
          </cell>
          <cell r="B200">
            <v>2008</v>
          </cell>
          <cell r="C200" t="str">
            <v>gdp_for_serv</v>
          </cell>
          <cell r="D200">
            <v>-4.7458048909902573E-2</v>
          </cell>
        </row>
        <row r="201">
          <cell r="A201" t="str">
            <v>BOL</v>
          </cell>
          <cell r="B201">
            <v>2008</v>
          </cell>
          <cell r="C201" t="str">
            <v>gdp_inf_agri</v>
          </cell>
          <cell r="D201">
            <v>2.376603364944458</v>
          </cell>
        </row>
        <row r="202">
          <cell r="A202" t="str">
            <v>BOL</v>
          </cell>
          <cell r="B202">
            <v>2008</v>
          </cell>
          <cell r="C202" t="str">
            <v>gdp_inf_ind</v>
          </cell>
          <cell r="D202">
            <v>0.54089921712875366</v>
          </cell>
        </row>
        <row r="203">
          <cell r="A203" t="str">
            <v>BOL</v>
          </cell>
          <cell r="B203">
            <v>2008</v>
          </cell>
          <cell r="C203" t="str">
            <v>gdp_inf_serv</v>
          </cell>
          <cell r="D203">
            <v>4.6895837783813477</v>
          </cell>
        </row>
        <row r="204">
          <cell r="A204" t="str">
            <v>BOL</v>
          </cell>
          <cell r="B204">
            <v>2008</v>
          </cell>
          <cell r="C204" t="str">
            <v>prod_for_agri</v>
          </cell>
          <cell r="D204">
            <v>-80.131248474121094</v>
          </cell>
        </row>
        <row r="205">
          <cell r="A205" t="str">
            <v>BOL</v>
          </cell>
          <cell r="B205">
            <v>2008</v>
          </cell>
          <cell r="C205" t="str">
            <v>prod_for_ind</v>
          </cell>
          <cell r="D205">
            <v>-2.1198947429656978</v>
          </cell>
        </row>
        <row r="206">
          <cell r="A206" t="str">
            <v>BOL</v>
          </cell>
          <cell r="B206">
            <v>2008</v>
          </cell>
          <cell r="C206" t="str">
            <v>prod_for_serv</v>
          </cell>
          <cell r="D206">
            <v>0.99593484401702881</v>
          </cell>
        </row>
        <row r="207">
          <cell r="A207" t="str">
            <v>BOL</v>
          </cell>
          <cell r="B207">
            <v>2008</v>
          </cell>
          <cell r="C207" t="str">
            <v>prod_inf_agri</v>
          </cell>
          <cell r="D207">
            <v>-5.1785469055175781</v>
          </cell>
        </row>
        <row r="208">
          <cell r="A208" t="str">
            <v>BOL</v>
          </cell>
          <cell r="B208">
            <v>2008</v>
          </cell>
          <cell r="C208" t="str">
            <v>prod_inf_ind</v>
          </cell>
          <cell r="D208">
            <v>1.9701061248779299</v>
          </cell>
        </row>
        <row r="209">
          <cell r="A209" t="str">
            <v>BOL</v>
          </cell>
          <cell r="B209">
            <v>2008</v>
          </cell>
          <cell r="C209" t="str">
            <v>prod_inf_serv</v>
          </cell>
          <cell r="D209">
            <v>-1.142744660377502</v>
          </cell>
        </row>
        <row r="210">
          <cell r="A210" t="str">
            <v>BOL</v>
          </cell>
          <cell r="B210">
            <v>2009</v>
          </cell>
          <cell r="C210" t="str">
            <v>gdp_activity</v>
          </cell>
          <cell r="D210">
            <v>1.0055990219116211</v>
          </cell>
        </row>
        <row r="211">
          <cell r="A211" t="str">
            <v>BOL</v>
          </cell>
          <cell r="B211">
            <v>2009</v>
          </cell>
          <cell r="C211" t="str">
            <v>gdp_for_agri</v>
          </cell>
          <cell r="D211">
            <v>1.185919880867004</v>
          </cell>
        </row>
        <row r="212">
          <cell r="A212" t="str">
            <v>BOL</v>
          </cell>
          <cell r="B212">
            <v>2009</v>
          </cell>
          <cell r="C212" t="str">
            <v>gdp_for_ind</v>
          </cell>
          <cell r="D212">
            <v>6.7435135841369629</v>
          </cell>
        </row>
        <row r="213">
          <cell r="A213" t="str">
            <v>BOL</v>
          </cell>
          <cell r="B213">
            <v>2009</v>
          </cell>
          <cell r="C213" t="str">
            <v>gdp_for_serv</v>
          </cell>
          <cell r="D213">
            <v>3.8345873355865479</v>
          </cell>
        </row>
        <row r="214">
          <cell r="A214" t="str">
            <v>BOL</v>
          </cell>
          <cell r="B214">
            <v>2009</v>
          </cell>
          <cell r="C214" t="str">
            <v>gdp_inf_agri</v>
          </cell>
          <cell r="D214">
            <v>-0.25034824013710022</v>
          </cell>
        </row>
        <row r="215">
          <cell r="A215" t="str">
            <v>BOL</v>
          </cell>
          <cell r="B215">
            <v>2009</v>
          </cell>
          <cell r="C215" t="str">
            <v>gdp_inf_ind</v>
          </cell>
          <cell r="D215">
            <v>1.58558201789856</v>
          </cell>
        </row>
        <row r="216">
          <cell r="A216" t="str">
            <v>BOL</v>
          </cell>
          <cell r="B216">
            <v>2009</v>
          </cell>
          <cell r="C216" t="str">
            <v>gdp_inf_serv</v>
          </cell>
          <cell r="D216">
            <v>1.4094582758843901E-2</v>
          </cell>
        </row>
        <row r="217">
          <cell r="A217" t="str">
            <v>BOL</v>
          </cell>
          <cell r="B217">
            <v>2009</v>
          </cell>
          <cell r="C217" t="str">
            <v>prod_for_agri</v>
          </cell>
          <cell r="D217">
            <v>-16.506753921508789</v>
          </cell>
        </row>
        <row r="218">
          <cell r="A218" t="str">
            <v>BOL</v>
          </cell>
          <cell r="B218">
            <v>2009</v>
          </cell>
          <cell r="C218" t="str">
            <v>prod_for_ind</v>
          </cell>
          <cell r="D218">
            <v>-0.51916712522506714</v>
          </cell>
        </row>
        <row r="219">
          <cell r="A219" t="str">
            <v>BOL</v>
          </cell>
          <cell r="B219">
            <v>2009</v>
          </cell>
          <cell r="C219" t="str">
            <v>prod_for_serv</v>
          </cell>
          <cell r="D219">
            <v>-10.851560592651371</v>
          </cell>
        </row>
        <row r="220">
          <cell r="A220" t="str">
            <v>BOL</v>
          </cell>
          <cell r="B220">
            <v>2009</v>
          </cell>
          <cell r="C220" t="str">
            <v>prod_inf_agri</v>
          </cell>
          <cell r="D220">
            <v>-0.8479810357093811</v>
          </cell>
        </row>
        <row r="221">
          <cell r="A221" t="str">
            <v>BOL</v>
          </cell>
          <cell r="B221">
            <v>2009</v>
          </cell>
          <cell r="C221" t="str">
            <v>prod_inf_ind</v>
          </cell>
          <cell r="D221">
            <v>-4.9861888885498047</v>
          </cell>
        </row>
        <row r="222">
          <cell r="A222" t="str">
            <v>BOL</v>
          </cell>
          <cell r="B222">
            <v>2009</v>
          </cell>
          <cell r="C222" t="str">
            <v>prod_inf_serv</v>
          </cell>
          <cell r="D222">
            <v>15.49709415435791</v>
          </cell>
        </row>
        <row r="223">
          <cell r="A223" t="str">
            <v>BOL</v>
          </cell>
          <cell r="B223">
            <v>2011</v>
          </cell>
          <cell r="C223" t="str">
            <v>gdp_activity</v>
          </cell>
          <cell r="D223">
            <v>0.18217708170413971</v>
          </cell>
        </row>
        <row r="224">
          <cell r="A224" t="str">
            <v>BOL</v>
          </cell>
          <cell r="B224">
            <v>2011</v>
          </cell>
          <cell r="C224" t="str">
            <v>gdp_for_agri</v>
          </cell>
          <cell r="D224">
            <v>76.787818908691406</v>
          </cell>
        </row>
        <row r="225">
          <cell r="A225" t="str">
            <v>BOL</v>
          </cell>
          <cell r="B225">
            <v>2011</v>
          </cell>
          <cell r="C225" t="str">
            <v>gdp_for_ind</v>
          </cell>
          <cell r="D225">
            <v>3.7727341651916499</v>
          </cell>
        </row>
        <row r="226">
          <cell r="A226" t="str">
            <v>BOL</v>
          </cell>
          <cell r="B226">
            <v>2011</v>
          </cell>
          <cell r="C226" t="str">
            <v>gdp_for_serv</v>
          </cell>
          <cell r="D226">
            <v>1.5001224279403691</v>
          </cell>
        </row>
        <row r="227">
          <cell r="A227" t="str">
            <v>BOL</v>
          </cell>
          <cell r="B227">
            <v>2011</v>
          </cell>
          <cell r="C227" t="str">
            <v>gdp_inf_agri</v>
          </cell>
          <cell r="D227">
            <v>1.3663729429245</v>
          </cell>
        </row>
        <row r="228">
          <cell r="A228" t="str">
            <v>BOL</v>
          </cell>
          <cell r="B228">
            <v>2011</v>
          </cell>
          <cell r="C228" t="str">
            <v>gdp_inf_ind</v>
          </cell>
          <cell r="D228">
            <v>-0.24793428182601929</v>
          </cell>
        </row>
        <row r="229">
          <cell r="A229" t="str">
            <v>BOL</v>
          </cell>
          <cell r="B229">
            <v>2011</v>
          </cell>
          <cell r="C229" t="str">
            <v>gdp_inf_serv</v>
          </cell>
          <cell r="D229">
            <v>-0.23895761370658869</v>
          </cell>
        </row>
        <row r="230">
          <cell r="A230" t="str">
            <v>BOL</v>
          </cell>
          <cell r="B230">
            <v>2011</v>
          </cell>
          <cell r="C230" t="str">
            <v>prod_for_agri</v>
          </cell>
          <cell r="D230">
            <v>-35.093803405761719</v>
          </cell>
        </row>
        <row r="231">
          <cell r="A231" t="str">
            <v>BOL</v>
          </cell>
          <cell r="B231">
            <v>2011</v>
          </cell>
          <cell r="C231" t="str">
            <v>prod_for_ind</v>
          </cell>
          <cell r="D231">
            <v>0.77012789249420166</v>
          </cell>
        </row>
        <row r="232">
          <cell r="A232" t="str">
            <v>BOL</v>
          </cell>
          <cell r="B232">
            <v>2011</v>
          </cell>
          <cell r="C232" t="str">
            <v>prod_for_serv</v>
          </cell>
          <cell r="D232">
            <v>0.51623362302780151</v>
          </cell>
        </row>
        <row r="233">
          <cell r="A233" t="str">
            <v>BOL</v>
          </cell>
          <cell r="B233">
            <v>2011</v>
          </cell>
          <cell r="C233" t="str">
            <v>prod_inf_agri</v>
          </cell>
          <cell r="D233">
            <v>-27.37972259521484</v>
          </cell>
        </row>
        <row r="234">
          <cell r="A234" t="str">
            <v>BOL</v>
          </cell>
          <cell r="B234">
            <v>2011</v>
          </cell>
          <cell r="C234" t="str">
            <v>prod_inf_ind</v>
          </cell>
          <cell r="D234">
            <v>0.76251482963562012</v>
          </cell>
        </row>
        <row r="235">
          <cell r="A235" t="str">
            <v>BOL</v>
          </cell>
          <cell r="B235">
            <v>2011</v>
          </cell>
          <cell r="C235" t="str">
            <v>prod_inf_serv</v>
          </cell>
          <cell r="D235">
            <v>-0.2091510891914368</v>
          </cell>
        </row>
        <row r="236">
          <cell r="A236" t="str">
            <v>BOL</v>
          </cell>
          <cell r="B236">
            <v>2012</v>
          </cell>
          <cell r="C236" t="str">
            <v>gdp_activity</v>
          </cell>
          <cell r="D236">
            <v>-0.62892657518386841</v>
          </cell>
        </row>
        <row r="237">
          <cell r="A237" t="str">
            <v>BOL</v>
          </cell>
          <cell r="B237">
            <v>2012</v>
          </cell>
          <cell r="C237" t="str">
            <v>gdp_for_agri</v>
          </cell>
          <cell r="D237">
            <v>1.663459777832031</v>
          </cell>
        </row>
        <row r="238">
          <cell r="A238" t="str">
            <v>BOL</v>
          </cell>
          <cell r="B238">
            <v>2012</v>
          </cell>
          <cell r="C238" t="str">
            <v>gdp_for_ind</v>
          </cell>
          <cell r="D238">
            <v>0.46535760164260859</v>
          </cell>
        </row>
        <row r="239">
          <cell r="A239" t="str">
            <v>BOL</v>
          </cell>
          <cell r="B239">
            <v>2012</v>
          </cell>
          <cell r="C239" t="str">
            <v>gdp_for_serv</v>
          </cell>
          <cell r="D239">
            <v>0.10206681489944459</v>
          </cell>
        </row>
        <row r="240">
          <cell r="A240" t="str">
            <v>BOL</v>
          </cell>
          <cell r="B240">
            <v>2012</v>
          </cell>
          <cell r="C240" t="str">
            <v>gdp_inf_agri</v>
          </cell>
          <cell r="D240">
            <v>-2.872384786605835</v>
          </cell>
        </row>
        <row r="241">
          <cell r="A241" t="str">
            <v>BOL</v>
          </cell>
          <cell r="B241">
            <v>2012</v>
          </cell>
          <cell r="C241" t="str">
            <v>gdp_inf_ind</v>
          </cell>
          <cell r="D241">
            <v>-1.089935421943665</v>
          </cell>
        </row>
        <row r="242">
          <cell r="A242" t="str">
            <v>BOL</v>
          </cell>
          <cell r="B242">
            <v>2012</v>
          </cell>
          <cell r="C242" t="str">
            <v>gdp_inf_serv</v>
          </cell>
          <cell r="D242">
            <v>0.77071517705917358</v>
          </cell>
        </row>
        <row r="243">
          <cell r="A243" t="str">
            <v>BOL</v>
          </cell>
          <cell r="B243">
            <v>2012</v>
          </cell>
          <cell r="C243" t="str">
            <v>prod_for_agri</v>
          </cell>
          <cell r="D243">
            <v>0.27752503752708441</v>
          </cell>
        </row>
        <row r="244">
          <cell r="A244" t="str">
            <v>BOL</v>
          </cell>
          <cell r="B244">
            <v>2012</v>
          </cell>
          <cell r="C244" t="str">
            <v>prod_for_ind</v>
          </cell>
          <cell r="D244">
            <v>1.80031430721283</v>
          </cell>
        </row>
        <row r="245">
          <cell r="A245" t="str">
            <v>BOL</v>
          </cell>
          <cell r="B245">
            <v>2012</v>
          </cell>
          <cell r="C245" t="str">
            <v>prod_for_serv</v>
          </cell>
          <cell r="D245">
            <v>3.4755315780639648</v>
          </cell>
        </row>
        <row r="246">
          <cell r="A246" t="str">
            <v>BOL</v>
          </cell>
          <cell r="B246">
            <v>2012</v>
          </cell>
          <cell r="C246" t="str">
            <v>prod_inf_agri</v>
          </cell>
          <cell r="D246">
            <v>-0.16970415413379669</v>
          </cell>
        </row>
        <row r="247">
          <cell r="A247" t="str">
            <v>BOL</v>
          </cell>
          <cell r="B247">
            <v>2012</v>
          </cell>
          <cell r="C247" t="str">
            <v>prod_inf_ind</v>
          </cell>
          <cell r="D247">
            <v>1.0683673620223999</v>
          </cell>
        </row>
        <row r="248">
          <cell r="A248" t="str">
            <v>BOL</v>
          </cell>
          <cell r="B248">
            <v>2012</v>
          </cell>
          <cell r="C248" t="str">
            <v>prod_inf_serv</v>
          </cell>
          <cell r="D248">
            <v>3.3631200790405269</v>
          </cell>
        </row>
        <row r="249">
          <cell r="A249" t="str">
            <v>BOL</v>
          </cell>
          <cell r="B249">
            <v>2013</v>
          </cell>
          <cell r="C249" t="str">
            <v>gdp_activity</v>
          </cell>
          <cell r="D249">
            <v>0.58580732345581055</v>
          </cell>
        </row>
        <row r="250">
          <cell r="A250" t="str">
            <v>BOL</v>
          </cell>
          <cell r="B250">
            <v>2013</v>
          </cell>
          <cell r="C250" t="str">
            <v>gdp_for_agri</v>
          </cell>
          <cell r="D250">
            <v>0.87027978897094727</v>
          </cell>
        </row>
        <row r="251">
          <cell r="A251" t="str">
            <v>BOL</v>
          </cell>
          <cell r="B251">
            <v>2013</v>
          </cell>
          <cell r="C251" t="str">
            <v>gdp_for_ind</v>
          </cell>
          <cell r="D251">
            <v>1.8995558023452761</v>
          </cell>
        </row>
        <row r="252">
          <cell r="A252" t="str">
            <v>BOL</v>
          </cell>
          <cell r="B252">
            <v>2013</v>
          </cell>
          <cell r="C252" t="str">
            <v>gdp_for_serv</v>
          </cell>
          <cell r="D252">
            <v>4.4259371757507324</v>
          </cell>
        </row>
        <row r="253">
          <cell r="A253" t="str">
            <v>BOL</v>
          </cell>
          <cell r="B253">
            <v>2013</v>
          </cell>
          <cell r="C253" t="str">
            <v>gdp_inf_agri</v>
          </cell>
          <cell r="D253">
            <v>1.086957693099976</v>
          </cell>
        </row>
        <row r="254">
          <cell r="A254" t="str">
            <v>BOL</v>
          </cell>
          <cell r="B254">
            <v>2013</v>
          </cell>
          <cell r="C254" t="str">
            <v>gdp_inf_ind</v>
          </cell>
          <cell r="D254">
            <v>-0.16371127963066101</v>
          </cell>
        </row>
        <row r="255">
          <cell r="A255" t="str">
            <v>BOL</v>
          </cell>
          <cell r="B255">
            <v>2013</v>
          </cell>
          <cell r="C255" t="str">
            <v>gdp_inf_serv</v>
          </cell>
          <cell r="D255">
            <v>-0.87695825099945068</v>
          </cell>
        </row>
        <row r="256">
          <cell r="A256" t="str">
            <v>BOL</v>
          </cell>
          <cell r="B256">
            <v>2013</v>
          </cell>
          <cell r="C256" t="str">
            <v>prod_for_agri</v>
          </cell>
          <cell r="D256">
            <v>-49.521938323974609</v>
          </cell>
        </row>
        <row r="257">
          <cell r="A257" t="str">
            <v>BOL</v>
          </cell>
          <cell r="B257">
            <v>2013</v>
          </cell>
          <cell r="C257" t="str">
            <v>prod_for_ind</v>
          </cell>
          <cell r="D257">
            <v>-0.63603883981704712</v>
          </cell>
        </row>
        <row r="258">
          <cell r="A258" t="str">
            <v>BOL</v>
          </cell>
          <cell r="B258">
            <v>2013</v>
          </cell>
          <cell r="C258" t="str">
            <v>prod_for_serv</v>
          </cell>
          <cell r="D258">
            <v>4.0426597595214844</v>
          </cell>
        </row>
        <row r="259">
          <cell r="A259" t="str">
            <v>BOL</v>
          </cell>
          <cell r="B259">
            <v>2013</v>
          </cell>
          <cell r="C259" t="str">
            <v>prod_inf_agri</v>
          </cell>
          <cell r="D259">
            <v>4.1285548210144043</v>
          </cell>
        </row>
        <row r="260">
          <cell r="A260" t="str">
            <v>BOL</v>
          </cell>
          <cell r="B260">
            <v>2013</v>
          </cell>
          <cell r="C260" t="str">
            <v>prod_inf_ind</v>
          </cell>
          <cell r="D260">
            <v>-0.6219286322593689</v>
          </cell>
        </row>
        <row r="261">
          <cell r="A261" t="str">
            <v>BOL</v>
          </cell>
          <cell r="B261">
            <v>2013</v>
          </cell>
          <cell r="C261" t="str">
            <v>prod_inf_serv</v>
          </cell>
          <cell r="D261">
            <v>2.3069789409637451</v>
          </cell>
        </row>
        <row r="262">
          <cell r="A262" t="str">
            <v>BOL</v>
          </cell>
          <cell r="B262">
            <v>2014</v>
          </cell>
          <cell r="C262" t="str">
            <v>gdp_activity</v>
          </cell>
          <cell r="D262">
            <v>0.63678395748138428</v>
          </cell>
        </row>
        <row r="263">
          <cell r="A263" t="str">
            <v>BOL</v>
          </cell>
          <cell r="B263">
            <v>2014</v>
          </cell>
          <cell r="C263" t="str">
            <v>gdp_for_agri</v>
          </cell>
          <cell r="D263">
            <v>-11.209132194519039</v>
          </cell>
        </row>
        <row r="264">
          <cell r="A264" t="str">
            <v>BOL</v>
          </cell>
          <cell r="B264">
            <v>2014</v>
          </cell>
          <cell r="C264" t="str">
            <v>gdp_for_ind</v>
          </cell>
          <cell r="D264">
            <v>-3.6201479434967041</v>
          </cell>
        </row>
        <row r="265">
          <cell r="A265" t="str">
            <v>BOL</v>
          </cell>
          <cell r="B265">
            <v>2014</v>
          </cell>
          <cell r="C265" t="str">
            <v>gdp_for_serv</v>
          </cell>
          <cell r="D265">
            <v>-4.2645444869995117</v>
          </cell>
        </row>
        <row r="266">
          <cell r="A266" t="str">
            <v>BOL</v>
          </cell>
          <cell r="B266">
            <v>2014</v>
          </cell>
          <cell r="C266" t="str">
            <v>gdp_inf_agri</v>
          </cell>
          <cell r="D266">
            <v>3.8723011016845699</v>
          </cell>
        </row>
        <row r="267">
          <cell r="A267" t="str">
            <v>BOL</v>
          </cell>
          <cell r="B267">
            <v>2014</v>
          </cell>
          <cell r="C267" t="str">
            <v>gdp_inf_ind</v>
          </cell>
          <cell r="D267">
            <v>2.6581368446350102</v>
          </cell>
        </row>
        <row r="268">
          <cell r="A268" t="str">
            <v>BOL</v>
          </cell>
          <cell r="B268">
            <v>2014</v>
          </cell>
          <cell r="C268" t="str">
            <v>gdp_inf_serv</v>
          </cell>
          <cell r="D268">
            <v>1.5706191062927251</v>
          </cell>
        </row>
        <row r="269">
          <cell r="A269" t="str">
            <v>BOL</v>
          </cell>
          <cell r="B269">
            <v>2014</v>
          </cell>
          <cell r="C269" t="str">
            <v>prod_for_agri</v>
          </cell>
          <cell r="D269">
            <v>3.0140812397003169</v>
          </cell>
        </row>
        <row r="270">
          <cell r="A270" t="str">
            <v>BOL</v>
          </cell>
          <cell r="B270">
            <v>2014</v>
          </cell>
          <cell r="C270" t="str">
            <v>prod_for_ind</v>
          </cell>
          <cell r="D270">
            <v>2.743894100189209</v>
          </cell>
        </row>
        <row r="271">
          <cell r="A271" t="str">
            <v>BOL</v>
          </cell>
          <cell r="B271">
            <v>2014</v>
          </cell>
          <cell r="C271" t="str">
            <v>prod_for_serv</v>
          </cell>
          <cell r="D271">
            <v>9.5144370570778847E-3</v>
          </cell>
        </row>
        <row r="272">
          <cell r="A272" t="str">
            <v>BOL</v>
          </cell>
          <cell r="B272">
            <v>2014</v>
          </cell>
          <cell r="C272" t="str">
            <v>prod_inf_agri</v>
          </cell>
          <cell r="D272">
            <v>-0.54354673624038696</v>
          </cell>
        </row>
        <row r="273">
          <cell r="A273" t="str">
            <v>BOL</v>
          </cell>
          <cell r="B273">
            <v>2014</v>
          </cell>
          <cell r="C273" t="str">
            <v>prod_inf_ind</v>
          </cell>
          <cell r="D273">
            <v>-5.4692401885986328</v>
          </cell>
        </row>
        <row r="274">
          <cell r="A274" t="str">
            <v>BOL</v>
          </cell>
          <cell r="B274">
            <v>2014</v>
          </cell>
          <cell r="C274" t="str">
            <v>prod_inf_serv</v>
          </cell>
          <cell r="D274">
            <v>1.957914471626282</v>
          </cell>
        </row>
        <row r="275">
          <cell r="A275" t="str">
            <v>BOL</v>
          </cell>
          <cell r="B275">
            <v>2015</v>
          </cell>
          <cell r="C275" t="str">
            <v>gdp_activity</v>
          </cell>
          <cell r="D275">
            <v>-0.55054247379302979</v>
          </cell>
        </row>
        <row r="276">
          <cell r="A276" t="str">
            <v>BOL</v>
          </cell>
          <cell r="B276">
            <v>2015</v>
          </cell>
          <cell r="C276" t="str">
            <v>gdp_for_agri</v>
          </cell>
          <cell r="D276">
            <v>18.30080604553223</v>
          </cell>
        </row>
        <row r="277">
          <cell r="A277" t="str">
            <v>BOL</v>
          </cell>
          <cell r="B277">
            <v>2015</v>
          </cell>
          <cell r="C277" t="str">
            <v>gdp_for_ind</v>
          </cell>
          <cell r="D277">
            <v>5.6563239097595206</v>
          </cell>
        </row>
        <row r="278">
          <cell r="A278" t="str">
            <v>BOL</v>
          </cell>
          <cell r="B278">
            <v>2015</v>
          </cell>
          <cell r="C278" t="str">
            <v>gdp_for_serv</v>
          </cell>
          <cell r="D278">
            <v>0.80887299776077271</v>
          </cell>
        </row>
        <row r="279">
          <cell r="A279" t="str">
            <v>BOL</v>
          </cell>
          <cell r="B279">
            <v>2015</v>
          </cell>
          <cell r="C279" t="str">
            <v>gdp_inf_agri</v>
          </cell>
          <cell r="D279">
            <v>-3.1201727390289311</v>
          </cell>
        </row>
        <row r="280">
          <cell r="A280" t="str">
            <v>BOL</v>
          </cell>
          <cell r="B280">
            <v>2015</v>
          </cell>
          <cell r="C280" t="str">
            <v>gdp_inf_ind</v>
          </cell>
          <cell r="D280">
            <v>1.699904680252075</v>
          </cell>
        </row>
        <row r="281">
          <cell r="A281" t="str">
            <v>BOL</v>
          </cell>
          <cell r="B281">
            <v>2015</v>
          </cell>
          <cell r="C281" t="str">
            <v>gdp_inf_serv</v>
          </cell>
          <cell r="D281">
            <v>-0.75096118450164795</v>
          </cell>
        </row>
        <row r="282">
          <cell r="A282" t="str">
            <v>BOL</v>
          </cell>
          <cell r="B282">
            <v>2015</v>
          </cell>
          <cell r="C282" t="str">
            <v>prod_for_agri</v>
          </cell>
          <cell r="D282">
            <v>-0.19220118224620819</v>
          </cell>
        </row>
        <row r="283">
          <cell r="A283" t="str">
            <v>BOL</v>
          </cell>
          <cell r="B283">
            <v>2015</v>
          </cell>
          <cell r="C283" t="str">
            <v>prod_for_ind</v>
          </cell>
          <cell r="D283">
            <v>1.614736080169678</v>
          </cell>
        </row>
        <row r="284">
          <cell r="A284" t="str">
            <v>BOL</v>
          </cell>
          <cell r="B284">
            <v>2015</v>
          </cell>
          <cell r="C284" t="str">
            <v>prod_for_serv</v>
          </cell>
          <cell r="D284">
            <v>2.681590057909489E-2</v>
          </cell>
        </row>
        <row r="285">
          <cell r="A285" t="str">
            <v>BOL</v>
          </cell>
          <cell r="B285">
            <v>2015</v>
          </cell>
          <cell r="C285" t="str">
            <v>prod_inf_agri</v>
          </cell>
          <cell r="D285">
            <v>-8.249664306640625E-2</v>
          </cell>
        </row>
        <row r="286">
          <cell r="A286" t="str">
            <v>BOL</v>
          </cell>
          <cell r="B286">
            <v>2015</v>
          </cell>
          <cell r="C286" t="str">
            <v>prod_inf_ind</v>
          </cell>
          <cell r="D286">
            <v>1.5142872333526609</v>
          </cell>
        </row>
        <row r="287">
          <cell r="A287" t="str">
            <v>BOL</v>
          </cell>
          <cell r="B287">
            <v>2015</v>
          </cell>
          <cell r="C287" t="str">
            <v>prod_inf_serv</v>
          </cell>
          <cell r="D287">
            <v>-0.78810954093933105</v>
          </cell>
        </row>
        <row r="288">
          <cell r="A288" t="str">
            <v>BOL</v>
          </cell>
          <cell r="B288">
            <v>2016</v>
          </cell>
          <cell r="C288" t="str">
            <v>gdp_activity</v>
          </cell>
          <cell r="D288">
            <v>1.23350977897644</v>
          </cell>
        </row>
        <row r="289">
          <cell r="A289" t="str">
            <v>BOL</v>
          </cell>
          <cell r="B289">
            <v>2016</v>
          </cell>
          <cell r="C289" t="str">
            <v>gdp_for_agri</v>
          </cell>
          <cell r="D289">
            <v>1.0090041160583501</v>
          </cell>
        </row>
        <row r="290">
          <cell r="A290" t="str">
            <v>BOL</v>
          </cell>
          <cell r="B290">
            <v>2016</v>
          </cell>
          <cell r="C290" t="str">
            <v>gdp_for_ind</v>
          </cell>
          <cell r="D290">
            <v>-0.19853691756725311</v>
          </cell>
        </row>
        <row r="291">
          <cell r="A291" t="str">
            <v>BOL</v>
          </cell>
          <cell r="B291">
            <v>2016</v>
          </cell>
          <cell r="C291" t="str">
            <v>gdp_for_serv</v>
          </cell>
          <cell r="D291">
            <v>1.929678201675415</v>
          </cell>
        </row>
        <row r="292">
          <cell r="A292" t="str">
            <v>BOL</v>
          </cell>
          <cell r="B292">
            <v>2016</v>
          </cell>
          <cell r="C292" t="str">
            <v>gdp_inf_agri</v>
          </cell>
          <cell r="D292">
            <v>3.1360220909118648</v>
          </cell>
        </row>
        <row r="293">
          <cell r="A293" t="str">
            <v>BOL</v>
          </cell>
          <cell r="B293">
            <v>2016</v>
          </cell>
          <cell r="C293" t="str">
            <v>gdp_inf_ind</v>
          </cell>
          <cell r="D293">
            <v>-0.6153905987739563</v>
          </cell>
        </row>
        <row r="294">
          <cell r="A294" t="str">
            <v>BOL</v>
          </cell>
          <cell r="B294">
            <v>2016</v>
          </cell>
          <cell r="C294" t="str">
            <v>gdp_inf_serv</v>
          </cell>
          <cell r="D294">
            <v>1.109765768051147</v>
          </cell>
        </row>
        <row r="295">
          <cell r="A295" t="str">
            <v>BOL</v>
          </cell>
          <cell r="B295">
            <v>2016</v>
          </cell>
          <cell r="C295" t="str">
            <v>prod_for_agri</v>
          </cell>
          <cell r="D295">
            <v>-1.1593350172042849</v>
          </cell>
        </row>
        <row r="296">
          <cell r="A296" t="str">
            <v>BOL</v>
          </cell>
          <cell r="B296">
            <v>2016</v>
          </cell>
          <cell r="C296" t="str">
            <v>prod_for_ind</v>
          </cell>
          <cell r="D296">
            <v>0.62409287691116333</v>
          </cell>
        </row>
        <row r="297">
          <cell r="A297" t="str">
            <v>BOL</v>
          </cell>
          <cell r="B297">
            <v>2016</v>
          </cell>
          <cell r="C297" t="str">
            <v>prod_for_serv</v>
          </cell>
          <cell r="D297">
            <v>-2.228182315826416</v>
          </cell>
        </row>
        <row r="298">
          <cell r="A298" t="str">
            <v>BOL</v>
          </cell>
          <cell r="B298">
            <v>2016</v>
          </cell>
          <cell r="C298" t="str">
            <v>prod_inf_agri</v>
          </cell>
          <cell r="D298">
            <v>1.7296749353408809</v>
          </cell>
        </row>
        <row r="299">
          <cell r="A299" t="str">
            <v>BOL</v>
          </cell>
          <cell r="B299">
            <v>2016</v>
          </cell>
          <cell r="C299" t="str">
            <v>prod_inf_ind</v>
          </cell>
          <cell r="D299">
            <v>-0.51585119962692261</v>
          </cell>
        </row>
        <row r="300">
          <cell r="A300" t="str">
            <v>BOL</v>
          </cell>
          <cell r="B300">
            <v>2016</v>
          </cell>
          <cell r="C300" t="str">
            <v>prod_inf_serv</v>
          </cell>
          <cell r="D300">
            <v>8.9537477493286133</v>
          </cell>
        </row>
        <row r="301">
          <cell r="A301" t="str">
            <v>BOL</v>
          </cell>
          <cell r="B301">
            <v>2017</v>
          </cell>
          <cell r="C301" t="str">
            <v>gdp_activity</v>
          </cell>
          <cell r="D301">
            <v>-0.39017322659492493</v>
          </cell>
        </row>
        <row r="302">
          <cell r="A302" t="str">
            <v>BOL</v>
          </cell>
          <cell r="B302">
            <v>2017</v>
          </cell>
          <cell r="C302" t="str">
            <v>gdp_for_agri</v>
          </cell>
          <cell r="D302">
            <v>0.118018738925457</v>
          </cell>
        </row>
        <row r="303">
          <cell r="A303" t="str">
            <v>BOL</v>
          </cell>
          <cell r="B303">
            <v>2017</v>
          </cell>
          <cell r="C303" t="str">
            <v>gdp_for_ind</v>
          </cell>
          <cell r="D303">
            <v>-0.40306571125984192</v>
          </cell>
        </row>
        <row r="304">
          <cell r="A304" t="str">
            <v>BOL</v>
          </cell>
          <cell r="B304">
            <v>2017</v>
          </cell>
          <cell r="C304" t="str">
            <v>gdp_for_serv</v>
          </cell>
          <cell r="D304">
            <v>-0.73099815845489502</v>
          </cell>
        </row>
        <row r="305">
          <cell r="A305" t="str">
            <v>BOL</v>
          </cell>
          <cell r="B305">
            <v>2017</v>
          </cell>
          <cell r="C305" t="str">
            <v>gdp_inf_agri</v>
          </cell>
          <cell r="D305">
            <v>-0.96406543254852295</v>
          </cell>
        </row>
        <row r="306">
          <cell r="A306" t="str">
            <v>BOL</v>
          </cell>
          <cell r="B306">
            <v>2017</v>
          </cell>
          <cell r="C306" t="str">
            <v>gdp_inf_ind</v>
          </cell>
          <cell r="D306">
            <v>1.3205323219299321</v>
          </cell>
        </row>
        <row r="307">
          <cell r="A307" t="str">
            <v>BOL</v>
          </cell>
          <cell r="B307">
            <v>2017</v>
          </cell>
          <cell r="C307" t="str">
            <v>gdp_inf_serv</v>
          </cell>
          <cell r="D307">
            <v>0.22086356580257421</v>
          </cell>
        </row>
        <row r="308">
          <cell r="A308" t="str">
            <v>BOL</v>
          </cell>
          <cell r="B308">
            <v>2017</v>
          </cell>
          <cell r="C308" t="str">
            <v>prod_for_agri</v>
          </cell>
          <cell r="D308">
            <v>0.24718561768531799</v>
          </cell>
        </row>
        <row r="309">
          <cell r="A309" t="str">
            <v>BOL</v>
          </cell>
          <cell r="B309">
            <v>2017</v>
          </cell>
          <cell r="C309" t="str">
            <v>prod_for_ind</v>
          </cell>
          <cell r="D309">
            <v>-412.05670166015631</v>
          </cell>
        </row>
        <row r="310">
          <cell r="A310" t="str">
            <v>BOL</v>
          </cell>
          <cell r="B310">
            <v>2017</v>
          </cell>
          <cell r="C310" t="str">
            <v>prod_for_serv</v>
          </cell>
          <cell r="D310">
            <v>-0.76904571056365967</v>
          </cell>
        </row>
        <row r="311">
          <cell r="A311" t="str">
            <v>BOL</v>
          </cell>
          <cell r="B311">
            <v>2017</v>
          </cell>
          <cell r="C311" t="str">
            <v>prod_inf_agri</v>
          </cell>
          <cell r="D311">
            <v>0.50546067953109741</v>
          </cell>
        </row>
        <row r="312">
          <cell r="A312" t="str">
            <v>BOL</v>
          </cell>
          <cell r="B312">
            <v>2017</v>
          </cell>
          <cell r="C312" t="str">
            <v>prod_inf_ind</v>
          </cell>
          <cell r="D312">
            <v>114.87384033203131</v>
          </cell>
        </row>
        <row r="313">
          <cell r="A313" t="str">
            <v>BOL</v>
          </cell>
          <cell r="B313">
            <v>2017</v>
          </cell>
          <cell r="C313" t="str">
            <v>prod_inf_serv</v>
          </cell>
          <cell r="D313">
            <v>0.27569335699081421</v>
          </cell>
        </row>
        <row r="314">
          <cell r="A314" t="str">
            <v>BOL</v>
          </cell>
          <cell r="B314">
            <v>2018</v>
          </cell>
          <cell r="C314" t="str">
            <v>gdp_activity</v>
          </cell>
          <cell r="D314">
            <v>0.80570316314697266</v>
          </cell>
        </row>
        <row r="315">
          <cell r="A315" t="str">
            <v>BOL</v>
          </cell>
          <cell r="B315">
            <v>2018</v>
          </cell>
          <cell r="C315" t="str">
            <v>gdp_for_agri</v>
          </cell>
          <cell r="D315">
            <v>1.525957584381104</v>
          </cell>
        </row>
        <row r="316">
          <cell r="A316" t="str">
            <v>BOL</v>
          </cell>
          <cell r="B316">
            <v>2018</v>
          </cell>
          <cell r="C316" t="str">
            <v>gdp_for_ind</v>
          </cell>
          <cell r="D316">
            <v>2.3678479194641109</v>
          </cell>
        </row>
        <row r="317">
          <cell r="A317" t="str">
            <v>BOL</v>
          </cell>
          <cell r="B317">
            <v>2018</v>
          </cell>
          <cell r="C317" t="str">
            <v>gdp_for_serv</v>
          </cell>
          <cell r="D317">
            <v>2.247957706451416</v>
          </cell>
        </row>
        <row r="318">
          <cell r="A318" t="str">
            <v>BOL</v>
          </cell>
          <cell r="B318">
            <v>2018</v>
          </cell>
          <cell r="C318" t="str">
            <v>gdp_inf_agri</v>
          </cell>
          <cell r="D318">
            <v>1.0051730871200559</v>
          </cell>
        </row>
        <row r="319">
          <cell r="A319" t="str">
            <v>BOL</v>
          </cell>
          <cell r="B319">
            <v>2018</v>
          </cell>
          <cell r="C319" t="str">
            <v>gdp_inf_ind</v>
          </cell>
          <cell r="D319">
            <v>-1.972214341163635</v>
          </cell>
        </row>
        <row r="320">
          <cell r="A320" t="str">
            <v>BOL</v>
          </cell>
          <cell r="B320">
            <v>2018</v>
          </cell>
          <cell r="C320" t="str">
            <v>gdp_inf_serv</v>
          </cell>
          <cell r="D320">
            <v>1.6762593295425181E-3</v>
          </cell>
        </row>
        <row r="321">
          <cell r="A321" t="str">
            <v>BOL</v>
          </cell>
          <cell r="B321">
            <v>2018</v>
          </cell>
          <cell r="C321" t="str">
            <v>prod_for_agri</v>
          </cell>
          <cell r="D321">
            <v>412.01971435546881</v>
          </cell>
        </row>
        <row r="322">
          <cell r="A322" t="str">
            <v>BOL</v>
          </cell>
          <cell r="B322">
            <v>2018</v>
          </cell>
          <cell r="C322" t="str">
            <v>prod_for_ind</v>
          </cell>
          <cell r="D322">
            <v>-1.6552644968032839</v>
          </cell>
        </row>
        <row r="323">
          <cell r="A323" t="str">
            <v>BOL</v>
          </cell>
          <cell r="B323">
            <v>2018</v>
          </cell>
          <cell r="C323" t="str">
            <v>prod_for_serv</v>
          </cell>
          <cell r="D323">
            <v>0.27386724948883062</v>
          </cell>
        </row>
        <row r="324">
          <cell r="A324" t="str">
            <v>BOL</v>
          </cell>
          <cell r="B324">
            <v>2018</v>
          </cell>
          <cell r="C324" t="str">
            <v>prod_inf_agri</v>
          </cell>
          <cell r="D324">
            <v>86.655357360839844</v>
          </cell>
        </row>
        <row r="325">
          <cell r="A325" t="str">
            <v>BOL</v>
          </cell>
          <cell r="B325">
            <v>2018</v>
          </cell>
          <cell r="C325" t="str">
            <v>prod_inf_ind</v>
          </cell>
          <cell r="D325">
            <v>-1.249541759490967</v>
          </cell>
        </row>
        <row r="326">
          <cell r="A326" t="str">
            <v>BOL</v>
          </cell>
          <cell r="B326">
            <v>2018</v>
          </cell>
          <cell r="C326" t="str">
            <v>prod_inf_serv</v>
          </cell>
          <cell r="D326">
            <v>-0.71993368864059448</v>
          </cell>
        </row>
        <row r="327">
          <cell r="A327" t="str">
            <v>BOL</v>
          </cell>
          <cell r="B327">
            <v>2019</v>
          </cell>
          <cell r="C327" t="str">
            <v>gdp_activity</v>
          </cell>
          <cell r="D327">
            <v>1.9764713048934941</v>
          </cell>
        </row>
        <row r="328">
          <cell r="A328" t="str">
            <v>BOL</v>
          </cell>
          <cell r="B328">
            <v>2019</v>
          </cell>
          <cell r="C328" t="str">
            <v>gdp_for_agri</v>
          </cell>
          <cell r="D328">
            <v>1.7024412155151369</v>
          </cell>
        </row>
        <row r="329">
          <cell r="A329" t="str">
            <v>BOL</v>
          </cell>
          <cell r="B329">
            <v>2019</v>
          </cell>
          <cell r="C329" t="str">
            <v>gdp_for_ind</v>
          </cell>
          <cell r="D329">
            <v>54.319225311279297</v>
          </cell>
        </row>
        <row r="330">
          <cell r="A330" t="str">
            <v>BOL</v>
          </cell>
          <cell r="B330">
            <v>2019</v>
          </cell>
          <cell r="C330" t="str">
            <v>gdp_for_serv</v>
          </cell>
          <cell r="D330">
            <v>3.9208228588104248</v>
          </cell>
        </row>
        <row r="331">
          <cell r="A331" t="str">
            <v>BOL</v>
          </cell>
          <cell r="B331">
            <v>2019</v>
          </cell>
          <cell r="C331" t="str">
            <v>gdp_inf_agri</v>
          </cell>
          <cell r="D331">
            <v>0.67563557624816895</v>
          </cell>
        </row>
        <row r="332">
          <cell r="A332" t="str">
            <v>BOL</v>
          </cell>
          <cell r="B332">
            <v>2019</v>
          </cell>
          <cell r="C332" t="str">
            <v>gdp_inf_ind</v>
          </cell>
          <cell r="D332">
            <v>5.4455018043518066</v>
          </cell>
        </row>
        <row r="333">
          <cell r="A333" t="str">
            <v>BOL</v>
          </cell>
          <cell r="B333">
            <v>2019</v>
          </cell>
          <cell r="C333" t="str">
            <v>gdp_inf_serv</v>
          </cell>
          <cell r="D333">
            <v>0.75775110721588135</v>
          </cell>
        </row>
        <row r="334">
          <cell r="A334" t="str">
            <v>BOL</v>
          </cell>
          <cell r="B334">
            <v>2019</v>
          </cell>
          <cell r="C334" t="str">
            <v>prod_for_agri</v>
          </cell>
          <cell r="D334">
            <v>17.814132690429691</v>
          </cell>
        </row>
        <row r="335">
          <cell r="A335" t="str">
            <v>BOL</v>
          </cell>
          <cell r="B335">
            <v>2019</v>
          </cell>
          <cell r="C335" t="str">
            <v>prod_for_ind</v>
          </cell>
          <cell r="D335">
            <v>-3.1564395427703862</v>
          </cell>
        </row>
        <row r="336">
          <cell r="A336" t="str">
            <v>BOL</v>
          </cell>
          <cell r="B336">
            <v>2019</v>
          </cell>
          <cell r="C336" t="str">
            <v>prod_for_serv</v>
          </cell>
          <cell r="D336">
            <v>-0.69288104772567749</v>
          </cell>
        </row>
        <row r="337">
          <cell r="A337" t="str">
            <v>BOL</v>
          </cell>
          <cell r="B337">
            <v>2019</v>
          </cell>
          <cell r="C337" t="str">
            <v>prod_inf_agri</v>
          </cell>
          <cell r="D337">
            <v>8.2655754089355469</v>
          </cell>
        </row>
        <row r="338">
          <cell r="A338" t="str">
            <v>BOL</v>
          </cell>
          <cell r="B338">
            <v>2019</v>
          </cell>
          <cell r="C338" t="str">
            <v>prod_inf_ind</v>
          </cell>
          <cell r="D338">
            <v>-0.65736520290374756</v>
          </cell>
        </row>
        <row r="339">
          <cell r="A339" t="str">
            <v>BOL</v>
          </cell>
          <cell r="B339">
            <v>2019</v>
          </cell>
          <cell r="C339" t="str">
            <v>prod_inf_serv</v>
          </cell>
          <cell r="D339">
            <v>2.7056863307952881</v>
          </cell>
        </row>
        <row r="340">
          <cell r="A340" t="str">
            <v>BOL</v>
          </cell>
          <cell r="B340">
            <v>2020</v>
          </cell>
          <cell r="C340" t="str">
            <v>gdp_activity</v>
          </cell>
          <cell r="D340">
            <v>-0.53562015295028687</v>
          </cell>
        </row>
        <row r="341">
          <cell r="A341" t="str">
            <v>BOL</v>
          </cell>
          <cell r="B341">
            <v>2020</v>
          </cell>
          <cell r="C341" t="str">
            <v>gdp_for_agri</v>
          </cell>
          <cell r="D341">
            <v>14.788468360900881</v>
          </cell>
        </row>
        <row r="342">
          <cell r="A342" t="str">
            <v>BOL</v>
          </cell>
          <cell r="B342">
            <v>2020</v>
          </cell>
          <cell r="C342" t="str">
            <v>gdp_for_ind</v>
          </cell>
          <cell r="D342">
            <v>1.7688969373703001</v>
          </cell>
        </row>
        <row r="343">
          <cell r="A343" t="str">
            <v>BOL</v>
          </cell>
          <cell r="B343">
            <v>2020</v>
          </cell>
          <cell r="C343" t="str">
            <v>gdp_for_serv</v>
          </cell>
          <cell r="D343">
            <v>0.15476749837398529</v>
          </cell>
        </row>
        <row r="344">
          <cell r="A344" t="str">
            <v>BOL</v>
          </cell>
          <cell r="B344">
            <v>2020</v>
          </cell>
          <cell r="C344" t="str">
            <v>gdp_inf_agri</v>
          </cell>
          <cell r="D344">
            <v>0.23009748756885531</v>
          </cell>
        </row>
        <row r="345">
          <cell r="A345" t="str">
            <v>BOL</v>
          </cell>
          <cell r="B345">
            <v>2020</v>
          </cell>
          <cell r="C345" t="str">
            <v>gdp_inf_ind</v>
          </cell>
          <cell r="D345">
            <v>0.64412105083465576</v>
          </cell>
        </row>
        <row r="346">
          <cell r="A346" t="str">
            <v>BOL</v>
          </cell>
          <cell r="B346">
            <v>2020</v>
          </cell>
          <cell r="C346" t="str">
            <v>gdp_inf_serv</v>
          </cell>
          <cell r="D346">
            <v>-0.37234234809875488</v>
          </cell>
        </row>
        <row r="347">
          <cell r="A347" t="str">
            <v>BOL</v>
          </cell>
          <cell r="B347">
            <v>2020</v>
          </cell>
          <cell r="C347" t="str">
            <v>prod_for_agri</v>
          </cell>
          <cell r="D347">
            <v>-24.321651458740231</v>
          </cell>
        </row>
        <row r="348">
          <cell r="A348" t="str">
            <v>BOL</v>
          </cell>
          <cell r="B348">
            <v>2020</v>
          </cell>
          <cell r="C348" t="str">
            <v>prod_for_ind</v>
          </cell>
          <cell r="D348">
            <v>7.3465285301208496</v>
          </cell>
        </row>
        <row r="349">
          <cell r="A349" t="str">
            <v>BOL</v>
          </cell>
          <cell r="B349">
            <v>2020</v>
          </cell>
          <cell r="C349" t="str">
            <v>prod_for_serv</v>
          </cell>
          <cell r="D349">
            <v>0.21872152388095861</v>
          </cell>
        </row>
        <row r="350">
          <cell r="A350" t="str">
            <v>BOL</v>
          </cell>
          <cell r="B350">
            <v>2020</v>
          </cell>
          <cell r="C350" t="str">
            <v>prod_inf_agri</v>
          </cell>
          <cell r="D350">
            <v>-9.0574779510498047</v>
          </cell>
        </row>
        <row r="351">
          <cell r="A351" t="str">
            <v>BOL</v>
          </cell>
          <cell r="B351">
            <v>2020</v>
          </cell>
          <cell r="C351" t="str">
            <v>prod_inf_ind</v>
          </cell>
          <cell r="D351">
            <v>1.39327073097229</v>
          </cell>
        </row>
        <row r="352">
          <cell r="A352" t="str">
            <v>BOL</v>
          </cell>
          <cell r="B352">
            <v>2020</v>
          </cell>
          <cell r="C352" t="str">
            <v>prod_inf_serv</v>
          </cell>
          <cell r="D352">
            <v>-1.1941056251525879</v>
          </cell>
        </row>
        <row r="353">
          <cell r="A353" t="str">
            <v>BOL</v>
          </cell>
          <cell r="B353">
            <v>2021</v>
          </cell>
          <cell r="C353" t="str">
            <v>gdp_activity</v>
          </cell>
          <cell r="D353">
            <v>-0.23523470759391779</v>
          </cell>
        </row>
        <row r="354">
          <cell r="A354" t="str">
            <v>BOL</v>
          </cell>
          <cell r="B354">
            <v>2021</v>
          </cell>
          <cell r="C354" t="str">
            <v>gdp_for_agri</v>
          </cell>
          <cell r="D354">
            <v>-9.5640830993652344</v>
          </cell>
        </row>
        <row r="355">
          <cell r="A355" t="str">
            <v>BOL</v>
          </cell>
          <cell r="B355">
            <v>2021</v>
          </cell>
          <cell r="C355" t="str">
            <v>gdp_for_ind</v>
          </cell>
          <cell r="D355">
            <v>2.6184077262878418</v>
          </cell>
        </row>
        <row r="356">
          <cell r="A356" t="str">
            <v>BOL</v>
          </cell>
          <cell r="B356">
            <v>2021</v>
          </cell>
          <cell r="C356" t="str">
            <v>gdp_for_serv</v>
          </cell>
          <cell r="D356">
            <v>-0.4606156051158905</v>
          </cell>
        </row>
        <row r="357">
          <cell r="A357" t="str">
            <v>BOL</v>
          </cell>
          <cell r="B357">
            <v>2021</v>
          </cell>
          <cell r="C357" t="str">
            <v>gdp_inf_agri</v>
          </cell>
          <cell r="D357">
            <v>-7.9000229835510254</v>
          </cell>
        </row>
        <row r="358">
          <cell r="A358" t="str">
            <v>BOL</v>
          </cell>
          <cell r="B358">
            <v>2021</v>
          </cell>
          <cell r="C358" t="str">
            <v>gdp_inf_ind</v>
          </cell>
          <cell r="D358">
            <v>1.5515825748443599</v>
          </cell>
        </row>
        <row r="359">
          <cell r="A359" t="str">
            <v>BOL</v>
          </cell>
          <cell r="B359">
            <v>2021</v>
          </cell>
          <cell r="C359" t="str">
            <v>gdp_inf_serv</v>
          </cell>
          <cell r="D359">
            <v>0.52526175975799561</v>
          </cell>
        </row>
        <row r="360">
          <cell r="A360" t="str">
            <v>BOL</v>
          </cell>
          <cell r="B360">
            <v>2021</v>
          </cell>
          <cell r="C360" t="str">
            <v>prod_for_agri</v>
          </cell>
          <cell r="D360">
            <v>2.299728155136108</v>
          </cell>
        </row>
        <row r="361">
          <cell r="A361" t="str">
            <v>BOL</v>
          </cell>
          <cell r="B361">
            <v>2021</v>
          </cell>
          <cell r="C361" t="str">
            <v>prod_for_ind</v>
          </cell>
          <cell r="D361">
            <v>-1.5225234031677251</v>
          </cell>
        </row>
        <row r="362">
          <cell r="A362" t="str">
            <v>BOL</v>
          </cell>
          <cell r="B362">
            <v>2021</v>
          </cell>
          <cell r="C362" t="str">
            <v>prod_for_serv</v>
          </cell>
          <cell r="D362">
            <v>0.27176013588905329</v>
          </cell>
        </row>
        <row r="363">
          <cell r="A363" t="str">
            <v>BOL</v>
          </cell>
          <cell r="B363">
            <v>2021</v>
          </cell>
          <cell r="C363" t="str">
            <v>prod_inf_agri</v>
          </cell>
          <cell r="D363">
            <v>2.0194282531738281</v>
          </cell>
        </row>
        <row r="364">
          <cell r="A364" t="str">
            <v>BOL</v>
          </cell>
          <cell r="B364">
            <v>2021</v>
          </cell>
          <cell r="C364" t="str">
            <v>prod_inf_ind</v>
          </cell>
          <cell r="D364">
            <v>-0.1935275346040726</v>
          </cell>
        </row>
        <row r="365">
          <cell r="A365" t="str">
            <v>BOL</v>
          </cell>
          <cell r="B365">
            <v>2021</v>
          </cell>
          <cell r="C365" t="str">
            <v>prod_inf_serv</v>
          </cell>
          <cell r="D365">
            <v>-1.4900263547897341</v>
          </cell>
        </row>
        <row r="366">
          <cell r="A366" t="str">
            <v>BOL</v>
          </cell>
          <cell r="B366">
            <v>2022</v>
          </cell>
          <cell r="C366" t="str">
            <v>gdp_activity</v>
          </cell>
          <cell r="D366">
            <v>0.45223808288574219</v>
          </cell>
        </row>
        <row r="367">
          <cell r="A367" t="str">
            <v>BOL</v>
          </cell>
          <cell r="B367">
            <v>2022</v>
          </cell>
          <cell r="C367" t="str">
            <v>gdp_for_agri</v>
          </cell>
          <cell r="D367">
            <v>-7.706344872713089E-2</v>
          </cell>
        </row>
        <row r="368">
          <cell r="A368" t="str">
            <v>BOL</v>
          </cell>
          <cell r="B368">
            <v>2022</v>
          </cell>
          <cell r="C368" t="str">
            <v>gdp_for_ind</v>
          </cell>
          <cell r="D368">
            <v>5.9146356582641602</v>
          </cell>
        </row>
        <row r="369">
          <cell r="A369" t="str">
            <v>BOL</v>
          </cell>
          <cell r="B369">
            <v>2022</v>
          </cell>
          <cell r="C369" t="str">
            <v>gdp_for_serv</v>
          </cell>
          <cell r="D369">
            <v>1.171584486961365</v>
          </cell>
        </row>
        <row r="370">
          <cell r="A370" t="str">
            <v>BOL</v>
          </cell>
          <cell r="B370">
            <v>2022</v>
          </cell>
          <cell r="C370" t="str">
            <v>gdp_inf_agri</v>
          </cell>
          <cell r="D370">
            <v>1.227571368217468</v>
          </cell>
        </row>
        <row r="371">
          <cell r="A371" t="str">
            <v>BOL</v>
          </cell>
          <cell r="B371">
            <v>2022</v>
          </cell>
          <cell r="C371" t="str">
            <v>gdp_inf_ind</v>
          </cell>
          <cell r="D371">
            <v>-7.5533590316772461</v>
          </cell>
        </row>
        <row r="372">
          <cell r="A372" t="str">
            <v>BOL</v>
          </cell>
          <cell r="B372">
            <v>2022</v>
          </cell>
          <cell r="C372" t="str">
            <v>gdp_inf_serv</v>
          </cell>
          <cell r="D372">
            <v>1.207511425018311</v>
          </cell>
        </row>
        <row r="373">
          <cell r="A373" t="str">
            <v>BOL</v>
          </cell>
          <cell r="B373">
            <v>2022</v>
          </cell>
          <cell r="C373" t="str">
            <v>prod_for_agri</v>
          </cell>
          <cell r="D373">
            <v>-21.96858978271484</v>
          </cell>
        </row>
        <row r="374">
          <cell r="A374" t="str">
            <v>BOL</v>
          </cell>
          <cell r="B374">
            <v>2022</v>
          </cell>
          <cell r="C374" t="str">
            <v>prod_for_ind</v>
          </cell>
          <cell r="D374">
            <v>-0.52460438013076782</v>
          </cell>
        </row>
        <row r="375">
          <cell r="A375" t="str">
            <v>BOL</v>
          </cell>
          <cell r="B375">
            <v>2022</v>
          </cell>
          <cell r="C375" t="str">
            <v>prod_for_serv</v>
          </cell>
          <cell r="D375">
            <v>4.3103199005126953</v>
          </cell>
        </row>
        <row r="376">
          <cell r="A376" t="str">
            <v>BOL</v>
          </cell>
          <cell r="B376">
            <v>2022</v>
          </cell>
          <cell r="C376" t="str">
            <v>prod_inf_agri</v>
          </cell>
          <cell r="D376">
            <v>13.073459625244141</v>
          </cell>
        </row>
        <row r="377">
          <cell r="A377" t="str">
            <v>BOL</v>
          </cell>
          <cell r="B377">
            <v>2022</v>
          </cell>
          <cell r="C377" t="str">
            <v>prod_inf_ind</v>
          </cell>
          <cell r="D377">
            <v>-0.1439684480428696</v>
          </cell>
        </row>
        <row r="378">
          <cell r="A378" t="str">
            <v>BOL</v>
          </cell>
          <cell r="B378">
            <v>2022</v>
          </cell>
          <cell r="C378" t="str">
            <v>prod_inf_serv</v>
          </cell>
          <cell r="D378">
            <v>6.9910202026367188</v>
          </cell>
        </row>
        <row r="379">
          <cell r="A379" t="str">
            <v>BRA</v>
          </cell>
          <cell r="B379">
            <v>2008</v>
          </cell>
          <cell r="C379" t="str">
            <v>gdp_activity</v>
          </cell>
          <cell r="D379">
            <v>0.35756123065948492</v>
          </cell>
        </row>
        <row r="380">
          <cell r="A380" t="str">
            <v>BRA</v>
          </cell>
          <cell r="B380">
            <v>2008</v>
          </cell>
          <cell r="C380" t="str">
            <v>gdp_for_agri</v>
          </cell>
          <cell r="D380">
            <v>7.342953234910965E-2</v>
          </cell>
        </row>
        <row r="381">
          <cell r="A381" t="str">
            <v>BRA</v>
          </cell>
          <cell r="B381">
            <v>2008</v>
          </cell>
          <cell r="C381" t="str">
            <v>gdp_for_ind</v>
          </cell>
          <cell r="D381">
            <v>1.893486857414246</v>
          </cell>
        </row>
        <row r="382">
          <cell r="A382" t="str">
            <v>BRA</v>
          </cell>
          <cell r="B382">
            <v>2008</v>
          </cell>
          <cell r="C382" t="str">
            <v>gdp_for_serv</v>
          </cell>
          <cell r="D382">
            <v>1.221643447875977</v>
          </cell>
        </row>
        <row r="383">
          <cell r="A383" t="str">
            <v>BRA</v>
          </cell>
          <cell r="B383">
            <v>2008</v>
          </cell>
          <cell r="C383" t="str">
            <v>gdp_inf_agri</v>
          </cell>
          <cell r="D383">
            <v>-0.50768035650253296</v>
          </cell>
        </row>
        <row r="384">
          <cell r="A384" t="str">
            <v>BRA</v>
          </cell>
          <cell r="B384">
            <v>2008</v>
          </cell>
          <cell r="C384" t="str">
            <v>gdp_inf_ind</v>
          </cell>
          <cell r="D384">
            <v>0.75629740953445435</v>
          </cell>
        </row>
        <row r="385">
          <cell r="A385" t="str">
            <v>BRA</v>
          </cell>
          <cell r="B385">
            <v>2008</v>
          </cell>
          <cell r="C385" t="str">
            <v>gdp_inf_serv</v>
          </cell>
          <cell r="D385">
            <v>-5.3224790841341019E-2</v>
          </cell>
        </row>
        <row r="386">
          <cell r="A386" t="str">
            <v>BRA</v>
          </cell>
          <cell r="B386">
            <v>2008</v>
          </cell>
          <cell r="C386" t="str">
            <v>prod_for_agri</v>
          </cell>
          <cell r="D386">
            <v>1.0406098365783689</v>
          </cell>
        </row>
        <row r="387">
          <cell r="A387" t="str">
            <v>BRA</v>
          </cell>
          <cell r="B387">
            <v>2008</v>
          </cell>
          <cell r="C387" t="str">
            <v>prod_for_ind</v>
          </cell>
          <cell r="D387">
            <v>-0.70098727941513062</v>
          </cell>
        </row>
        <row r="388">
          <cell r="A388" t="str">
            <v>BRA</v>
          </cell>
          <cell r="B388">
            <v>2008</v>
          </cell>
          <cell r="C388" t="str">
            <v>prod_for_serv</v>
          </cell>
          <cell r="D388">
            <v>0.80304425954818726</v>
          </cell>
        </row>
        <row r="389">
          <cell r="A389" t="str">
            <v>BRA</v>
          </cell>
          <cell r="B389">
            <v>2008</v>
          </cell>
          <cell r="C389" t="str">
            <v>prod_inf_agri</v>
          </cell>
          <cell r="D389">
            <v>0.37008979916572571</v>
          </cell>
        </row>
        <row r="390">
          <cell r="A390" t="str">
            <v>BRA</v>
          </cell>
          <cell r="B390">
            <v>2008</v>
          </cell>
          <cell r="C390" t="str">
            <v>prod_inf_ind</v>
          </cell>
          <cell r="D390">
            <v>-2.454954862594604</v>
          </cell>
        </row>
        <row r="391">
          <cell r="A391" t="str">
            <v>BRA</v>
          </cell>
          <cell r="B391">
            <v>2008</v>
          </cell>
          <cell r="C391" t="str">
            <v>prod_inf_serv</v>
          </cell>
          <cell r="D391">
            <v>2.9545860290527339</v>
          </cell>
        </row>
        <row r="392">
          <cell r="A392" t="str">
            <v>BRA</v>
          </cell>
          <cell r="B392">
            <v>2009</v>
          </cell>
          <cell r="C392" t="str">
            <v>gdp_activity</v>
          </cell>
          <cell r="D392">
            <v>-12.32650184631348</v>
          </cell>
        </row>
        <row r="393">
          <cell r="A393" t="str">
            <v>BRA</v>
          </cell>
          <cell r="B393">
            <v>2009</v>
          </cell>
          <cell r="C393" t="str">
            <v>gdp_for_agri</v>
          </cell>
          <cell r="D393">
            <v>-0.26123401522636408</v>
          </cell>
        </row>
        <row r="394">
          <cell r="A394" t="str">
            <v>BRA</v>
          </cell>
          <cell r="B394">
            <v>2009</v>
          </cell>
          <cell r="C394" t="str">
            <v>gdp_for_ind</v>
          </cell>
          <cell r="D394">
            <v>0.25880730152130133</v>
          </cell>
        </row>
        <row r="395">
          <cell r="A395" t="str">
            <v>BRA</v>
          </cell>
          <cell r="B395">
            <v>2009</v>
          </cell>
          <cell r="C395" t="str">
            <v>gdp_for_serv</v>
          </cell>
          <cell r="D395">
            <v>2.2641358375549321</v>
          </cell>
        </row>
        <row r="396">
          <cell r="A396" t="str">
            <v>BRA</v>
          </cell>
          <cell r="B396">
            <v>2009</v>
          </cell>
          <cell r="C396" t="str">
            <v>gdp_inf_agri</v>
          </cell>
          <cell r="D396">
            <v>0.73791199922561646</v>
          </cell>
        </row>
        <row r="397">
          <cell r="A397" t="str">
            <v>BRA</v>
          </cell>
          <cell r="B397">
            <v>2009</v>
          </cell>
          <cell r="C397" t="str">
            <v>gdp_inf_ind</v>
          </cell>
          <cell r="D397">
            <v>0.71458101272583008</v>
          </cell>
        </row>
        <row r="398">
          <cell r="A398" t="str">
            <v>BRA</v>
          </cell>
          <cell r="B398">
            <v>2009</v>
          </cell>
          <cell r="C398" t="str">
            <v>gdp_inf_serv</v>
          </cell>
          <cell r="D398">
            <v>-1.309887290000916</v>
          </cell>
        </row>
        <row r="399">
          <cell r="A399" t="str">
            <v>BRA</v>
          </cell>
          <cell r="B399">
            <v>2009</v>
          </cell>
          <cell r="C399" t="str">
            <v>prod_for_agri</v>
          </cell>
          <cell r="D399">
            <v>-2.0078492164611821</v>
          </cell>
        </row>
        <row r="400">
          <cell r="A400" t="str">
            <v>BRA</v>
          </cell>
          <cell r="B400">
            <v>2009</v>
          </cell>
          <cell r="C400" t="str">
            <v>prod_for_ind</v>
          </cell>
          <cell r="D400">
            <v>-0.49190142750740051</v>
          </cell>
        </row>
        <row r="401">
          <cell r="A401" t="str">
            <v>BRA</v>
          </cell>
          <cell r="B401">
            <v>2009</v>
          </cell>
          <cell r="C401" t="str">
            <v>prod_for_serv</v>
          </cell>
          <cell r="D401">
            <v>12.345545768737789</v>
          </cell>
        </row>
        <row r="402">
          <cell r="A402" t="str">
            <v>BRA</v>
          </cell>
          <cell r="B402">
            <v>2009</v>
          </cell>
          <cell r="C402" t="str">
            <v>prod_inf_agri</v>
          </cell>
          <cell r="D402">
            <v>-2.204239130020142</v>
          </cell>
        </row>
        <row r="403">
          <cell r="A403" t="str">
            <v>BRA</v>
          </cell>
          <cell r="B403">
            <v>2009</v>
          </cell>
          <cell r="C403" t="str">
            <v>prod_inf_ind</v>
          </cell>
          <cell r="D403">
            <v>-1.7773890495300291</v>
          </cell>
        </row>
        <row r="404">
          <cell r="A404" t="str">
            <v>BRA</v>
          </cell>
          <cell r="B404">
            <v>2009</v>
          </cell>
          <cell r="C404" t="str">
            <v>prod_inf_serv</v>
          </cell>
          <cell r="D404">
            <v>-15.699464797973629</v>
          </cell>
        </row>
        <row r="405">
          <cell r="A405" t="str">
            <v>BRA</v>
          </cell>
          <cell r="B405">
            <v>2011</v>
          </cell>
          <cell r="C405" t="str">
            <v>gdp_activity</v>
          </cell>
          <cell r="D405">
            <v>-0.1553187370300293</v>
          </cell>
        </row>
        <row r="406">
          <cell r="A406" t="str">
            <v>BRA</v>
          </cell>
          <cell r="B406">
            <v>2011</v>
          </cell>
          <cell r="C406" t="str">
            <v>gdp_for_agri</v>
          </cell>
          <cell r="D406">
            <v>-7.3966803029179573E-3</v>
          </cell>
        </row>
        <row r="407">
          <cell r="A407" t="str">
            <v>BRA</v>
          </cell>
          <cell r="B407">
            <v>2011</v>
          </cell>
          <cell r="C407" t="str">
            <v>gdp_for_ind</v>
          </cell>
          <cell r="D407">
            <v>0.27664467692375178</v>
          </cell>
        </row>
        <row r="408">
          <cell r="A408" t="str">
            <v>BRA</v>
          </cell>
          <cell r="B408">
            <v>2011</v>
          </cell>
          <cell r="C408" t="str">
            <v>gdp_for_serv</v>
          </cell>
          <cell r="D408">
            <v>1.0957140922546389</v>
          </cell>
        </row>
        <row r="409">
          <cell r="A409" t="str">
            <v>BRA</v>
          </cell>
          <cell r="B409">
            <v>2011</v>
          </cell>
          <cell r="C409" t="str">
            <v>gdp_inf_agri</v>
          </cell>
          <cell r="D409">
            <v>-0.71850788593292236</v>
          </cell>
        </row>
        <row r="410">
          <cell r="A410" t="str">
            <v>BRA</v>
          </cell>
          <cell r="B410">
            <v>2011</v>
          </cell>
          <cell r="C410" t="str">
            <v>gdp_inf_ind</v>
          </cell>
          <cell r="D410">
            <v>-0.71040934324264526</v>
          </cell>
        </row>
        <row r="411">
          <cell r="A411" t="str">
            <v>BRA</v>
          </cell>
          <cell r="B411">
            <v>2011</v>
          </cell>
          <cell r="C411" t="str">
            <v>gdp_inf_serv</v>
          </cell>
          <cell r="D411">
            <v>-1.216969966888428</v>
          </cell>
        </row>
        <row r="412">
          <cell r="A412" t="str">
            <v>BRA</v>
          </cell>
          <cell r="B412">
            <v>2011</v>
          </cell>
          <cell r="C412" t="str">
            <v>prod_for_agri</v>
          </cell>
          <cell r="D412">
            <v>0.39350491762161249</v>
          </cell>
        </row>
        <row r="413">
          <cell r="A413" t="str">
            <v>BRA</v>
          </cell>
          <cell r="B413">
            <v>2011</v>
          </cell>
          <cell r="C413" t="str">
            <v>prod_for_ind</v>
          </cell>
          <cell r="D413">
            <v>0.18023841083049769</v>
          </cell>
        </row>
        <row r="414">
          <cell r="A414" t="str">
            <v>BRA</v>
          </cell>
          <cell r="B414">
            <v>2011</v>
          </cell>
          <cell r="C414" t="str">
            <v>prod_for_serv</v>
          </cell>
          <cell r="D414">
            <v>0.54257839918136597</v>
          </cell>
        </row>
        <row r="415">
          <cell r="A415" t="str">
            <v>BRA</v>
          </cell>
          <cell r="B415">
            <v>2011</v>
          </cell>
          <cell r="C415" t="str">
            <v>prod_inf_agri</v>
          </cell>
          <cell r="D415">
            <v>0.58230239152908325</v>
          </cell>
        </row>
        <row r="416">
          <cell r="A416" t="str">
            <v>BRA</v>
          </cell>
          <cell r="B416">
            <v>2011</v>
          </cell>
          <cell r="C416" t="str">
            <v>prod_inf_ind</v>
          </cell>
          <cell r="D416">
            <v>0.79334926605224609</v>
          </cell>
        </row>
        <row r="417">
          <cell r="A417" t="str">
            <v>BRA</v>
          </cell>
          <cell r="B417">
            <v>2011</v>
          </cell>
          <cell r="C417" t="str">
            <v>prod_inf_serv</v>
          </cell>
          <cell r="D417">
            <v>1.847185492515564</v>
          </cell>
        </row>
        <row r="418">
          <cell r="A418" t="str">
            <v>BRA</v>
          </cell>
          <cell r="B418">
            <v>2012</v>
          </cell>
          <cell r="C418" t="str">
            <v>gdp_activity</v>
          </cell>
          <cell r="D418">
            <v>0.1698902100324631</v>
          </cell>
        </row>
        <row r="419">
          <cell r="A419" t="str">
            <v>BRA</v>
          </cell>
          <cell r="B419">
            <v>2012</v>
          </cell>
          <cell r="C419" t="str">
            <v>gdp_for_agri</v>
          </cell>
          <cell r="D419">
            <v>-1.044263601303101</v>
          </cell>
        </row>
        <row r="420">
          <cell r="A420" t="str">
            <v>BRA</v>
          </cell>
          <cell r="B420">
            <v>2012</v>
          </cell>
          <cell r="C420" t="str">
            <v>gdp_for_ind</v>
          </cell>
          <cell r="D420">
            <v>-6.5625042915344238</v>
          </cell>
        </row>
        <row r="421">
          <cell r="A421" t="str">
            <v>BRA</v>
          </cell>
          <cell r="B421">
            <v>2012</v>
          </cell>
          <cell r="C421" t="str">
            <v>gdp_for_serv</v>
          </cell>
          <cell r="D421">
            <v>-0.92824232578277588</v>
          </cell>
        </row>
        <row r="422">
          <cell r="A422" t="str">
            <v>BRA</v>
          </cell>
          <cell r="B422">
            <v>2012</v>
          </cell>
          <cell r="C422" t="str">
            <v>gdp_inf_agri</v>
          </cell>
          <cell r="D422">
            <v>10.84852504730225</v>
          </cell>
        </row>
        <row r="423">
          <cell r="A423" t="str">
            <v>BRA</v>
          </cell>
          <cell r="B423">
            <v>2012</v>
          </cell>
          <cell r="C423" t="str">
            <v>gdp_inf_ind</v>
          </cell>
          <cell r="D423">
            <v>-4.9875302314758301</v>
          </cell>
        </row>
        <row r="424">
          <cell r="A424" t="str">
            <v>BRA</v>
          </cell>
          <cell r="B424">
            <v>2012</v>
          </cell>
          <cell r="C424" t="str">
            <v>gdp_inf_serv</v>
          </cell>
          <cell r="D424">
            <v>6.5633845329284668</v>
          </cell>
        </row>
        <row r="425">
          <cell r="A425" t="str">
            <v>BRA</v>
          </cell>
          <cell r="B425">
            <v>2012</v>
          </cell>
          <cell r="C425" t="str">
            <v>prod_for_agri</v>
          </cell>
          <cell r="D425">
            <v>0.22408786416053769</v>
          </cell>
        </row>
        <row r="426">
          <cell r="A426" t="str">
            <v>BRA</v>
          </cell>
          <cell r="B426">
            <v>2012</v>
          </cell>
          <cell r="C426" t="str">
            <v>prod_for_ind</v>
          </cell>
          <cell r="D426">
            <v>-1.4020456075668331</v>
          </cell>
        </row>
        <row r="427">
          <cell r="A427" t="str">
            <v>BRA</v>
          </cell>
          <cell r="B427">
            <v>2012</v>
          </cell>
          <cell r="C427" t="str">
            <v>prod_for_serv</v>
          </cell>
          <cell r="D427">
            <v>-6.690455436706543</v>
          </cell>
        </row>
        <row r="428">
          <cell r="A428" t="str">
            <v>BRA</v>
          </cell>
          <cell r="B428">
            <v>2012</v>
          </cell>
          <cell r="C428" t="str">
            <v>prod_inf_agri</v>
          </cell>
          <cell r="D428">
            <v>0.74914461374282837</v>
          </cell>
        </row>
        <row r="429">
          <cell r="A429" t="str">
            <v>BRA</v>
          </cell>
          <cell r="B429">
            <v>2012</v>
          </cell>
          <cell r="C429" t="str">
            <v>prod_inf_ind</v>
          </cell>
          <cell r="D429">
            <v>-0.77220302820205688</v>
          </cell>
        </row>
        <row r="430">
          <cell r="A430" t="str">
            <v>BRA</v>
          </cell>
          <cell r="B430">
            <v>2012</v>
          </cell>
          <cell r="C430" t="str">
            <v>prod_inf_serv</v>
          </cell>
          <cell r="D430">
            <v>-4.946692943572998</v>
          </cell>
        </row>
        <row r="431">
          <cell r="A431" t="str">
            <v>BRA</v>
          </cell>
          <cell r="B431">
            <v>2013</v>
          </cell>
          <cell r="C431" t="str">
            <v>gdp_activity</v>
          </cell>
          <cell r="D431">
            <v>0.59960001707077026</v>
          </cell>
        </row>
        <row r="432">
          <cell r="A432" t="str">
            <v>BRA</v>
          </cell>
          <cell r="B432">
            <v>2013</v>
          </cell>
          <cell r="C432" t="str">
            <v>gdp_for_agri</v>
          </cell>
          <cell r="D432">
            <v>-0.32366308569908142</v>
          </cell>
        </row>
        <row r="433">
          <cell r="A433" t="str">
            <v>BRA</v>
          </cell>
          <cell r="B433">
            <v>2013</v>
          </cell>
          <cell r="C433" t="str">
            <v>gdp_for_ind</v>
          </cell>
          <cell r="D433">
            <v>0.97480976581573486</v>
          </cell>
        </row>
        <row r="434">
          <cell r="A434" t="str">
            <v>BRA</v>
          </cell>
          <cell r="B434">
            <v>2013</v>
          </cell>
          <cell r="C434" t="str">
            <v>gdp_for_serv</v>
          </cell>
          <cell r="D434">
            <v>1.8341702222824099</v>
          </cell>
        </row>
        <row r="435">
          <cell r="A435" t="str">
            <v>BRA</v>
          </cell>
          <cell r="B435">
            <v>2013</v>
          </cell>
          <cell r="C435" t="str">
            <v>gdp_inf_agri</v>
          </cell>
          <cell r="D435">
            <v>-0.1459663659334183</v>
          </cell>
        </row>
        <row r="436">
          <cell r="A436" t="str">
            <v>BRA</v>
          </cell>
          <cell r="B436">
            <v>2013</v>
          </cell>
          <cell r="C436" t="str">
            <v>gdp_inf_ind</v>
          </cell>
          <cell r="D436">
            <v>0.41335847973823547</v>
          </cell>
        </row>
        <row r="437">
          <cell r="A437" t="str">
            <v>BRA</v>
          </cell>
          <cell r="B437">
            <v>2013</v>
          </cell>
          <cell r="C437" t="str">
            <v>gdp_inf_serv</v>
          </cell>
          <cell r="D437">
            <v>-0.51501220464706421</v>
          </cell>
        </row>
        <row r="438">
          <cell r="A438" t="str">
            <v>BRA</v>
          </cell>
          <cell r="B438">
            <v>2013</v>
          </cell>
          <cell r="C438" t="str">
            <v>prod_for_agri</v>
          </cell>
          <cell r="D438">
            <v>1.2867275476455691</v>
          </cell>
        </row>
        <row r="439">
          <cell r="A439" t="str">
            <v>BRA</v>
          </cell>
          <cell r="B439">
            <v>2013</v>
          </cell>
          <cell r="C439" t="str">
            <v>prod_for_ind</v>
          </cell>
          <cell r="D439">
            <v>3.1380622386932369</v>
          </cell>
        </row>
        <row r="440">
          <cell r="A440" t="str">
            <v>BRA</v>
          </cell>
          <cell r="B440">
            <v>2013</v>
          </cell>
          <cell r="C440" t="str">
            <v>prod_for_serv</v>
          </cell>
          <cell r="D440">
            <v>82.028419494628906</v>
          </cell>
        </row>
        <row r="441">
          <cell r="A441" t="str">
            <v>BRA</v>
          </cell>
          <cell r="B441">
            <v>2013</v>
          </cell>
          <cell r="C441" t="str">
            <v>prod_inf_agri</v>
          </cell>
          <cell r="D441">
            <v>0.54835879802703857</v>
          </cell>
        </row>
        <row r="442">
          <cell r="A442" t="str">
            <v>BRA</v>
          </cell>
          <cell r="B442">
            <v>2013</v>
          </cell>
          <cell r="C442" t="str">
            <v>prod_inf_ind</v>
          </cell>
          <cell r="D442">
            <v>9.2750101089477539</v>
          </cell>
        </row>
        <row r="443">
          <cell r="A443" t="str">
            <v>BRA</v>
          </cell>
          <cell r="B443">
            <v>2013</v>
          </cell>
          <cell r="C443" t="str">
            <v>prod_inf_serv</v>
          </cell>
          <cell r="D443">
            <v>93.380393981933594</v>
          </cell>
        </row>
        <row r="444">
          <cell r="A444" t="str">
            <v>BRA</v>
          </cell>
          <cell r="B444">
            <v>2014</v>
          </cell>
          <cell r="C444" t="str">
            <v>gdp_activity</v>
          </cell>
          <cell r="D444">
            <v>1.612201333045959</v>
          </cell>
        </row>
        <row r="445">
          <cell r="A445" t="str">
            <v>BRA</v>
          </cell>
          <cell r="B445">
            <v>2014</v>
          </cell>
          <cell r="C445" t="str">
            <v>gdp_for_agri</v>
          </cell>
          <cell r="D445">
            <v>-0.51156550645828247</v>
          </cell>
        </row>
        <row r="446">
          <cell r="A446" t="str">
            <v>BRA</v>
          </cell>
          <cell r="B446">
            <v>2014</v>
          </cell>
          <cell r="C446" t="str">
            <v>gdp_for_ind</v>
          </cell>
          <cell r="D446">
            <v>-2.0951321125030522</v>
          </cell>
        </row>
        <row r="447">
          <cell r="A447" t="str">
            <v>BRA</v>
          </cell>
          <cell r="B447">
            <v>2014</v>
          </cell>
          <cell r="C447" t="str">
            <v>gdp_for_serv</v>
          </cell>
          <cell r="D447">
            <v>3.6841249465942378</v>
          </cell>
        </row>
        <row r="448">
          <cell r="A448" t="str">
            <v>BRA</v>
          </cell>
          <cell r="B448">
            <v>2014</v>
          </cell>
          <cell r="C448" t="str">
            <v>gdp_inf_agri</v>
          </cell>
          <cell r="D448">
            <v>-2.333993673324585</v>
          </cell>
        </row>
        <row r="449">
          <cell r="A449" t="str">
            <v>BRA</v>
          </cell>
          <cell r="B449">
            <v>2014</v>
          </cell>
          <cell r="C449" t="str">
            <v>gdp_inf_ind</v>
          </cell>
          <cell r="D449">
            <v>0.51209253072738647</v>
          </cell>
        </row>
        <row r="450">
          <cell r="A450" t="str">
            <v>BRA</v>
          </cell>
          <cell r="B450">
            <v>2014</v>
          </cell>
          <cell r="C450" t="str">
            <v>gdp_inf_serv</v>
          </cell>
          <cell r="D450">
            <v>-0.97229599952697754</v>
          </cell>
        </row>
        <row r="451">
          <cell r="A451" t="str">
            <v>BRA</v>
          </cell>
          <cell r="B451">
            <v>2014</v>
          </cell>
          <cell r="C451" t="str">
            <v>prod_for_agri</v>
          </cell>
          <cell r="D451">
            <v>0.71336877346038818</v>
          </cell>
        </row>
        <row r="452">
          <cell r="A452" t="str">
            <v>BRA</v>
          </cell>
          <cell r="B452">
            <v>2014</v>
          </cell>
          <cell r="C452" t="str">
            <v>prod_for_ind</v>
          </cell>
          <cell r="D452">
            <v>-0.69825291633605957</v>
          </cell>
        </row>
        <row r="453">
          <cell r="A453" t="str">
            <v>BRA</v>
          </cell>
          <cell r="B453">
            <v>2014</v>
          </cell>
          <cell r="C453" t="str">
            <v>prod_for_serv</v>
          </cell>
          <cell r="D453">
            <v>-2.7767364978790279</v>
          </cell>
        </row>
        <row r="454">
          <cell r="A454" t="str">
            <v>BRA</v>
          </cell>
          <cell r="B454">
            <v>2014</v>
          </cell>
          <cell r="C454" t="str">
            <v>prod_inf_agri</v>
          </cell>
          <cell r="D454">
            <v>9.2003963887691498E-2</v>
          </cell>
        </row>
        <row r="455">
          <cell r="A455" t="str">
            <v>BRA</v>
          </cell>
          <cell r="B455">
            <v>2014</v>
          </cell>
          <cell r="C455" t="str">
            <v>prod_inf_ind</v>
          </cell>
          <cell r="D455">
            <v>-0.96267396211624146</v>
          </cell>
        </row>
        <row r="456">
          <cell r="A456" t="str">
            <v>BRA</v>
          </cell>
          <cell r="B456">
            <v>2014</v>
          </cell>
          <cell r="C456" t="str">
            <v>prod_inf_serv</v>
          </cell>
          <cell r="D456">
            <v>-1.1893109083175659</v>
          </cell>
        </row>
        <row r="457">
          <cell r="A457" t="str">
            <v>BRA</v>
          </cell>
          <cell r="B457">
            <v>2015</v>
          </cell>
          <cell r="C457" t="str">
            <v>gdp_activity</v>
          </cell>
          <cell r="D457">
            <v>-0.61784148216247559</v>
          </cell>
        </row>
        <row r="458">
          <cell r="A458" t="str">
            <v>BRA</v>
          </cell>
          <cell r="B458">
            <v>2015</v>
          </cell>
          <cell r="C458" t="str">
            <v>gdp_for_agri</v>
          </cell>
          <cell r="D458">
            <v>0.81598049402236938</v>
          </cell>
        </row>
        <row r="459">
          <cell r="A459" t="str">
            <v>BRA</v>
          </cell>
          <cell r="B459">
            <v>2015</v>
          </cell>
          <cell r="C459" t="str">
            <v>gdp_for_ind</v>
          </cell>
          <cell r="D459">
            <v>0.81148248910903931</v>
          </cell>
        </row>
        <row r="460">
          <cell r="A460" t="str">
            <v>BRA</v>
          </cell>
          <cell r="B460">
            <v>2015</v>
          </cell>
          <cell r="C460" t="str">
            <v>gdp_for_serv</v>
          </cell>
          <cell r="D460">
            <v>-0.62413519620895386</v>
          </cell>
        </row>
        <row r="461">
          <cell r="A461" t="str">
            <v>BRA</v>
          </cell>
          <cell r="B461">
            <v>2015</v>
          </cell>
          <cell r="C461" t="str">
            <v>gdp_inf_agri</v>
          </cell>
          <cell r="D461">
            <v>-1.077507495880127</v>
          </cell>
        </row>
        <row r="462">
          <cell r="A462" t="str">
            <v>BRA</v>
          </cell>
          <cell r="B462">
            <v>2015</v>
          </cell>
          <cell r="C462" t="str">
            <v>gdp_inf_ind</v>
          </cell>
          <cell r="D462">
            <v>8.1314466893672943E-2</v>
          </cell>
        </row>
        <row r="463">
          <cell r="A463" t="str">
            <v>BRA</v>
          </cell>
          <cell r="B463">
            <v>2015</v>
          </cell>
          <cell r="C463" t="str">
            <v>gdp_inf_serv</v>
          </cell>
          <cell r="D463">
            <v>-0.33463332056999212</v>
          </cell>
        </row>
        <row r="464">
          <cell r="A464" t="str">
            <v>BRA</v>
          </cell>
          <cell r="B464">
            <v>2015</v>
          </cell>
          <cell r="C464" t="str">
            <v>prod_for_agri</v>
          </cell>
          <cell r="D464">
            <v>-1.860586404800415</v>
          </cell>
        </row>
        <row r="465">
          <cell r="A465" t="str">
            <v>BRA</v>
          </cell>
          <cell r="B465">
            <v>2015</v>
          </cell>
          <cell r="C465" t="str">
            <v>prod_for_ind</v>
          </cell>
          <cell r="D465">
            <v>0.29344502091407781</v>
          </cell>
        </row>
        <row r="466">
          <cell r="A466" t="str">
            <v>BRA</v>
          </cell>
          <cell r="B466">
            <v>2015</v>
          </cell>
          <cell r="C466" t="str">
            <v>prod_for_serv</v>
          </cell>
          <cell r="D466">
            <v>1.004417300224304</v>
          </cell>
        </row>
        <row r="467">
          <cell r="A467" t="str">
            <v>BRA</v>
          </cell>
          <cell r="B467">
            <v>2015</v>
          </cell>
          <cell r="C467" t="str">
            <v>prod_inf_agri</v>
          </cell>
          <cell r="D467">
            <v>-1.1479091644287109</v>
          </cell>
        </row>
        <row r="468">
          <cell r="A468" t="str">
            <v>BRA</v>
          </cell>
          <cell r="B468">
            <v>2015</v>
          </cell>
          <cell r="C468" t="str">
            <v>prod_inf_ind</v>
          </cell>
          <cell r="D468">
            <v>2.0009546279907231</v>
          </cell>
        </row>
        <row r="469">
          <cell r="A469" t="str">
            <v>BRA</v>
          </cell>
          <cell r="B469">
            <v>2015</v>
          </cell>
          <cell r="C469" t="str">
            <v>prod_inf_serv</v>
          </cell>
          <cell r="D469">
            <v>1.0428727865219121</v>
          </cell>
        </row>
        <row r="470">
          <cell r="A470" t="str">
            <v>BRA</v>
          </cell>
          <cell r="B470">
            <v>2016</v>
          </cell>
          <cell r="C470" t="str">
            <v>gdp_activity</v>
          </cell>
          <cell r="D470">
            <v>-0.47540289163589478</v>
          </cell>
        </row>
        <row r="471">
          <cell r="A471" t="str">
            <v>BRA</v>
          </cell>
          <cell r="B471">
            <v>2016</v>
          </cell>
          <cell r="C471" t="str">
            <v>gdp_for_agri</v>
          </cell>
          <cell r="D471">
            <v>-0.17534828186035159</v>
          </cell>
        </row>
        <row r="472">
          <cell r="A472" t="str">
            <v>BRA</v>
          </cell>
          <cell r="B472">
            <v>2016</v>
          </cell>
          <cell r="C472" t="str">
            <v>gdp_for_ind</v>
          </cell>
          <cell r="D472">
            <v>2.1433510780334468</v>
          </cell>
        </row>
        <row r="473">
          <cell r="A473" t="str">
            <v>BRA</v>
          </cell>
          <cell r="B473">
            <v>2016</v>
          </cell>
          <cell r="C473" t="str">
            <v>gdp_for_serv</v>
          </cell>
          <cell r="D473">
            <v>1.018399372696877E-2</v>
          </cell>
        </row>
        <row r="474">
          <cell r="A474" t="str">
            <v>BRA</v>
          </cell>
          <cell r="B474">
            <v>2016</v>
          </cell>
          <cell r="C474" t="str">
            <v>gdp_inf_agri</v>
          </cell>
          <cell r="D474">
            <v>0.42549535632133478</v>
          </cell>
        </row>
        <row r="475">
          <cell r="A475" t="str">
            <v>BRA</v>
          </cell>
          <cell r="B475">
            <v>2016</v>
          </cell>
          <cell r="C475" t="str">
            <v>gdp_inf_ind</v>
          </cell>
          <cell r="D475">
            <v>0.93771564960479736</v>
          </cell>
        </row>
        <row r="476">
          <cell r="A476" t="str">
            <v>BRA</v>
          </cell>
          <cell r="B476">
            <v>2016</v>
          </cell>
          <cell r="C476" t="str">
            <v>gdp_inf_serv</v>
          </cell>
          <cell r="D476">
            <v>-0.62322378158569336</v>
          </cell>
        </row>
        <row r="477">
          <cell r="A477" t="str">
            <v>BRA</v>
          </cell>
          <cell r="B477">
            <v>2016</v>
          </cell>
          <cell r="C477" t="str">
            <v>prod_for_agri</v>
          </cell>
          <cell r="D477">
            <v>-0.29624068737030029</v>
          </cell>
        </row>
        <row r="478">
          <cell r="A478" t="str">
            <v>BRA</v>
          </cell>
          <cell r="B478">
            <v>2016</v>
          </cell>
          <cell r="C478" t="str">
            <v>prod_for_ind</v>
          </cell>
          <cell r="D478">
            <v>0.68503135442733765</v>
          </cell>
        </row>
        <row r="479">
          <cell r="A479" t="str">
            <v>BRA</v>
          </cell>
          <cell r="B479">
            <v>2016</v>
          </cell>
          <cell r="C479" t="str">
            <v>prod_for_serv</v>
          </cell>
          <cell r="D479">
            <v>-0.33071944117546082</v>
          </cell>
        </row>
        <row r="480">
          <cell r="A480" t="str">
            <v>BRA</v>
          </cell>
          <cell r="B480">
            <v>2016</v>
          </cell>
          <cell r="C480" t="str">
            <v>prod_inf_agri</v>
          </cell>
          <cell r="D480">
            <v>0.56723129749298096</v>
          </cell>
        </row>
        <row r="481">
          <cell r="A481" t="str">
            <v>BRA</v>
          </cell>
          <cell r="B481">
            <v>2016</v>
          </cell>
          <cell r="C481" t="str">
            <v>prod_inf_ind</v>
          </cell>
          <cell r="D481">
            <v>-1.57526159286499</v>
          </cell>
        </row>
        <row r="482">
          <cell r="A482" t="str">
            <v>BRA</v>
          </cell>
          <cell r="B482">
            <v>2016</v>
          </cell>
          <cell r="C482" t="str">
            <v>prod_inf_serv</v>
          </cell>
          <cell r="D482">
            <v>0.1443558931350708</v>
          </cell>
        </row>
        <row r="483">
          <cell r="A483" t="str">
            <v>BRA</v>
          </cell>
          <cell r="B483">
            <v>2017</v>
          </cell>
          <cell r="C483" t="str">
            <v>gdp_activity</v>
          </cell>
          <cell r="D483">
            <v>1.0976182222366331</v>
          </cell>
        </row>
        <row r="484">
          <cell r="A484" t="str">
            <v>BRA</v>
          </cell>
          <cell r="B484">
            <v>2017</v>
          </cell>
          <cell r="C484" t="str">
            <v>gdp_for_agri</v>
          </cell>
          <cell r="D484">
            <v>9.909345768392086E-3</v>
          </cell>
        </row>
        <row r="485">
          <cell r="A485" t="str">
            <v>BRA</v>
          </cell>
          <cell r="B485">
            <v>2017</v>
          </cell>
          <cell r="C485" t="str">
            <v>gdp_for_ind</v>
          </cell>
          <cell r="D485">
            <v>7.7288503646850586</v>
          </cell>
        </row>
        <row r="486">
          <cell r="A486" t="str">
            <v>BRA</v>
          </cell>
          <cell r="B486">
            <v>2017</v>
          </cell>
          <cell r="C486" t="str">
            <v>gdp_for_serv</v>
          </cell>
          <cell r="D486">
            <v>-4.1255807876586914</v>
          </cell>
        </row>
        <row r="487">
          <cell r="A487" t="str">
            <v>BRA</v>
          </cell>
          <cell r="B487">
            <v>2017</v>
          </cell>
          <cell r="C487" t="str">
            <v>gdp_inf_agri</v>
          </cell>
          <cell r="D487">
            <v>-0.45544514060020452</v>
          </cell>
        </row>
        <row r="488">
          <cell r="A488" t="str">
            <v>BRA</v>
          </cell>
          <cell r="B488">
            <v>2017</v>
          </cell>
          <cell r="C488" t="str">
            <v>gdp_inf_ind</v>
          </cell>
          <cell r="D488">
            <v>-11.23852062225342</v>
          </cell>
        </row>
        <row r="489">
          <cell r="A489" t="str">
            <v>BRA</v>
          </cell>
          <cell r="B489">
            <v>2017</v>
          </cell>
          <cell r="C489" t="str">
            <v>gdp_inf_serv</v>
          </cell>
          <cell r="D489">
            <v>14.34183311462402</v>
          </cell>
        </row>
        <row r="490">
          <cell r="A490" t="str">
            <v>BRA</v>
          </cell>
          <cell r="B490">
            <v>2017</v>
          </cell>
          <cell r="C490" t="str">
            <v>prod_for_agri</v>
          </cell>
          <cell r="D490">
            <v>0.1293175667524338</v>
          </cell>
        </row>
        <row r="491">
          <cell r="A491" t="str">
            <v>BRA</v>
          </cell>
          <cell r="B491">
            <v>2017</v>
          </cell>
          <cell r="C491" t="str">
            <v>prod_for_ind</v>
          </cell>
          <cell r="D491">
            <v>-12.3636417388916</v>
          </cell>
        </row>
        <row r="492">
          <cell r="A492" t="str">
            <v>BRA</v>
          </cell>
          <cell r="B492">
            <v>2017</v>
          </cell>
          <cell r="C492" t="str">
            <v>prod_for_serv</v>
          </cell>
          <cell r="D492">
            <v>0.30118146538734442</v>
          </cell>
        </row>
        <row r="493">
          <cell r="A493" t="str">
            <v>BRA</v>
          </cell>
          <cell r="B493">
            <v>2017</v>
          </cell>
          <cell r="C493" t="str">
            <v>prod_inf_agri</v>
          </cell>
          <cell r="D493">
            <v>0.37119391560554499</v>
          </cell>
        </row>
        <row r="494">
          <cell r="A494" t="str">
            <v>BRA</v>
          </cell>
          <cell r="B494">
            <v>2017</v>
          </cell>
          <cell r="C494" t="str">
            <v>prod_inf_ind</v>
          </cell>
          <cell r="D494">
            <v>17.143438339233398</v>
          </cell>
        </row>
        <row r="495">
          <cell r="A495" t="str">
            <v>BRA</v>
          </cell>
          <cell r="B495">
            <v>2017</v>
          </cell>
          <cell r="C495" t="str">
            <v>prod_inf_serv</v>
          </cell>
          <cell r="D495">
            <v>3.7015573978424068</v>
          </cell>
        </row>
        <row r="496">
          <cell r="A496" t="str">
            <v>BRA</v>
          </cell>
          <cell r="B496">
            <v>2018</v>
          </cell>
          <cell r="C496" t="str">
            <v>gdp_activity</v>
          </cell>
          <cell r="D496">
            <v>0.53693723678588867</v>
          </cell>
        </row>
        <row r="497">
          <cell r="A497" t="str">
            <v>BRA</v>
          </cell>
          <cell r="B497">
            <v>2018</v>
          </cell>
          <cell r="C497" t="str">
            <v>gdp_for_agri</v>
          </cell>
          <cell r="D497">
            <v>3.4150302410125728</v>
          </cell>
        </row>
        <row r="498">
          <cell r="A498" t="str">
            <v>BRA</v>
          </cell>
          <cell r="B498">
            <v>2018</v>
          </cell>
          <cell r="C498" t="str">
            <v>gdp_for_ind</v>
          </cell>
          <cell r="D498">
            <v>-2.0226902961730961</v>
          </cell>
        </row>
        <row r="499">
          <cell r="A499" t="str">
            <v>BRA</v>
          </cell>
          <cell r="B499">
            <v>2018</v>
          </cell>
          <cell r="C499" t="str">
            <v>gdp_for_serv</v>
          </cell>
          <cell r="D499">
            <v>0.29377719759941101</v>
          </cell>
        </row>
        <row r="500">
          <cell r="A500" t="str">
            <v>BRA</v>
          </cell>
          <cell r="B500">
            <v>2018</v>
          </cell>
          <cell r="C500" t="str">
            <v>gdp_inf_agri</v>
          </cell>
          <cell r="D500">
            <v>-2.2191545963287349</v>
          </cell>
        </row>
        <row r="501">
          <cell r="A501" t="str">
            <v>BRA</v>
          </cell>
          <cell r="B501">
            <v>2018</v>
          </cell>
          <cell r="C501" t="str">
            <v>gdp_inf_ind</v>
          </cell>
          <cell r="D501">
            <v>-1.647899985313416</v>
          </cell>
        </row>
        <row r="502">
          <cell r="A502" t="str">
            <v>BRA</v>
          </cell>
          <cell r="B502">
            <v>2018</v>
          </cell>
          <cell r="C502" t="str">
            <v>gdp_inf_serv</v>
          </cell>
          <cell r="D502">
            <v>2.9132294654846191</v>
          </cell>
        </row>
        <row r="503">
          <cell r="A503" t="str">
            <v>BRA</v>
          </cell>
          <cell r="B503">
            <v>2018</v>
          </cell>
          <cell r="C503" t="str">
            <v>prod_for_agri</v>
          </cell>
          <cell r="D503">
            <v>1.444382309913635</v>
          </cell>
        </row>
        <row r="504">
          <cell r="A504" t="str">
            <v>BRA</v>
          </cell>
          <cell r="B504">
            <v>2018</v>
          </cell>
          <cell r="C504" t="str">
            <v>prod_for_ind</v>
          </cell>
          <cell r="D504">
            <v>-1.163892865180969</v>
          </cell>
        </row>
        <row r="505">
          <cell r="A505" t="str">
            <v>BRA</v>
          </cell>
          <cell r="B505">
            <v>2018</v>
          </cell>
          <cell r="C505" t="str">
            <v>prod_for_serv</v>
          </cell>
          <cell r="D505">
            <v>-6.1374831199645996</v>
          </cell>
        </row>
        <row r="506">
          <cell r="A506" t="str">
            <v>BRA</v>
          </cell>
          <cell r="B506">
            <v>2018</v>
          </cell>
          <cell r="C506" t="str">
            <v>prod_inf_agri</v>
          </cell>
          <cell r="D506">
            <v>-1.2782443761825559</v>
          </cell>
        </row>
        <row r="507">
          <cell r="A507" t="str">
            <v>BRA</v>
          </cell>
          <cell r="B507">
            <v>2018</v>
          </cell>
          <cell r="C507" t="str">
            <v>prod_inf_ind</v>
          </cell>
          <cell r="D507">
            <v>1.221108555793762</v>
          </cell>
        </row>
        <row r="508">
          <cell r="A508" t="str">
            <v>BRA</v>
          </cell>
          <cell r="B508">
            <v>2018</v>
          </cell>
          <cell r="C508" t="str">
            <v>prod_inf_serv</v>
          </cell>
          <cell r="D508">
            <v>-10.33547782897949</v>
          </cell>
        </row>
        <row r="509">
          <cell r="A509" t="str">
            <v>BRA</v>
          </cell>
          <cell r="B509">
            <v>2019</v>
          </cell>
          <cell r="C509" t="str">
            <v>gdp_activity</v>
          </cell>
          <cell r="D509">
            <v>1.530064702033997</v>
          </cell>
        </row>
        <row r="510">
          <cell r="A510" t="str">
            <v>BRA</v>
          </cell>
          <cell r="B510">
            <v>2019</v>
          </cell>
          <cell r="C510" t="str">
            <v>gdp_for_agri</v>
          </cell>
          <cell r="D510">
            <v>1.858206033706665</v>
          </cell>
        </row>
        <row r="511">
          <cell r="A511" t="str">
            <v>BRA</v>
          </cell>
          <cell r="B511">
            <v>2019</v>
          </cell>
          <cell r="C511" t="str">
            <v>gdp_for_ind</v>
          </cell>
          <cell r="D511">
            <v>-3.3866677284240718</v>
          </cell>
        </row>
        <row r="512">
          <cell r="A512" t="str">
            <v>BRA</v>
          </cell>
          <cell r="B512">
            <v>2019</v>
          </cell>
          <cell r="C512" t="str">
            <v>gdp_for_serv</v>
          </cell>
          <cell r="D512">
            <v>1.4393714666366579</v>
          </cell>
        </row>
        <row r="513">
          <cell r="A513" t="str">
            <v>BRA</v>
          </cell>
          <cell r="B513">
            <v>2019</v>
          </cell>
          <cell r="C513" t="str">
            <v>gdp_inf_agri</v>
          </cell>
          <cell r="D513">
            <v>1.2415341138839719</v>
          </cell>
        </row>
        <row r="514">
          <cell r="A514" t="str">
            <v>BRA</v>
          </cell>
          <cell r="B514">
            <v>2019</v>
          </cell>
          <cell r="C514" t="str">
            <v>gdp_inf_ind</v>
          </cell>
          <cell r="D514">
            <v>-3.75929856300354</v>
          </cell>
        </row>
        <row r="515">
          <cell r="A515" t="str">
            <v>BRA</v>
          </cell>
          <cell r="B515">
            <v>2019</v>
          </cell>
          <cell r="C515" t="str">
            <v>gdp_inf_serv</v>
          </cell>
          <cell r="D515">
            <v>1.9261628389358521</v>
          </cell>
        </row>
        <row r="516">
          <cell r="A516" t="str">
            <v>BRA</v>
          </cell>
          <cell r="B516">
            <v>2019</v>
          </cell>
          <cell r="C516" t="str">
            <v>prod_for_agri</v>
          </cell>
          <cell r="D516">
            <v>12.5618953704834</v>
          </cell>
        </row>
        <row r="517">
          <cell r="A517" t="str">
            <v>BRA</v>
          </cell>
          <cell r="B517">
            <v>2019</v>
          </cell>
          <cell r="C517" t="str">
            <v>prod_for_ind</v>
          </cell>
          <cell r="D517">
            <v>-0.1131354495882988</v>
          </cell>
        </row>
        <row r="518">
          <cell r="A518" t="str">
            <v>BRA</v>
          </cell>
          <cell r="B518">
            <v>2019</v>
          </cell>
          <cell r="C518" t="str">
            <v>prod_for_serv</v>
          </cell>
          <cell r="D518">
            <v>0.86038154363632202</v>
          </cell>
        </row>
        <row r="519">
          <cell r="A519" t="str">
            <v>BRA</v>
          </cell>
          <cell r="B519">
            <v>2019</v>
          </cell>
          <cell r="C519" t="str">
            <v>prod_inf_agri</v>
          </cell>
          <cell r="D519">
            <v>-15.87022495269775</v>
          </cell>
        </row>
        <row r="520">
          <cell r="A520" t="str">
            <v>BRA</v>
          </cell>
          <cell r="B520">
            <v>2019</v>
          </cell>
          <cell r="C520" t="str">
            <v>prod_inf_ind</v>
          </cell>
          <cell r="D520">
            <v>-1.6163849830627439</v>
          </cell>
        </row>
        <row r="521">
          <cell r="A521" t="str">
            <v>BRA</v>
          </cell>
          <cell r="B521">
            <v>2019</v>
          </cell>
          <cell r="C521" t="str">
            <v>prod_inf_serv</v>
          </cell>
          <cell r="D521">
            <v>7.1134738624095917E-2</v>
          </cell>
        </row>
        <row r="522">
          <cell r="A522" t="str">
            <v>BRA</v>
          </cell>
          <cell r="B522">
            <v>2020</v>
          </cell>
          <cell r="C522" t="str">
            <v>gdp_activity</v>
          </cell>
          <cell r="D522">
            <v>1.912551164627075</v>
          </cell>
        </row>
        <row r="523">
          <cell r="A523" t="str">
            <v>BRA</v>
          </cell>
          <cell r="B523">
            <v>2020</v>
          </cell>
          <cell r="C523" t="str">
            <v>gdp_for_agri</v>
          </cell>
          <cell r="D523">
            <v>-0.43531906604766851</v>
          </cell>
        </row>
        <row r="524">
          <cell r="A524" t="str">
            <v>BRA</v>
          </cell>
          <cell r="B524">
            <v>2020</v>
          </cell>
          <cell r="C524" t="str">
            <v>gdp_for_ind</v>
          </cell>
          <cell r="D524">
            <v>1.5290540456771851</v>
          </cell>
        </row>
        <row r="525">
          <cell r="A525" t="str">
            <v>BRA</v>
          </cell>
          <cell r="B525">
            <v>2020</v>
          </cell>
          <cell r="C525" t="str">
            <v>gdp_for_serv</v>
          </cell>
          <cell r="D525">
            <v>1.156878709793091</v>
          </cell>
        </row>
        <row r="526">
          <cell r="A526" t="str">
            <v>BRA</v>
          </cell>
          <cell r="B526">
            <v>2020</v>
          </cell>
          <cell r="C526" t="str">
            <v>gdp_inf_agri</v>
          </cell>
          <cell r="D526">
            <v>-2.2208292484283452</v>
          </cell>
        </row>
        <row r="527">
          <cell r="A527" t="str">
            <v>BRA</v>
          </cell>
          <cell r="B527">
            <v>2020</v>
          </cell>
          <cell r="C527" t="str">
            <v>gdp_inf_ind</v>
          </cell>
          <cell r="D527">
            <v>5.0817198753356934</v>
          </cell>
        </row>
        <row r="528">
          <cell r="A528" t="str">
            <v>BRA</v>
          </cell>
          <cell r="B528">
            <v>2020</v>
          </cell>
          <cell r="C528" t="str">
            <v>gdp_inf_serv</v>
          </cell>
          <cell r="D528">
            <v>3.6875360012054439</v>
          </cell>
        </row>
        <row r="529">
          <cell r="A529" t="str">
            <v>BRA</v>
          </cell>
          <cell r="B529">
            <v>2020</v>
          </cell>
          <cell r="C529" t="str">
            <v>prod_for_agri</v>
          </cell>
          <cell r="D529">
            <v>0.56709468364715576</v>
          </cell>
        </row>
        <row r="530">
          <cell r="A530" t="str">
            <v>BRA</v>
          </cell>
          <cell r="B530">
            <v>2020</v>
          </cell>
          <cell r="C530" t="str">
            <v>prod_for_ind</v>
          </cell>
          <cell r="D530">
            <v>0.40139365196228027</v>
          </cell>
        </row>
        <row r="531">
          <cell r="A531" t="str">
            <v>BRA</v>
          </cell>
          <cell r="B531">
            <v>2020</v>
          </cell>
          <cell r="C531" t="str">
            <v>prod_for_serv</v>
          </cell>
          <cell r="D531">
            <v>0.1338067352771759</v>
          </cell>
        </row>
        <row r="532">
          <cell r="A532" t="str">
            <v>BRA</v>
          </cell>
          <cell r="B532">
            <v>2020</v>
          </cell>
          <cell r="C532" t="str">
            <v>prod_inf_agri</v>
          </cell>
          <cell r="D532">
            <v>-6.5868645906448364E-2</v>
          </cell>
        </row>
        <row r="533">
          <cell r="A533" t="str">
            <v>BRA</v>
          </cell>
          <cell r="B533">
            <v>2020</v>
          </cell>
          <cell r="C533" t="str">
            <v>prod_inf_ind</v>
          </cell>
          <cell r="D533">
            <v>1.305181503295898</v>
          </cell>
        </row>
        <row r="534">
          <cell r="A534" t="str">
            <v>BRA</v>
          </cell>
          <cell r="B534">
            <v>2020</v>
          </cell>
          <cell r="C534" t="str">
            <v>prod_inf_serv</v>
          </cell>
          <cell r="D534">
            <v>0.83790040016174316</v>
          </cell>
        </row>
        <row r="535">
          <cell r="A535" t="str">
            <v>BRA</v>
          </cell>
          <cell r="B535">
            <v>2021</v>
          </cell>
          <cell r="C535" t="str">
            <v>gdp_activity</v>
          </cell>
          <cell r="D535">
            <v>0.76904022693634033</v>
          </cell>
        </row>
        <row r="536">
          <cell r="A536" t="str">
            <v>BRA</v>
          </cell>
          <cell r="B536">
            <v>2021</v>
          </cell>
          <cell r="C536" t="str">
            <v>gdp_for_agri</v>
          </cell>
          <cell r="D536">
            <v>1769.785766601563</v>
          </cell>
        </row>
        <row r="537">
          <cell r="A537" t="str">
            <v>BRA</v>
          </cell>
          <cell r="B537">
            <v>2021</v>
          </cell>
          <cell r="C537" t="str">
            <v>gdp_for_ind</v>
          </cell>
          <cell r="D537">
            <v>0.27453207969665527</v>
          </cell>
        </row>
        <row r="538">
          <cell r="A538" t="str">
            <v>BRA</v>
          </cell>
          <cell r="B538">
            <v>2021</v>
          </cell>
          <cell r="C538" t="str">
            <v>gdp_for_serv</v>
          </cell>
          <cell r="D538">
            <v>9.3076273798942566E-2</v>
          </cell>
        </row>
        <row r="539">
          <cell r="A539" t="str">
            <v>BRA</v>
          </cell>
          <cell r="B539">
            <v>2021</v>
          </cell>
          <cell r="C539" t="str">
            <v>gdp_inf_agri</v>
          </cell>
          <cell r="D539">
            <v>3823.69921875</v>
          </cell>
        </row>
        <row r="540">
          <cell r="A540" t="str">
            <v>BRA</v>
          </cell>
          <cell r="B540">
            <v>2021</v>
          </cell>
          <cell r="C540" t="str">
            <v>gdp_inf_ind</v>
          </cell>
          <cell r="D540">
            <v>2.3367562294006352</v>
          </cell>
        </row>
        <row r="541">
          <cell r="A541" t="str">
            <v>BRA</v>
          </cell>
          <cell r="B541">
            <v>2021</v>
          </cell>
          <cell r="C541" t="str">
            <v>gdp_inf_serv</v>
          </cell>
          <cell r="D541">
            <v>0.94548755884170532</v>
          </cell>
        </row>
        <row r="542">
          <cell r="A542" t="str">
            <v>BRA</v>
          </cell>
          <cell r="B542">
            <v>2021</v>
          </cell>
          <cell r="C542" t="str">
            <v>prod_for_agri</v>
          </cell>
          <cell r="D542">
            <v>0.86335134506225586</v>
          </cell>
        </row>
        <row r="543">
          <cell r="A543" t="str">
            <v>BRA</v>
          </cell>
          <cell r="B543">
            <v>2021</v>
          </cell>
          <cell r="C543" t="str">
            <v>prod_for_ind</v>
          </cell>
          <cell r="D543">
            <v>39.149616241455078</v>
          </cell>
        </row>
        <row r="544">
          <cell r="A544" t="str">
            <v>BRA</v>
          </cell>
          <cell r="B544">
            <v>2021</v>
          </cell>
          <cell r="C544" t="str">
            <v>prod_for_serv</v>
          </cell>
          <cell r="D544">
            <v>-1.4202121496200559</v>
          </cell>
        </row>
        <row r="545">
          <cell r="A545" t="str">
            <v>BRA</v>
          </cell>
          <cell r="B545">
            <v>2021</v>
          </cell>
          <cell r="C545" t="str">
            <v>prod_inf_agri</v>
          </cell>
          <cell r="D545">
            <v>-0.75279110670089722</v>
          </cell>
        </row>
        <row r="546">
          <cell r="A546" t="str">
            <v>BRA</v>
          </cell>
          <cell r="B546">
            <v>2021</v>
          </cell>
          <cell r="C546" t="str">
            <v>prod_inf_ind</v>
          </cell>
          <cell r="D546">
            <v>82.284339904785156</v>
          </cell>
        </row>
        <row r="547">
          <cell r="A547" t="str">
            <v>BRA</v>
          </cell>
          <cell r="B547">
            <v>2021</v>
          </cell>
          <cell r="C547" t="str">
            <v>prod_inf_serv</v>
          </cell>
          <cell r="D547">
            <v>-1.266399025917053</v>
          </cell>
        </row>
        <row r="548">
          <cell r="A548" t="str">
            <v>BRA</v>
          </cell>
          <cell r="B548">
            <v>2022</v>
          </cell>
          <cell r="C548" t="str">
            <v>gdp_activity</v>
          </cell>
          <cell r="D548">
            <v>1.3524166345596309</v>
          </cell>
        </row>
        <row r="549">
          <cell r="A549" t="str">
            <v>BRA</v>
          </cell>
          <cell r="B549">
            <v>2022</v>
          </cell>
          <cell r="C549" t="str">
            <v>gdp_for_agri</v>
          </cell>
          <cell r="D549">
            <v>-1.6196998357772829</v>
          </cell>
        </row>
        <row r="550">
          <cell r="A550" t="str">
            <v>BRA</v>
          </cell>
          <cell r="B550">
            <v>2022</v>
          </cell>
          <cell r="C550" t="str">
            <v>gdp_for_ind</v>
          </cell>
          <cell r="D550">
            <v>7.0440654754638672</v>
          </cell>
        </row>
        <row r="551">
          <cell r="A551" t="str">
            <v>BRA</v>
          </cell>
          <cell r="B551">
            <v>2022</v>
          </cell>
          <cell r="C551" t="str">
            <v>gdp_for_serv</v>
          </cell>
          <cell r="D551">
            <v>2.0736105442047119</v>
          </cell>
        </row>
        <row r="552">
          <cell r="A552" t="str">
            <v>BRA</v>
          </cell>
          <cell r="B552">
            <v>2022</v>
          </cell>
          <cell r="C552" t="str">
            <v>gdp_inf_agri</v>
          </cell>
          <cell r="D552">
            <v>1.2421971559524541</v>
          </cell>
        </row>
        <row r="553">
          <cell r="A553" t="str">
            <v>BRA</v>
          </cell>
          <cell r="B553">
            <v>2022</v>
          </cell>
          <cell r="C553" t="str">
            <v>gdp_inf_ind</v>
          </cell>
          <cell r="D553">
            <v>4.3199272155761719</v>
          </cell>
        </row>
        <row r="554">
          <cell r="A554" t="str">
            <v>BRA</v>
          </cell>
          <cell r="B554">
            <v>2022</v>
          </cell>
          <cell r="C554" t="str">
            <v>gdp_inf_serv</v>
          </cell>
          <cell r="D554">
            <v>4.7939639091491699</v>
          </cell>
        </row>
        <row r="555">
          <cell r="A555" t="str">
            <v>BRA</v>
          </cell>
          <cell r="B555">
            <v>2022</v>
          </cell>
          <cell r="C555" t="str">
            <v>prod_for_agri</v>
          </cell>
          <cell r="D555">
            <v>-17.42775726318359</v>
          </cell>
        </row>
        <row r="556">
          <cell r="A556" t="str">
            <v>BRA</v>
          </cell>
          <cell r="B556">
            <v>2022</v>
          </cell>
          <cell r="C556" t="str">
            <v>prod_for_ind</v>
          </cell>
          <cell r="D556">
            <v>0.29175958037376398</v>
          </cell>
        </row>
        <row r="557">
          <cell r="A557" t="str">
            <v>BRA</v>
          </cell>
          <cell r="B557">
            <v>2022</v>
          </cell>
          <cell r="C557" t="str">
            <v>prod_for_serv</v>
          </cell>
          <cell r="D557">
            <v>-0.16399320960044861</v>
          </cell>
        </row>
        <row r="558">
          <cell r="A558" t="str">
            <v>BRA</v>
          </cell>
          <cell r="B558">
            <v>2022</v>
          </cell>
          <cell r="C558" t="str">
            <v>prod_inf_agri</v>
          </cell>
          <cell r="D558">
            <v>-16.912893295288089</v>
          </cell>
        </row>
        <row r="559">
          <cell r="A559" t="str">
            <v>BRA</v>
          </cell>
          <cell r="B559">
            <v>2022</v>
          </cell>
          <cell r="C559" t="str">
            <v>prod_inf_ind</v>
          </cell>
          <cell r="D559">
            <v>-1.172543883323669</v>
          </cell>
        </row>
        <row r="560">
          <cell r="A560" t="str">
            <v>BRA</v>
          </cell>
          <cell r="B560">
            <v>2022</v>
          </cell>
          <cell r="C560" t="str">
            <v>prod_inf_serv</v>
          </cell>
          <cell r="D560">
            <v>-0.55494600534439087</v>
          </cell>
        </row>
        <row r="561">
          <cell r="A561" t="str">
            <v>CHL</v>
          </cell>
          <cell r="B561">
            <v>2011</v>
          </cell>
          <cell r="C561" t="str">
            <v>gdp_activity</v>
          </cell>
          <cell r="D561">
            <v>0.34031939506530762</v>
          </cell>
        </row>
        <row r="562">
          <cell r="A562" t="str">
            <v>CHL</v>
          </cell>
          <cell r="B562">
            <v>2011</v>
          </cell>
          <cell r="C562" t="str">
            <v>gdp_for_agri</v>
          </cell>
          <cell r="D562">
            <v>0.2181642800569534</v>
          </cell>
        </row>
        <row r="563">
          <cell r="A563" t="str">
            <v>CHL</v>
          </cell>
          <cell r="B563">
            <v>2011</v>
          </cell>
          <cell r="C563" t="str">
            <v>gdp_for_ind</v>
          </cell>
          <cell r="D563">
            <v>4.2954316139221191</v>
          </cell>
        </row>
        <row r="564">
          <cell r="A564" t="str">
            <v>CHL</v>
          </cell>
          <cell r="B564">
            <v>2011</v>
          </cell>
          <cell r="C564" t="str">
            <v>gdp_for_serv</v>
          </cell>
          <cell r="D564">
            <v>1.356371998786926</v>
          </cell>
        </row>
        <row r="565">
          <cell r="A565" t="str">
            <v>CHL</v>
          </cell>
          <cell r="B565">
            <v>2011</v>
          </cell>
          <cell r="C565" t="str">
            <v>gdp_inf_agri</v>
          </cell>
          <cell r="D565">
            <v>-0.87638062238693237</v>
          </cell>
        </row>
        <row r="566">
          <cell r="A566" t="str">
            <v>CHL</v>
          </cell>
          <cell r="B566">
            <v>2011</v>
          </cell>
          <cell r="C566" t="str">
            <v>gdp_inf_ind</v>
          </cell>
          <cell r="D566">
            <v>0.58484756946563721</v>
          </cell>
        </row>
        <row r="567">
          <cell r="A567" t="str">
            <v>CHL</v>
          </cell>
          <cell r="B567">
            <v>2011</v>
          </cell>
          <cell r="C567" t="str">
            <v>gdp_inf_serv</v>
          </cell>
          <cell r="D567">
            <v>0.54751855134963989</v>
          </cell>
        </row>
        <row r="568">
          <cell r="A568" t="str">
            <v>CHL</v>
          </cell>
          <cell r="B568">
            <v>2011</v>
          </cell>
          <cell r="C568" t="str">
            <v>prod_for_agri</v>
          </cell>
          <cell r="D568">
            <v>5.0539907068014138E-2</v>
          </cell>
        </row>
        <row r="569">
          <cell r="A569" t="str">
            <v>CHL</v>
          </cell>
          <cell r="B569">
            <v>2011</v>
          </cell>
          <cell r="C569" t="str">
            <v>prod_for_ind</v>
          </cell>
          <cell r="D569">
            <v>-0.707877516746521</v>
          </cell>
        </row>
        <row r="570">
          <cell r="A570" t="str">
            <v>CHL</v>
          </cell>
          <cell r="B570">
            <v>2011</v>
          </cell>
          <cell r="C570" t="str">
            <v>prod_for_serv</v>
          </cell>
          <cell r="D570">
            <v>3.0376637354493141E-2</v>
          </cell>
        </row>
        <row r="571">
          <cell r="A571" t="str">
            <v>CHL</v>
          </cell>
          <cell r="B571">
            <v>2011</v>
          </cell>
          <cell r="C571" t="str">
            <v>prod_inf_agri</v>
          </cell>
          <cell r="D571">
            <v>0.51868772506713867</v>
          </cell>
        </row>
        <row r="572">
          <cell r="A572" t="str">
            <v>CHL</v>
          </cell>
          <cell r="B572">
            <v>2011</v>
          </cell>
          <cell r="C572" t="str">
            <v>prod_inf_ind</v>
          </cell>
          <cell r="D572">
            <v>0.74710673093795776</v>
          </cell>
        </row>
        <row r="573">
          <cell r="A573" t="str">
            <v>CHL</v>
          </cell>
          <cell r="B573">
            <v>2011</v>
          </cell>
          <cell r="C573" t="str">
            <v>prod_inf_serv</v>
          </cell>
          <cell r="D573">
            <v>2.5104775428771968</v>
          </cell>
        </row>
        <row r="574">
          <cell r="A574" t="str">
            <v>CHL</v>
          </cell>
          <cell r="B574">
            <v>2013</v>
          </cell>
          <cell r="C574" t="str">
            <v>gdp_activity</v>
          </cell>
          <cell r="D574">
            <v>0.46859493851661682</v>
          </cell>
        </row>
        <row r="575">
          <cell r="A575" t="str">
            <v>CHL</v>
          </cell>
          <cell r="B575">
            <v>2013</v>
          </cell>
          <cell r="C575" t="str">
            <v>gdp_for_agri</v>
          </cell>
          <cell r="D575">
            <v>2.6564211845397949</v>
          </cell>
        </row>
        <row r="576">
          <cell r="A576" t="str">
            <v>CHL</v>
          </cell>
          <cell r="B576">
            <v>2013</v>
          </cell>
          <cell r="C576" t="str">
            <v>gdp_for_ind</v>
          </cell>
          <cell r="D576">
            <v>0.82675004005432129</v>
          </cell>
        </row>
        <row r="577">
          <cell r="A577" t="str">
            <v>CHL</v>
          </cell>
          <cell r="B577">
            <v>2013</v>
          </cell>
          <cell r="C577" t="str">
            <v>gdp_for_serv</v>
          </cell>
          <cell r="D577">
            <v>0.70464843511581421</v>
          </cell>
        </row>
        <row r="578">
          <cell r="A578" t="str">
            <v>CHL</v>
          </cell>
          <cell r="B578">
            <v>2013</v>
          </cell>
          <cell r="C578" t="str">
            <v>gdp_inf_agri</v>
          </cell>
          <cell r="D578">
            <v>2.9901490211486821</v>
          </cell>
        </row>
        <row r="579">
          <cell r="A579" t="str">
            <v>CHL</v>
          </cell>
          <cell r="B579">
            <v>2013</v>
          </cell>
          <cell r="C579" t="str">
            <v>gdp_inf_ind</v>
          </cell>
          <cell r="D579">
            <v>-0.31326198577880859</v>
          </cell>
        </row>
        <row r="580">
          <cell r="A580" t="str">
            <v>CHL</v>
          </cell>
          <cell r="B580">
            <v>2013</v>
          </cell>
          <cell r="C580" t="str">
            <v>gdp_inf_serv</v>
          </cell>
          <cell r="D580">
            <v>-0.96640706062316895</v>
          </cell>
        </row>
        <row r="581">
          <cell r="A581" t="str">
            <v>CHL</v>
          </cell>
          <cell r="B581">
            <v>2013</v>
          </cell>
          <cell r="C581" t="str">
            <v>prod_for_agri</v>
          </cell>
          <cell r="D581">
            <v>6.5691871643066406</v>
          </cell>
        </row>
        <row r="582">
          <cell r="A582" t="str">
            <v>CHL</v>
          </cell>
          <cell r="B582">
            <v>2013</v>
          </cell>
          <cell r="C582" t="str">
            <v>prod_for_ind</v>
          </cell>
          <cell r="D582">
            <v>2.660567998886108</v>
          </cell>
        </row>
        <row r="583">
          <cell r="A583" t="str">
            <v>CHL</v>
          </cell>
          <cell r="B583">
            <v>2013</v>
          </cell>
          <cell r="C583" t="str">
            <v>prod_for_serv</v>
          </cell>
          <cell r="D583">
            <v>2.4872715473175049</v>
          </cell>
        </row>
        <row r="584">
          <cell r="A584" t="str">
            <v>CHL</v>
          </cell>
          <cell r="B584">
            <v>2013</v>
          </cell>
          <cell r="C584" t="str">
            <v>prod_inf_agri</v>
          </cell>
          <cell r="D584">
            <v>4.4403543472290039</v>
          </cell>
        </row>
        <row r="585">
          <cell r="A585" t="str">
            <v>CHL</v>
          </cell>
          <cell r="B585">
            <v>2013</v>
          </cell>
          <cell r="C585" t="str">
            <v>prod_inf_ind</v>
          </cell>
          <cell r="D585">
            <v>8.8005361557006836</v>
          </cell>
        </row>
        <row r="586">
          <cell r="A586" t="str">
            <v>CHL</v>
          </cell>
          <cell r="B586">
            <v>2013</v>
          </cell>
          <cell r="C586" t="str">
            <v>prod_inf_serv</v>
          </cell>
          <cell r="D586">
            <v>1.239707946777344</v>
          </cell>
        </row>
        <row r="587">
          <cell r="A587" t="str">
            <v>CHL</v>
          </cell>
          <cell r="B587">
            <v>2015</v>
          </cell>
          <cell r="C587" t="str">
            <v>gdp_activity</v>
          </cell>
          <cell r="D587">
            <v>1.0987380743026729</v>
          </cell>
        </row>
        <row r="588">
          <cell r="A588" t="str">
            <v>CHL</v>
          </cell>
          <cell r="B588">
            <v>2015</v>
          </cell>
          <cell r="C588" t="str">
            <v>gdp_for_agri</v>
          </cell>
          <cell r="D588">
            <v>5.2813310623168954</v>
          </cell>
        </row>
        <row r="589">
          <cell r="A589" t="str">
            <v>CHL</v>
          </cell>
          <cell r="B589">
            <v>2015</v>
          </cell>
          <cell r="C589" t="str">
            <v>gdp_for_ind</v>
          </cell>
          <cell r="D589">
            <v>-2.7314398288726811</v>
          </cell>
        </row>
        <row r="590">
          <cell r="A590" t="str">
            <v>CHL</v>
          </cell>
          <cell r="B590">
            <v>2015</v>
          </cell>
          <cell r="C590" t="str">
            <v>gdp_for_serv</v>
          </cell>
          <cell r="D590">
            <v>1.414799690246582</v>
          </cell>
        </row>
        <row r="591">
          <cell r="A591" t="str">
            <v>CHL</v>
          </cell>
          <cell r="B591">
            <v>2015</v>
          </cell>
          <cell r="C591" t="str">
            <v>gdp_inf_agri</v>
          </cell>
          <cell r="D591">
            <v>3.1424129009246831</v>
          </cell>
        </row>
        <row r="592">
          <cell r="A592" t="str">
            <v>CHL</v>
          </cell>
          <cell r="B592">
            <v>2015</v>
          </cell>
          <cell r="C592" t="str">
            <v>gdp_inf_ind</v>
          </cell>
          <cell r="D592">
            <v>4.1578865051269531</v>
          </cell>
        </row>
        <row r="593">
          <cell r="A593" t="str">
            <v>CHL</v>
          </cell>
          <cell r="B593">
            <v>2015</v>
          </cell>
          <cell r="C593" t="str">
            <v>gdp_inf_serv</v>
          </cell>
          <cell r="D593">
            <v>1.963542580604553</v>
          </cell>
        </row>
        <row r="594">
          <cell r="A594" t="str">
            <v>CHL</v>
          </cell>
          <cell r="B594">
            <v>2015</v>
          </cell>
          <cell r="C594" t="str">
            <v>prod_for_agri</v>
          </cell>
          <cell r="D594">
            <v>-1.815413236618042</v>
          </cell>
        </row>
        <row r="595">
          <cell r="A595" t="str">
            <v>CHL</v>
          </cell>
          <cell r="B595">
            <v>2015</v>
          </cell>
          <cell r="C595" t="str">
            <v>prod_for_ind</v>
          </cell>
          <cell r="D595">
            <v>0.62521600723266602</v>
          </cell>
        </row>
        <row r="596">
          <cell r="A596" t="str">
            <v>CHL</v>
          </cell>
          <cell r="B596">
            <v>2015</v>
          </cell>
          <cell r="C596" t="str">
            <v>prod_for_serv</v>
          </cell>
          <cell r="D596">
            <v>0.46709629893302917</v>
          </cell>
        </row>
        <row r="597">
          <cell r="A597" t="str">
            <v>CHL</v>
          </cell>
          <cell r="B597">
            <v>2015</v>
          </cell>
          <cell r="C597" t="str">
            <v>prod_inf_agri</v>
          </cell>
          <cell r="D597">
            <v>-1.36315906047821</v>
          </cell>
        </row>
        <row r="598">
          <cell r="A598" t="str">
            <v>CHL</v>
          </cell>
          <cell r="B598">
            <v>2015</v>
          </cell>
          <cell r="C598" t="str">
            <v>prod_inf_ind</v>
          </cell>
          <cell r="D598">
            <v>-1.725439071655273</v>
          </cell>
        </row>
        <row r="599">
          <cell r="A599" t="str">
            <v>CHL</v>
          </cell>
          <cell r="B599">
            <v>2015</v>
          </cell>
          <cell r="C599" t="str">
            <v>prod_inf_serv</v>
          </cell>
          <cell r="D599">
            <v>-3.6285922527313228</v>
          </cell>
        </row>
        <row r="600">
          <cell r="A600" t="str">
            <v>CHL</v>
          </cell>
          <cell r="B600">
            <v>2017</v>
          </cell>
          <cell r="C600" t="str">
            <v>gdp_activity</v>
          </cell>
          <cell r="D600">
            <v>1.6260751485824581</v>
          </cell>
        </row>
        <row r="601">
          <cell r="A601" t="str">
            <v>CHL</v>
          </cell>
          <cell r="B601">
            <v>2017</v>
          </cell>
          <cell r="C601" t="str">
            <v>gdp_for_agri</v>
          </cell>
          <cell r="D601">
            <v>-1.395819894969463E-2</v>
          </cell>
        </row>
        <row r="602">
          <cell r="A602" t="str">
            <v>CHL</v>
          </cell>
          <cell r="B602">
            <v>2017</v>
          </cell>
          <cell r="C602" t="str">
            <v>gdp_for_ind</v>
          </cell>
          <cell r="D602">
            <v>2.0161583423614502</v>
          </cell>
        </row>
        <row r="603">
          <cell r="A603" t="str">
            <v>CHL</v>
          </cell>
          <cell r="B603">
            <v>2017</v>
          </cell>
          <cell r="C603" t="str">
            <v>gdp_for_serv</v>
          </cell>
          <cell r="D603">
            <v>1.128720164299011</v>
          </cell>
        </row>
        <row r="604">
          <cell r="A604" t="str">
            <v>CHL</v>
          </cell>
          <cell r="B604">
            <v>2017</v>
          </cell>
          <cell r="C604" t="str">
            <v>gdp_inf_agri</v>
          </cell>
          <cell r="D604">
            <v>-0.38904684782028198</v>
          </cell>
        </row>
        <row r="605">
          <cell r="A605" t="str">
            <v>CHL</v>
          </cell>
          <cell r="B605">
            <v>2017</v>
          </cell>
          <cell r="C605" t="str">
            <v>gdp_inf_ind</v>
          </cell>
          <cell r="D605">
            <v>-1.8499759435653691</v>
          </cell>
        </row>
        <row r="606">
          <cell r="A606" t="str">
            <v>CHL</v>
          </cell>
          <cell r="B606">
            <v>2017</v>
          </cell>
          <cell r="C606" t="str">
            <v>gdp_inf_serv</v>
          </cell>
          <cell r="D606">
            <v>1.332740306854248</v>
          </cell>
        </row>
        <row r="607">
          <cell r="A607" t="str">
            <v>CHL</v>
          </cell>
          <cell r="B607">
            <v>2017</v>
          </cell>
          <cell r="C607" t="str">
            <v>prod_for_agri</v>
          </cell>
          <cell r="D607">
            <v>4.1249401867389679E-2</v>
          </cell>
        </row>
        <row r="608">
          <cell r="A608" t="str">
            <v>CHL</v>
          </cell>
          <cell r="B608">
            <v>2017</v>
          </cell>
          <cell r="C608" t="str">
            <v>prod_for_ind</v>
          </cell>
          <cell r="D608">
            <v>21.063962936401371</v>
          </cell>
        </row>
        <row r="609">
          <cell r="A609" t="str">
            <v>CHL</v>
          </cell>
          <cell r="B609">
            <v>2017</v>
          </cell>
          <cell r="C609" t="str">
            <v>prod_for_serv</v>
          </cell>
          <cell r="D609">
            <v>-9.5070705413818359</v>
          </cell>
        </row>
        <row r="610">
          <cell r="A610" t="str">
            <v>CHL</v>
          </cell>
          <cell r="B610">
            <v>2017</v>
          </cell>
          <cell r="C610" t="str">
            <v>prod_inf_agri</v>
          </cell>
          <cell r="D610">
            <v>0.13773919641971591</v>
          </cell>
        </row>
        <row r="611">
          <cell r="A611" t="str">
            <v>CHL</v>
          </cell>
          <cell r="B611">
            <v>2017</v>
          </cell>
          <cell r="C611" t="str">
            <v>prod_inf_ind</v>
          </cell>
          <cell r="D611">
            <v>105.7679138183594</v>
          </cell>
        </row>
        <row r="612">
          <cell r="A612" t="str">
            <v>CHL</v>
          </cell>
          <cell r="B612">
            <v>2017</v>
          </cell>
          <cell r="C612" t="str">
            <v>prod_inf_serv</v>
          </cell>
          <cell r="D612">
            <v>-7.7938704490661621</v>
          </cell>
        </row>
        <row r="613">
          <cell r="A613" t="str">
            <v>CHL</v>
          </cell>
          <cell r="B613">
            <v>2020</v>
          </cell>
          <cell r="C613" t="str">
            <v>gdp_activity</v>
          </cell>
          <cell r="D613">
            <v>-0.66437608003616333</v>
          </cell>
        </row>
        <row r="614">
          <cell r="A614" t="str">
            <v>CHL</v>
          </cell>
          <cell r="B614">
            <v>2020</v>
          </cell>
          <cell r="C614" t="str">
            <v>gdp_for_agri</v>
          </cell>
          <cell r="D614">
            <v>-21.98627853393555</v>
          </cell>
        </row>
        <row r="615">
          <cell r="A615" t="str">
            <v>CHL</v>
          </cell>
          <cell r="B615">
            <v>2020</v>
          </cell>
          <cell r="C615" t="str">
            <v>gdp_for_ind</v>
          </cell>
          <cell r="D615">
            <v>-8.8508987426757813</v>
          </cell>
        </row>
        <row r="616">
          <cell r="A616" t="str">
            <v>CHL</v>
          </cell>
          <cell r="B616">
            <v>2020</v>
          </cell>
          <cell r="C616" t="str">
            <v>gdp_for_serv</v>
          </cell>
          <cell r="D616">
            <v>0.66375291347503662</v>
          </cell>
        </row>
        <row r="617">
          <cell r="A617" t="str">
            <v>CHL</v>
          </cell>
          <cell r="B617">
            <v>2020</v>
          </cell>
          <cell r="C617" t="str">
            <v>gdp_inf_agri</v>
          </cell>
          <cell r="D617">
            <v>-73.960487365722656</v>
          </cell>
        </row>
        <row r="618">
          <cell r="A618" t="str">
            <v>CHL</v>
          </cell>
          <cell r="B618">
            <v>2020</v>
          </cell>
          <cell r="C618" t="str">
            <v>gdp_inf_ind</v>
          </cell>
          <cell r="D618">
            <v>-17.23793792724609</v>
          </cell>
        </row>
        <row r="619">
          <cell r="A619" t="str">
            <v>CHL</v>
          </cell>
          <cell r="B619">
            <v>2020</v>
          </cell>
          <cell r="C619" t="str">
            <v>gdp_inf_serv</v>
          </cell>
          <cell r="D619">
            <v>8.4313192367553711</v>
          </cell>
        </row>
        <row r="620">
          <cell r="A620" t="str">
            <v>CHL</v>
          </cell>
          <cell r="B620">
            <v>2020</v>
          </cell>
          <cell r="C620" t="str">
            <v>prod_for_agri</v>
          </cell>
          <cell r="D620">
            <v>0.99461323022842407</v>
          </cell>
        </row>
        <row r="621">
          <cell r="A621" t="str">
            <v>CHL</v>
          </cell>
          <cell r="B621">
            <v>2020</v>
          </cell>
          <cell r="C621" t="str">
            <v>prod_for_ind</v>
          </cell>
          <cell r="D621">
            <v>1.464232709258795E-2</v>
          </cell>
        </row>
        <row r="622">
          <cell r="A622" t="str">
            <v>CHL</v>
          </cell>
          <cell r="B622">
            <v>2020</v>
          </cell>
          <cell r="C622" t="str">
            <v>prod_for_serv</v>
          </cell>
          <cell r="D622">
            <v>0.301656574010849</v>
          </cell>
        </row>
        <row r="623">
          <cell r="A623" t="str">
            <v>CHL</v>
          </cell>
          <cell r="B623">
            <v>2020</v>
          </cell>
          <cell r="C623" t="str">
            <v>prod_inf_agri</v>
          </cell>
          <cell r="D623">
            <v>-0.70310723781585693</v>
          </cell>
        </row>
        <row r="624">
          <cell r="A624" t="str">
            <v>CHL</v>
          </cell>
          <cell r="B624">
            <v>2020</v>
          </cell>
          <cell r="C624" t="str">
            <v>prod_inf_ind</v>
          </cell>
          <cell r="D624">
            <v>-2.292987585067749</v>
          </cell>
        </row>
        <row r="625">
          <cell r="A625" t="str">
            <v>CHL</v>
          </cell>
          <cell r="B625">
            <v>2020</v>
          </cell>
          <cell r="C625" t="str">
            <v>prod_inf_serv</v>
          </cell>
          <cell r="D625">
            <v>-3.7763738632202148</v>
          </cell>
        </row>
        <row r="626">
          <cell r="A626" t="str">
            <v>CHL</v>
          </cell>
          <cell r="B626">
            <v>2022</v>
          </cell>
          <cell r="C626" t="str">
            <v>gdp_activity</v>
          </cell>
          <cell r="D626">
            <v>0.45973801612853998</v>
          </cell>
        </row>
        <row r="627">
          <cell r="A627" t="str">
            <v>CHL</v>
          </cell>
          <cell r="B627">
            <v>2022</v>
          </cell>
          <cell r="C627" t="str">
            <v>gdp_for_agri</v>
          </cell>
          <cell r="D627">
            <v>-0.87489205598831177</v>
          </cell>
        </row>
        <row r="628">
          <cell r="A628" t="str">
            <v>CHL</v>
          </cell>
          <cell r="B628">
            <v>2022</v>
          </cell>
          <cell r="C628" t="str">
            <v>gdp_for_ind</v>
          </cell>
          <cell r="D628">
            <v>5.6554622650146484</v>
          </cell>
        </row>
        <row r="629">
          <cell r="A629" t="str">
            <v>CHL</v>
          </cell>
          <cell r="B629">
            <v>2022</v>
          </cell>
          <cell r="C629" t="str">
            <v>gdp_for_serv</v>
          </cell>
          <cell r="D629">
            <v>0.66800779104232788</v>
          </cell>
        </row>
        <row r="630">
          <cell r="A630" t="str">
            <v>CHL</v>
          </cell>
          <cell r="B630">
            <v>2022</v>
          </cell>
          <cell r="C630" t="str">
            <v>gdp_inf_agri</v>
          </cell>
          <cell r="D630">
            <v>4.5557713508605957</v>
          </cell>
        </row>
        <row r="631">
          <cell r="A631" t="str">
            <v>CHL</v>
          </cell>
          <cell r="B631">
            <v>2022</v>
          </cell>
          <cell r="C631" t="str">
            <v>gdp_inf_ind</v>
          </cell>
          <cell r="D631">
            <v>11.389665603637701</v>
          </cell>
        </row>
        <row r="632">
          <cell r="A632" t="str">
            <v>CHL</v>
          </cell>
          <cell r="B632">
            <v>2022</v>
          </cell>
          <cell r="C632" t="str">
            <v>gdp_inf_serv</v>
          </cell>
          <cell r="D632">
            <v>2.3101959228515629</v>
          </cell>
        </row>
        <row r="633">
          <cell r="A633" t="str">
            <v>CHL</v>
          </cell>
          <cell r="B633">
            <v>2022</v>
          </cell>
          <cell r="C633" t="str">
            <v>prod_for_agri</v>
          </cell>
          <cell r="D633">
            <v>-5.1646347045898438</v>
          </cell>
        </row>
        <row r="634">
          <cell r="A634" t="str">
            <v>CHL</v>
          </cell>
          <cell r="B634">
            <v>2022</v>
          </cell>
          <cell r="C634" t="str">
            <v>prod_for_ind</v>
          </cell>
          <cell r="D634">
            <v>-0.75505399703979492</v>
          </cell>
        </row>
        <row r="635">
          <cell r="A635" t="str">
            <v>CHL</v>
          </cell>
          <cell r="B635">
            <v>2022</v>
          </cell>
          <cell r="C635" t="str">
            <v>prod_for_serv</v>
          </cell>
          <cell r="D635">
            <v>-7.5353193283081046</v>
          </cell>
        </row>
        <row r="636">
          <cell r="A636" t="str">
            <v>CHL</v>
          </cell>
          <cell r="B636">
            <v>2022</v>
          </cell>
          <cell r="C636" t="str">
            <v>prod_inf_agri</v>
          </cell>
          <cell r="D636">
            <v>59.116844177246087</v>
          </cell>
        </row>
        <row r="637">
          <cell r="A637" t="str">
            <v>CHL</v>
          </cell>
          <cell r="B637">
            <v>2022</v>
          </cell>
          <cell r="C637" t="str">
            <v>prod_inf_ind</v>
          </cell>
          <cell r="D637">
            <v>-1.414631843566895</v>
          </cell>
        </row>
        <row r="638">
          <cell r="A638" t="str">
            <v>CHL</v>
          </cell>
          <cell r="B638">
            <v>2022</v>
          </cell>
          <cell r="C638" t="str">
            <v>prod_inf_serv</v>
          </cell>
          <cell r="D638">
            <v>-33.160293579101563</v>
          </cell>
        </row>
        <row r="639">
          <cell r="A639" t="str">
            <v>COL</v>
          </cell>
          <cell r="B639">
            <v>2009</v>
          </cell>
          <cell r="C639" t="str">
            <v>gdp_activity</v>
          </cell>
          <cell r="D639">
            <v>6.3731670379638672</v>
          </cell>
        </row>
        <row r="640">
          <cell r="A640" t="str">
            <v>COL</v>
          </cell>
          <cell r="B640">
            <v>2009</v>
          </cell>
          <cell r="C640" t="str">
            <v>gdp_for_agri</v>
          </cell>
          <cell r="D640">
            <v>2.3837490081787109</v>
          </cell>
        </row>
        <row r="641">
          <cell r="A641" t="str">
            <v>COL</v>
          </cell>
          <cell r="B641">
            <v>2009</v>
          </cell>
          <cell r="C641" t="str">
            <v>gdp_for_ind</v>
          </cell>
          <cell r="D641">
            <v>-7.0973612368106842E-2</v>
          </cell>
        </row>
        <row r="642">
          <cell r="A642" t="str">
            <v>COL</v>
          </cell>
          <cell r="B642">
            <v>2009</v>
          </cell>
          <cell r="C642" t="str">
            <v>gdp_for_serv</v>
          </cell>
          <cell r="D642">
            <v>2.450750589370728</v>
          </cell>
        </row>
        <row r="643">
          <cell r="A643" t="str">
            <v>COL</v>
          </cell>
          <cell r="B643">
            <v>2009</v>
          </cell>
          <cell r="C643" t="str">
            <v>gdp_inf_agri</v>
          </cell>
          <cell r="D643">
            <v>-55.867759704589837</v>
          </cell>
        </row>
        <row r="644">
          <cell r="A644" t="str">
            <v>COL</v>
          </cell>
          <cell r="B644">
            <v>2009</v>
          </cell>
          <cell r="C644" t="str">
            <v>gdp_inf_ind</v>
          </cell>
          <cell r="D644">
            <v>8.8364601135253906</v>
          </cell>
        </row>
        <row r="645">
          <cell r="A645" t="str">
            <v>COL</v>
          </cell>
          <cell r="B645">
            <v>2009</v>
          </cell>
          <cell r="C645" t="str">
            <v>gdp_inf_serv</v>
          </cell>
          <cell r="D645">
            <v>3.709929227828979</v>
          </cell>
        </row>
        <row r="646">
          <cell r="A646" t="str">
            <v>COL</v>
          </cell>
          <cell r="B646">
            <v>2009</v>
          </cell>
          <cell r="C646" t="str">
            <v>prod_for_agri</v>
          </cell>
          <cell r="D646">
            <v>0.49756956100463873</v>
          </cell>
        </row>
        <row r="647">
          <cell r="A647" t="str">
            <v>COL</v>
          </cell>
          <cell r="B647">
            <v>2009</v>
          </cell>
          <cell r="C647" t="str">
            <v>prod_for_ind</v>
          </cell>
          <cell r="D647">
            <v>2.3319995030760769E-2</v>
          </cell>
        </row>
        <row r="648">
          <cell r="A648" t="str">
            <v>COL</v>
          </cell>
          <cell r="B648">
            <v>2009</v>
          </cell>
          <cell r="C648" t="str">
            <v>prod_for_serv</v>
          </cell>
          <cell r="D648">
            <v>-0.75323224067687988</v>
          </cell>
        </row>
        <row r="649">
          <cell r="A649" t="str">
            <v>COL</v>
          </cell>
          <cell r="B649">
            <v>2009</v>
          </cell>
          <cell r="C649" t="str">
            <v>prod_inf_agri</v>
          </cell>
          <cell r="D649">
            <v>0.28195279836654658</v>
          </cell>
        </row>
        <row r="650">
          <cell r="A650" t="str">
            <v>COL</v>
          </cell>
          <cell r="B650">
            <v>2009</v>
          </cell>
          <cell r="C650" t="str">
            <v>prod_inf_ind</v>
          </cell>
          <cell r="D650">
            <v>-0.15745289623737341</v>
          </cell>
        </row>
        <row r="651">
          <cell r="A651" t="str">
            <v>COL</v>
          </cell>
          <cell r="B651">
            <v>2009</v>
          </cell>
          <cell r="C651" t="str">
            <v>prod_inf_serv</v>
          </cell>
          <cell r="D651">
            <v>0.9835851788520813</v>
          </cell>
        </row>
        <row r="652">
          <cell r="A652" t="str">
            <v>COL</v>
          </cell>
          <cell r="B652">
            <v>2010</v>
          </cell>
          <cell r="C652" t="str">
            <v>gdp_activity</v>
          </cell>
          <cell r="D652">
            <v>0.8252556324005127</v>
          </cell>
        </row>
        <row r="653">
          <cell r="A653" t="str">
            <v>COL</v>
          </cell>
          <cell r="B653">
            <v>2010</v>
          </cell>
          <cell r="C653" t="str">
            <v>gdp_for_agri</v>
          </cell>
          <cell r="D653">
            <v>49.623458862304688</v>
          </cell>
        </row>
        <row r="654">
          <cell r="A654" t="str">
            <v>COL</v>
          </cell>
          <cell r="B654">
            <v>2010</v>
          </cell>
          <cell r="C654" t="str">
            <v>gdp_for_ind</v>
          </cell>
          <cell r="D654">
            <v>1.1936101913452151</v>
          </cell>
        </row>
        <row r="655">
          <cell r="A655" t="str">
            <v>COL</v>
          </cell>
          <cell r="B655">
            <v>2010</v>
          </cell>
          <cell r="C655" t="str">
            <v>gdp_for_serv</v>
          </cell>
          <cell r="D655">
            <v>0.60974043607711792</v>
          </cell>
        </row>
        <row r="656">
          <cell r="A656" t="str">
            <v>COL</v>
          </cell>
          <cell r="B656">
            <v>2010</v>
          </cell>
          <cell r="C656" t="str">
            <v>gdp_inf_agri</v>
          </cell>
          <cell r="D656">
            <v>7.7396554946899414</v>
          </cell>
        </row>
        <row r="657">
          <cell r="A657" t="str">
            <v>COL</v>
          </cell>
          <cell r="B657">
            <v>2010</v>
          </cell>
          <cell r="C657" t="str">
            <v>gdp_inf_ind</v>
          </cell>
          <cell r="D657">
            <v>1.3119480609893801</v>
          </cell>
        </row>
        <row r="658">
          <cell r="A658" t="str">
            <v>COL</v>
          </cell>
          <cell r="B658">
            <v>2010</v>
          </cell>
          <cell r="C658" t="str">
            <v>gdp_inf_serv</v>
          </cell>
          <cell r="D658">
            <v>0.89558547735214233</v>
          </cell>
        </row>
        <row r="659">
          <cell r="A659" t="str">
            <v>COL</v>
          </cell>
          <cell r="B659">
            <v>2010</v>
          </cell>
          <cell r="C659" t="str">
            <v>prod_for_agri</v>
          </cell>
          <cell r="D659">
            <v>-3.7674391269683838</v>
          </cell>
        </row>
        <row r="660">
          <cell r="A660" t="str">
            <v>COL</v>
          </cell>
          <cell r="B660">
            <v>2010</v>
          </cell>
          <cell r="C660" t="str">
            <v>prod_for_ind</v>
          </cell>
          <cell r="D660">
            <v>-11.415003776550289</v>
          </cell>
        </row>
        <row r="661">
          <cell r="A661" t="str">
            <v>COL</v>
          </cell>
          <cell r="B661">
            <v>2010</v>
          </cell>
          <cell r="C661" t="str">
            <v>prod_for_serv</v>
          </cell>
          <cell r="D661">
            <v>4.5479621887207031</v>
          </cell>
        </row>
        <row r="662">
          <cell r="A662" t="str">
            <v>COL</v>
          </cell>
          <cell r="B662">
            <v>2010</v>
          </cell>
          <cell r="C662" t="str">
            <v>prod_inf_agri</v>
          </cell>
          <cell r="D662">
            <v>-0.39286026358604431</v>
          </cell>
        </row>
        <row r="663">
          <cell r="A663" t="str">
            <v>COL</v>
          </cell>
          <cell r="B663">
            <v>2010</v>
          </cell>
          <cell r="C663" t="str">
            <v>prod_inf_ind</v>
          </cell>
          <cell r="D663">
            <v>-1.0137931108474729</v>
          </cell>
        </row>
        <row r="664">
          <cell r="A664" t="str">
            <v>COL</v>
          </cell>
          <cell r="B664">
            <v>2010</v>
          </cell>
          <cell r="C664" t="str">
            <v>prod_inf_serv</v>
          </cell>
          <cell r="D664">
            <v>1.001621007919312</v>
          </cell>
        </row>
        <row r="665">
          <cell r="A665" t="str">
            <v>COL</v>
          </cell>
          <cell r="B665">
            <v>2011</v>
          </cell>
          <cell r="C665" t="str">
            <v>gdp_activity</v>
          </cell>
          <cell r="D665">
            <v>0.45717403292655939</v>
          </cell>
        </row>
        <row r="666">
          <cell r="A666" t="str">
            <v>COL</v>
          </cell>
          <cell r="B666">
            <v>2011</v>
          </cell>
          <cell r="C666" t="str">
            <v>gdp_for_agri</v>
          </cell>
          <cell r="D666">
            <v>0.12382990121841431</v>
          </cell>
        </row>
        <row r="667">
          <cell r="A667" t="str">
            <v>COL</v>
          </cell>
          <cell r="B667">
            <v>2011</v>
          </cell>
          <cell r="C667" t="str">
            <v>gdp_for_ind</v>
          </cell>
          <cell r="D667">
            <v>1.5328875780105591</v>
          </cell>
        </row>
        <row r="668">
          <cell r="A668" t="str">
            <v>COL</v>
          </cell>
          <cell r="B668">
            <v>2011</v>
          </cell>
          <cell r="C668" t="str">
            <v>gdp_for_serv</v>
          </cell>
          <cell r="D668">
            <v>0.54654127359390259</v>
          </cell>
        </row>
        <row r="669">
          <cell r="A669" t="str">
            <v>COL</v>
          </cell>
          <cell r="B669">
            <v>2011</v>
          </cell>
          <cell r="C669" t="str">
            <v>gdp_inf_agri</v>
          </cell>
          <cell r="D669">
            <v>1.252556681632996</v>
          </cell>
        </row>
        <row r="670">
          <cell r="A670" t="str">
            <v>COL</v>
          </cell>
          <cell r="B670">
            <v>2011</v>
          </cell>
          <cell r="C670" t="str">
            <v>gdp_inf_ind</v>
          </cell>
          <cell r="D670">
            <v>0.80218237638473511</v>
          </cell>
        </row>
        <row r="671">
          <cell r="A671" t="str">
            <v>COL</v>
          </cell>
          <cell r="B671">
            <v>2011</v>
          </cell>
          <cell r="C671" t="str">
            <v>gdp_inf_serv</v>
          </cell>
          <cell r="D671">
            <v>0.5769113302230835</v>
          </cell>
        </row>
        <row r="672">
          <cell r="A672" t="str">
            <v>COL</v>
          </cell>
          <cell r="B672">
            <v>2011</v>
          </cell>
          <cell r="C672" t="str">
            <v>prod_for_agri</v>
          </cell>
          <cell r="D672">
            <v>22.869050979614261</v>
          </cell>
        </row>
        <row r="673">
          <cell r="A673" t="str">
            <v>COL</v>
          </cell>
          <cell r="B673">
            <v>2011</v>
          </cell>
          <cell r="C673" t="str">
            <v>prod_for_ind</v>
          </cell>
          <cell r="D673">
            <v>-7.6018819808959961</v>
          </cell>
        </row>
        <row r="674">
          <cell r="A674" t="str">
            <v>COL</v>
          </cell>
          <cell r="B674">
            <v>2011</v>
          </cell>
          <cell r="C674" t="str">
            <v>prod_for_serv</v>
          </cell>
          <cell r="D674">
            <v>-0.43155708909034729</v>
          </cell>
        </row>
        <row r="675">
          <cell r="A675" t="str">
            <v>COL</v>
          </cell>
          <cell r="B675">
            <v>2011</v>
          </cell>
          <cell r="C675" t="str">
            <v>prod_inf_agri</v>
          </cell>
          <cell r="D675">
            <v>-9.3214473724365234</v>
          </cell>
        </row>
        <row r="676">
          <cell r="A676" t="str">
            <v>COL</v>
          </cell>
          <cell r="B676">
            <v>2011</v>
          </cell>
          <cell r="C676" t="str">
            <v>prod_inf_ind</v>
          </cell>
          <cell r="D676">
            <v>-6.0995626449584961</v>
          </cell>
        </row>
        <row r="677">
          <cell r="A677" t="str">
            <v>COL</v>
          </cell>
          <cell r="B677">
            <v>2011</v>
          </cell>
          <cell r="C677" t="str">
            <v>prod_inf_serv</v>
          </cell>
          <cell r="D677">
            <v>0.92365866899490356</v>
          </cell>
        </row>
        <row r="678">
          <cell r="A678" t="str">
            <v>COL</v>
          </cell>
          <cell r="B678">
            <v>2012</v>
          </cell>
          <cell r="C678" t="str">
            <v>gdp_activity</v>
          </cell>
          <cell r="D678">
            <v>0.75880777835845947</v>
          </cell>
        </row>
        <row r="679">
          <cell r="A679" t="str">
            <v>COL</v>
          </cell>
          <cell r="B679">
            <v>2012</v>
          </cell>
          <cell r="C679" t="str">
            <v>gdp_for_agri</v>
          </cell>
          <cell r="D679">
            <v>-0.94854080677032471</v>
          </cell>
        </row>
        <row r="680">
          <cell r="A680" t="str">
            <v>COL</v>
          </cell>
          <cell r="B680">
            <v>2012</v>
          </cell>
          <cell r="C680" t="str">
            <v>gdp_for_ind</v>
          </cell>
          <cell r="D680">
            <v>1.485556840896606</v>
          </cell>
        </row>
        <row r="681">
          <cell r="A681" t="str">
            <v>COL</v>
          </cell>
          <cell r="B681">
            <v>2012</v>
          </cell>
          <cell r="C681" t="str">
            <v>gdp_for_serv</v>
          </cell>
          <cell r="D681">
            <v>1.819033622741699</v>
          </cell>
        </row>
        <row r="682">
          <cell r="A682" t="str">
            <v>COL</v>
          </cell>
          <cell r="B682">
            <v>2012</v>
          </cell>
          <cell r="C682" t="str">
            <v>gdp_inf_agri</v>
          </cell>
          <cell r="D682">
            <v>-0.1345452815294266</v>
          </cell>
        </row>
        <row r="683">
          <cell r="A683" t="str">
            <v>COL</v>
          </cell>
          <cell r="B683">
            <v>2012</v>
          </cell>
          <cell r="C683" t="str">
            <v>gdp_inf_ind</v>
          </cell>
          <cell r="D683">
            <v>0.85624849796295166</v>
          </cell>
        </row>
        <row r="684">
          <cell r="A684" t="str">
            <v>COL</v>
          </cell>
          <cell r="B684">
            <v>2012</v>
          </cell>
          <cell r="C684" t="str">
            <v>gdp_inf_serv</v>
          </cell>
          <cell r="D684">
            <v>0.53374171257019043</v>
          </cell>
        </row>
        <row r="685">
          <cell r="A685" t="str">
            <v>COL</v>
          </cell>
          <cell r="B685">
            <v>2012</v>
          </cell>
          <cell r="C685" t="str">
            <v>prod_for_agri</v>
          </cell>
          <cell r="D685">
            <v>2.6528713703155522</v>
          </cell>
        </row>
        <row r="686">
          <cell r="A686" t="str">
            <v>COL</v>
          </cell>
          <cell r="B686">
            <v>2012</v>
          </cell>
          <cell r="C686" t="str">
            <v>prod_for_ind</v>
          </cell>
          <cell r="D686">
            <v>24.305292129516602</v>
          </cell>
        </row>
        <row r="687">
          <cell r="A687" t="str">
            <v>COL</v>
          </cell>
          <cell r="B687">
            <v>2012</v>
          </cell>
          <cell r="C687" t="str">
            <v>prod_for_serv</v>
          </cell>
          <cell r="D687">
            <v>32.097808837890632</v>
          </cell>
        </row>
        <row r="688">
          <cell r="A688" t="str">
            <v>COL</v>
          </cell>
          <cell r="B688">
            <v>2012</v>
          </cell>
          <cell r="C688" t="str">
            <v>prod_inf_agri</v>
          </cell>
          <cell r="D688">
            <v>-0.67364335060119629</v>
          </cell>
        </row>
        <row r="689">
          <cell r="A689" t="str">
            <v>COL</v>
          </cell>
          <cell r="B689">
            <v>2012</v>
          </cell>
          <cell r="C689" t="str">
            <v>prod_inf_ind</v>
          </cell>
          <cell r="D689">
            <v>3.1482372283935551</v>
          </cell>
        </row>
        <row r="690">
          <cell r="A690" t="str">
            <v>COL</v>
          </cell>
          <cell r="B690">
            <v>2012</v>
          </cell>
          <cell r="C690" t="str">
            <v>prod_inf_serv</v>
          </cell>
          <cell r="D690">
            <v>31.19182205200195</v>
          </cell>
        </row>
        <row r="691">
          <cell r="A691" t="str">
            <v>COL</v>
          </cell>
          <cell r="B691">
            <v>2013</v>
          </cell>
          <cell r="C691" t="str">
            <v>gdp_activity</v>
          </cell>
          <cell r="D691">
            <v>0.2066274285316467</v>
          </cell>
        </row>
        <row r="692">
          <cell r="A692" t="str">
            <v>COL</v>
          </cell>
          <cell r="B692">
            <v>2013</v>
          </cell>
          <cell r="C692" t="str">
            <v>gdp_for_agri</v>
          </cell>
          <cell r="D692">
            <v>0.65087902545928955</v>
          </cell>
        </row>
        <row r="693">
          <cell r="A693" t="str">
            <v>COL</v>
          </cell>
          <cell r="B693">
            <v>2013</v>
          </cell>
          <cell r="C693" t="str">
            <v>gdp_for_ind</v>
          </cell>
          <cell r="D693">
            <v>0.74969679117202759</v>
          </cell>
        </row>
        <row r="694">
          <cell r="A694" t="str">
            <v>COL</v>
          </cell>
          <cell r="B694">
            <v>2013</v>
          </cell>
          <cell r="C694" t="str">
            <v>gdp_for_serv</v>
          </cell>
          <cell r="D694">
            <v>1.5218319892883301</v>
          </cell>
        </row>
        <row r="695">
          <cell r="A695" t="str">
            <v>COL</v>
          </cell>
          <cell r="B695">
            <v>2013</v>
          </cell>
          <cell r="C695" t="str">
            <v>gdp_inf_agri</v>
          </cell>
          <cell r="D695">
            <v>-0.34100350737571722</v>
          </cell>
        </row>
        <row r="696">
          <cell r="A696" t="str">
            <v>COL</v>
          </cell>
          <cell r="B696">
            <v>2013</v>
          </cell>
          <cell r="C696" t="str">
            <v>gdp_inf_ind</v>
          </cell>
          <cell r="D696">
            <v>-1.61263120174408</v>
          </cell>
        </row>
        <row r="697">
          <cell r="A697" t="str">
            <v>COL</v>
          </cell>
          <cell r="B697">
            <v>2013</v>
          </cell>
          <cell r="C697" t="str">
            <v>gdp_inf_serv</v>
          </cell>
          <cell r="D697">
            <v>0.40857765078544622</v>
          </cell>
        </row>
        <row r="698">
          <cell r="A698" t="str">
            <v>COL</v>
          </cell>
          <cell r="B698">
            <v>2013</v>
          </cell>
          <cell r="C698" t="str">
            <v>prod_for_agri</v>
          </cell>
          <cell r="D698">
            <v>-0.21075937151908869</v>
          </cell>
        </row>
        <row r="699">
          <cell r="A699" t="str">
            <v>COL</v>
          </cell>
          <cell r="B699">
            <v>2013</v>
          </cell>
          <cell r="C699" t="str">
            <v>prod_for_ind</v>
          </cell>
          <cell r="D699">
            <v>0.60123103857040405</v>
          </cell>
        </row>
        <row r="700">
          <cell r="A700" t="str">
            <v>COL</v>
          </cell>
          <cell r="B700">
            <v>2013</v>
          </cell>
          <cell r="C700" t="str">
            <v>prod_for_serv</v>
          </cell>
          <cell r="D700">
            <v>3.0517110824584961</v>
          </cell>
        </row>
        <row r="701">
          <cell r="A701" t="str">
            <v>COL</v>
          </cell>
          <cell r="B701">
            <v>2013</v>
          </cell>
          <cell r="C701" t="str">
            <v>prod_inf_agri</v>
          </cell>
          <cell r="D701">
            <v>-3.5724911838769913E-2</v>
          </cell>
        </row>
        <row r="702">
          <cell r="A702" t="str">
            <v>COL</v>
          </cell>
          <cell r="B702">
            <v>2013</v>
          </cell>
          <cell r="C702" t="str">
            <v>prod_inf_ind</v>
          </cell>
          <cell r="D702">
            <v>0.31535440683364868</v>
          </cell>
        </row>
        <row r="703">
          <cell r="A703" t="str">
            <v>COL</v>
          </cell>
          <cell r="B703">
            <v>2013</v>
          </cell>
          <cell r="C703" t="str">
            <v>prod_inf_serv</v>
          </cell>
          <cell r="D703">
            <v>0.57784551382064819</v>
          </cell>
        </row>
        <row r="704">
          <cell r="A704" t="str">
            <v>COL</v>
          </cell>
          <cell r="B704">
            <v>2014</v>
          </cell>
          <cell r="C704" t="str">
            <v>gdp_activity</v>
          </cell>
          <cell r="D704">
            <v>0.38942426443099981</v>
          </cell>
        </row>
        <row r="705">
          <cell r="A705" t="str">
            <v>COL</v>
          </cell>
          <cell r="B705">
            <v>2014</v>
          </cell>
          <cell r="C705" t="str">
            <v>gdp_for_agri</v>
          </cell>
          <cell r="D705">
            <v>0.6760602593421936</v>
          </cell>
        </row>
        <row r="706">
          <cell r="A706" t="str">
            <v>COL</v>
          </cell>
          <cell r="B706">
            <v>2014</v>
          </cell>
          <cell r="C706" t="str">
            <v>gdp_for_ind</v>
          </cell>
          <cell r="D706">
            <v>2.558315515518188</v>
          </cell>
        </row>
        <row r="707">
          <cell r="A707" t="str">
            <v>COL</v>
          </cell>
          <cell r="B707">
            <v>2014</v>
          </cell>
          <cell r="C707" t="str">
            <v>gdp_for_serv</v>
          </cell>
          <cell r="D707">
            <v>1.6962295770645139</v>
          </cell>
        </row>
        <row r="708">
          <cell r="A708" t="str">
            <v>COL</v>
          </cell>
          <cell r="B708">
            <v>2014</v>
          </cell>
          <cell r="C708" t="str">
            <v>gdp_inf_agri</v>
          </cell>
          <cell r="D708">
            <v>-0.78701192140579224</v>
          </cell>
        </row>
        <row r="709">
          <cell r="A709" t="str">
            <v>COL</v>
          </cell>
          <cell r="B709">
            <v>2014</v>
          </cell>
          <cell r="C709" t="str">
            <v>gdp_inf_ind</v>
          </cell>
          <cell r="D709">
            <v>3.0864955857396129E-2</v>
          </cell>
        </row>
        <row r="710">
          <cell r="A710" t="str">
            <v>COL</v>
          </cell>
          <cell r="B710">
            <v>2014</v>
          </cell>
          <cell r="C710" t="str">
            <v>gdp_inf_serv</v>
          </cell>
          <cell r="D710">
            <v>-0.16289423406124109</v>
          </cell>
        </row>
        <row r="711">
          <cell r="A711" t="str">
            <v>COL</v>
          </cell>
          <cell r="B711">
            <v>2014</v>
          </cell>
          <cell r="C711" t="str">
            <v>prod_for_agri</v>
          </cell>
          <cell r="D711">
            <v>0.30658623576164251</v>
          </cell>
        </row>
        <row r="712">
          <cell r="A712" t="str">
            <v>COL</v>
          </cell>
          <cell r="B712">
            <v>2014</v>
          </cell>
          <cell r="C712" t="str">
            <v>prod_for_ind</v>
          </cell>
          <cell r="D712">
            <v>-22.730392456054691</v>
          </cell>
        </row>
        <row r="713">
          <cell r="A713" t="str">
            <v>COL</v>
          </cell>
          <cell r="B713">
            <v>2014</v>
          </cell>
          <cell r="C713" t="str">
            <v>prod_for_serv</v>
          </cell>
          <cell r="D713">
            <v>-9.4437249004840851E-2</v>
          </cell>
        </row>
        <row r="714">
          <cell r="A714" t="str">
            <v>COL</v>
          </cell>
          <cell r="B714">
            <v>2014</v>
          </cell>
          <cell r="C714" t="str">
            <v>prod_inf_agri</v>
          </cell>
          <cell r="D714">
            <v>6.6735811531543732E-2</v>
          </cell>
        </row>
        <row r="715">
          <cell r="A715" t="str">
            <v>COL</v>
          </cell>
          <cell r="B715">
            <v>2014</v>
          </cell>
          <cell r="C715" t="str">
            <v>prod_inf_ind</v>
          </cell>
          <cell r="D715">
            <v>-18.110612869262699</v>
          </cell>
        </row>
        <row r="716">
          <cell r="A716" t="str">
            <v>COL</v>
          </cell>
          <cell r="B716">
            <v>2014</v>
          </cell>
          <cell r="C716" t="str">
            <v>prod_inf_serv</v>
          </cell>
          <cell r="D716">
            <v>0.67603510618209839</v>
          </cell>
        </row>
        <row r="717">
          <cell r="A717" t="str">
            <v>COL</v>
          </cell>
          <cell r="B717">
            <v>2015</v>
          </cell>
          <cell r="C717" t="str">
            <v>gdp_activity</v>
          </cell>
          <cell r="D717">
            <v>0.76133674383163452</v>
          </cell>
        </row>
        <row r="718">
          <cell r="A718" t="str">
            <v>COL</v>
          </cell>
          <cell r="B718">
            <v>2015</v>
          </cell>
          <cell r="C718" t="str">
            <v>gdp_for_agri</v>
          </cell>
          <cell r="D718">
            <v>0.3626849353313446</v>
          </cell>
        </row>
        <row r="719">
          <cell r="A719" t="str">
            <v>COL</v>
          </cell>
          <cell r="B719">
            <v>2015</v>
          </cell>
          <cell r="C719" t="str">
            <v>gdp_for_ind</v>
          </cell>
          <cell r="D719">
            <v>0.29691940546035772</v>
          </cell>
        </row>
        <row r="720">
          <cell r="A720" t="str">
            <v>COL</v>
          </cell>
          <cell r="B720">
            <v>2015</v>
          </cell>
          <cell r="C720" t="str">
            <v>gdp_for_serv</v>
          </cell>
          <cell r="D720">
            <v>1.493027806282043</v>
          </cell>
        </row>
        <row r="721">
          <cell r="A721" t="str">
            <v>COL</v>
          </cell>
          <cell r="B721">
            <v>2015</v>
          </cell>
          <cell r="C721" t="str">
            <v>gdp_inf_agri</v>
          </cell>
          <cell r="D721">
            <v>0.47256565093994141</v>
          </cell>
        </row>
        <row r="722">
          <cell r="A722" t="str">
            <v>COL</v>
          </cell>
          <cell r="B722">
            <v>2015</v>
          </cell>
          <cell r="C722" t="str">
            <v>gdp_inf_ind</v>
          </cell>
          <cell r="D722">
            <v>1.1861943006515501</v>
          </cell>
        </row>
        <row r="723">
          <cell r="A723" t="str">
            <v>COL</v>
          </cell>
          <cell r="B723">
            <v>2015</v>
          </cell>
          <cell r="C723" t="str">
            <v>gdp_inf_serv</v>
          </cell>
          <cell r="D723">
            <v>0.41675472259521479</v>
          </cell>
        </row>
        <row r="724">
          <cell r="A724" t="str">
            <v>COL</v>
          </cell>
          <cell r="B724">
            <v>2015</v>
          </cell>
          <cell r="C724" t="str">
            <v>prod_for_agri</v>
          </cell>
          <cell r="D724">
            <v>-0.26832571625709528</v>
          </cell>
        </row>
        <row r="725">
          <cell r="A725" t="str">
            <v>COL</v>
          </cell>
          <cell r="B725">
            <v>2015</v>
          </cell>
          <cell r="C725" t="str">
            <v>prod_for_ind</v>
          </cell>
          <cell r="D725">
            <v>-17.102741241455082</v>
          </cell>
        </row>
        <row r="726">
          <cell r="A726" t="str">
            <v>COL</v>
          </cell>
          <cell r="B726">
            <v>2015</v>
          </cell>
          <cell r="C726" t="str">
            <v>prod_for_serv</v>
          </cell>
          <cell r="D726">
            <v>-9.2314853668212891</v>
          </cell>
        </row>
        <row r="727">
          <cell r="A727" t="str">
            <v>COL</v>
          </cell>
          <cell r="B727">
            <v>2015</v>
          </cell>
          <cell r="C727" t="str">
            <v>prod_inf_agri</v>
          </cell>
          <cell r="D727">
            <v>0.47039693593978882</v>
          </cell>
        </row>
        <row r="728">
          <cell r="A728" t="str">
            <v>COL</v>
          </cell>
          <cell r="B728">
            <v>2015</v>
          </cell>
          <cell r="C728" t="str">
            <v>prod_inf_ind</v>
          </cell>
          <cell r="D728">
            <v>0.50494557619094849</v>
          </cell>
        </row>
        <row r="729">
          <cell r="A729" t="str">
            <v>COL</v>
          </cell>
          <cell r="B729">
            <v>2015</v>
          </cell>
          <cell r="C729" t="str">
            <v>prod_inf_serv</v>
          </cell>
          <cell r="D729">
            <v>-7.0057873725891113</v>
          </cell>
        </row>
        <row r="730">
          <cell r="A730" t="str">
            <v>COL</v>
          </cell>
          <cell r="B730">
            <v>2016</v>
          </cell>
          <cell r="C730" t="str">
            <v>gdp_activity</v>
          </cell>
          <cell r="D730">
            <v>0.4466380774974823</v>
          </cell>
        </row>
        <row r="731">
          <cell r="A731" t="str">
            <v>COL</v>
          </cell>
          <cell r="B731">
            <v>2016</v>
          </cell>
          <cell r="C731" t="str">
            <v>gdp_for_agri</v>
          </cell>
          <cell r="D731">
            <v>2.134368896484375</v>
          </cell>
        </row>
        <row r="732">
          <cell r="A732" t="str">
            <v>COL</v>
          </cell>
          <cell r="B732">
            <v>2016</v>
          </cell>
          <cell r="C732" t="str">
            <v>gdp_for_ind</v>
          </cell>
          <cell r="D732">
            <v>1.3125430345535281</v>
          </cell>
        </row>
        <row r="733">
          <cell r="A733" t="str">
            <v>COL</v>
          </cell>
          <cell r="B733">
            <v>2016</v>
          </cell>
          <cell r="C733" t="str">
            <v>gdp_for_serv</v>
          </cell>
          <cell r="D733">
            <v>1.6450716257095339</v>
          </cell>
        </row>
        <row r="734">
          <cell r="A734" t="str">
            <v>COL</v>
          </cell>
          <cell r="B734">
            <v>2016</v>
          </cell>
          <cell r="C734" t="str">
            <v>gdp_inf_agri</v>
          </cell>
          <cell r="D734">
            <v>0.1007485464215279</v>
          </cell>
        </row>
        <row r="735">
          <cell r="A735" t="str">
            <v>COL</v>
          </cell>
          <cell r="B735">
            <v>2016</v>
          </cell>
          <cell r="C735" t="str">
            <v>gdp_inf_ind</v>
          </cell>
          <cell r="D735">
            <v>-2.5207264423370361</v>
          </cell>
        </row>
        <row r="736">
          <cell r="A736" t="str">
            <v>COL</v>
          </cell>
          <cell r="B736">
            <v>2016</v>
          </cell>
          <cell r="C736" t="str">
            <v>gdp_inf_serv</v>
          </cell>
          <cell r="D736">
            <v>-0.30917981266975397</v>
          </cell>
        </row>
        <row r="737">
          <cell r="A737" t="str">
            <v>COL</v>
          </cell>
          <cell r="B737">
            <v>2016</v>
          </cell>
          <cell r="C737" t="str">
            <v>prod_for_agri</v>
          </cell>
          <cell r="D737">
            <v>0.65162616968154907</v>
          </cell>
        </row>
        <row r="738">
          <cell r="A738" t="str">
            <v>COL</v>
          </cell>
          <cell r="B738">
            <v>2016</v>
          </cell>
          <cell r="C738" t="str">
            <v>prod_for_ind</v>
          </cell>
          <cell r="D738">
            <v>-1.6121131181716919</v>
          </cell>
        </row>
        <row r="739">
          <cell r="A739" t="str">
            <v>COL</v>
          </cell>
          <cell r="B739">
            <v>2016</v>
          </cell>
          <cell r="C739" t="str">
            <v>prod_for_serv</v>
          </cell>
          <cell r="D739">
            <v>-2.004298210144043</v>
          </cell>
        </row>
        <row r="740">
          <cell r="A740" t="str">
            <v>COL</v>
          </cell>
          <cell r="B740">
            <v>2016</v>
          </cell>
          <cell r="C740" t="str">
            <v>prod_inf_agri</v>
          </cell>
          <cell r="D740">
            <v>1.673208951950073</v>
          </cell>
        </row>
        <row r="741">
          <cell r="A741" t="str">
            <v>COL</v>
          </cell>
          <cell r="B741">
            <v>2016</v>
          </cell>
          <cell r="C741" t="str">
            <v>prod_inf_ind</v>
          </cell>
          <cell r="D741">
            <v>-0.9414370059967041</v>
          </cell>
        </row>
        <row r="742">
          <cell r="A742" t="str">
            <v>COL</v>
          </cell>
          <cell r="B742">
            <v>2016</v>
          </cell>
          <cell r="C742" t="str">
            <v>prod_inf_serv</v>
          </cell>
          <cell r="D742">
            <v>-2.0236690044403081</v>
          </cell>
        </row>
        <row r="743">
          <cell r="A743" t="str">
            <v>COL</v>
          </cell>
          <cell r="B743">
            <v>2017</v>
          </cell>
          <cell r="C743" t="str">
            <v>gdp_activity</v>
          </cell>
          <cell r="D743">
            <v>0.89264082908630371</v>
          </cell>
        </row>
        <row r="744">
          <cell r="A744" t="str">
            <v>COL</v>
          </cell>
          <cell r="B744">
            <v>2017</v>
          </cell>
          <cell r="C744" t="str">
            <v>gdp_for_agri</v>
          </cell>
          <cell r="D744">
            <v>1.1461553573608401</v>
          </cell>
        </row>
        <row r="745">
          <cell r="A745" t="str">
            <v>COL</v>
          </cell>
          <cell r="B745">
            <v>2017</v>
          </cell>
          <cell r="C745" t="str">
            <v>gdp_for_ind</v>
          </cell>
          <cell r="D745">
            <v>-0.24795401096343991</v>
          </cell>
        </row>
        <row r="746">
          <cell r="A746" t="str">
            <v>COL</v>
          </cell>
          <cell r="B746">
            <v>2017</v>
          </cell>
          <cell r="C746" t="str">
            <v>gdp_for_serv</v>
          </cell>
          <cell r="D746">
            <v>1.1374109983444209</v>
          </cell>
        </row>
        <row r="747">
          <cell r="A747" t="str">
            <v>COL</v>
          </cell>
          <cell r="B747">
            <v>2017</v>
          </cell>
          <cell r="C747" t="str">
            <v>gdp_inf_agri</v>
          </cell>
          <cell r="D747">
            <v>0.67879652976989746</v>
          </cell>
        </row>
        <row r="748">
          <cell r="A748" t="str">
            <v>COL</v>
          </cell>
          <cell r="B748">
            <v>2017</v>
          </cell>
          <cell r="C748" t="str">
            <v>gdp_inf_ind</v>
          </cell>
          <cell r="D748">
            <v>-0.95383089780807495</v>
          </cell>
        </row>
        <row r="749">
          <cell r="A749" t="str">
            <v>COL</v>
          </cell>
          <cell r="B749">
            <v>2017</v>
          </cell>
          <cell r="C749" t="str">
            <v>gdp_inf_serv</v>
          </cell>
          <cell r="D749">
            <v>-0.67092221975326538</v>
          </cell>
        </row>
        <row r="750">
          <cell r="A750" t="str">
            <v>COL</v>
          </cell>
          <cell r="B750">
            <v>2017</v>
          </cell>
          <cell r="C750" t="str">
            <v>prod_for_agri</v>
          </cell>
          <cell r="D750">
            <v>-2.1274788379669189</v>
          </cell>
        </row>
        <row r="751">
          <cell r="A751" t="str">
            <v>COL</v>
          </cell>
          <cell r="B751">
            <v>2017</v>
          </cell>
          <cell r="C751" t="str">
            <v>prod_for_ind</v>
          </cell>
          <cell r="D751">
            <v>-0.1366371363401413</v>
          </cell>
        </row>
        <row r="752">
          <cell r="A752" t="str">
            <v>COL</v>
          </cell>
          <cell r="B752">
            <v>2017</v>
          </cell>
          <cell r="C752" t="str">
            <v>prod_for_serv</v>
          </cell>
          <cell r="D752">
            <v>-0.30161747336387629</v>
          </cell>
        </row>
        <row r="753">
          <cell r="A753" t="str">
            <v>COL</v>
          </cell>
          <cell r="B753">
            <v>2017</v>
          </cell>
          <cell r="C753" t="str">
            <v>prod_inf_agri</v>
          </cell>
          <cell r="D753">
            <v>0.88450008630752563</v>
          </cell>
        </row>
        <row r="754">
          <cell r="A754" t="str">
            <v>COL</v>
          </cell>
          <cell r="B754">
            <v>2017</v>
          </cell>
          <cell r="C754" t="str">
            <v>prod_inf_ind</v>
          </cell>
          <cell r="D754">
            <v>0.47616112232208252</v>
          </cell>
        </row>
        <row r="755">
          <cell r="A755" t="str">
            <v>COL</v>
          </cell>
          <cell r="B755">
            <v>2017</v>
          </cell>
          <cell r="C755" t="str">
            <v>prod_inf_serv</v>
          </cell>
          <cell r="D755">
            <v>0.42129227519035339</v>
          </cell>
        </row>
        <row r="756">
          <cell r="A756" t="str">
            <v>COL</v>
          </cell>
          <cell r="B756">
            <v>2018</v>
          </cell>
          <cell r="C756" t="str">
            <v>gdp_activity</v>
          </cell>
          <cell r="D756">
            <v>0.36879429221153259</v>
          </cell>
        </row>
        <row r="757">
          <cell r="A757" t="str">
            <v>COL</v>
          </cell>
          <cell r="B757">
            <v>2018</v>
          </cell>
          <cell r="C757" t="str">
            <v>gdp_for_agri</v>
          </cell>
          <cell r="D757">
            <v>3.5460505485534668</v>
          </cell>
        </row>
        <row r="758">
          <cell r="A758" t="str">
            <v>COL</v>
          </cell>
          <cell r="B758">
            <v>2018</v>
          </cell>
          <cell r="C758" t="str">
            <v>gdp_for_ind</v>
          </cell>
          <cell r="D758">
            <v>6.0216555595397949</v>
          </cell>
        </row>
        <row r="759">
          <cell r="A759" t="str">
            <v>COL</v>
          </cell>
          <cell r="B759">
            <v>2018</v>
          </cell>
          <cell r="C759" t="str">
            <v>gdp_for_serv</v>
          </cell>
          <cell r="D759">
            <v>1.3402628712356091E-2</v>
          </cell>
        </row>
        <row r="760">
          <cell r="A760" t="str">
            <v>COL</v>
          </cell>
          <cell r="B760">
            <v>2018</v>
          </cell>
          <cell r="C760" t="str">
            <v>gdp_inf_agri</v>
          </cell>
          <cell r="D760">
            <v>0.92240309715270996</v>
          </cell>
        </row>
        <row r="761">
          <cell r="A761" t="str">
            <v>COL</v>
          </cell>
          <cell r="B761">
            <v>2018</v>
          </cell>
          <cell r="C761" t="str">
            <v>gdp_inf_ind</v>
          </cell>
          <cell r="D761">
            <v>14.49762535095215</v>
          </cell>
        </row>
        <row r="762">
          <cell r="A762" t="str">
            <v>COL</v>
          </cell>
          <cell r="B762">
            <v>2018</v>
          </cell>
          <cell r="C762" t="str">
            <v>gdp_inf_serv</v>
          </cell>
          <cell r="D762">
            <v>-0.22607025504112241</v>
          </cell>
        </row>
        <row r="763">
          <cell r="A763" t="str">
            <v>COL</v>
          </cell>
          <cell r="B763">
            <v>2018</v>
          </cell>
          <cell r="C763" t="str">
            <v>prod_for_agri</v>
          </cell>
          <cell r="D763">
            <v>-0.64251106977462769</v>
          </cell>
        </row>
        <row r="764">
          <cell r="A764" t="str">
            <v>COL</v>
          </cell>
          <cell r="B764">
            <v>2018</v>
          </cell>
          <cell r="C764" t="str">
            <v>prod_for_ind</v>
          </cell>
          <cell r="D764">
            <v>-0.8291974663734436</v>
          </cell>
        </row>
        <row r="765">
          <cell r="A765" t="str">
            <v>COL</v>
          </cell>
          <cell r="B765">
            <v>2018</v>
          </cell>
          <cell r="C765" t="str">
            <v>prod_for_serv</v>
          </cell>
          <cell r="D765">
            <v>0.80737316608428955</v>
          </cell>
        </row>
        <row r="766">
          <cell r="A766" t="str">
            <v>COL</v>
          </cell>
          <cell r="B766">
            <v>2018</v>
          </cell>
          <cell r="C766" t="str">
            <v>prod_inf_agri</v>
          </cell>
          <cell r="D766">
            <v>3.062347412109375</v>
          </cell>
        </row>
        <row r="767">
          <cell r="A767" t="str">
            <v>COL</v>
          </cell>
          <cell r="B767">
            <v>2018</v>
          </cell>
          <cell r="C767" t="str">
            <v>prod_inf_ind</v>
          </cell>
          <cell r="D767">
            <v>1.2553514242172239</v>
          </cell>
        </row>
        <row r="768">
          <cell r="A768" t="str">
            <v>COL</v>
          </cell>
          <cell r="B768">
            <v>2018</v>
          </cell>
          <cell r="C768" t="str">
            <v>prod_inf_serv</v>
          </cell>
          <cell r="D768">
            <v>0.33270880579948431</v>
          </cell>
        </row>
        <row r="769">
          <cell r="A769" t="str">
            <v>COL</v>
          </cell>
          <cell r="B769">
            <v>2019</v>
          </cell>
          <cell r="C769" t="str">
            <v>gdp_activity</v>
          </cell>
          <cell r="D769">
            <v>7.0522613823413849E-2</v>
          </cell>
        </row>
        <row r="770">
          <cell r="A770" t="str">
            <v>COL</v>
          </cell>
          <cell r="B770">
            <v>2019</v>
          </cell>
          <cell r="C770" t="str">
            <v>gdp_for_agri</v>
          </cell>
          <cell r="D770">
            <v>-1.1294113397598271</v>
          </cell>
        </row>
        <row r="771">
          <cell r="A771" t="str">
            <v>COL</v>
          </cell>
          <cell r="B771">
            <v>2019</v>
          </cell>
          <cell r="C771" t="str">
            <v>gdp_for_ind</v>
          </cell>
          <cell r="D771">
            <v>16.767965316772461</v>
          </cell>
        </row>
        <row r="772">
          <cell r="A772" t="str">
            <v>COL</v>
          </cell>
          <cell r="B772">
            <v>2019</v>
          </cell>
          <cell r="C772" t="str">
            <v>gdp_for_serv</v>
          </cell>
          <cell r="D772">
            <v>-0.1121651902794838</v>
          </cell>
        </row>
        <row r="773">
          <cell r="A773" t="str">
            <v>COL</v>
          </cell>
          <cell r="B773">
            <v>2019</v>
          </cell>
          <cell r="C773" t="str">
            <v>gdp_inf_agri</v>
          </cell>
          <cell r="D773">
            <v>-1.8317127227783201</v>
          </cell>
        </row>
        <row r="774">
          <cell r="A774" t="str">
            <v>COL</v>
          </cell>
          <cell r="B774">
            <v>2019</v>
          </cell>
          <cell r="C774" t="str">
            <v>gdp_inf_ind</v>
          </cell>
          <cell r="D774">
            <v>-5.3878574371337891</v>
          </cell>
        </row>
        <row r="775">
          <cell r="A775" t="str">
            <v>COL</v>
          </cell>
          <cell r="B775">
            <v>2019</v>
          </cell>
          <cell r="C775" t="str">
            <v>gdp_inf_serv</v>
          </cell>
          <cell r="D775">
            <v>3.7167027592658997E-2</v>
          </cell>
        </row>
        <row r="776">
          <cell r="A776" t="str">
            <v>COL</v>
          </cell>
          <cell r="B776">
            <v>2019</v>
          </cell>
          <cell r="C776" t="str">
            <v>prod_for_agri</v>
          </cell>
          <cell r="D776">
            <v>-2.2818021476268768E-2</v>
          </cell>
        </row>
        <row r="777">
          <cell r="A777" t="str">
            <v>COL</v>
          </cell>
          <cell r="B777">
            <v>2019</v>
          </cell>
          <cell r="C777" t="str">
            <v>prod_for_ind</v>
          </cell>
          <cell r="D777">
            <v>-2.3000297546386719</v>
          </cell>
        </row>
        <row r="778">
          <cell r="A778" t="str">
            <v>COL</v>
          </cell>
          <cell r="B778">
            <v>2019</v>
          </cell>
          <cell r="C778" t="str">
            <v>prod_for_serv</v>
          </cell>
          <cell r="D778">
            <v>0.77241420745849609</v>
          </cell>
        </row>
        <row r="779">
          <cell r="A779" t="str">
            <v>COL</v>
          </cell>
          <cell r="B779">
            <v>2019</v>
          </cell>
          <cell r="C779" t="str">
            <v>prod_inf_agri</v>
          </cell>
          <cell r="D779">
            <v>-0.43384894728660578</v>
          </cell>
        </row>
        <row r="780">
          <cell r="A780" t="str">
            <v>COL</v>
          </cell>
          <cell r="B780">
            <v>2019</v>
          </cell>
          <cell r="C780" t="str">
            <v>prod_inf_ind</v>
          </cell>
          <cell r="D780">
            <v>2.1728239059448242</v>
          </cell>
        </row>
        <row r="781">
          <cell r="A781" t="str">
            <v>COL</v>
          </cell>
          <cell r="B781">
            <v>2019</v>
          </cell>
          <cell r="C781" t="str">
            <v>prod_inf_serv</v>
          </cell>
          <cell r="D781">
            <v>-0.66655856370925903</v>
          </cell>
        </row>
        <row r="782">
          <cell r="A782" t="str">
            <v>COL</v>
          </cell>
          <cell r="B782">
            <v>2020</v>
          </cell>
          <cell r="C782" t="str">
            <v>gdp_activity</v>
          </cell>
          <cell r="D782">
            <v>0.76869654655456543</v>
          </cell>
        </row>
        <row r="783">
          <cell r="A783" t="str">
            <v>COL</v>
          </cell>
          <cell r="B783">
            <v>2020</v>
          </cell>
          <cell r="C783" t="str">
            <v>gdp_for_agri</v>
          </cell>
          <cell r="D783">
            <v>-5.703732967376709</v>
          </cell>
        </row>
        <row r="784">
          <cell r="A784" t="str">
            <v>COL</v>
          </cell>
          <cell r="B784">
            <v>2020</v>
          </cell>
          <cell r="C784" t="str">
            <v>gdp_for_ind</v>
          </cell>
          <cell r="D784">
            <v>0.55901730060577393</v>
          </cell>
        </row>
        <row r="785">
          <cell r="A785" t="str">
            <v>COL</v>
          </cell>
          <cell r="B785">
            <v>2020</v>
          </cell>
          <cell r="C785" t="str">
            <v>gdp_for_serv</v>
          </cell>
          <cell r="D785">
            <v>2.3033571243286128</v>
          </cell>
        </row>
        <row r="786">
          <cell r="A786" t="str">
            <v>COL</v>
          </cell>
          <cell r="B786">
            <v>2020</v>
          </cell>
          <cell r="C786" t="str">
            <v>gdp_inf_agri</v>
          </cell>
          <cell r="D786">
            <v>-2.6107804775238042</v>
          </cell>
        </row>
        <row r="787">
          <cell r="A787" t="str">
            <v>COL</v>
          </cell>
          <cell r="B787">
            <v>2020</v>
          </cell>
          <cell r="C787" t="str">
            <v>gdp_inf_ind</v>
          </cell>
          <cell r="D787">
            <v>0.93707370758056641</v>
          </cell>
        </row>
        <row r="788">
          <cell r="A788" t="str">
            <v>COL</v>
          </cell>
          <cell r="B788">
            <v>2020</v>
          </cell>
          <cell r="C788" t="str">
            <v>gdp_inf_serv</v>
          </cell>
          <cell r="D788">
            <v>2.69849705696106</v>
          </cell>
        </row>
        <row r="789">
          <cell r="A789" t="str">
            <v>COL</v>
          </cell>
          <cell r="B789">
            <v>2020</v>
          </cell>
          <cell r="C789" t="str">
            <v>prod_for_agri</v>
          </cell>
          <cell r="D789">
            <v>0.3286193311214447</v>
          </cell>
        </row>
        <row r="790">
          <cell r="A790" t="str">
            <v>COL</v>
          </cell>
          <cell r="B790">
            <v>2020</v>
          </cell>
          <cell r="C790" t="str">
            <v>prod_for_ind</v>
          </cell>
          <cell r="D790">
            <v>1.4751384258270259</v>
          </cell>
        </row>
        <row r="791">
          <cell r="A791" t="str">
            <v>COL</v>
          </cell>
          <cell r="B791">
            <v>2020</v>
          </cell>
          <cell r="C791" t="str">
            <v>prod_for_serv</v>
          </cell>
          <cell r="D791">
            <v>-0.61934727430343628</v>
          </cell>
        </row>
        <row r="792">
          <cell r="A792" t="str">
            <v>COL</v>
          </cell>
          <cell r="B792">
            <v>2020</v>
          </cell>
          <cell r="C792" t="str">
            <v>prod_inf_agri</v>
          </cell>
          <cell r="D792">
            <v>-0.51388144493103027</v>
          </cell>
        </row>
        <row r="793">
          <cell r="A793" t="str">
            <v>COL</v>
          </cell>
          <cell r="B793">
            <v>2020</v>
          </cell>
          <cell r="C793" t="str">
            <v>prod_inf_ind</v>
          </cell>
          <cell r="D793">
            <v>4.0952548980712891</v>
          </cell>
        </row>
        <row r="794">
          <cell r="A794" t="str">
            <v>COL</v>
          </cell>
          <cell r="B794">
            <v>2020</v>
          </cell>
          <cell r="C794" t="str">
            <v>prod_inf_serv</v>
          </cell>
          <cell r="D794">
            <v>-1.7479760646820071</v>
          </cell>
        </row>
        <row r="795">
          <cell r="A795" t="str">
            <v>COL</v>
          </cell>
          <cell r="B795">
            <v>2021</v>
          </cell>
          <cell r="C795" t="str">
            <v>gdp_activity</v>
          </cell>
          <cell r="D795">
            <v>0.1250412464141846</v>
          </cell>
        </row>
        <row r="796">
          <cell r="A796" t="str">
            <v>COL</v>
          </cell>
          <cell r="B796">
            <v>2021</v>
          </cell>
          <cell r="C796" t="str">
            <v>gdp_for_agri</v>
          </cell>
          <cell r="D796">
            <v>0.49300676584243769</v>
          </cell>
        </row>
        <row r="797">
          <cell r="A797" t="str">
            <v>COL</v>
          </cell>
          <cell r="B797">
            <v>2021</v>
          </cell>
          <cell r="C797" t="str">
            <v>gdp_for_ind</v>
          </cell>
          <cell r="D797">
            <v>-0.32840558886528021</v>
          </cell>
        </row>
        <row r="798">
          <cell r="A798" t="str">
            <v>COL</v>
          </cell>
          <cell r="B798">
            <v>2021</v>
          </cell>
          <cell r="C798" t="str">
            <v>gdp_for_serv</v>
          </cell>
          <cell r="D798">
            <v>0.20328718423843381</v>
          </cell>
        </row>
        <row r="799">
          <cell r="A799" t="str">
            <v>COL</v>
          </cell>
          <cell r="B799">
            <v>2021</v>
          </cell>
          <cell r="C799" t="str">
            <v>gdp_inf_agri</v>
          </cell>
          <cell r="D799">
            <v>-0.27369222044944758</v>
          </cell>
        </row>
        <row r="800">
          <cell r="A800" t="str">
            <v>COL</v>
          </cell>
          <cell r="B800">
            <v>2021</v>
          </cell>
          <cell r="C800" t="str">
            <v>gdp_inf_ind</v>
          </cell>
          <cell r="D800">
            <v>0.87020766735076904</v>
          </cell>
        </row>
        <row r="801">
          <cell r="A801" t="str">
            <v>COL</v>
          </cell>
          <cell r="B801">
            <v>2021</v>
          </cell>
          <cell r="C801" t="str">
            <v>gdp_inf_serv</v>
          </cell>
          <cell r="D801">
            <v>0.61966049671173096</v>
          </cell>
        </row>
        <row r="802">
          <cell r="A802" t="str">
            <v>COL</v>
          </cell>
          <cell r="B802">
            <v>2021</v>
          </cell>
          <cell r="C802" t="str">
            <v>prod_for_agri</v>
          </cell>
          <cell r="D802">
            <v>-4.5030310750007629E-2</v>
          </cell>
        </row>
        <row r="803">
          <cell r="A803" t="str">
            <v>COL</v>
          </cell>
          <cell r="B803">
            <v>2021</v>
          </cell>
          <cell r="C803" t="str">
            <v>prod_for_ind</v>
          </cell>
          <cell r="D803">
            <v>2.0905437469482422</v>
          </cell>
        </row>
        <row r="804">
          <cell r="A804" t="str">
            <v>COL</v>
          </cell>
          <cell r="B804">
            <v>2021</v>
          </cell>
          <cell r="C804" t="str">
            <v>prod_for_serv</v>
          </cell>
          <cell r="D804">
            <v>2.875324010848999</v>
          </cell>
        </row>
        <row r="805">
          <cell r="A805" t="str">
            <v>COL</v>
          </cell>
          <cell r="B805">
            <v>2021</v>
          </cell>
          <cell r="C805" t="str">
            <v>prod_inf_agri</v>
          </cell>
          <cell r="D805">
            <v>1.64344422519207E-2</v>
          </cell>
        </row>
        <row r="806">
          <cell r="A806" t="str">
            <v>COL</v>
          </cell>
          <cell r="B806">
            <v>2021</v>
          </cell>
          <cell r="C806" t="str">
            <v>prod_inf_ind</v>
          </cell>
          <cell r="D806">
            <v>2.6689610481262211</v>
          </cell>
        </row>
        <row r="807">
          <cell r="A807" t="str">
            <v>COL</v>
          </cell>
          <cell r="B807">
            <v>2021</v>
          </cell>
          <cell r="C807" t="str">
            <v>prod_inf_serv</v>
          </cell>
          <cell r="D807">
            <v>2.2307415008544922</v>
          </cell>
        </row>
        <row r="808">
          <cell r="A808" t="str">
            <v>COL</v>
          </cell>
          <cell r="B808">
            <v>2022</v>
          </cell>
          <cell r="C808" t="str">
            <v>gdp_activity</v>
          </cell>
          <cell r="D808">
            <v>0.48387539386749268</v>
          </cell>
        </row>
        <row r="809">
          <cell r="A809" t="str">
            <v>COL</v>
          </cell>
          <cell r="B809">
            <v>2022</v>
          </cell>
          <cell r="C809" t="str">
            <v>gdp_for_agri</v>
          </cell>
          <cell r="D809">
            <v>-9.0890169143676758</v>
          </cell>
        </row>
        <row r="810">
          <cell r="A810" t="str">
            <v>COL</v>
          </cell>
          <cell r="B810">
            <v>2022</v>
          </cell>
          <cell r="C810" t="str">
            <v>gdp_for_ind</v>
          </cell>
          <cell r="D810">
            <v>2.0206470489501949</v>
          </cell>
        </row>
        <row r="811">
          <cell r="A811" t="str">
            <v>COL</v>
          </cell>
          <cell r="B811">
            <v>2022</v>
          </cell>
          <cell r="C811" t="str">
            <v>gdp_for_serv</v>
          </cell>
          <cell r="D811">
            <v>2.8181583881378169</v>
          </cell>
        </row>
        <row r="812">
          <cell r="A812" t="str">
            <v>COL</v>
          </cell>
          <cell r="B812">
            <v>2022</v>
          </cell>
          <cell r="C812" t="str">
            <v>gdp_inf_agri</v>
          </cell>
          <cell r="D812">
            <v>3.0669105052947998</v>
          </cell>
        </row>
        <row r="813">
          <cell r="A813" t="str">
            <v>COL</v>
          </cell>
          <cell r="B813">
            <v>2022</v>
          </cell>
          <cell r="C813" t="str">
            <v>gdp_inf_ind</v>
          </cell>
          <cell r="D813">
            <v>0.82962536811828613</v>
          </cell>
        </row>
        <row r="814">
          <cell r="A814" t="str">
            <v>COL</v>
          </cell>
          <cell r="B814">
            <v>2022</v>
          </cell>
          <cell r="C814" t="str">
            <v>gdp_inf_serv</v>
          </cell>
          <cell r="D814">
            <v>-8.4975637495517731E-2</v>
          </cell>
        </row>
        <row r="815">
          <cell r="A815" t="str">
            <v>COL</v>
          </cell>
          <cell r="B815">
            <v>2022</v>
          </cell>
          <cell r="C815" t="str">
            <v>prod_for_agri</v>
          </cell>
          <cell r="D815">
            <v>7.4910049438476563</v>
          </cell>
        </row>
        <row r="816">
          <cell r="A816" t="str">
            <v>COL</v>
          </cell>
          <cell r="B816">
            <v>2022</v>
          </cell>
          <cell r="C816" t="str">
            <v>prod_for_ind</v>
          </cell>
          <cell r="D816">
            <v>-0.86314773559570313</v>
          </cell>
        </row>
        <row r="817">
          <cell r="A817" t="str">
            <v>COL</v>
          </cell>
          <cell r="B817">
            <v>2022</v>
          </cell>
          <cell r="C817" t="str">
            <v>prod_for_serv</v>
          </cell>
          <cell r="D817">
            <v>0.232509970664978</v>
          </cell>
        </row>
        <row r="818">
          <cell r="A818" t="str">
            <v>COL</v>
          </cell>
          <cell r="B818">
            <v>2022</v>
          </cell>
          <cell r="C818" t="str">
            <v>prod_inf_agri</v>
          </cell>
          <cell r="D818">
            <v>11.31136417388916</v>
          </cell>
        </row>
        <row r="819">
          <cell r="A819" t="str">
            <v>COL</v>
          </cell>
          <cell r="B819">
            <v>2022</v>
          </cell>
          <cell r="C819" t="str">
            <v>prod_inf_ind</v>
          </cell>
          <cell r="D819">
            <v>-0.58645886182785034</v>
          </cell>
        </row>
        <row r="820">
          <cell r="A820" t="str">
            <v>COL</v>
          </cell>
          <cell r="B820">
            <v>2022</v>
          </cell>
          <cell r="C820" t="str">
            <v>prod_inf_serv</v>
          </cell>
          <cell r="D820">
            <v>-5.5628767013549796</v>
          </cell>
        </row>
        <row r="821">
          <cell r="A821" t="str">
            <v>CRI</v>
          </cell>
          <cell r="B821">
            <v>2008</v>
          </cell>
          <cell r="C821" t="str">
            <v>gdp_activity</v>
          </cell>
          <cell r="D821">
            <v>-0.68730831146240234</v>
          </cell>
        </row>
        <row r="822">
          <cell r="A822" t="str">
            <v>CRI</v>
          </cell>
          <cell r="B822">
            <v>2008</v>
          </cell>
          <cell r="C822" t="str">
            <v>gdp_for_agri</v>
          </cell>
          <cell r="D822">
            <v>0.47324946522712708</v>
          </cell>
        </row>
        <row r="823">
          <cell r="A823" t="str">
            <v>CRI</v>
          </cell>
          <cell r="B823">
            <v>2008</v>
          </cell>
          <cell r="C823" t="str">
            <v>gdp_for_ind</v>
          </cell>
          <cell r="D823">
            <v>-3.2189922332763672</v>
          </cell>
        </row>
        <row r="824">
          <cell r="A824" t="str">
            <v>CRI</v>
          </cell>
          <cell r="B824">
            <v>2008</v>
          </cell>
          <cell r="C824" t="str">
            <v>gdp_for_serv</v>
          </cell>
          <cell r="D824">
            <v>9.6662312746047974E-2</v>
          </cell>
        </row>
        <row r="825">
          <cell r="A825" t="str">
            <v>CRI</v>
          </cell>
          <cell r="B825">
            <v>2008</v>
          </cell>
          <cell r="C825" t="str">
            <v>gdp_inf_agri</v>
          </cell>
          <cell r="D825">
            <v>3.465667724609375</v>
          </cell>
        </row>
        <row r="826">
          <cell r="A826" t="str">
            <v>CRI</v>
          </cell>
          <cell r="B826">
            <v>2008</v>
          </cell>
          <cell r="C826" t="str">
            <v>gdp_inf_ind</v>
          </cell>
          <cell r="D826">
            <v>-6.8119068145751953</v>
          </cell>
        </row>
        <row r="827">
          <cell r="A827" t="str">
            <v>CRI</v>
          </cell>
          <cell r="B827">
            <v>2008</v>
          </cell>
          <cell r="C827" t="str">
            <v>gdp_inf_serv</v>
          </cell>
          <cell r="D827">
            <v>-1.2998566627502439</v>
          </cell>
        </row>
        <row r="828">
          <cell r="A828" t="str">
            <v>CRI</v>
          </cell>
          <cell r="B828">
            <v>2008</v>
          </cell>
          <cell r="C828" t="str">
            <v>prod_for_agri</v>
          </cell>
          <cell r="D828">
            <v>1.3088454008102419</v>
          </cell>
        </row>
        <row r="829">
          <cell r="A829" t="str">
            <v>CRI</v>
          </cell>
          <cell r="B829">
            <v>2008</v>
          </cell>
          <cell r="C829" t="str">
            <v>prod_for_ind</v>
          </cell>
          <cell r="D829">
            <v>-0.25977367162704468</v>
          </cell>
        </row>
        <row r="830">
          <cell r="A830" t="str">
            <v>CRI</v>
          </cell>
          <cell r="B830">
            <v>2008</v>
          </cell>
          <cell r="C830" t="str">
            <v>prod_for_serv</v>
          </cell>
          <cell r="D830">
            <v>6.6467620432376862E-2</v>
          </cell>
        </row>
        <row r="831">
          <cell r="A831" t="str">
            <v>CRI</v>
          </cell>
          <cell r="B831">
            <v>2008</v>
          </cell>
          <cell r="C831" t="str">
            <v>prod_inf_agri</v>
          </cell>
          <cell r="D831">
            <v>3.7180027961730961</v>
          </cell>
        </row>
        <row r="832">
          <cell r="A832" t="str">
            <v>CRI</v>
          </cell>
          <cell r="B832">
            <v>2008</v>
          </cell>
          <cell r="C832" t="str">
            <v>prod_inf_ind</v>
          </cell>
          <cell r="D832">
            <v>-0.46461382508277888</v>
          </cell>
        </row>
        <row r="833">
          <cell r="A833" t="str">
            <v>CRI</v>
          </cell>
          <cell r="B833">
            <v>2008</v>
          </cell>
          <cell r="C833" t="str">
            <v>prod_inf_serv</v>
          </cell>
          <cell r="D833">
            <v>0.54289644956588745</v>
          </cell>
        </row>
        <row r="834">
          <cell r="A834" t="str">
            <v>CRI</v>
          </cell>
          <cell r="B834">
            <v>2009</v>
          </cell>
          <cell r="C834" t="str">
            <v>gdp_activity</v>
          </cell>
          <cell r="D834">
            <v>-12.19207763671875</v>
          </cell>
        </row>
        <row r="835">
          <cell r="A835" t="str">
            <v>CRI</v>
          </cell>
          <cell r="B835">
            <v>2009</v>
          </cell>
          <cell r="C835" t="str">
            <v>gdp_for_agri</v>
          </cell>
          <cell r="D835">
            <v>1.1009969711303711</v>
          </cell>
        </row>
        <row r="836">
          <cell r="A836" t="str">
            <v>CRI</v>
          </cell>
          <cell r="B836">
            <v>2009</v>
          </cell>
          <cell r="C836" t="str">
            <v>gdp_for_ind</v>
          </cell>
          <cell r="D836">
            <v>9.7105927765369415E-2</v>
          </cell>
        </row>
        <row r="837">
          <cell r="A837" t="str">
            <v>CRI</v>
          </cell>
          <cell r="B837">
            <v>2009</v>
          </cell>
          <cell r="C837" t="str">
            <v>gdp_for_serv</v>
          </cell>
          <cell r="D837">
            <v>7.4445610046386719</v>
          </cell>
        </row>
        <row r="838">
          <cell r="A838" t="str">
            <v>CRI</v>
          </cell>
          <cell r="B838">
            <v>2009</v>
          </cell>
          <cell r="C838" t="str">
            <v>gdp_inf_agri</v>
          </cell>
          <cell r="D838">
            <v>-0.66963523626327515</v>
          </cell>
        </row>
        <row r="839">
          <cell r="A839" t="str">
            <v>CRI</v>
          </cell>
          <cell r="B839">
            <v>2009</v>
          </cell>
          <cell r="C839" t="str">
            <v>gdp_inf_ind</v>
          </cell>
          <cell r="D839">
            <v>0.66372370719909668</v>
          </cell>
        </row>
        <row r="840">
          <cell r="A840" t="str">
            <v>CRI</v>
          </cell>
          <cell r="B840">
            <v>2009</v>
          </cell>
          <cell r="C840" t="str">
            <v>gdp_inf_serv</v>
          </cell>
          <cell r="D840">
            <v>2.5169987678527832</v>
          </cell>
        </row>
        <row r="841">
          <cell r="A841" t="str">
            <v>CRI</v>
          </cell>
          <cell r="B841">
            <v>2009</v>
          </cell>
          <cell r="C841" t="str">
            <v>prod_for_agri</v>
          </cell>
          <cell r="D841">
            <v>-0.75937110185623169</v>
          </cell>
        </row>
        <row r="842">
          <cell r="A842" t="str">
            <v>CRI</v>
          </cell>
          <cell r="B842">
            <v>2009</v>
          </cell>
          <cell r="C842" t="str">
            <v>prod_for_ind</v>
          </cell>
          <cell r="D842">
            <v>-1.3288577795028691</v>
          </cell>
        </row>
        <row r="843">
          <cell r="A843" t="str">
            <v>CRI</v>
          </cell>
          <cell r="B843">
            <v>2009</v>
          </cell>
          <cell r="C843" t="str">
            <v>prod_for_serv</v>
          </cell>
          <cell r="D843">
            <v>-0.80332326889038086</v>
          </cell>
        </row>
        <row r="844">
          <cell r="A844" t="str">
            <v>CRI</v>
          </cell>
          <cell r="B844">
            <v>2009</v>
          </cell>
          <cell r="C844" t="str">
            <v>prod_inf_agri</v>
          </cell>
          <cell r="D844">
            <v>-2.1247177124023442</v>
          </cell>
        </row>
        <row r="845">
          <cell r="A845" t="str">
            <v>CRI</v>
          </cell>
          <cell r="B845">
            <v>2009</v>
          </cell>
          <cell r="C845" t="str">
            <v>prod_inf_ind</v>
          </cell>
          <cell r="D845">
            <v>-2.5615029335021968</v>
          </cell>
        </row>
        <row r="846">
          <cell r="A846" t="str">
            <v>CRI</v>
          </cell>
          <cell r="B846">
            <v>2009</v>
          </cell>
          <cell r="C846" t="str">
            <v>prod_inf_serv</v>
          </cell>
          <cell r="D846">
            <v>1.2318481206893921</v>
          </cell>
        </row>
        <row r="847">
          <cell r="A847" t="str">
            <v>CRI</v>
          </cell>
          <cell r="B847">
            <v>2010</v>
          </cell>
          <cell r="C847" t="str">
            <v>gdp_activity</v>
          </cell>
          <cell r="D847">
            <v>0.68788176774978638</v>
          </cell>
        </row>
        <row r="848">
          <cell r="A848" t="str">
            <v>CRI</v>
          </cell>
          <cell r="B848">
            <v>2010</v>
          </cell>
          <cell r="C848" t="str">
            <v>gdp_for_agri</v>
          </cell>
          <cell r="D848">
            <v>1.943063497543335</v>
          </cell>
        </row>
        <row r="849">
          <cell r="A849" t="str">
            <v>CRI</v>
          </cell>
          <cell r="B849">
            <v>2010</v>
          </cell>
          <cell r="C849" t="str">
            <v>gdp_for_ind</v>
          </cell>
          <cell r="D849">
            <v>3.785506010055542</v>
          </cell>
        </row>
        <row r="850">
          <cell r="A850" t="str">
            <v>CRI</v>
          </cell>
          <cell r="B850">
            <v>2010</v>
          </cell>
          <cell r="C850" t="str">
            <v>gdp_for_serv</v>
          </cell>
          <cell r="D850">
            <v>0.93417680263519287</v>
          </cell>
        </row>
        <row r="851">
          <cell r="A851" t="str">
            <v>CRI</v>
          </cell>
          <cell r="B851">
            <v>2010</v>
          </cell>
          <cell r="C851" t="str">
            <v>gdp_inf_agri</v>
          </cell>
          <cell r="D851">
            <v>-0.45054060220718378</v>
          </cell>
        </row>
        <row r="852">
          <cell r="A852" t="str">
            <v>CRI</v>
          </cell>
          <cell r="B852">
            <v>2010</v>
          </cell>
          <cell r="C852" t="str">
            <v>gdp_inf_ind</v>
          </cell>
          <cell r="D852">
            <v>-6.1665186882019043</v>
          </cell>
        </row>
        <row r="853">
          <cell r="A853" t="str">
            <v>CRI</v>
          </cell>
          <cell r="B853">
            <v>2010</v>
          </cell>
          <cell r="C853" t="str">
            <v>gdp_inf_serv</v>
          </cell>
          <cell r="D853">
            <v>-4.3530594557523727E-2</v>
          </cell>
        </row>
        <row r="854">
          <cell r="A854" t="str">
            <v>CRI</v>
          </cell>
          <cell r="B854">
            <v>2010</v>
          </cell>
          <cell r="C854" t="str">
            <v>prod_for_agri</v>
          </cell>
          <cell r="D854">
            <v>-69.642120361328125</v>
          </cell>
        </row>
        <row r="855">
          <cell r="A855" t="str">
            <v>CRI</v>
          </cell>
          <cell r="B855">
            <v>2010</v>
          </cell>
          <cell r="C855" t="str">
            <v>prod_for_ind</v>
          </cell>
          <cell r="D855">
            <v>-0.45334190130233759</v>
          </cell>
        </row>
        <row r="856">
          <cell r="A856" t="str">
            <v>CRI</v>
          </cell>
          <cell r="B856">
            <v>2010</v>
          </cell>
          <cell r="C856" t="str">
            <v>prod_for_serv</v>
          </cell>
          <cell r="D856">
            <v>-1.583387613296509</v>
          </cell>
        </row>
        <row r="857">
          <cell r="A857" t="str">
            <v>CRI</v>
          </cell>
          <cell r="B857">
            <v>2010</v>
          </cell>
          <cell r="C857" t="str">
            <v>prod_inf_agri</v>
          </cell>
          <cell r="D857">
            <v>39.832370758056641</v>
          </cell>
        </row>
        <row r="858">
          <cell r="A858" t="str">
            <v>CRI</v>
          </cell>
          <cell r="B858">
            <v>2010</v>
          </cell>
          <cell r="C858" t="str">
            <v>prod_inf_ind</v>
          </cell>
          <cell r="D858">
            <v>-10.176998138427731</v>
          </cell>
        </row>
        <row r="859">
          <cell r="A859" t="str">
            <v>CRI</v>
          </cell>
          <cell r="B859">
            <v>2010</v>
          </cell>
          <cell r="C859" t="str">
            <v>prod_inf_serv</v>
          </cell>
          <cell r="D859">
            <v>-5.2653803825378418</v>
          </cell>
        </row>
        <row r="860">
          <cell r="A860" t="str">
            <v>CRI</v>
          </cell>
          <cell r="B860">
            <v>2011</v>
          </cell>
          <cell r="C860" t="str">
            <v>gdp_activity</v>
          </cell>
          <cell r="D860">
            <v>1.166195154190063</v>
          </cell>
        </row>
        <row r="861">
          <cell r="A861" t="str">
            <v>CRI</v>
          </cell>
          <cell r="B861">
            <v>2011</v>
          </cell>
          <cell r="C861" t="str">
            <v>gdp_for_agri</v>
          </cell>
          <cell r="D861">
            <v>24.9196891784668</v>
          </cell>
        </row>
        <row r="862">
          <cell r="A862" t="str">
            <v>CRI</v>
          </cell>
          <cell r="B862">
            <v>2011</v>
          </cell>
          <cell r="C862" t="str">
            <v>gdp_for_ind</v>
          </cell>
          <cell r="D862">
            <v>-0.2168988436460495</v>
          </cell>
        </row>
        <row r="863">
          <cell r="A863" t="str">
            <v>CRI</v>
          </cell>
          <cell r="B863">
            <v>2011</v>
          </cell>
          <cell r="C863" t="str">
            <v>gdp_for_serv</v>
          </cell>
          <cell r="D863">
            <v>1.4524815082550051</v>
          </cell>
        </row>
        <row r="864">
          <cell r="A864" t="str">
            <v>CRI</v>
          </cell>
          <cell r="B864">
            <v>2011</v>
          </cell>
          <cell r="C864" t="str">
            <v>gdp_inf_agri</v>
          </cell>
          <cell r="D864">
            <v>-21.720048904418949</v>
          </cell>
        </row>
        <row r="865">
          <cell r="A865" t="str">
            <v>CRI</v>
          </cell>
          <cell r="B865">
            <v>2011</v>
          </cell>
          <cell r="C865" t="str">
            <v>gdp_inf_ind</v>
          </cell>
          <cell r="D865">
            <v>7.5788674354553223</v>
          </cell>
        </row>
        <row r="866">
          <cell r="A866" t="str">
            <v>CRI</v>
          </cell>
          <cell r="B866">
            <v>2011</v>
          </cell>
          <cell r="C866" t="str">
            <v>gdp_inf_serv</v>
          </cell>
          <cell r="D866">
            <v>0.66272175312042236</v>
          </cell>
        </row>
        <row r="867">
          <cell r="A867" t="str">
            <v>CRI</v>
          </cell>
          <cell r="B867">
            <v>2011</v>
          </cell>
          <cell r="C867" t="str">
            <v>prod_for_agri</v>
          </cell>
          <cell r="D867">
            <v>-1.8333956003189089</v>
          </cell>
        </row>
        <row r="868">
          <cell r="A868" t="str">
            <v>CRI</v>
          </cell>
          <cell r="B868">
            <v>2011</v>
          </cell>
          <cell r="C868" t="str">
            <v>prod_for_ind</v>
          </cell>
          <cell r="D868">
            <v>-1.711147665977478</v>
          </cell>
        </row>
        <row r="869">
          <cell r="A869" t="str">
            <v>CRI</v>
          </cell>
          <cell r="B869">
            <v>2011</v>
          </cell>
          <cell r="C869" t="str">
            <v>prod_for_serv</v>
          </cell>
          <cell r="D869">
            <v>-3.8099782466888432</v>
          </cell>
        </row>
        <row r="870">
          <cell r="A870" t="str">
            <v>CRI</v>
          </cell>
          <cell r="B870">
            <v>2011</v>
          </cell>
          <cell r="C870" t="str">
            <v>prod_inf_agri</v>
          </cell>
          <cell r="D870">
            <v>-4.5143189430236816</v>
          </cell>
        </row>
        <row r="871">
          <cell r="A871" t="str">
            <v>CRI</v>
          </cell>
          <cell r="B871">
            <v>2011</v>
          </cell>
          <cell r="C871" t="str">
            <v>prod_inf_ind</v>
          </cell>
          <cell r="D871">
            <v>3.8195207118988042</v>
          </cell>
        </row>
        <row r="872">
          <cell r="A872" t="str">
            <v>CRI</v>
          </cell>
          <cell r="B872">
            <v>2011</v>
          </cell>
          <cell r="C872" t="str">
            <v>prod_inf_serv</v>
          </cell>
          <cell r="D872">
            <v>1.929585337638855</v>
          </cell>
        </row>
        <row r="873">
          <cell r="A873" t="str">
            <v>CRI</v>
          </cell>
          <cell r="B873">
            <v>2012</v>
          </cell>
          <cell r="C873" t="str">
            <v>gdp_activity</v>
          </cell>
          <cell r="D873">
            <v>0.25244984030723572</v>
          </cell>
        </row>
        <row r="874">
          <cell r="A874" t="str">
            <v>CRI</v>
          </cell>
          <cell r="B874">
            <v>2012</v>
          </cell>
          <cell r="C874" t="str">
            <v>gdp_for_agri</v>
          </cell>
          <cell r="D874">
            <v>0.1997600793838501</v>
          </cell>
        </row>
        <row r="875">
          <cell r="A875" t="str">
            <v>CRI</v>
          </cell>
          <cell r="B875">
            <v>2012</v>
          </cell>
          <cell r="C875" t="str">
            <v>gdp_for_ind</v>
          </cell>
          <cell r="D875">
            <v>0.62350726127624512</v>
          </cell>
        </row>
        <row r="876">
          <cell r="A876" t="str">
            <v>CRI</v>
          </cell>
          <cell r="B876">
            <v>2012</v>
          </cell>
          <cell r="C876" t="str">
            <v>gdp_for_serv</v>
          </cell>
          <cell r="D876">
            <v>0.73257929086685181</v>
          </cell>
        </row>
        <row r="877">
          <cell r="A877" t="str">
            <v>CRI</v>
          </cell>
          <cell r="B877">
            <v>2012</v>
          </cell>
          <cell r="C877" t="str">
            <v>gdp_inf_agri</v>
          </cell>
          <cell r="D877">
            <v>-0.72107797861099243</v>
          </cell>
        </row>
        <row r="878">
          <cell r="A878" t="str">
            <v>CRI</v>
          </cell>
          <cell r="B878">
            <v>2012</v>
          </cell>
          <cell r="C878" t="str">
            <v>gdp_inf_ind</v>
          </cell>
          <cell r="D878">
            <v>-1.476706743240356</v>
          </cell>
        </row>
        <row r="879">
          <cell r="A879" t="str">
            <v>CRI</v>
          </cell>
          <cell r="B879">
            <v>2012</v>
          </cell>
          <cell r="C879" t="str">
            <v>gdp_inf_serv</v>
          </cell>
          <cell r="D879">
            <v>-0.61289173364639282</v>
          </cell>
        </row>
        <row r="880">
          <cell r="A880" t="str">
            <v>CRI</v>
          </cell>
          <cell r="B880">
            <v>2012</v>
          </cell>
          <cell r="C880" t="str">
            <v>prod_for_agri</v>
          </cell>
          <cell r="D880">
            <v>-0.22923837602138519</v>
          </cell>
        </row>
        <row r="881">
          <cell r="A881" t="str">
            <v>CRI</v>
          </cell>
          <cell r="B881">
            <v>2012</v>
          </cell>
          <cell r="C881" t="str">
            <v>prod_for_ind</v>
          </cell>
          <cell r="D881">
            <v>-0.77772480249404907</v>
          </cell>
        </row>
        <row r="882">
          <cell r="A882" t="str">
            <v>CRI</v>
          </cell>
          <cell r="B882">
            <v>2012</v>
          </cell>
          <cell r="C882" t="str">
            <v>prod_for_serv</v>
          </cell>
          <cell r="D882">
            <v>-0.50296729803085327</v>
          </cell>
        </row>
        <row r="883">
          <cell r="A883" t="str">
            <v>CRI</v>
          </cell>
          <cell r="B883">
            <v>2012</v>
          </cell>
          <cell r="C883" t="str">
            <v>prod_inf_agri</v>
          </cell>
          <cell r="D883">
            <v>0.85973197221755981</v>
          </cell>
        </row>
        <row r="884">
          <cell r="A884" t="str">
            <v>CRI</v>
          </cell>
          <cell r="B884">
            <v>2012</v>
          </cell>
          <cell r="C884" t="str">
            <v>prod_inf_ind</v>
          </cell>
          <cell r="D884">
            <v>1.288210321217775E-2</v>
          </cell>
        </row>
        <row r="885">
          <cell r="A885" t="str">
            <v>CRI</v>
          </cell>
          <cell r="B885">
            <v>2012</v>
          </cell>
          <cell r="C885" t="str">
            <v>prod_inf_serv</v>
          </cell>
          <cell r="D885">
            <v>1.85953152179718</v>
          </cell>
        </row>
        <row r="886">
          <cell r="A886" t="str">
            <v>CRI</v>
          </cell>
          <cell r="B886">
            <v>2013</v>
          </cell>
          <cell r="C886" t="str">
            <v>gdp_activity</v>
          </cell>
          <cell r="D886">
            <v>0.49563449621200562</v>
          </cell>
        </row>
        <row r="887">
          <cell r="A887" t="str">
            <v>CRI</v>
          </cell>
          <cell r="B887">
            <v>2013</v>
          </cell>
          <cell r="C887" t="str">
            <v>gdp_for_agri</v>
          </cell>
          <cell r="D887">
            <v>-382.50567626953131</v>
          </cell>
        </row>
        <row r="888">
          <cell r="A888" t="str">
            <v>CRI</v>
          </cell>
          <cell r="B888">
            <v>2013</v>
          </cell>
          <cell r="C888" t="str">
            <v>gdp_for_ind</v>
          </cell>
          <cell r="D888">
            <v>0.30930343270301819</v>
          </cell>
        </row>
        <row r="889">
          <cell r="A889" t="str">
            <v>CRI</v>
          </cell>
          <cell r="B889">
            <v>2013</v>
          </cell>
          <cell r="C889" t="str">
            <v>gdp_for_serv</v>
          </cell>
          <cell r="D889">
            <v>0.42524227499961847</v>
          </cell>
        </row>
        <row r="890">
          <cell r="A890" t="str">
            <v>CRI</v>
          </cell>
          <cell r="B890">
            <v>2013</v>
          </cell>
          <cell r="C890" t="str">
            <v>gdp_inf_agri</v>
          </cell>
          <cell r="D890">
            <v>-1046.054443359375</v>
          </cell>
        </row>
        <row r="891">
          <cell r="A891" t="str">
            <v>CRI</v>
          </cell>
          <cell r="B891">
            <v>2013</v>
          </cell>
          <cell r="C891" t="str">
            <v>gdp_inf_ind</v>
          </cell>
          <cell r="D891">
            <v>1.252881765365601</v>
          </cell>
        </row>
        <row r="892">
          <cell r="A892" t="str">
            <v>CRI</v>
          </cell>
          <cell r="B892">
            <v>2013</v>
          </cell>
          <cell r="C892" t="str">
            <v>gdp_inf_serv</v>
          </cell>
          <cell r="D892">
            <v>0.8351401686668396</v>
          </cell>
        </row>
        <row r="893">
          <cell r="A893" t="str">
            <v>CRI</v>
          </cell>
          <cell r="B893">
            <v>2013</v>
          </cell>
          <cell r="C893" t="str">
            <v>prod_for_agri</v>
          </cell>
          <cell r="D893">
            <v>-0.1162718310952187</v>
          </cell>
        </row>
        <row r="894">
          <cell r="A894" t="str">
            <v>CRI</v>
          </cell>
          <cell r="B894">
            <v>2013</v>
          </cell>
          <cell r="C894" t="str">
            <v>prod_for_ind</v>
          </cell>
          <cell r="D894">
            <v>-3.937778234481812</v>
          </cell>
        </row>
        <row r="895">
          <cell r="A895" t="str">
            <v>CRI</v>
          </cell>
          <cell r="B895">
            <v>2013</v>
          </cell>
          <cell r="C895" t="str">
            <v>prod_for_serv</v>
          </cell>
          <cell r="D895">
            <v>2.4598977565765381</v>
          </cell>
        </row>
        <row r="896">
          <cell r="A896" t="str">
            <v>CRI</v>
          </cell>
          <cell r="B896">
            <v>2013</v>
          </cell>
          <cell r="C896" t="str">
            <v>prod_inf_agri</v>
          </cell>
          <cell r="D896">
            <v>-1.299061179161072</v>
          </cell>
        </row>
        <row r="897">
          <cell r="A897" t="str">
            <v>CRI</v>
          </cell>
          <cell r="B897">
            <v>2013</v>
          </cell>
          <cell r="C897" t="str">
            <v>prod_inf_ind</v>
          </cell>
          <cell r="D897">
            <v>-1.852303743362427</v>
          </cell>
        </row>
        <row r="898">
          <cell r="A898" t="str">
            <v>CRI</v>
          </cell>
          <cell r="B898">
            <v>2013</v>
          </cell>
          <cell r="C898" t="str">
            <v>prod_inf_serv</v>
          </cell>
          <cell r="D898">
            <v>-0.27480453252792358</v>
          </cell>
        </row>
        <row r="899">
          <cell r="A899" t="str">
            <v>CRI</v>
          </cell>
          <cell r="B899">
            <v>2014</v>
          </cell>
          <cell r="C899" t="str">
            <v>gdp_activity</v>
          </cell>
          <cell r="D899">
            <v>0.25091755390167242</v>
          </cell>
        </row>
        <row r="900">
          <cell r="A900" t="str">
            <v>CRI</v>
          </cell>
          <cell r="B900">
            <v>2014</v>
          </cell>
          <cell r="C900" t="str">
            <v>gdp_for_agri</v>
          </cell>
          <cell r="D900">
            <v>0.92426782846450806</v>
          </cell>
        </row>
        <row r="901">
          <cell r="A901" t="str">
            <v>CRI</v>
          </cell>
          <cell r="B901">
            <v>2014</v>
          </cell>
          <cell r="C901" t="str">
            <v>gdp_for_ind</v>
          </cell>
          <cell r="D901">
            <v>3.122710227966309</v>
          </cell>
        </row>
        <row r="902">
          <cell r="A902" t="str">
            <v>CRI</v>
          </cell>
          <cell r="B902">
            <v>2014</v>
          </cell>
          <cell r="C902" t="str">
            <v>gdp_for_serv</v>
          </cell>
          <cell r="D902">
            <v>0.21743686497211459</v>
          </cell>
        </row>
        <row r="903">
          <cell r="A903" t="str">
            <v>CRI</v>
          </cell>
          <cell r="B903">
            <v>2014</v>
          </cell>
          <cell r="C903" t="str">
            <v>gdp_inf_agri</v>
          </cell>
          <cell r="D903">
            <v>-4.3071446418762207</v>
          </cell>
        </row>
        <row r="904">
          <cell r="A904" t="str">
            <v>CRI</v>
          </cell>
          <cell r="B904">
            <v>2014</v>
          </cell>
          <cell r="C904" t="str">
            <v>gdp_inf_ind</v>
          </cell>
          <cell r="D904">
            <v>-0.46989178657531738</v>
          </cell>
        </row>
        <row r="905">
          <cell r="A905" t="str">
            <v>CRI</v>
          </cell>
          <cell r="B905">
            <v>2014</v>
          </cell>
          <cell r="C905" t="str">
            <v>gdp_inf_serv</v>
          </cell>
          <cell r="D905">
            <v>-5.7726297527551651E-2</v>
          </cell>
        </row>
        <row r="906">
          <cell r="A906" t="str">
            <v>CRI</v>
          </cell>
          <cell r="B906">
            <v>2014</v>
          </cell>
          <cell r="C906" t="str">
            <v>prod_for_agri</v>
          </cell>
          <cell r="D906">
            <v>-0.1139957532286644</v>
          </cell>
        </row>
        <row r="907">
          <cell r="A907" t="str">
            <v>CRI</v>
          </cell>
          <cell r="B907">
            <v>2014</v>
          </cell>
          <cell r="C907" t="str">
            <v>prod_for_ind</v>
          </cell>
          <cell r="D907">
            <v>-2.1000363826751709</v>
          </cell>
        </row>
        <row r="908">
          <cell r="A908" t="str">
            <v>CRI</v>
          </cell>
          <cell r="B908">
            <v>2014</v>
          </cell>
          <cell r="C908" t="str">
            <v>prod_for_serv</v>
          </cell>
          <cell r="D908">
            <v>-0.87733656167984009</v>
          </cell>
        </row>
        <row r="909">
          <cell r="A909" t="str">
            <v>CRI</v>
          </cell>
          <cell r="B909">
            <v>2014</v>
          </cell>
          <cell r="C909" t="str">
            <v>prod_inf_agri</v>
          </cell>
          <cell r="D909">
            <v>5.0527458190917969</v>
          </cell>
        </row>
        <row r="910">
          <cell r="A910" t="str">
            <v>CRI</v>
          </cell>
          <cell r="B910">
            <v>2014</v>
          </cell>
          <cell r="C910" t="str">
            <v>prod_inf_ind</v>
          </cell>
          <cell r="D910">
            <v>5.7827472686767578</v>
          </cell>
        </row>
        <row r="911">
          <cell r="A911" t="str">
            <v>CRI</v>
          </cell>
          <cell r="B911">
            <v>2014</v>
          </cell>
          <cell r="C911" t="str">
            <v>prod_inf_serv</v>
          </cell>
          <cell r="D911">
            <v>-2.0657696723937988</v>
          </cell>
        </row>
        <row r="912">
          <cell r="A912" t="str">
            <v>CRI</v>
          </cell>
          <cell r="B912">
            <v>2015</v>
          </cell>
          <cell r="C912" t="str">
            <v>gdp_activity</v>
          </cell>
          <cell r="D912">
            <v>0.17928123474121091</v>
          </cell>
        </row>
        <row r="913">
          <cell r="A913" t="str">
            <v>CRI</v>
          </cell>
          <cell r="B913">
            <v>2015</v>
          </cell>
          <cell r="C913" t="str">
            <v>gdp_for_agri</v>
          </cell>
          <cell r="D913">
            <v>-2.2246661186218262</v>
          </cell>
        </row>
        <row r="914">
          <cell r="A914" t="str">
            <v>CRI</v>
          </cell>
          <cell r="B914">
            <v>2015</v>
          </cell>
          <cell r="C914" t="str">
            <v>gdp_for_ind</v>
          </cell>
          <cell r="D914">
            <v>-6.1658353805541992</v>
          </cell>
        </row>
        <row r="915">
          <cell r="A915" t="str">
            <v>CRI</v>
          </cell>
          <cell r="B915">
            <v>2015</v>
          </cell>
          <cell r="C915" t="str">
            <v>gdp_for_serv</v>
          </cell>
          <cell r="D915">
            <v>-0.51219320297241211</v>
          </cell>
        </row>
        <row r="916">
          <cell r="A916" t="str">
            <v>CRI</v>
          </cell>
          <cell r="B916">
            <v>2015</v>
          </cell>
          <cell r="C916" t="str">
            <v>gdp_inf_agri</v>
          </cell>
          <cell r="D916">
            <v>-8.9102659225463867</v>
          </cell>
        </row>
        <row r="917">
          <cell r="A917" t="str">
            <v>CRI</v>
          </cell>
          <cell r="B917">
            <v>2015</v>
          </cell>
          <cell r="C917" t="str">
            <v>gdp_inf_ind</v>
          </cell>
          <cell r="D917">
            <v>5.155362606048584</v>
          </cell>
        </row>
        <row r="918">
          <cell r="A918" t="str">
            <v>CRI</v>
          </cell>
          <cell r="B918">
            <v>2015</v>
          </cell>
          <cell r="C918" t="str">
            <v>gdp_inf_serv</v>
          </cell>
          <cell r="D918">
            <v>1.805773258209229</v>
          </cell>
        </row>
        <row r="919">
          <cell r="A919" t="str">
            <v>CRI</v>
          </cell>
          <cell r="B919">
            <v>2015</v>
          </cell>
          <cell r="C919" t="str">
            <v>prod_for_agri</v>
          </cell>
          <cell r="D919">
            <v>-0.52612531185150146</v>
          </cell>
        </row>
        <row r="920">
          <cell r="A920" t="str">
            <v>CRI</v>
          </cell>
          <cell r="B920">
            <v>2015</v>
          </cell>
          <cell r="C920" t="str">
            <v>prod_for_ind</v>
          </cell>
          <cell r="D920">
            <v>0.21593613922595981</v>
          </cell>
        </row>
        <row r="921">
          <cell r="A921" t="str">
            <v>CRI</v>
          </cell>
          <cell r="B921">
            <v>2015</v>
          </cell>
          <cell r="C921" t="str">
            <v>prod_for_serv</v>
          </cell>
          <cell r="D921">
            <v>0.84855866432189941</v>
          </cell>
        </row>
        <row r="922">
          <cell r="A922" t="str">
            <v>CRI</v>
          </cell>
          <cell r="B922">
            <v>2015</v>
          </cell>
          <cell r="C922" t="str">
            <v>prod_inf_agri</v>
          </cell>
          <cell r="D922">
            <v>-9.1526053845882416E-2</v>
          </cell>
        </row>
        <row r="923">
          <cell r="A923" t="str">
            <v>CRI</v>
          </cell>
          <cell r="B923">
            <v>2015</v>
          </cell>
          <cell r="C923" t="str">
            <v>prod_inf_ind</v>
          </cell>
          <cell r="D923">
            <v>-0.2070425748825073</v>
          </cell>
        </row>
        <row r="924">
          <cell r="A924" t="str">
            <v>CRI</v>
          </cell>
          <cell r="B924">
            <v>2015</v>
          </cell>
          <cell r="C924" t="str">
            <v>prod_inf_serv</v>
          </cell>
          <cell r="D924">
            <v>-0.21964037418365481</v>
          </cell>
        </row>
        <row r="925">
          <cell r="A925" t="str">
            <v>CRI</v>
          </cell>
          <cell r="B925">
            <v>2016</v>
          </cell>
          <cell r="C925" t="str">
            <v>gdp_activity</v>
          </cell>
          <cell r="D925">
            <v>0.5438506007194519</v>
          </cell>
        </row>
        <row r="926">
          <cell r="A926" t="str">
            <v>CRI</v>
          </cell>
          <cell r="B926">
            <v>2016</v>
          </cell>
          <cell r="C926" t="str">
            <v>gdp_for_agri</v>
          </cell>
          <cell r="D926">
            <v>0.47312280535697943</v>
          </cell>
        </row>
        <row r="927">
          <cell r="A927" t="str">
            <v>CRI</v>
          </cell>
          <cell r="B927">
            <v>2016</v>
          </cell>
          <cell r="C927" t="str">
            <v>gdp_for_ind</v>
          </cell>
          <cell r="D927">
            <v>1.097557067871094</v>
          </cell>
        </row>
        <row r="928">
          <cell r="A928" t="str">
            <v>CRI</v>
          </cell>
          <cell r="B928">
            <v>2016</v>
          </cell>
          <cell r="C928" t="str">
            <v>gdp_for_serv</v>
          </cell>
          <cell r="D928">
            <v>0.52583569288253784</v>
          </cell>
        </row>
        <row r="929">
          <cell r="A929" t="str">
            <v>CRI</v>
          </cell>
          <cell r="B929">
            <v>2016</v>
          </cell>
          <cell r="C929" t="str">
            <v>gdp_inf_agri</v>
          </cell>
          <cell r="D929">
            <v>2.1739168167114258</v>
          </cell>
        </row>
        <row r="930">
          <cell r="A930" t="str">
            <v>CRI</v>
          </cell>
          <cell r="B930">
            <v>2016</v>
          </cell>
          <cell r="C930" t="str">
            <v>gdp_inf_ind</v>
          </cell>
          <cell r="D930">
            <v>1.692346334457397</v>
          </cell>
        </row>
        <row r="931">
          <cell r="A931" t="str">
            <v>CRI</v>
          </cell>
          <cell r="B931">
            <v>2016</v>
          </cell>
          <cell r="C931" t="str">
            <v>gdp_inf_serv</v>
          </cell>
          <cell r="D931">
            <v>0.73743975162506104</v>
          </cell>
        </row>
        <row r="932">
          <cell r="A932" t="str">
            <v>CRI</v>
          </cell>
          <cell r="B932">
            <v>2016</v>
          </cell>
          <cell r="C932" t="str">
            <v>prod_for_agri</v>
          </cell>
          <cell r="D932">
            <v>-9.9471044540405273</v>
          </cell>
        </row>
        <row r="933">
          <cell r="A933" t="str">
            <v>CRI</v>
          </cell>
          <cell r="B933">
            <v>2016</v>
          </cell>
          <cell r="C933" t="str">
            <v>prod_for_ind</v>
          </cell>
          <cell r="D933">
            <v>1.4461408853530879</v>
          </cell>
        </row>
        <row r="934">
          <cell r="A934" t="str">
            <v>CRI</v>
          </cell>
          <cell r="B934">
            <v>2016</v>
          </cell>
          <cell r="C934" t="str">
            <v>prod_for_serv</v>
          </cell>
          <cell r="D934">
            <v>1.498248219490051</v>
          </cell>
        </row>
        <row r="935">
          <cell r="A935" t="str">
            <v>CRI</v>
          </cell>
          <cell r="B935">
            <v>2016</v>
          </cell>
          <cell r="C935" t="str">
            <v>prod_inf_agri</v>
          </cell>
          <cell r="D935">
            <v>76.403717041015625</v>
          </cell>
        </row>
        <row r="936">
          <cell r="A936" t="str">
            <v>CRI</v>
          </cell>
          <cell r="B936">
            <v>2016</v>
          </cell>
          <cell r="C936" t="str">
            <v>prod_inf_ind</v>
          </cell>
          <cell r="D936">
            <v>-3.4183580875396729</v>
          </cell>
        </row>
        <row r="937">
          <cell r="A937" t="str">
            <v>CRI</v>
          </cell>
          <cell r="B937">
            <v>2016</v>
          </cell>
          <cell r="C937" t="str">
            <v>prod_inf_serv</v>
          </cell>
          <cell r="D937">
            <v>1.238415598869324</v>
          </cell>
        </row>
        <row r="938">
          <cell r="A938" t="str">
            <v>CRI</v>
          </cell>
          <cell r="B938">
            <v>2017</v>
          </cell>
          <cell r="C938" t="str">
            <v>gdp_activity</v>
          </cell>
          <cell r="D938">
            <v>-0.47887697815895081</v>
          </cell>
        </row>
        <row r="939">
          <cell r="A939" t="str">
            <v>CRI</v>
          </cell>
          <cell r="B939">
            <v>2017</v>
          </cell>
          <cell r="C939" t="str">
            <v>gdp_for_agri</v>
          </cell>
          <cell r="D939">
            <v>-1.8258723020553591</v>
          </cell>
        </row>
        <row r="940">
          <cell r="A940" t="str">
            <v>CRI</v>
          </cell>
          <cell r="B940">
            <v>2017</v>
          </cell>
          <cell r="C940" t="str">
            <v>gdp_for_ind</v>
          </cell>
          <cell r="D940">
            <v>-1.567803621292114</v>
          </cell>
        </row>
        <row r="941">
          <cell r="A941" t="str">
            <v>CRI</v>
          </cell>
          <cell r="B941">
            <v>2017</v>
          </cell>
          <cell r="C941" t="str">
            <v>gdp_for_serv</v>
          </cell>
          <cell r="D941">
            <v>0.43405133485794067</v>
          </cell>
        </row>
        <row r="942">
          <cell r="A942" t="str">
            <v>CRI</v>
          </cell>
          <cell r="B942">
            <v>2017</v>
          </cell>
          <cell r="C942" t="str">
            <v>gdp_inf_agri</v>
          </cell>
          <cell r="D942">
            <v>-1.808829188346863</v>
          </cell>
        </row>
        <row r="943">
          <cell r="A943" t="str">
            <v>CRI</v>
          </cell>
          <cell r="B943">
            <v>2017</v>
          </cell>
          <cell r="C943" t="str">
            <v>gdp_inf_ind</v>
          </cell>
          <cell r="D943">
            <v>-2.0044844150543208</v>
          </cell>
        </row>
        <row r="944">
          <cell r="A944" t="str">
            <v>CRI</v>
          </cell>
          <cell r="B944">
            <v>2017</v>
          </cell>
          <cell r="C944" t="str">
            <v>gdp_inf_serv</v>
          </cell>
          <cell r="D944">
            <v>-1.209807395935059</v>
          </cell>
        </row>
        <row r="945">
          <cell r="A945" t="str">
            <v>CRI</v>
          </cell>
          <cell r="B945">
            <v>2017</v>
          </cell>
          <cell r="C945" t="str">
            <v>prod_for_agri</v>
          </cell>
          <cell r="D945">
            <v>0.10092064738273621</v>
          </cell>
        </row>
        <row r="946">
          <cell r="A946" t="str">
            <v>CRI</v>
          </cell>
          <cell r="B946">
            <v>2017</v>
          </cell>
          <cell r="C946" t="str">
            <v>prod_for_ind</v>
          </cell>
          <cell r="D946">
            <v>0.96723634004592896</v>
          </cell>
        </row>
        <row r="947">
          <cell r="A947" t="str">
            <v>CRI</v>
          </cell>
          <cell r="B947">
            <v>2017</v>
          </cell>
          <cell r="C947" t="str">
            <v>prod_for_serv</v>
          </cell>
          <cell r="D947">
            <v>-0.2209454923868179</v>
          </cell>
        </row>
        <row r="948">
          <cell r="A948" t="str">
            <v>CRI</v>
          </cell>
          <cell r="B948">
            <v>2017</v>
          </cell>
          <cell r="C948" t="str">
            <v>prod_inf_agri</v>
          </cell>
          <cell r="D948">
            <v>2.3749654293060298</v>
          </cell>
        </row>
        <row r="949">
          <cell r="A949" t="str">
            <v>CRI</v>
          </cell>
          <cell r="B949">
            <v>2017</v>
          </cell>
          <cell r="C949" t="str">
            <v>prod_inf_ind</v>
          </cell>
          <cell r="D949">
            <v>0.49434161186218262</v>
          </cell>
        </row>
        <row r="950">
          <cell r="A950" t="str">
            <v>CRI</v>
          </cell>
          <cell r="B950">
            <v>2017</v>
          </cell>
          <cell r="C950" t="str">
            <v>prod_inf_serv</v>
          </cell>
          <cell r="D950">
            <v>-9.3304164707660675E-2</v>
          </cell>
        </row>
        <row r="951">
          <cell r="A951" t="str">
            <v>CRI</v>
          </cell>
          <cell r="B951">
            <v>2018</v>
          </cell>
          <cell r="C951" t="str">
            <v>gdp_activity</v>
          </cell>
          <cell r="D951">
            <v>0.37165266275405878</v>
          </cell>
        </row>
        <row r="952">
          <cell r="A952" t="str">
            <v>CRI</v>
          </cell>
          <cell r="B952">
            <v>2018</v>
          </cell>
          <cell r="C952" t="str">
            <v>gdp_for_agri</v>
          </cell>
          <cell r="D952">
            <v>0.22105954587459559</v>
          </cell>
        </row>
        <row r="953">
          <cell r="A953" t="str">
            <v>CRI</v>
          </cell>
          <cell r="B953">
            <v>2018</v>
          </cell>
          <cell r="C953" t="str">
            <v>gdp_for_ind</v>
          </cell>
          <cell r="D953">
            <v>0.39221030473709112</v>
          </cell>
        </row>
        <row r="954">
          <cell r="A954" t="str">
            <v>CRI</v>
          </cell>
          <cell r="B954">
            <v>2018</v>
          </cell>
          <cell r="C954" t="str">
            <v>gdp_for_serv</v>
          </cell>
          <cell r="D954">
            <v>0.40732502937316889</v>
          </cell>
        </row>
        <row r="955">
          <cell r="A955" t="str">
            <v>CRI</v>
          </cell>
          <cell r="B955">
            <v>2018</v>
          </cell>
          <cell r="C955" t="str">
            <v>gdp_inf_agri</v>
          </cell>
          <cell r="D955">
            <v>-2.3953301906585689</v>
          </cell>
        </row>
        <row r="956">
          <cell r="A956" t="str">
            <v>CRI</v>
          </cell>
          <cell r="B956">
            <v>2018</v>
          </cell>
          <cell r="C956" t="str">
            <v>gdp_inf_ind</v>
          </cell>
          <cell r="D956">
            <v>-1.320037364959717</v>
          </cell>
        </row>
        <row r="957">
          <cell r="A957" t="str">
            <v>CRI</v>
          </cell>
          <cell r="B957">
            <v>2018</v>
          </cell>
          <cell r="C957" t="str">
            <v>gdp_inf_serv</v>
          </cell>
          <cell r="D957">
            <v>-0.41788116097450262</v>
          </cell>
        </row>
        <row r="958">
          <cell r="A958" t="str">
            <v>CRI</v>
          </cell>
          <cell r="B958">
            <v>2018</v>
          </cell>
          <cell r="C958" t="str">
            <v>prod_for_agri</v>
          </cell>
          <cell r="D958">
            <v>-0.37648561596870422</v>
          </cell>
        </row>
        <row r="959">
          <cell r="A959" t="str">
            <v>CRI</v>
          </cell>
          <cell r="B959">
            <v>2018</v>
          </cell>
          <cell r="C959" t="str">
            <v>prod_for_ind</v>
          </cell>
          <cell r="D959">
            <v>-1.355406761169434</v>
          </cell>
        </row>
        <row r="960">
          <cell r="A960" t="str">
            <v>CRI</v>
          </cell>
          <cell r="B960">
            <v>2018</v>
          </cell>
          <cell r="C960" t="str">
            <v>prod_for_serv</v>
          </cell>
          <cell r="D960">
            <v>-0.61466032266616821</v>
          </cell>
        </row>
        <row r="961">
          <cell r="A961" t="str">
            <v>CRI</v>
          </cell>
          <cell r="B961">
            <v>2018</v>
          </cell>
          <cell r="C961" t="str">
            <v>prod_inf_agri</v>
          </cell>
          <cell r="D961">
            <v>-0.3501928448677063</v>
          </cell>
        </row>
        <row r="962">
          <cell r="A962" t="str">
            <v>CRI</v>
          </cell>
          <cell r="B962">
            <v>2018</v>
          </cell>
          <cell r="C962" t="str">
            <v>prod_inf_ind</v>
          </cell>
          <cell r="D962">
            <v>0.2041214853525162</v>
          </cell>
        </row>
        <row r="963">
          <cell r="A963" t="str">
            <v>CRI</v>
          </cell>
          <cell r="B963">
            <v>2018</v>
          </cell>
          <cell r="C963" t="str">
            <v>prod_inf_serv</v>
          </cell>
          <cell r="D963">
            <v>-0.86249953508377075</v>
          </cell>
        </row>
        <row r="964">
          <cell r="A964" t="str">
            <v>CRI</v>
          </cell>
          <cell r="B964">
            <v>2019</v>
          </cell>
          <cell r="C964" t="str">
            <v>gdp_activity</v>
          </cell>
          <cell r="D964">
            <v>0.28059142827987671</v>
          </cell>
        </row>
        <row r="965">
          <cell r="A965" t="str">
            <v>CRI</v>
          </cell>
          <cell r="B965">
            <v>2019</v>
          </cell>
          <cell r="C965" t="str">
            <v>gdp_for_agri</v>
          </cell>
          <cell r="D965">
            <v>1.6964162588119509</v>
          </cell>
        </row>
        <row r="966">
          <cell r="A966" t="str">
            <v>CRI</v>
          </cell>
          <cell r="B966">
            <v>2019</v>
          </cell>
          <cell r="C966" t="str">
            <v>gdp_for_ind</v>
          </cell>
          <cell r="D966">
            <v>-3.7329273223876949</v>
          </cell>
        </row>
        <row r="967">
          <cell r="A967" t="str">
            <v>CRI</v>
          </cell>
          <cell r="B967">
            <v>2019</v>
          </cell>
          <cell r="C967" t="str">
            <v>gdp_for_serv</v>
          </cell>
          <cell r="D967">
            <v>0.29775732755661011</v>
          </cell>
        </row>
        <row r="968">
          <cell r="A968" t="str">
            <v>CRI</v>
          </cell>
          <cell r="B968">
            <v>2019</v>
          </cell>
          <cell r="C968" t="str">
            <v>gdp_inf_agri</v>
          </cell>
          <cell r="D968">
            <v>5.5135984420776367</v>
          </cell>
        </row>
        <row r="969">
          <cell r="A969" t="str">
            <v>CRI</v>
          </cell>
          <cell r="B969">
            <v>2019</v>
          </cell>
          <cell r="C969" t="str">
            <v>gdp_inf_ind</v>
          </cell>
          <cell r="D969">
            <v>-6.7251095771789551</v>
          </cell>
        </row>
        <row r="970">
          <cell r="A970" t="str">
            <v>CRI</v>
          </cell>
          <cell r="B970">
            <v>2019</v>
          </cell>
          <cell r="C970" t="str">
            <v>gdp_inf_serv</v>
          </cell>
          <cell r="D970">
            <v>-0.97117751836776733</v>
          </cell>
        </row>
        <row r="971">
          <cell r="A971" t="str">
            <v>CRI</v>
          </cell>
          <cell r="B971">
            <v>2019</v>
          </cell>
          <cell r="C971" t="str">
            <v>prod_for_agri</v>
          </cell>
          <cell r="D971">
            <v>-1.0468237400054929</v>
          </cell>
        </row>
        <row r="972">
          <cell r="A972" t="str">
            <v>CRI</v>
          </cell>
          <cell r="B972">
            <v>2019</v>
          </cell>
          <cell r="C972" t="str">
            <v>prod_for_ind</v>
          </cell>
          <cell r="D972">
            <v>2.6367759704589839</v>
          </cell>
        </row>
        <row r="973">
          <cell r="A973" t="str">
            <v>CRI</v>
          </cell>
          <cell r="B973">
            <v>2019</v>
          </cell>
          <cell r="C973" t="str">
            <v>prod_for_serv</v>
          </cell>
          <cell r="D973">
            <v>0.53059452772140503</v>
          </cell>
        </row>
        <row r="974">
          <cell r="A974" t="str">
            <v>CRI</v>
          </cell>
          <cell r="B974">
            <v>2019</v>
          </cell>
          <cell r="C974" t="str">
            <v>prod_inf_agri</v>
          </cell>
          <cell r="D974">
            <v>-0.34970876574516302</v>
          </cell>
        </row>
        <row r="975">
          <cell r="A975" t="str">
            <v>CRI</v>
          </cell>
          <cell r="B975">
            <v>2019</v>
          </cell>
          <cell r="C975" t="str">
            <v>prod_inf_ind</v>
          </cell>
          <cell r="D975">
            <v>-0.13566078245639801</v>
          </cell>
        </row>
        <row r="976">
          <cell r="A976" t="str">
            <v>CRI</v>
          </cell>
          <cell r="B976">
            <v>2019</v>
          </cell>
          <cell r="C976" t="str">
            <v>prod_inf_serv</v>
          </cell>
          <cell r="D976">
            <v>-0.1052398458123207</v>
          </cell>
        </row>
        <row r="977">
          <cell r="A977" t="str">
            <v>CRI</v>
          </cell>
          <cell r="B977">
            <v>2020</v>
          </cell>
          <cell r="C977" t="str">
            <v>gdp_activity</v>
          </cell>
          <cell r="D977">
            <v>1.2915740013122561</v>
          </cell>
        </row>
        <row r="978">
          <cell r="A978" t="str">
            <v>CRI</v>
          </cell>
          <cell r="B978">
            <v>2020</v>
          </cell>
          <cell r="C978" t="str">
            <v>gdp_for_agri</v>
          </cell>
          <cell r="D978">
            <v>10.186405181884769</v>
          </cell>
        </row>
        <row r="979">
          <cell r="A979" t="str">
            <v>CRI</v>
          </cell>
          <cell r="B979">
            <v>2020</v>
          </cell>
          <cell r="C979" t="str">
            <v>gdp_for_ind</v>
          </cell>
          <cell r="D979">
            <v>-9.0492944717407227</v>
          </cell>
        </row>
        <row r="980">
          <cell r="A980" t="str">
            <v>CRI</v>
          </cell>
          <cell r="B980">
            <v>2020</v>
          </cell>
          <cell r="C980" t="str">
            <v>gdp_for_serv</v>
          </cell>
          <cell r="D980">
            <v>2.479321956634521</v>
          </cell>
        </row>
        <row r="981">
          <cell r="A981" t="str">
            <v>CRI</v>
          </cell>
          <cell r="B981">
            <v>2020</v>
          </cell>
          <cell r="C981" t="str">
            <v>gdp_inf_agri</v>
          </cell>
          <cell r="D981">
            <v>-16.045791625976559</v>
          </cell>
        </row>
        <row r="982">
          <cell r="A982" t="str">
            <v>CRI</v>
          </cell>
          <cell r="B982">
            <v>2020</v>
          </cell>
          <cell r="C982" t="str">
            <v>gdp_inf_ind</v>
          </cell>
          <cell r="D982">
            <v>-10.752889633178709</v>
          </cell>
        </row>
        <row r="983">
          <cell r="A983" t="str">
            <v>CRI</v>
          </cell>
          <cell r="B983">
            <v>2020</v>
          </cell>
          <cell r="C983" t="str">
            <v>gdp_inf_serv</v>
          </cell>
          <cell r="D983">
            <v>5.5477604866027832</v>
          </cell>
        </row>
        <row r="984">
          <cell r="A984" t="str">
            <v>CRI</v>
          </cell>
          <cell r="B984">
            <v>2020</v>
          </cell>
          <cell r="C984" t="str">
            <v>prod_for_agri</v>
          </cell>
          <cell r="D984">
            <v>-1.832611680030823</v>
          </cell>
        </row>
        <row r="985">
          <cell r="A985" t="str">
            <v>CRI</v>
          </cell>
          <cell r="B985">
            <v>2020</v>
          </cell>
          <cell r="C985" t="str">
            <v>prod_for_ind</v>
          </cell>
          <cell r="D985">
            <v>-0.46088317036628718</v>
          </cell>
        </row>
        <row r="986">
          <cell r="A986" t="str">
            <v>CRI</v>
          </cell>
          <cell r="B986">
            <v>2020</v>
          </cell>
          <cell r="C986" t="str">
            <v>prod_for_serv</v>
          </cell>
          <cell r="D986">
            <v>-0.31511983275413508</v>
          </cell>
        </row>
        <row r="987">
          <cell r="A987" t="str">
            <v>CRI</v>
          </cell>
          <cell r="B987">
            <v>2020</v>
          </cell>
          <cell r="C987" t="str">
            <v>prod_inf_agri</v>
          </cell>
          <cell r="D987">
            <v>32.708713531494141</v>
          </cell>
        </row>
        <row r="988">
          <cell r="A988" t="str">
            <v>CRI</v>
          </cell>
          <cell r="B988">
            <v>2020</v>
          </cell>
          <cell r="C988" t="str">
            <v>prod_inf_ind</v>
          </cell>
          <cell r="D988">
            <v>-1.3018250465393071</v>
          </cell>
        </row>
        <row r="989">
          <cell r="A989" t="str">
            <v>CRI</v>
          </cell>
          <cell r="B989">
            <v>2020</v>
          </cell>
          <cell r="C989" t="str">
            <v>prod_inf_serv</v>
          </cell>
          <cell r="D989">
            <v>-1.0643324851989751</v>
          </cell>
        </row>
        <row r="990">
          <cell r="A990" t="str">
            <v>CRI</v>
          </cell>
          <cell r="B990">
            <v>2021</v>
          </cell>
          <cell r="C990" t="str">
            <v>gdp_activity</v>
          </cell>
          <cell r="D990">
            <v>0.89093148708343506</v>
          </cell>
        </row>
        <row r="991">
          <cell r="A991" t="str">
            <v>CRI</v>
          </cell>
          <cell r="B991">
            <v>2021</v>
          </cell>
          <cell r="C991" t="str">
            <v>gdp_for_agri</v>
          </cell>
          <cell r="D991">
            <v>-11.95358180999756</v>
          </cell>
        </row>
        <row r="992">
          <cell r="A992" t="str">
            <v>CRI</v>
          </cell>
          <cell r="B992">
            <v>2021</v>
          </cell>
          <cell r="C992" t="str">
            <v>gdp_for_ind</v>
          </cell>
          <cell r="D992">
            <v>0.91044467687606812</v>
          </cell>
        </row>
        <row r="993">
          <cell r="A993" t="str">
            <v>CRI</v>
          </cell>
          <cell r="B993">
            <v>2021</v>
          </cell>
          <cell r="C993" t="str">
            <v>gdp_for_serv</v>
          </cell>
          <cell r="D993">
            <v>2.026577472686768</v>
          </cell>
        </row>
        <row r="994">
          <cell r="A994" t="str">
            <v>CRI</v>
          </cell>
          <cell r="B994">
            <v>2021</v>
          </cell>
          <cell r="C994" t="str">
            <v>gdp_inf_agri</v>
          </cell>
          <cell r="D994">
            <v>82.39105224609375</v>
          </cell>
        </row>
        <row r="995">
          <cell r="A995" t="str">
            <v>CRI</v>
          </cell>
          <cell r="B995">
            <v>2021</v>
          </cell>
          <cell r="C995" t="str">
            <v>gdp_inf_ind</v>
          </cell>
          <cell r="D995">
            <v>0.82465821504592896</v>
          </cell>
        </row>
        <row r="996">
          <cell r="A996" t="str">
            <v>CRI</v>
          </cell>
          <cell r="B996">
            <v>2021</v>
          </cell>
          <cell r="C996" t="str">
            <v>gdp_inf_serv</v>
          </cell>
          <cell r="D996">
            <v>6.6875114440917969</v>
          </cell>
        </row>
        <row r="997">
          <cell r="A997" t="str">
            <v>CRI</v>
          </cell>
          <cell r="B997">
            <v>2021</v>
          </cell>
          <cell r="C997" t="str">
            <v>prod_for_agri</v>
          </cell>
          <cell r="D997">
            <v>1.1378540992736821</v>
          </cell>
        </row>
        <row r="998">
          <cell r="A998" t="str">
            <v>CRI</v>
          </cell>
          <cell r="B998">
            <v>2021</v>
          </cell>
          <cell r="C998" t="str">
            <v>prod_for_ind</v>
          </cell>
          <cell r="D998">
            <v>5.8297915458679199</v>
          </cell>
        </row>
        <row r="999">
          <cell r="A999" t="str">
            <v>CRI</v>
          </cell>
          <cell r="B999">
            <v>2021</v>
          </cell>
          <cell r="C999" t="str">
            <v>prod_for_serv</v>
          </cell>
          <cell r="D999">
            <v>-0.5142781138420105</v>
          </cell>
        </row>
        <row r="1000">
          <cell r="A1000" t="str">
            <v>CRI</v>
          </cell>
          <cell r="B1000">
            <v>2021</v>
          </cell>
          <cell r="C1000" t="str">
            <v>prod_inf_agri</v>
          </cell>
          <cell r="D1000">
            <v>-1.8197504803538319E-2</v>
          </cell>
        </row>
        <row r="1001">
          <cell r="A1001" t="str">
            <v>CRI</v>
          </cell>
          <cell r="B1001">
            <v>2021</v>
          </cell>
          <cell r="C1001" t="str">
            <v>prod_inf_ind</v>
          </cell>
          <cell r="D1001">
            <v>12.78587436676025</v>
          </cell>
        </row>
        <row r="1002">
          <cell r="A1002" t="str">
            <v>CRI</v>
          </cell>
          <cell r="B1002">
            <v>2021</v>
          </cell>
          <cell r="C1002" t="str">
            <v>prod_inf_serv</v>
          </cell>
          <cell r="D1002">
            <v>-3.8729561492800708E-3</v>
          </cell>
        </row>
        <row r="1003">
          <cell r="A1003" t="str">
            <v>CRI</v>
          </cell>
          <cell r="B1003">
            <v>2022</v>
          </cell>
          <cell r="C1003" t="str">
            <v>gdp_activity</v>
          </cell>
          <cell r="D1003">
            <v>-0.37372592091560358</v>
          </cell>
        </row>
        <row r="1004">
          <cell r="A1004" t="str">
            <v>CRI</v>
          </cell>
          <cell r="B1004">
            <v>2022</v>
          </cell>
          <cell r="C1004" t="str">
            <v>gdp_for_agri</v>
          </cell>
          <cell r="D1004">
            <v>0.98097395896911621</v>
          </cell>
        </row>
        <row r="1005">
          <cell r="A1005" t="str">
            <v>CRI</v>
          </cell>
          <cell r="B1005">
            <v>2022</v>
          </cell>
          <cell r="C1005" t="str">
            <v>gdp_for_ind</v>
          </cell>
          <cell r="D1005">
            <v>3.174623966217041</v>
          </cell>
        </row>
        <row r="1006">
          <cell r="A1006" t="str">
            <v>CRI</v>
          </cell>
          <cell r="B1006">
            <v>2022</v>
          </cell>
          <cell r="C1006" t="str">
            <v>gdp_for_serv</v>
          </cell>
          <cell r="D1006">
            <v>1.303199887275696</v>
          </cell>
        </row>
        <row r="1007">
          <cell r="A1007" t="str">
            <v>CRI</v>
          </cell>
          <cell r="B1007">
            <v>2022</v>
          </cell>
          <cell r="C1007" t="str">
            <v>gdp_inf_agri</v>
          </cell>
          <cell r="D1007">
            <v>4.4628901481628418</v>
          </cell>
        </row>
        <row r="1008">
          <cell r="A1008" t="str">
            <v>CRI</v>
          </cell>
          <cell r="B1008">
            <v>2022</v>
          </cell>
          <cell r="C1008" t="str">
            <v>gdp_inf_ind</v>
          </cell>
          <cell r="D1008">
            <v>-2.6270179748535161</v>
          </cell>
        </row>
        <row r="1009">
          <cell r="A1009" t="str">
            <v>CRI</v>
          </cell>
          <cell r="B1009">
            <v>2022</v>
          </cell>
          <cell r="C1009" t="str">
            <v>gdp_inf_serv</v>
          </cell>
          <cell r="D1009">
            <v>-2.2737421989440918</v>
          </cell>
        </row>
        <row r="1010">
          <cell r="A1010" t="str">
            <v>CRI</v>
          </cell>
          <cell r="B1010">
            <v>2022</v>
          </cell>
          <cell r="C1010" t="str">
            <v>prod_for_agri</v>
          </cell>
          <cell r="D1010">
            <v>0.40601694583892822</v>
          </cell>
        </row>
        <row r="1011">
          <cell r="A1011" t="str">
            <v>CRI</v>
          </cell>
          <cell r="B1011">
            <v>2022</v>
          </cell>
          <cell r="C1011" t="str">
            <v>prod_for_ind</v>
          </cell>
          <cell r="D1011">
            <v>7.2704086303710938</v>
          </cell>
        </row>
        <row r="1012">
          <cell r="A1012" t="str">
            <v>CRI</v>
          </cell>
          <cell r="B1012">
            <v>2022</v>
          </cell>
          <cell r="C1012" t="str">
            <v>prod_for_serv</v>
          </cell>
          <cell r="D1012">
            <v>-2.733047246932983</v>
          </cell>
        </row>
        <row r="1013">
          <cell r="A1013" t="str">
            <v>CRI</v>
          </cell>
          <cell r="B1013">
            <v>2022</v>
          </cell>
          <cell r="C1013" t="str">
            <v>prod_inf_agri</v>
          </cell>
          <cell r="D1013">
            <v>8.7288970947265625</v>
          </cell>
        </row>
        <row r="1014">
          <cell r="A1014" t="str">
            <v>CRI</v>
          </cell>
          <cell r="B1014">
            <v>2022</v>
          </cell>
          <cell r="C1014" t="str">
            <v>prod_inf_ind</v>
          </cell>
          <cell r="D1014">
            <v>1.3361279964447019</v>
          </cell>
        </row>
        <row r="1015">
          <cell r="A1015" t="str">
            <v>CRI</v>
          </cell>
          <cell r="B1015">
            <v>2022</v>
          </cell>
          <cell r="C1015" t="str">
            <v>prod_inf_serv</v>
          </cell>
          <cell r="D1015">
            <v>6.4801473617553711</v>
          </cell>
        </row>
        <row r="1016">
          <cell r="A1016" t="str">
            <v>CRI</v>
          </cell>
          <cell r="B1016">
            <v>2023</v>
          </cell>
          <cell r="C1016" t="str">
            <v>gdp_activity</v>
          </cell>
          <cell r="D1016">
            <v>0.26970392465591431</v>
          </cell>
        </row>
        <row r="1017">
          <cell r="A1017" t="str">
            <v>CRI</v>
          </cell>
          <cell r="B1017">
            <v>2023</v>
          </cell>
          <cell r="C1017" t="str">
            <v>gdp_for_agri</v>
          </cell>
          <cell r="D1017">
            <v>-2.2347121238708501</v>
          </cell>
        </row>
        <row r="1018">
          <cell r="A1018" t="str">
            <v>CRI</v>
          </cell>
          <cell r="B1018">
            <v>2023</v>
          </cell>
          <cell r="C1018" t="str">
            <v>gdp_for_ind</v>
          </cell>
          <cell r="D1018">
            <v>0.29106736183166498</v>
          </cell>
        </row>
        <row r="1019">
          <cell r="A1019" t="str">
            <v>CRI</v>
          </cell>
          <cell r="B1019">
            <v>2023</v>
          </cell>
          <cell r="C1019" t="str">
            <v>gdp_for_serv</v>
          </cell>
          <cell r="D1019">
            <v>1.0941624641418459</v>
          </cell>
        </row>
        <row r="1020">
          <cell r="A1020" t="str">
            <v>CRI</v>
          </cell>
          <cell r="B1020">
            <v>2023</v>
          </cell>
          <cell r="C1020" t="str">
            <v>gdp_inf_agri</v>
          </cell>
          <cell r="D1020">
            <v>0.3791746199131012</v>
          </cell>
        </row>
        <row r="1021">
          <cell r="A1021" t="str">
            <v>CRI</v>
          </cell>
          <cell r="B1021">
            <v>2023</v>
          </cell>
          <cell r="C1021" t="str">
            <v>gdp_inf_ind</v>
          </cell>
          <cell r="D1021">
            <v>0.18876273930072779</v>
          </cell>
        </row>
        <row r="1022">
          <cell r="A1022" t="str">
            <v>CRI</v>
          </cell>
          <cell r="B1022">
            <v>2023</v>
          </cell>
          <cell r="C1022" t="str">
            <v>gdp_inf_serv</v>
          </cell>
          <cell r="D1022">
            <v>0.1100000590085983</v>
          </cell>
        </row>
        <row r="1023">
          <cell r="A1023" t="str">
            <v>CRI</v>
          </cell>
          <cell r="B1023">
            <v>2023</v>
          </cell>
          <cell r="C1023" t="str">
            <v>prod_for_agri</v>
          </cell>
          <cell r="D1023">
            <v>0.97231310606002808</v>
          </cell>
        </row>
        <row r="1024">
          <cell r="A1024" t="str">
            <v>CRI</v>
          </cell>
          <cell r="B1024">
            <v>2023</v>
          </cell>
          <cell r="C1024" t="str">
            <v>prod_for_ind</v>
          </cell>
          <cell r="D1024">
            <v>0.83370929956436157</v>
          </cell>
        </row>
        <row r="1025">
          <cell r="A1025" t="str">
            <v>CRI</v>
          </cell>
          <cell r="B1025">
            <v>2023</v>
          </cell>
          <cell r="C1025" t="str">
            <v>prod_for_serv</v>
          </cell>
          <cell r="D1025">
            <v>13.95047092437744</v>
          </cell>
        </row>
        <row r="1026">
          <cell r="A1026" t="str">
            <v>CRI</v>
          </cell>
          <cell r="B1026">
            <v>2023</v>
          </cell>
          <cell r="C1026" t="str">
            <v>prod_inf_agri</v>
          </cell>
          <cell r="D1026">
            <v>1.758024215698242</v>
          </cell>
        </row>
        <row r="1027">
          <cell r="A1027" t="str">
            <v>CRI</v>
          </cell>
          <cell r="B1027">
            <v>2023</v>
          </cell>
          <cell r="C1027" t="str">
            <v>prod_inf_ind</v>
          </cell>
          <cell r="D1027">
            <v>1.5965898036956789</v>
          </cell>
        </row>
        <row r="1028">
          <cell r="A1028" t="str">
            <v>CRI</v>
          </cell>
          <cell r="B1028">
            <v>2023</v>
          </cell>
          <cell r="C1028" t="str">
            <v>prod_inf_serv</v>
          </cell>
          <cell r="D1028">
            <v>6.4689540863037109</v>
          </cell>
        </row>
        <row r="1029">
          <cell r="A1029" t="str">
            <v>DOM</v>
          </cell>
          <cell r="B1029">
            <v>2008</v>
          </cell>
          <cell r="C1029" t="str">
            <v>gdp_activity</v>
          </cell>
          <cell r="D1029">
            <v>0.36943173408508301</v>
          </cell>
        </row>
        <row r="1030">
          <cell r="A1030" t="str">
            <v>DOM</v>
          </cell>
          <cell r="B1030">
            <v>2008</v>
          </cell>
          <cell r="C1030" t="str">
            <v>gdp_for_agri</v>
          </cell>
          <cell r="D1030">
            <v>-11.46928596496582</v>
          </cell>
        </row>
        <row r="1031">
          <cell r="A1031" t="str">
            <v>DOM</v>
          </cell>
          <cell r="B1031">
            <v>2008</v>
          </cell>
          <cell r="C1031" t="str">
            <v>gdp_for_ind</v>
          </cell>
          <cell r="D1031">
            <v>1.7465707063674929</v>
          </cell>
        </row>
        <row r="1032">
          <cell r="A1032" t="str">
            <v>DOM</v>
          </cell>
          <cell r="B1032">
            <v>2008</v>
          </cell>
          <cell r="C1032" t="str">
            <v>gdp_for_serv</v>
          </cell>
          <cell r="D1032">
            <v>2.2330164909362789</v>
          </cell>
        </row>
        <row r="1033">
          <cell r="A1033" t="str">
            <v>DOM</v>
          </cell>
          <cell r="B1033">
            <v>2008</v>
          </cell>
          <cell r="C1033" t="str">
            <v>gdp_inf_agri</v>
          </cell>
          <cell r="D1033">
            <v>7.4574389457702637</v>
          </cell>
        </row>
        <row r="1034">
          <cell r="A1034" t="str">
            <v>DOM</v>
          </cell>
          <cell r="B1034">
            <v>2008</v>
          </cell>
          <cell r="C1034" t="str">
            <v>gdp_inf_ind</v>
          </cell>
          <cell r="D1034">
            <v>-27.419269561767582</v>
          </cell>
        </row>
        <row r="1035">
          <cell r="A1035" t="str">
            <v>DOM</v>
          </cell>
          <cell r="B1035">
            <v>2008</v>
          </cell>
          <cell r="C1035" t="str">
            <v>gdp_inf_serv</v>
          </cell>
          <cell r="D1035">
            <v>-3.2377147674560551</v>
          </cell>
        </row>
        <row r="1036">
          <cell r="A1036" t="str">
            <v>DOM</v>
          </cell>
          <cell r="B1036">
            <v>2008</v>
          </cell>
          <cell r="C1036" t="str">
            <v>prod_for_agri</v>
          </cell>
          <cell r="D1036">
            <v>12.51075649261475</v>
          </cell>
        </row>
        <row r="1037">
          <cell r="A1037" t="str">
            <v>DOM</v>
          </cell>
          <cell r="B1037">
            <v>2008</v>
          </cell>
          <cell r="C1037" t="str">
            <v>prod_for_ind</v>
          </cell>
          <cell r="D1037">
            <v>0.70368826389312744</v>
          </cell>
        </row>
        <row r="1038">
          <cell r="A1038" t="str">
            <v>DOM</v>
          </cell>
          <cell r="B1038">
            <v>2008</v>
          </cell>
          <cell r="C1038" t="str">
            <v>prod_for_serv</v>
          </cell>
          <cell r="D1038">
            <v>0.26458516716957092</v>
          </cell>
        </row>
        <row r="1039">
          <cell r="A1039" t="str">
            <v>DOM</v>
          </cell>
          <cell r="B1039">
            <v>2008</v>
          </cell>
          <cell r="C1039" t="str">
            <v>prod_inf_agri</v>
          </cell>
          <cell r="D1039">
            <v>1.042377352714539</v>
          </cell>
        </row>
        <row r="1040">
          <cell r="A1040" t="str">
            <v>DOM</v>
          </cell>
          <cell r="B1040">
            <v>2008</v>
          </cell>
          <cell r="C1040" t="str">
            <v>prod_inf_ind</v>
          </cell>
          <cell r="D1040">
            <v>-0.44776463508605963</v>
          </cell>
        </row>
        <row r="1041">
          <cell r="A1041" t="str">
            <v>DOM</v>
          </cell>
          <cell r="B1041">
            <v>2008</v>
          </cell>
          <cell r="C1041" t="str">
            <v>prod_inf_serv</v>
          </cell>
          <cell r="D1041">
            <v>-6.0813541412353516</v>
          </cell>
        </row>
        <row r="1042">
          <cell r="A1042" t="str">
            <v>DOM</v>
          </cell>
          <cell r="B1042">
            <v>2009</v>
          </cell>
          <cell r="C1042" t="str">
            <v>gdp_activity</v>
          </cell>
          <cell r="D1042">
            <v>-0.26966008543968201</v>
          </cell>
        </row>
        <row r="1043">
          <cell r="A1043" t="str">
            <v>DOM</v>
          </cell>
          <cell r="B1043">
            <v>2009</v>
          </cell>
          <cell r="C1043" t="str">
            <v>gdp_for_agri</v>
          </cell>
          <cell r="D1043">
            <v>1.519140958786011</v>
          </cell>
        </row>
        <row r="1044">
          <cell r="A1044" t="str">
            <v>DOM</v>
          </cell>
          <cell r="B1044">
            <v>2009</v>
          </cell>
          <cell r="C1044" t="str">
            <v>gdp_for_ind</v>
          </cell>
          <cell r="D1044">
            <v>3.9650194644927979</v>
          </cell>
        </row>
        <row r="1045">
          <cell r="A1045" t="str">
            <v>DOM</v>
          </cell>
          <cell r="B1045">
            <v>2009</v>
          </cell>
          <cell r="C1045" t="str">
            <v>gdp_for_serv</v>
          </cell>
          <cell r="D1045">
            <v>1.7898989915847781</v>
          </cell>
        </row>
        <row r="1046">
          <cell r="A1046" t="str">
            <v>DOM</v>
          </cell>
          <cell r="B1046">
            <v>2009</v>
          </cell>
          <cell r="C1046" t="str">
            <v>gdp_inf_agri</v>
          </cell>
          <cell r="D1046">
            <v>-1.0854477882385249</v>
          </cell>
        </row>
        <row r="1047">
          <cell r="A1047" t="str">
            <v>DOM</v>
          </cell>
          <cell r="B1047">
            <v>2009</v>
          </cell>
          <cell r="C1047" t="str">
            <v>gdp_inf_ind</v>
          </cell>
          <cell r="D1047">
            <v>3.6045384407043461</v>
          </cell>
        </row>
        <row r="1048">
          <cell r="A1048" t="str">
            <v>DOM</v>
          </cell>
          <cell r="B1048">
            <v>2009</v>
          </cell>
          <cell r="C1048" t="str">
            <v>gdp_inf_serv</v>
          </cell>
          <cell r="D1048">
            <v>7.4417799711227417E-2</v>
          </cell>
        </row>
        <row r="1049">
          <cell r="A1049" t="str">
            <v>DOM</v>
          </cell>
          <cell r="B1049">
            <v>2009</v>
          </cell>
          <cell r="C1049" t="str">
            <v>prod_for_agri</v>
          </cell>
          <cell r="D1049">
            <v>3.3284881114959721</v>
          </cell>
        </row>
        <row r="1050">
          <cell r="A1050" t="str">
            <v>DOM</v>
          </cell>
          <cell r="B1050">
            <v>2009</v>
          </cell>
          <cell r="C1050" t="str">
            <v>prod_for_ind</v>
          </cell>
          <cell r="D1050">
            <v>0.48134252429008478</v>
          </cell>
        </row>
        <row r="1051">
          <cell r="A1051" t="str">
            <v>DOM</v>
          </cell>
          <cell r="B1051">
            <v>2009</v>
          </cell>
          <cell r="C1051" t="str">
            <v>prod_for_serv</v>
          </cell>
          <cell r="D1051">
            <v>-4.5941462516784668</v>
          </cell>
        </row>
        <row r="1052">
          <cell r="A1052" t="str">
            <v>DOM</v>
          </cell>
          <cell r="B1052">
            <v>2009</v>
          </cell>
          <cell r="C1052" t="str">
            <v>prod_inf_agri</v>
          </cell>
          <cell r="D1052">
            <v>2.341413259506226</v>
          </cell>
        </row>
        <row r="1053">
          <cell r="A1053" t="str">
            <v>DOM</v>
          </cell>
          <cell r="B1053">
            <v>2009</v>
          </cell>
          <cell r="C1053" t="str">
            <v>prod_inf_ind</v>
          </cell>
          <cell r="D1053">
            <v>1.152816414833069E-2</v>
          </cell>
        </row>
        <row r="1054">
          <cell r="A1054" t="str">
            <v>DOM</v>
          </cell>
          <cell r="B1054">
            <v>2009</v>
          </cell>
          <cell r="C1054" t="str">
            <v>prod_inf_serv</v>
          </cell>
          <cell r="D1054">
            <v>-4.3693380355834961</v>
          </cell>
        </row>
        <row r="1055">
          <cell r="A1055" t="str">
            <v>DOM</v>
          </cell>
          <cell r="B1055">
            <v>2010</v>
          </cell>
          <cell r="C1055" t="str">
            <v>gdp_activity</v>
          </cell>
          <cell r="D1055">
            <v>0.46952882409095759</v>
          </cell>
        </row>
        <row r="1056">
          <cell r="A1056" t="str">
            <v>DOM</v>
          </cell>
          <cell r="B1056">
            <v>2010</v>
          </cell>
          <cell r="C1056" t="str">
            <v>gdp_for_agri</v>
          </cell>
          <cell r="D1056">
            <v>-1.2656500339508061</v>
          </cell>
        </row>
        <row r="1057">
          <cell r="A1057" t="str">
            <v>DOM</v>
          </cell>
          <cell r="B1057">
            <v>2010</v>
          </cell>
          <cell r="C1057" t="str">
            <v>gdp_for_ind</v>
          </cell>
          <cell r="D1057">
            <v>0.84480488300323486</v>
          </cell>
        </row>
        <row r="1058">
          <cell r="A1058" t="str">
            <v>DOM</v>
          </cell>
          <cell r="B1058">
            <v>2010</v>
          </cell>
          <cell r="C1058" t="str">
            <v>gdp_for_serv</v>
          </cell>
          <cell r="D1058">
            <v>1.169161319732666</v>
          </cell>
        </row>
        <row r="1059">
          <cell r="A1059" t="str">
            <v>DOM</v>
          </cell>
          <cell r="B1059">
            <v>2010</v>
          </cell>
          <cell r="C1059" t="str">
            <v>gdp_inf_agri</v>
          </cell>
          <cell r="D1059">
            <v>0.2783929705619812</v>
          </cell>
        </row>
        <row r="1060">
          <cell r="A1060" t="str">
            <v>DOM</v>
          </cell>
          <cell r="B1060">
            <v>2010</v>
          </cell>
          <cell r="C1060" t="str">
            <v>gdp_inf_ind</v>
          </cell>
          <cell r="D1060">
            <v>-0.10000518709421161</v>
          </cell>
        </row>
        <row r="1061">
          <cell r="A1061" t="str">
            <v>DOM</v>
          </cell>
          <cell r="B1061">
            <v>2010</v>
          </cell>
          <cell r="C1061" t="str">
            <v>gdp_inf_serv</v>
          </cell>
          <cell r="D1061">
            <v>-1.138177633285522</v>
          </cell>
        </row>
        <row r="1062">
          <cell r="A1062" t="str">
            <v>DOM</v>
          </cell>
          <cell r="B1062">
            <v>2010</v>
          </cell>
          <cell r="C1062" t="str">
            <v>prod_for_agri</v>
          </cell>
          <cell r="D1062">
            <v>-1.440662264823914</v>
          </cell>
        </row>
        <row r="1063">
          <cell r="A1063" t="str">
            <v>DOM</v>
          </cell>
          <cell r="B1063">
            <v>2010</v>
          </cell>
          <cell r="C1063" t="str">
            <v>prod_for_ind</v>
          </cell>
          <cell r="D1063">
            <v>0.30741754174232477</v>
          </cell>
        </row>
        <row r="1064">
          <cell r="A1064" t="str">
            <v>DOM</v>
          </cell>
          <cell r="B1064">
            <v>2010</v>
          </cell>
          <cell r="C1064" t="str">
            <v>prod_for_serv</v>
          </cell>
          <cell r="D1064">
            <v>-1.754553914070129</v>
          </cell>
        </row>
        <row r="1065">
          <cell r="A1065" t="str">
            <v>DOM</v>
          </cell>
          <cell r="B1065">
            <v>2010</v>
          </cell>
          <cell r="C1065" t="str">
            <v>prod_inf_agri</v>
          </cell>
          <cell r="D1065">
            <v>0.1166342720389366</v>
          </cell>
        </row>
        <row r="1066">
          <cell r="A1066" t="str">
            <v>DOM</v>
          </cell>
          <cell r="B1066">
            <v>2010</v>
          </cell>
          <cell r="C1066" t="str">
            <v>prod_inf_ind</v>
          </cell>
          <cell r="D1066">
            <v>5.0297255516052246</v>
          </cell>
        </row>
        <row r="1067">
          <cell r="A1067" t="str">
            <v>DOM</v>
          </cell>
          <cell r="B1067">
            <v>2010</v>
          </cell>
          <cell r="C1067" t="str">
            <v>prod_inf_serv</v>
          </cell>
          <cell r="D1067">
            <v>-2.9402823448181148</v>
          </cell>
        </row>
        <row r="1068">
          <cell r="A1068" t="str">
            <v>DOM</v>
          </cell>
          <cell r="B1068">
            <v>2011</v>
          </cell>
          <cell r="C1068" t="str">
            <v>gdp_activity</v>
          </cell>
          <cell r="D1068">
            <v>1.2034569978713989</v>
          </cell>
        </row>
        <row r="1069">
          <cell r="A1069" t="str">
            <v>DOM</v>
          </cell>
          <cell r="B1069">
            <v>2011</v>
          </cell>
          <cell r="C1069" t="str">
            <v>gdp_for_agri</v>
          </cell>
          <cell r="D1069">
            <v>2.6175186634063721</v>
          </cell>
        </row>
        <row r="1070">
          <cell r="A1070" t="str">
            <v>DOM</v>
          </cell>
          <cell r="B1070">
            <v>2011</v>
          </cell>
          <cell r="C1070" t="str">
            <v>gdp_for_ind</v>
          </cell>
          <cell r="D1070">
            <v>-2.700009822845459</v>
          </cell>
        </row>
        <row r="1071">
          <cell r="A1071" t="str">
            <v>DOM</v>
          </cell>
          <cell r="B1071">
            <v>2011</v>
          </cell>
          <cell r="C1071" t="str">
            <v>gdp_for_serv</v>
          </cell>
          <cell r="D1071">
            <v>0.72840219736099243</v>
          </cell>
        </row>
        <row r="1072">
          <cell r="A1072" t="str">
            <v>DOM</v>
          </cell>
          <cell r="B1072">
            <v>2011</v>
          </cell>
          <cell r="C1072" t="str">
            <v>gdp_inf_agri</v>
          </cell>
          <cell r="D1072">
            <v>5.4972004890441886</v>
          </cell>
        </row>
        <row r="1073">
          <cell r="A1073" t="str">
            <v>DOM</v>
          </cell>
          <cell r="B1073">
            <v>2011</v>
          </cell>
          <cell r="C1073" t="str">
            <v>gdp_inf_ind</v>
          </cell>
          <cell r="D1073">
            <v>5.3651313781738281</v>
          </cell>
        </row>
        <row r="1074">
          <cell r="A1074" t="str">
            <v>DOM</v>
          </cell>
          <cell r="B1074">
            <v>2011</v>
          </cell>
          <cell r="C1074" t="str">
            <v>gdp_inf_serv</v>
          </cell>
          <cell r="D1074">
            <v>5.4783668518066406</v>
          </cell>
        </row>
        <row r="1075">
          <cell r="A1075" t="str">
            <v>DOM</v>
          </cell>
          <cell r="B1075">
            <v>2011</v>
          </cell>
          <cell r="C1075" t="str">
            <v>prod_for_agri</v>
          </cell>
          <cell r="D1075">
            <v>-1.47418224811554</v>
          </cell>
        </row>
        <row r="1076">
          <cell r="A1076" t="str">
            <v>DOM</v>
          </cell>
          <cell r="B1076">
            <v>2011</v>
          </cell>
          <cell r="C1076" t="str">
            <v>prod_for_ind</v>
          </cell>
          <cell r="D1076">
            <v>-2.23664402961731</v>
          </cell>
        </row>
        <row r="1077">
          <cell r="A1077" t="str">
            <v>DOM</v>
          </cell>
          <cell r="B1077">
            <v>2011</v>
          </cell>
          <cell r="C1077" t="str">
            <v>prod_for_serv</v>
          </cell>
          <cell r="D1077">
            <v>-1.3419778347015381</v>
          </cell>
        </row>
        <row r="1078">
          <cell r="A1078" t="str">
            <v>DOM</v>
          </cell>
          <cell r="B1078">
            <v>2011</v>
          </cell>
          <cell r="C1078" t="str">
            <v>prod_inf_agri</v>
          </cell>
          <cell r="D1078">
            <v>0.7324376106262207</v>
          </cell>
        </row>
        <row r="1079">
          <cell r="A1079" t="str">
            <v>DOM</v>
          </cell>
          <cell r="B1079">
            <v>2011</v>
          </cell>
          <cell r="C1079" t="str">
            <v>prod_inf_ind</v>
          </cell>
          <cell r="D1079">
            <v>-0.82149618864059448</v>
          </cell>
        </row>
        <row r="1080">
          <cell r="A1080" t="str">
            <v>DOM</v>
          </cell>
          <cell r="B1080">
            <v>2011</v>
          </cell>
          <cell r="C1080" t="str">
            <v>prod_inf_serv</v>
          </cell>
          <cell r="D1080">
            <v>-1.446809768676758</v>
          </cell>
        </row>
        <row r="1081">
          <cell r="A1081" t="str">
            <v>DOM</v>
          </cell>
          <cell r="B1081">
            <v>2012</v>
          </cell>
          <cell r="C1081" t="str">
            <v>gdp_activity</v>
          </cell>
          <cell r="D1081">
            <v>0.78639858961105347</v>
          </cell>
        </row>
        <row r="1082">
          <cell r="A1082" t="str">
            <v>DOM</v>
          </cell>
          <cell r="B1082">
            <v>2012</v>
          </cell>
          <cell r="C1082" t="str">
            <v>gdp_for_agri</v>
          </cell>
          <cell r="D1082">
            <v>-5.9162425994873047</v>
          </cell>
        </row>
        <row r="1083">
          <cell r="A1083" t="str">
            <v>DOM</v>
          </cell>
          <cell r="B1083">
            <v>2012</v>
          </cell>
          <cell r="C1083" t="str">
            <v>gdp_for_ind</v>
          </cell>
          <cell r="D1083">
            <v>-9.7647895812988281</v>
          </cell>
        </row>
        <row r="1084">
          <cell r="A1084" t="str">
            <v>DOM</v>
          </cell>
          <cell r="B1084">
            <v>2012</v>
          </cell>
          <cell r="C1084" t="str">
            <v>gdp_for_serv</v>
          </cell>
          <cell r="D1084">
            <v>0.34455746412277222</v>
          </cell>
        </row>
        <row r="1085">
          <cell r="A1085" t="str">
            <v>DOM</v>
          </cell>
          <cell r="B1085">
            <v>2012</v>
          </cell>
          <cell r="C1085" t="str">
            <v>gdp_inf_agri</v>
          </cell>
          <cell r="D1085">
            <v>-6.3108797073364258</v>
          </cell>
        </row>
        <row r="1086">
          <cell r="A1086" t="str">
            <v>DOM</v>
          </cell>
          <cell r="B1086">
            <v>2012</v>
          </cell>
          <cell r="C1086" t="str">
            <v>gdp_inf_ind</v>
          </cell>
          <cell r="D1086">
            <v>-4.390693187713623</v>
          </cell>
        </row>
        <row r="1087">
          <cell r="A1087" t="str">
            <v>DOM</v>
          </cell>
          <cell r="B1087">
            <v>2012</v>
          </cell>
          <cell r="C1087" t="str">
            <v>gdp_inf_serv</v>
          </cell>
          <cell r="D1087">
            <v>2.4656591415405269</v>
          </cell>
        </row>
        <row r="1088">
          <cell r="A1088" t="str">
            <v>DOM</v>
          </cell>
          <cell r="B1088">
            <v>2012</v>
          </cell>
          <cell r="C1088" t="str">
            <v>prod_for_agri</v>
          </cell>
          <cell r="D1088">
            <v>-0.37574750185012817</v>
          </cell>
        </row>
        <row r="1089">
          <cell r="A1089" t="str">
            <v>DOM</v>
          </cell>
          <cell r="B1089">
            <v>2012</v>
          </cell>
          <cell r="C1089" t="str">
            <v>prod_for_ind</v>
          </cell>
          <cell r="D1089">
            <v>5.2722804248332977E-2</v>
          </cell>
        </row>
        <row r="1090">
          <cell r="A1090" t="str">
            <v>DOM</v>
          </cell>
          <cell r="B1090">
            <v>2012</v>
          </cell>
          <cell r="C1090" t="str">
            <v>prod_for_serv</v>
          </cell>
          <cell r="D1090">
            <v>38.660121917724609</v>
          </cell>
        </row>
        <row r="1091">
          <cell r="A1091" t="str">
            <v>DOM</v>
          </cell>
          <cell r="B1091">
            <v>2012</v>
          </cell>
          <cell r="C1091" t="str">
            <v>prod_inf_agri</v>
          </cell>
          <cell r="D1091">
            <v>0.47079694271087652</v>
          </cell>
        </row>
        <row r="1092">
          <cell r="A1092" t="str">
            <v>DOM</v>
          </cell>
          <cell r="B1092">
            <v>2012</v>
          </cell>
          <cell r="C1092" t="str">
            <v>prod_inf_ind</v>
          </cell>
          <cell r="D1092">
            <v>0.83993005752563477</v>
          </cell>
        </row>
        <row r="1093">
          <cell r="A1093" t="str">
            <v>DOM</v>
          </cell>
          <cell r="B1093">
            <v>2012</v>
          </cell>
          <cell r="C1093" t="str">
            <v>prod_inf_serv</v>
          </cell>
          <cell r="D1093">
            <v>18.867431640625</v>
          </cell>
        </row>
        <row r="1094">
          <cell r="A1094" t="str">
            <v>DOM</v>
          </cell>
          <cell r="B1094">
            <v>2013</v>
          </cell>
          <cell r="C1094" t="str">
            <v>gdp_activity</v>
          </cell>
          <cell r="D1094">
            <v>0.30321842432022089</v>
          </cell>
        </row>
        <row r="1095">
          <cell r="A1095" t="str">
            <v>DOM</v>
          </cell>
          <cell r="B1095">
            <v>2013</v>
          </cell>
          <cell r="C1095" t="str">
            <v>gdp_for_agri</v>
          </cell>
          <cell r="D1095">
            <v>1.2551673650741579</v>
          </cell>
        </row>
        <row r="1096">
          <cell r="A1096" t="str">
            <v>DOM</v>
          </cell>
          <cell r="B1096">
            <v>2013</v>
          </cell>
          <cell r="C1096" t="str">
            <v>gdp_for_ind</v>
          </cell>
          <cell r="D1096">
            <v>-0.57434356212615967</v>
          </cell>
        </row>
        <row r="1097">
          <cell r="A1097" t="str">
            <v>DOM</v>
          </cell>
          <cell r="B1097">
            <v>2013</v>
          </cell>
          <cell r="C1097" t="str">
            <v>gdp_for_serv</v>
          </cell>
          <cell r="D1097">
            <v>2.0967848300933838</v>
          </cell>
        </row>
        <row r="1098">
          <cell r="A1098" t="str">
            <v>DOM</v>
          </cell>
          <cell r="B1098">
            <v>2013</v>
          </cell>
          <cell r="C1098" t="str">
            <v>gdp_inf_agri</v>
          </cell>
          <cell r="D1098">
            <v>1.7651436328887939</v>
          </cell>
        </row>
        <row r="1099">
          <cell r="A1099" t="str">
            <v>DOM</v>
          </cell>
          <cell r="B1099">
            <v>2013</v>
          </cell>
          <cell r="C1099" t="str">
            <v>gdp_inf_ind</v>
          </cell>
          <cell r="D1099">
            <v>0.40857025980949402</v>
          </cell>
        </row>
        <row r="1100">
          <cell r="A1100" t="str">
            <v>DOM</v>
          </cell>
          <cell r="B1100">
            <v>2013</v>
          </cell>
          <cell r="C1100" t="str">
            <v>gdp_inf_serv</v>
          </cell>
          <cell r="D1100">
            <v>1.1659500598907471</v>
          </cell>
        </row>
        <row r="1101">
          <cell r="A1101" t="str">
            <v>DOM</v>
          </cell>
          <cell r="B1101">
            <v>2013</v>
          </cell>
          <cell r="C1101" t="str">
            <v>prod_for_agri</v>
          </cell>
          <cell r="D1101">
            <v>6.2461862564086914</v>
          </cell>
        </row>
        <row r="1102">
          <cell r="A1102" t="str">
            <v>DOM</v>
          </cell>
          <cell r="B1102">
            <v>2013</v>
          </cell>
          <cell r="C1102" t="str">
            <v>prod_for_ind</v>
          </cell>
          <cell r="D1102">
            <v>0.1064197346568108</v>
          </cell>
        </row>
        <row r="1103">
          <cell r="A1103" t="str">
            <v>DOM</v>
          </cell>
          <cell r="B1103">
            <v>2013</v>
          </cell>
          <cell r="C1103" t="str">
            <v>prod_for_serv</v>
          </cell>
          <cell r="D1103">
            <v>0.75978702306747437</v>
          </cell>
        </row>
        <row r="1104">
          <cell r="A1104" t="str">
            <v>DOM</v>
          </cell>
          <cell r="B1104">
            <v>2013</v>
          </cell>
          <cell r="C1104" t="str">
            <v>prod_inf_agri</v>
          </cell>
          <cell r="D1104">
            <v>-1.408157110214233</v>
          </cell>
        </row>
        <row r="1105">
          <cell r="A1105" t="str">
            <v>DOM</v>
          </cell>
          <cell r="B1105">
            <v>2013</v>
          </cell>
          <cell r="C1105" t="str">
            <v>prod_inf_ind</v>
          </cell>
          <cell r="D1105">
            <v>-0.2788068950176239</v>
          </cell>
        </row>
        <row r="1106">
          <cell r="A1106" t="str">
            <v>DOM</v>
          </cell>
          <cell r="B1106">
            <v>2013</v>
          </cell>
          <cell r="C1106" t="str">
            <v>prod_inf_serv</v>
          </cell>
          <cell r="D1106">
            <v>3.53217601776123</v>
          </cell>
        </row>
        <row r="1107">
          <cell r="A1107" t="str">
            <v>DOM</v>
          </cell>
          <cell r="B1107">
            <v>2014</v>
          </cell>
          <cell r="C1107" t="str">
            <v>gdp_activity</v>
          </cell>
          <cell r="D1107">
            <v>0.44370138645172119</v>
          </cell>
        </row>
        <row r="1108">
          <cell r="A1108" t="str">
            <v>DOM</v>
          </cell>
          <cell r="B1108">
            <v>2014</v>
          </cell>
          <cell r="C1108" t="str">
            <v>gdp_for_agri</v>
          </cell>
          <cell r="D1108">
            <v>43.44268798828125</v>
          </cell>
        </row>
        <row r="1109">
          <cell r="A1109" t="str">
            <v>DOM</v>
          </cell>
          <cell r="B1109">
            <v>2014</v>
          </cell>
          <cell r="C1109" t="str">
            <v>gdp_for_ind</v>
          </cell>
          <cell r="D1109">
            <v>1.424490094184875</v>
          </cell>
        </row>
        <row r="1110">
          <cell r="A1110" t="str">
            <v>DOM</v>
          </cell>
          <cell r="B1110">
            <v>2014</v>
          </cell>
          <cell r="C1110" t="str">
            <v>gdp_for_serv</v>
          </cell>
          <cell r="D1110">
            <v>2.0062325000762939</v>
          </cell>
        </row>
        <row r="1111">
          <cell r="A1111" t="str">
            <v>DOM</v>
          </cell>
          <cell r="B1111">
            <v>2014</v>
          </cell>
          <cell r="C1111" t="str">
            <v>gdp_inf_agri</v>
          </cell>
          <cell r="D1111">
            <v>-11.57814979553223</v>
          </cell>
        </row>
        <row r="1112">
          <cell r="A1112" t="str">
            <v>DOM</v>
          </cell>
          <cell r="B1112">
            <v>2014</v>
          </cell>
          <cell r="C1112" t="str">
            <v>gdp_inf_ind</v>
          </cell>
          <cell r="D1112">
            <v>-4.3535943031311044</v>
          </cell>
        </row>
        <row r="1113">
          <cell r="A1113" t="str">
            <v>DOM</v>
          </cell>
          <cell r="B1113">
            <v>2014</v>
          </cell>
          <cell r="C1113" t="str">
            <v>gdp_inf_serv</v>
          </cell>
          <cell r="D1113">
            <v>-1.9476194381713869</v>
          </cell>
        </row>
        <row r="1114">
          <cell r="A1114" t="str">
            <v>DOM</v>
          </cell>
          <cell r="B1114">
            <v>2014</v>
          </cell>
          <cell r="C1114" t="str">
            <v>prod_for_agri</v>
          </cell>
          <cell r="D1114">
            <v>-1.1683171987533569</v>
          </cell>
        </row>
        <row r="1115">
          <cell r="A1115" t="str">
            <v>DOM</v>
          </cell>
          <cell r="B1115">
            <v>2014</v>
          </cell>
          <cell r="C1115" t="str">
            <v>prod_for_ind</v>
          </cell>
          <cell r="D1115">
            <v>-4.5211546123027802E-2</v>
          </cell>
        </row>
        <row r="1116">
          <cell r="A1116" t="str">
            <v>DOM</v>
          </cell>
          <cell r="B1116">
            <v>2014</v>
          </cell>
          <cell r="C1116" t="str">
            <v>prod_for_serv</v>
          </cell>
          <cell r="D1116">
            <v>-11.62571811676025</v>
          </cell>
        </row>
        <row r="1117">
          <cell r="A1117" t="str">
            <v>DOM</v>
          </cell>
          <cell r="B1117">
            <v>2014</v>
          </cell>
          <cell r="C1117" t="str">
            <v>prod_inf_agri</v>
          </cell>
          <cell r="D1117">
            <v>0.44772326946258539</v>
          </cell>
        </row>
        <row r="1118">
          <cell r="A1118" t="str">
            <v>DOM</v>
          </cell>
          <cell r="B1118">
            <v>2014</v>
          </cell>
          <cell r="C1118" t="str">
            <v>prod_inf_ind</v>
          </cell>
          <cell r="D1118">
            <v>-0.1127521768212318</v>
          </cell>
        </row>
        <row r="1119">
          <cell r="A1119" t="str">
            <v>DOM</v>
          </cell>
          <cell r="B1119">
            <v>2014</v>
          </cell>
          <cell r="C1119" t="str">
            <v>prod_inf_serv</v>
          </cell>
          <cell r="D1119">
            <v>6.3520402908325204</v>
          </cell>
        </row>
        <row r="1120">
          <cell r="A1120" t="str">
            <v>DOM</v>
          </cell>
          <cell r="B1120">
            <v>2015</v>
          </cell>
          <cell r="C1120" t="str">
            <v>gdp_activity</v>
          </cell>
          <cell r="D1120">
            <v>0.44459748268127441</v>
          </cell>
        </row>
        <row r="1121">
          <cell r="A1121" t="str">
            <v>DOM</v>
          </cell>
          <cell r="B1121">
            <v>2015</v>
          </cell>
          <cell r="C1121" t="str">
            <v>gdp_for_agri</v>
          </cell>
          <cell r="D1121">
            <v>-18.757549285888668</v>
          </cell>
        </row>
        <row r="1122">
          <cell r="A1122" t="str">
            <v>DOM</v>
          </cell>
          <cell r="B1122">
            <v>2015</v>
          </cell>
          <cell r="C1122" t="str">
            <v>gdp_for_ind</v>
          </cell>
          <cell r="D1122">
            <v>0.93850696086883545</v>
          </cell>
        </row>
        <row r="1123">
          <cell r="A1123" t="str">
            <v>DOM</v>
          </cell>
          <cell r="B1123">
            <v>2015</v>
          </cell>
          <cell r="C1123" t="str">
            <v>gdp_for_serv</v>
          </cell>
          <cell r="D1123">
            <v>1.7012491226196289</v>
          </cell>
        </row>
        <row r="1124">
          <cell r="A1124" t="str">
            <v>DOM</v>
          </cell>
          <cell r="B1124">
            <v>2015</v>
          </cell>
          <cell r="C1124" t="str">
            <v>gdp_inf_agri</v>
          </cell>
          <cell r="D1124">
            <v>4.3393678665161133</v>
          </cell>
        </row>
        <row r="1125">
          <cell r="A1125" t="str">
            <v>DOM</v>
          </cell>
          <cell r="B1125">
            <v>2015</v>
          </cell>
          <cell r="C1125" t="str">
            <v>gdp_inf_ind</v>
          </cell>
          <cell r="D1125">
            <v>6.0233488082885742</v>
          </cell>
        </row>
        <row r="1126">
          <cell r="A1126" t="str">
            <v>DOM</v>
          </cell>
          <cell r="B1126">
            <v>2015</v>
          </cell>
          <cell r="C1126" t="str">
            <v>gdp_inf_serv</v>
          </cell>
          <cell r="D1126">
            <v>-0.4110533595085144</v>
          </cell>
        </row>
        <row r="1127">
          <cell r="A1127" t="str">
            <v>DOM</v>
          </cell>
          <cell r="B1127">
            <v>2015</v>
          </cell>
          <cell r="C1127" t="str">
            <v>prod_for_agri</v>
          </cell>
          <cell r="D1127">
            <v>2.4461939930915829E-2</v>
          </cell>
        </row>
        <row r="1128">
          <cell r="A1128" t="str">
            <v>DOM</v>
          </cell>
          <cell r="B1128">
            <v>2015</v>
          </cell>
          <cell r="C1128" t="str">
            <v>prod_for_ind</v>
          </cell>
          <cell r="D1128">
            <v>-4.5033154487609863</v>
          </cell>
        </row>
        <row r="1129">
          <cell r="A1129" t="str">
            <v>DOM</v>
          </cell>
          <cell r="B1129">
            <v>2015</v>
          </cell>
          <cell r="C1129" t="str">
            <v>prod_for_serv</v>
          </cell>
          <cell r="D1129">
            <v>-11.475558280944821</v>
          </cell>
        </row>
        <row r="1130">
          <cell r="A1130" t="str">
            <v>DOM</v>
          </cell>
          <cell r="B1130">
            <v>2015</v>
          </cell>
          <cell r="C1130" t="str">
            <v>prod_inf_agri</v>
          </cell>
          <cell r="D1130">
            <v>-5.9202414005994797E-2</v>
          </cell>
        </row>
        <row r="1131">
          <cell r="A1131" t="str">
            <v>DOM</v>
          </cell>
          <cell r="B1131">
            <v>2015</v>
          </cell>
          <cell r="C1131" t="str">
            <v>prod_inf_ind</v>
          </cell>
          <cell r="D1131">
            <v>-1.167102098464966</v>
          </cell>
        </row>
        <row r="1132">
          <cell r="A1132" t="str">
            <v>DOM</v>
          </cell>
          <cell r="B1132">
            <v>2015</v>
          </cell>
          <cell r="C1132" t="str">
            <v>prod_inf_serv</v>
          </cell>
          <cell r="D1132">
            <v>-4.0111427307128906</v>
          </cell>
        </row>
        <row r="1133">
          <cell r="A1133" t="str">
            <v>DOM</v>
          </cell>
          <cell r="B1133">
            <v>2016</v>
          </cell>
          <cell r="C1133" t="str">
            <v>gdp_activity</v>
          </cell>
          <cell r="D1133">
            <v>0.18479752540588379</v>
          </cell>
        </row>
        <row r="1134">
          <cell r="A1134" t="str">
            <v>DOM</v>
          </cell>
          <cell r="B1134">
            <v>2016</v>
          </cell>
          <cell r="C1134" t="str">
            <v>gdp_for_agri</v>
          </cell>
          <cell r="D1134">
            <v>2.3751099109649658</v>
          </cell>
        </row>
        <row r="1135">
          <cell r="A1135" t="str">
            <v>DOM</v>
          </cell>
          <cell r="B1135">
            <v>2016</v>
          </cell>
          <cell r="C1135" t="str">
            <v>gdp_for_ind</v>
          </cell>
          <cell r="D1135">
            <v>-1.545196652412415</v>
          </cell>
        </row>
        <row r="1136">
          <cell r="A1136" t="str">
            <v>DOM</v>
          </cell>
          <cell r="B1136">
            <v>2016</v>
          </cell>
          <cell r="C1136" t="str">
            <v>gdp_for_serv</v>
          </cell>
          <cell r="D1136">
            <v>1.321253180503845</v>
          </cell>
        </row>
        <row r="1137">
          <cell r="A1137" t="str">
            <v>DOM</v>
          </cell>
          <cell r="B1137">
            <v>2016</v>
          </cell>
          <cell r="C1137" t="str">
            <v>gdp_inf_agri</v>
          </cell>
          <cell r="D1137">
            <v>6.1530227661132813</v>
          </cell>
        </row>
        <row r="1138">
          <cell r="A1138" t="str">
            <v>DOM</v>
          </cell>
          <cell r="B1138">
            <v>2016</v>
          </cell>
          <cell r="C1138" t="str">
            <v>gdp_inf_ind</v>
          </cell>
          <cell r="D1138">
            <v>-2.5010819435119629</v>
          </cell>
        </row>
        <row r="1139">
          <cell r="A1139" t="str">
            <v>DOM</v>
          </cell>
          <cell r="B1139">
            <v>2016</v>
          </cell>
          <cell r="C1139" t="str">
            <v>gdp_inf_serv</v>
          </cell>
          <cell r="D1139">
            <v>-0.44307434558868408</v>
          </cell>
        </row>
        <row r="1140">
          <cell r="A1140" t="str">
            <v>DOM</v>
          </cell>
          <cell r="B1140">
            <v>2016</v>
          </cell>
          <cell r="C1140" t="str">
            <v>prod_for_agri</v>
          </cell>
          <cell r="D1140">
            <v>0.67176979780197144</v>
          </cell>
        </row>
        <row r="1141">
          <cell r="A1141" t="str">
            <v>DOM</v>
          </cell>
          <cell r="B1141">
            <v>2016</v>
          </cell>
          <cell r="C1141" t="str">
            <v>prod_for_ind</v>
          </cell>
          <cell r="D1141">
            <v>-0.29666230082511902</v>
          </cell>
        </row>
        <row r="1142">
          <cell r="A1142" t="str">
            <v>DOM</v>
          </cell>
          <cell r="B1142">
            <v>2016</v>
          </cell>
          <cell r="C1142" t="str">
            <v>prod_for_serv</v>
          </cell>
          <cell r="D1142">
            <v>13.92615222930908</v>
          </cell>
        </row>
        <row r="1143">
          <cell r="A1143" t="str">
            <v>DOM</v>
          </cell>
          <cell r="B1143">
            <v>2016</v>
          </cell>
          <cell r="C1143" t="str">
            <v>prod_inf_agri</v>
          </cell>
          <cell r="D1143">
            <v>-0.43256470561027532</v>
          </cell>
        </row>
        <row r="1144">
          <cell r="A1144" t="str">
            <v>DOM</v>
          </cell>
          <cell r="B1144">
            <v>2016</v>
          </cell>
          <cell r="C1144" t="str">
            <v>prod_inf_ind</v>
          </cell>
          <cell r="D1144">
            <v>-0.13625457882881159</v>
          </cell>
        </row>
        <row r="1145">
          <cell r="A1145" t="str">
            <v>DOM</v>
          </cell>
          <cell r="B1145">
            <v>2016</v>
          </cell>
          <cell r="C1145" t="str">
            <v>prod_inf_serv</v>
          </cell>
          <cell r="D1145">
            <v>30.430135726928711</v>
          </cell>
        </row>
        <row r="1146">
          <cell r="A1146" t="str">
            <v>DOM</v>
          </cell>
          <cell r="B1146">
            <v>2017</v>
          </cell>
          <cell r="C1146" t="str">
            <v>gdp_activity</v>
          </cell>
          <cell r="D1146">
            <v>1.207257747650146</v>
          </cell>
        </row>
        <row r="1147">
          <cell r="A1147" t="str">
            <v>DOM</v>
          </cell>
          <cell r="B1147">
            <v>2017</v>
          </cell>
          <cell r="C1147" t="str">
            <v>gdp_for_agri</v>
          </cell>
          <cell r="D1147">
            <v>1.495810747146606</v>
          </cell>
        </row>
        <row r="1148">
          <cell r="A1148" t="str">
            <v>DOM</v>
          </cell>
          <cell r="B1148">
            <v>2017</v>
          </cell>
          <cell r="C1148" t="str">
            <v>gdp_for_ind</v>
          </cell>
          <cell r="D1148">
            <v>7.5021963119506836</v>
          </cell>
        </row>
        <row r="1149">
          <cell r="A1149" t="str">
            <v>DOM</v>
          </cell>
          <cell r="B1149">
            <v>2017</v>
          </cell>
          <cell r="C1149" t="str">
            <v>gdp_for_serv</v>
          </cell>
          <cell r="D1149">
            <v>-1.8102132081985469</v>
          </cell>
        </row>
        <row r="1150">
          <cell r="A1150" t="str">
            <v>DOM</v>
          </cell>
          <cell r="B1150">
            <v>2017</v>
          </cell>
          <cell r="C1150" t="str">
            <v>gdp_inf_agri</v>
          </cell>
          <cell r="D1150">
            <v>126.98863220214839</v>
          </cell>
        </row>
        <row r="1151">
          <cell r="A1151" t="str">
            <v>DOM</v>
          </cell>
          <cell r="B1151">
            <v>2017</v>
          </cell>
          <cell r="C1151" t="str">
            <v>gdp_inf_ind</v>
          </cell>
          <cell r="D1151">
            <v>170.52919006347659</v>
          </cell>
        </row>
        <row r="1152">
          <cell r="A1152" t="str">
            <v>DOM</v>
          </cell>
          <cell r="B1152">
            <v>2017</v>
          </cell>
          <cell r="C1152" t="str">
            <v>gdp_inf_serv</v>
          </cell>
          <cell r="D1152">
            <v>73.620574951171875</v>
          </cell>
        </row>
        <row r="1153">
          <cell r="A1153" t="str">
            <v>DOM</v>
          </cell>
          <cell r="B1153">
            <v>2017</v>
          </cell>
          <cell r="C1153" t="str">
            <v>prod_for_agri</v>
          </cell>
          <cell r="D1153">
            <v>4.9611084163188927E-2</v>
          </cell>
        </row>
        <row r="1154">
          <cell r="A1154" t="str">
            <v>DOM</v>
          </cell>
          <cell r="B1154">
            <v>2017</v>
          </cell>
          <cell r="C1154" t="str">
            <v>prod_for_ind</v>
          </cell>
          <cell r="D1154">
            <v>0.21682929992675781</v>
          </cell>
        </row>
        <row r="1155">
          <cell r="A1155" t="str">
            <v>DOM</v>
          </cell>
          <cell r="B1155">
            <v>2017</v>
          </cell>
          <cell r="C1155" t="str">
            <v>prod_for_serv</v>
          </cell>
          <cell r="D1155">
            <v>0.19620232284069061</v>
          </cell>
        </row>
        <row r="1156">
          <cell r="A1156" t="str">
            <v>DOM</v>
          </cell>
          <cell r="B1156">
            <v>2017</v>
          </cell>
          <cell r="C1156" t="str">
            <v>prod_inf_agri</v>
          </cell>
          <cell r="D1156">
            <v>-0.26248231530189509</v>
          </cell>
        </row>
        <row r="1157">
          <cell r="A1157" t="str">
            <v>DOM</v>
          </cell>
          <cell r="B1157">
            <v>2017</v>
          </cell>
          <cell r="C1157" t="str">
            <v>prod_inf_ind</v>
          </cell>
          <cell r="D1157">
            <v>-0.88074129819869995</v>
          </cell>
        </row>
        <row r="1158">
          <cell r="A1158" t="str">
            <v>DOM</v>
          </cell>
          <cell r="B1158">
            <v>2017</v>
          </cell>
          <cell r="C1158" t="str">
            <v>prod_inf_serv</v>
          </cell>
          <cell r="D1158">
            <v>-0.6392662525177002</v>
          </cell>
        </row>
        <row r="1159">
          <cell r="A1159" t="str">
            <v>DOM</v>
          </cell>
          <cell r="B1159">
            <v>2018</v>
          </cell>
          <cell r="C1159" t="str">
            <v>gdp_activity</v>
          </cell>
          <cell r="D1159">
            <v>0.59492224454879761</v>
          </cell>
        </row>
        <row r="1160">
          <cell r="A1160" t="str">
            <v>DOM</v>
          </cell>
          <cell r="B1160">
            <v>2018</v>
          </cell>
          <cell r="C1160" t="str">
            <v>gdp_for_agri</v>
          </cell>
          <cell r="D1160">
            <v>-0.38426175713539118</v>
          </cell>
        </row>
        <row r="1161">
          <cell r="A1161" t="str">
            <v>DOM</v>
          </cell>
          <cell r="B1161">
            <v>2018</v>
          </cell>
          <cell r="C1161" t="str">
            <v>gdp_for_ind</v>
          </cell>
          <cell r="D1161">
            <v>0.16231980919837949</v>
          </cell>
        </row>
        <row r="1162">
          <cell r="A1162" t="str">
            <v>DOM</v>
          </cell>
          <cell r="B1162">
            <v>2018</v>
          </cell>
          <cell r="C1162" t="str">
            <v>gdp_for_serv</v>
          </cell>
          <cell r="D1162">
            <v>1.140201091766357</v>
          </cell>
        </row>
        <row r="1163">
          <cell r="A1163" t="str">
            <v>DOM</v>
          </cell>
          <cell r="B1163">
            <v>2018</v>
          </cell>
          <cell r="C1163" t="str">
            <v>gdp_inf_agri</v>
          </cell>
          <cell r="D1163">
            <v>-0.404317706823349</v>
          </cell>
        </row>
        <row r="1164">
          <cell r="A1164" t="str">
            <v>DOM</v>
          </cell>
          <cell r="B1164">
            <v>2018</v>
          </cell>
          <cell r="C1164" t="str">
            <v>gdp_inf_ind</v>
          </cell>
          <cell r="D1164">
            <v>1.4109716415405269</v>
          </cell>
        </row>
        <row r="1165">
          <cell r="A1165" t="str">
            <v>DOM</v>
          </cell>
          <cell r="B1165">
            <v>2018</v>
          </cell>
          <cell r="C1165" t="str">
            <v>gdp_inf_serv</v>
          </cell>
          <cell r="D1165">
            <v>0.70382070541381836</v>
          </cell>
        </row>
        <row r="1166">
          <cell r="A1166" t="str">
            <v>DOM</v>
          </cell>
          <cell r="B1166">
            <v>2018</v>
          </cell>
          <cell r="C1166" t="str">
            <v>prod_for_agri</v>
          </cell>
          <cell r="D1166">
            <v>0.66848033666610718</v>
          </cell>
        </row>
        <row r="1167">
          <cell r="A1167" t="str">
            <v>DOM</v>
          </cell>
          <cell r="B1167">
            <v>2018</v>
          </cell>
          <cell r="C1167" t="str">
            <v>prod_for_ind</v>
          </cell>
          <cell r="D1167">
            <v>-5.1195006370544434</v>
          </cell>
        </row>
        <row r="1168">
          <cell r="A1168" t="str">
            <v>DOM</v>
          </cell>
          <cell r="B1168">
            <v>2018</v>
          </cell>
          <cell r="C1168" t="str">
            <v>prod_for_serv</v>
          </cell>
          <cell r="D1168">
            <v>35.048484802246087</v>
          </cell>
        </row>
        <row r="1169">
          <cell r="A1169" t="str">
            <v>DOM</v>
          </cell>
          <cell r="B1169">
            <v>2018</v>
          </cell>
          <cell r="C1169" t="str">
            <v>prod_inf_agri</v>
          </cell>
          <cell r="D1169">
            <v>1.491447925567627</v>
          </cell>
        </row>
        <row r="1170">
          <cell r="A1170" t="str">
            <v>DOM</v>
          </cell>
          <cell r="B1170">
            <v>2018</v>
          </cell>
          <cell r="C1170" t="str">
            <v>prod_inf_ind</v>
          </cell>
          <cell r="D1170">
            <v>8.2904262542724609</v>
          </cell>
        </row>
        <row r="1171">
          <cell r="A1171" t="str">
            <v>DOM</v>
          </cell>
          <cell r="B1171">
            <v>2018</v>
          </cell>
          <cell r="C1171" t="str">
            <v>prod_inf_serv</v>
          </cell>
          <cell r="D1171">
            <v>4.3751168251037598</v>
          </cell>
        </row>
        <row r="1172">
          <cell r="A1172" t="str">
            <v>DOM</v>
          </cell>
          <cell r="B1172">
            <v>2019</v>
          </cell>
          <cell r="C1172" t="str">
            <v>gdp_activity</v>
          </cell>
          <cell r="D1172">
            <v>0.29056167602539063</v>
          </cell>
        </row>
        <row r="1173">
          <cell r="A1173" t="str">
            <v>DOM</v>
          </cell>
          <cell r="B1173">
            <v>2019</v>
          </cell>
          <cell r="C1173" t="str">
            <v>gdp_for_agri</v>
          </cell>
          <cell r="D1173">
            <v>-1.212018489837646</v>
          </cell>
        </row>
        <row r="1174">
          <cell r="A1174" t="str">
            <v>DOM</v>
          </cell>
          <cell r="B1174">
            <v>2019</v>
          </cell>
          <cell r="C1174" t="str">
            <v>gdp_for_ind</v>
          </cell>
          <cell r="D1174">
            <v>0.7682608962059021</v>
          </cell>
        </row>
        <row r="1175">
          <cell r="A1175" t="str">
            <v>DOM</v>
          </cell>
          <cell r="B1175">
            <v>2019</v>
          </cell>
          <cell r="C1175" t="str">
            <v>gdp_for_serv</v>
          </cell>
          <cell r="D1175">
            <v>2.4272992610931401</v>
          </cell>
        </row>
        <row r="1176">
          <cell r="A1176" t="str">
            <v>DOM</v>
          </cell>
          <cell r="B1176">
            <v>2019</v>
          </cell>
          <cell r="C1176" t="str">
            <v>gdp_inf_agri</v>
          </cell>
          <cell r="D1176">
            <v>-1.3488103151321409</v>
          </cell>
        </row>
        <row r="1177">
          <cell r="A1177" t="str">
            <v>DOM</v>
          </cell>
          <cell r="B1177">
            <v>2019</v>
          </cell>
          <cell r="C1177" t="str">
            <v>gdp_inf_ind</v>
          </cell>
          <cell r="D1177">
            <v>-1.798163175582886</v>
          </cell>
        </row>
        <row r="1178">
          <cell r="A1178" t="str">
            <v>DOM</v>
          </cell>
          <cell r="B1178">
            <v>2019</v>
          </cell>
          <cell r="C1178" t="str">
            <v>gdp_inf_serv</v>
          </cell>
          <cell r="D1178">
            <v>-0.71933221817016602</v>
          </cell>
        </row>
        <row r="1179">
          <cell r="A1179" t="str">
            <v>DOM</v>
          </cell>
          <cell r="B1179">
            <v>2019</v>
          </cell>
          <cell r="C1179" t="str">
            <v>prod_for_agri</v>
          </cell>
          <cell r="D1179">
            <v>-0.67308908700942993</v>
          </cell>
        </row>
        <row r="1180">
          <cell r="A1180" t="str">
            <v>DOM</v>
          </cell>
          <cell r="B1180">
            <v>2019</v>
          </cell>
          <cell r="C1180" t="str">
            <v>prod_for_ind</v>
          </cell>
          <cell r="D1180">
            <v>0.6833878755569458</v>
          </cell>
        </row>
        <row r="1181">
          <cell r="A1181" t="str">
            <v>DOM</v>
          </cell>
          <cell r="B1181">
            <v>2019</v>
          </cell>
          <cell r="C1181" t="str">
            <v>prod_for_serv</v>
          </cell>
          <cell r="D1181">
            <v>-8.8072366714477539</v>
          </cell>
        </row>
        <row r="1182">
          <cell r="A1182" t="str">
            <v>DOM</v>
          </cell>
          <cell r="B1182">
            <v>2019</v>
          </cell>
          <cell r="C1182" t="str">
            <v>prod_inf_agri</v>
          </cell>
          <cell r="D1182">
            <v>-0.68587571382522583</v>
          </cell>
        </row>
        <row r="1183">
          <cell r="A1183" t="str">
            <v>DOM</v>
          </cell>
          <cell r="B1183">
            <v>2019</v>
          </cell>
          <cell r="C1183" t="str">
            <v>prod_inf_ind</v>
          </cell>
          <cell r="D1183">
            <v>0.183842808008194</v>
          </cell>
        </row>
        <row r="1184">
          <cell r="A1184" t="str">
            <v>DOM</v>
          </cell>
          <cell r="B1184">
            <v>2019</v>
          </cell>
          <cell r="C1184" t="str">
            <v>prod_inf_serv</v>
          </cell>
          <cell r="D1184">
            <v>2.3797519207000728</v>
          </cell>
        </row>
        <row r="1185">
          <cell r="A1185" t="str">
            <v>DOM</v>
          </cell>
          <cell r="B1185">
            <v>2020</v>
          </cell>
          <cell r="C1185" t="str">
            <v>gdp_activity</v>
          </cell>
          <cell r="D1185">
            <v>0.98778736591339111</v>
          </cell>
        </row>
        <row r="1186">
          <cell r="A1186" t="str">
            <v>DOM</v>
          </cell>
          <cell r="B1186">
            <v>2020</v>
          </cell>
          <cell r="C1186" t="str">
            <v>gdp_for_agri</v>
          </cell>
          <cell r="D1186">
            <v>-1.6185969114303591</v>
          </cell>
        </row>
        <row r="1187">
          <cell r="A1187" t="str">
            <v>DOM</v>
          </cell>
          <cell r="B1187">
            <v>2020</v>
          </cell>
          <cell r="C1187" t="str">
            <v>gdp_for_ind</v>
          </cell>
          <cell r="D1187">
            <v>-0.31698012351989752</v>
          </cell>
        </row>
        <row r="1188">
          <cell r="A1188" t="str">
            <v>DOM</v>
          </cell>
          <cell r="B1188">
            <v>2020</v>
          </cell>
          <cell r="C1188" t="str">
            <v>gdp_for_serv</v>
          </cell>
          <cell r="D1188">
            <v>1.9744526147842409</v>
          </cell>
        </row>
        <row r="1189">
          <cell r="A1189" t="str">
            <v>DOM</v>
          </cell>
          <cell r="B1189">
            <v>2020</v>
          </cell>
          <cell r="C1189" t="str">
            <v>gdp_inf_agri</v>
          </cell>
          <cell r="D1189">
            <v>-1.9050488471984861</v>
          </cell>
        </row>
        <row r="1190">
          <cell r="A1190" t="str">
            <v>DOM</v>
          </cell>
          <cell r="B1190">
            <v>2020</v>
          </cell>
          <cell r="C1190" t="str">
            <v>gdp_inf_ind</v>
          </cell>
          <cell r="D1190">
            <v>0.27560904622077942</v>
          </cell>
        </row>
        <row r="1191">
          <cell r="A1191" t="str">
            <v>DOM</v>
          </cell>
          <cell r="B1191">
            <v>2020</v>
          </cell>
          <cell r="C1191" t="str">
            <v>gdp_inf_serv</v>
          </cell>
          <cell r="D1191">
            <v>0.83976399898529053</v>
          </cell>
        </row>
        <row r="1192">
          <cell r="A1192" t="str">
            <v>DOM</v>
          </cell>
          <cell r="B1192">
            <v>2020</v>
          </cell>
          <cell r="C1192" t="str">
            <v>prod_for_agri</v>
          </cell>
          <cell r="D1192">
            <v>-1.286953806877136</v>
          </cell>
        </row>
        <row r="1193">
          <cell r="A1193" t="str">
            <v>DOM</v>
          </cell>
          <cell r="B1193">
            <v>2020</v>
          </cell>
          <cell r="C1193" t="str">
            <v>prod_for_ind</v>
          </cell>
          <cell r="D1193">
            <v>2.3341727256774898</v>
          </cell>
        </row>
        <row r="1194">
          <cell r="A1194" t="str">
            <v>DOM</v>
          </cell>
          <cell r="B1194">
            <v>2020</v>
          </cell>
          <cell r="C1194" t="str">
            <v>prod_for_serv</v>
          </cell>
          <cell r="D1194">
            <v>-3.3672115802764888</v>
          </cell>
        </row>
        <row r="1195">
          <cell r="A1195" t="str">
            <v>DOM</v>
          </cell>
          <cell r="B1195">
            <v>2020</v>
          </cell>
          <cell r="C1195" t="str">
            <v>prod_inf_agri</v>
          </cell>
          <cell r="D1195">
            <v>-1.384583711624146</v>
          </cell>
        </row>
        <row r="1196">
          <cell r="A1196" t="str">
            <v>DOM</v>
          </cell>
          <cell r="B1196">
            <v>2020</v>
          </cell>
          <cell r="C1196" t="str">
            <v>prod_inf_ind</v>
          </cell>
          <cell r="D1196">
            <v>1.4494224786758421</v>
          </cell>
        </row>
        <row r="1197">
          <cell r="A1197" t="str">
            <v>DOM</v>
          </cell>
          <cell r="B1197">
            <v>2020</v>
          </cell>
          <cell r="C1197" t="str">
            <v>prod_inf_serv</v>
          </cell>
          <cell r="D1197">
            <v>-4.8781671524047852</v>
          </cell>
        </row>
        <row r="1198">
          <cell r="A1198" t="str">
            <v>DOM</v>
          </cell>
          <cell r="B1198">
            <v>2021</v>
          </cell>
          <cell r="C1198" t="str">
            <v>gdp_activity</v>
          </cell>
          <cell r="D1198">
            <v>0.55581790208816528</v>
          </cell>
        </row>
        <row r="1199">
          <cell r="A1199" t="str">
            <v>DOM</v>
          </cell>
          <cell r="B1199">
            <v>2021</v>
          </cell>
          <cell r="C1199" t="str">
            <v>gdp_for_agri</v>
          </cell>
          <cell r="D1199">
            <v>-5.9002237319946289</v>
          </cell>
        </row>
        <row r="1200">
          <cell r="A1200" t="str">
            <v>DOM</v>
          </cell>
          <cell r="B1200">
            <v>2021</v>
          </cell>
          <cell r="C1200" t="str">
            <v>gdp_for_ind</v>
          </cell>
          <cell r="D1200">
            <v>-0.35291105508804321</v>
          </cell>
        </row>
        <row r="1201">
          <cell r="A1201" t="str">
            <v>DOM</v>
          </cell>
          <cell r="B1201">
            <v>2021</v>
          </cell>
          <cell r="C1201" t="str">
            <v>gdp_for_serv</v>
          </cell>
          <cell r="D1201">
            <v>0.41996395587921143</v>
          </cell>
        </row>
        <row r="1202">
          <cell r="A1202" t="str">
            <v>DOM</v>
          </cell>
          <cell r="B1202">
            <v>2021</v>
          </cell>
          <cell r="C1202" t="str">
            <v>gdp_inf_agri</v>
          </cell>
          <cell r="D1202">
            <v>-1.701423764228821</v>
          </cell>
        </row>
        <row r="1203">
          <cell r="A1203" t="str">
            <v>DOM</v>
          </cell>
          <cell r="B1203">
            <v>2021</v>
          </cell>
          <cell r="C1203" t="str">
            <v>gdp_inf_ind</v>
          </cell>
          <cell r="D1203">
            <v>1.4651240110397341</v>
          </cell>
        </row>
        <row r="1204">
          <cell r="A1204" t="str">
            <v>DOM</v>
          </cell>
          <cell r="B1204">
            <v>2021</v>
          </cell>
          <cell r="C1204" t="str">
            <v>gdp_inf_serv</v>
          </cell>
          <cell r="D1204">
            <v>1.077955365180969</v>
          </cell>
        </row>
        <row r="1205">
          <cell r="A1205" t="str">
            <v>DOM</v>
          </cell>
          <cell r="B1205">
            <v>2021</v>
          </cell>
          <cell r="C1205" t="str">
            <v>prod_for_agri</v>
          </cell>
          <cell r="D1205">
            <v>1.836889266967773</v>
          </cell>
        </row>
        <row r="1206">
          <cell r="A1206" t="str">
            <v>DOM</v>
          </cell>
          <cell r="B1206">
            <v>2021</v>
          </cell>
          <cell r="C1206" t="str">
            <v>prod_for_ind</v>
          </cell>
          <cell r="D1206">
            <v>2.3517525196075439</v>
          </cell>
        </row>
        <row r="1207">
          <cell r="A1207" t="str">
            <v>DOM</v>
          </cell>
          <cell r="B1207">
            <v>2021</v>
          </cell>
          <cell r="C1207" t="str">
            <v>prod_for_serv</v>
          </cell>
          <cell r="D1207">
            <v>-1.3153724670410161</v>
          </cell>
        </row>
        <row r="1208">
          <cell r="A1208" t="str">
            <v>DOM</v>
          </cell>
          <cell r="B1208">
            <v>2021</v>
          </cell>
          <cell r="C1208" t="str">
            <v>prod_inf_agri</v>
          </cell>
          <cell r="D1208">
            <v>0.19913710653781891</v>
          </cell>
        </row>
        <row r="1209">
          <cell r="A1209" t="str">
            <v>DOM</v>
          </cell>
          <cell r="B1209">
            <v>2021</v>
          </cell>
          <cell r="C1209" t="str">
            <v>prod_inf_ind</v>
          </cell>
          <cell r="D1209">
            <v>0.2499767541885376</v>
          </cell>
        </row>
        <row r="1210">
          <cell r="A1210" t="str">
            <v>DOM</v>
          </cell>
          <cell r="B1210">
            <v>2021</v>
          </cell>
          <cell r="C1210" t="str">
            <v>prod_inf_serv</v>
          </cell>
          <cell r="D1210">
            <v>-1.015275359153748</v>
          </cell>
        </row>
        <row r="1211">
          <cell r="A1211" t="str">
            <v>DOM</v>
          </cell>
          <cell r="B1211">
            <v>2022</v>
          </cell>
          <cell r="C1211" t="str">
            <v>gdp_activity</v>
          </cell>
          <cell r="D1211">
            <v>-0.35169526934623718</v>
          </cell>
        </row>
        <row r="1212">
          <cell r="A1212" t="str">
            <v>DOM</v>
          </cell>
          <cell r="B1212">
            <v>2022</v>
          </cell>
          <cell r="C1212" t="str">
            <v>gdp_for_agri</v>
          </cell>
          <cell r="D1212">
            <v>6.3513288497924796</v>
          </cell>
        </row>
        <row r="1213">
          <cell r="A1213" t="str">
            <v>DOM</v>
          </cell>
          <cell r="B1213">
            <v>2022</v>
          </cell>
          <cell r="C1213" t="str">
            <v>gdp_for_ind</v>
          </cell>
          <cell r="D1213">
            <v>-6.2449002265930176</v>
          </cell>
        </row>
        <row r="1214">
          <cell r="A1214" t="str">
            <v>DOM</v>
          </cell>
          <cell r="B1214">
            <v>2022</v>
          </cell>
          <cell r="C1214" t="str">
            <v>gdp_for_serv</v>
          </cell>
          <cell r="D1214">
            <v>0.83329826593399048</v>
          </cell>
        </row>
        <row r="1215">
          <cell r="A1215" t="str">
            <v>DOM</v>
          </cell>
          <cell r="B1215">
            <v>2022</v>
          </cell>
          <cell r="C1215" t="str">
            <v>gdp_inf_agri</v>
          </cell>
          <cell r="D1215">
            <v>-0.84946262836456299</v>
          </cell>
        </row>
        <row r="1216">
          <cell r="A1216" t="str">
            <v>DOM</v>
          </cell>
          <cell r="B1216">
            <v>2022</v>
          </cell>
          <cell r="C1216" t="str">
            <v>gdp_inf_ind</v>
          </cell>
          <cell r="D1216">
            <v>-3.2311966419219971</v>
          </cell>
        </row>
        <row r="1217">
          <cell r="A1217" t="str">
            <v>DOM</v>
          </cell>
          <cell r="B1217">
            <v>2022</v>
          </cell>
          <cell r="C1217" t="str">
            <v>gdp_inf_serv</v>
          </cell>
          <cell r="D1217">
            <v>0.26906883716583252</v>
          </cell>
        </row>
        <row r="1218">
          <cell r="A1218" t="str">
            <v>DOM</v>
          </cell>
          <cell r="B1218">
            <v>2022</v>
          </cell>
          <cell r="C1218" t="str">
            <v>prod_for_agri</v>
          </cell>
          <cell r="D1218">
            <v>0.82078355550765991</v>
          </cell>
        </row>
        <row r="1219">
          <cell r="A1219" t="str">
            <v>DOM</v>
          </cell>
          <cell r="B1219">
            <v>2022</v>
          </cell>
          <cell r="C1219" t="str">
            <v>prod_for_ind</v>
          </cell>
          <cell r="D1219">
            <v>0.19493190944194791</v>
          </cell>
        </row>
        <row r="1220">
          <cell r="A1220" t="str">
            <v>DOM</v>
          </cell>
          <cell r="B1220">
            <v>2022</v>
          </cell>
          <cell r="C1220" t="str">
            <v>prod_for_serv</v>
          </cell>
          <cell r="D1220">
            <v>-0.3279414176940918</v>
          </cell>
        </row>
        <row r="1221">
          <cell r="A1221" t="str">
            <v>DOM</v>
          </cell>
          <cell r="B1221">
            <v>2022</v>
          </cell>
          <cell r="C1221" t="str">
            <v>prod_inf_agri</v>
          </cell>
          <cell r="D1221">
            <v>0.16319297254085541</v>
          </cell>
        </row>
        <row r="1222">
          <cell r="A1222" t="str">
            <v>DOM</v>
          </cell>
          <cell r="B1222">
            <v>2022</v>
          </cell>
          <cell r="C1222" t="str">
            <v>prod_inf_ind</v>
          </cell>
          <cell r="D1222">
            <v>-0.1135263592004776</v>
          </cell>
        </row>
        <row r="1223">
          <cell r="A1223" t="str">
            <v>DOM</v>
          </cell>
          <cell r="B1223">
            <v>2022</v>
          </cell>
          <cell r="C1223" t="str">
            <v>prod_inf_serv</v>
          </cell>
          <cell r="D1223">
            <v>2.8755838871002202</v>
          </cell>
        </row>
        <row r="1224">
          <cell r="A1224" t="str">
            <v>DOM</v>
          </cell>
          <cell r="B1224">
            <v>2023</v>
          </cell>
          <cell r="C1224" t="str">
            <v>gdp_activity</v>
          </cell>
          <cell r="D1224">
            <v>2.1261641979217529</v>
          </cell>
        </row>
        <row r="1225">
          <cell r="A1225" t="str">
            <v>DOM</v>
          </cell>
          <cell r="B1225">
            <v>2023</v>
          </cell>
          <cell r="C1225" t="str">
            <v>gdp_for_agri</v>
          </cell>
          <cell r="D1225">
            <v>-5.5111527442932129</v>
          </cell>
        </row>
        <row r="1226">
          <cell r="A1226" t="str">
            <v>DOM</v>
          </cell>
          <cell r="B1226">
            <v>2023</v>
          </cell>
          <cell r="C1226" t="str">
            <v>gdp_for_ind</v>
          </cell>
          <cell r="D1226">
            <v>-59.472507476806641</v>
          </cell>
        </row>
        <row r="1227">
          <cell r="A1227" t="str">
            <v>DOM</v>
          </cell>
          <cell r="B1227">
            <v>2023</v>
          </cell>
          <cell r="C1227" t="str">
            <v>gdp_for_serv</v>
          </cell>
          <cell r="D1227">
            <v>3.1297895908355708</v>
          </cell>
        </row>
        <row r="1228">
          <cell r="A1228" t="str">
            <v>DOM</v>
          </cell>
          <cell r="B1228">
            <v>2023</v>
          </cell>
          <cell r="C1228" t="str">
            <v>gdp_inf_agri</v>
          </cell>
          <cell r="D1228">
            <v>0.35129314661026001</v>
          </cell>
        </row>
        <row r="1229">
          <cell r="A1229" t="str">
            <v>DOM</v>
          </cell>
          <cell r="B1229">
            <v>2023</v>
          </cell>
          <cell r="C1229" t="str">
            <v>gdp_inf_ind</v>
          </cell>
          <cell r="D1229">
            <v>-27.30781364440918</v>
          </cell>
        </row>
        <row r="1230">
          <cell r="A1230" t="str">
            <v>DOM</v>
          </cell>
          <cell r="B1230">
            <v>2023</v>
          </cell>
          <cell r="C1230" t="str">
            <v>gdp_inf_serv</v>
          </cell>
          <cell r="D1230">
            <v>0.72287130355834961</v>
          </cell>
        </row>
        <row r="1231">
          <cell r="A1231" t="str">
            <v>DOM</v>
          </cell>
          <cell r="B1231">
            <v>2023</v>
          </cell>
          <cell r="C1231" t="str">
            <v>prod_for_agri</v>
          </cell>
          <cell r="D1231">
            <v>1.257476329803467</v>
          </cell>
        </row>
        <row r="1232">
          <cell r="A1232" t="str">
            <v>DOM</v>
          </cell>
          <cell r="B1232">
            <v>2023</v>
          </cell>
          <cell r="C1232" t="str">
            <v>prod_for_ind</v>
          </cell>
          <cell r="D1232">
            <v>-1.588012099266052</v>
          </cell>
        </row>
        <row r="1233">
          <cell r="A1233" t="str">
            <v>DOM</v>
          </cell>
          <cell r="B1233">
            <v>2023</v>
          </cell>
          <cell r="C1233" t="str">
            <v>prod_for_serv</v>
          </cell>
          <cell r="D1233">
            <v>-4.2125811576843262</v>
          </cell>
        </row>
        <row r="1234">
          <cell r="A1234" t="str">
            <v>DOM</v>
          </cell>
          <cell r="B1234">
            <v>2023</v>
          </cell>
          <cell r="C1234" t="str">
            <v>prod_inf_agri</v>
          </cell>
          <cell r="D1234">
            <v>1.6279169321060181</v>
          </cell>
        </row>
        <row r="1235">
          <cell r="A1235" t="str">
            <v>DOM</v>
          </cell>
          <cell r="B1235">
            <v>2023</v>
          </cell>
          <cell r="C1235" t="str">
            <v>prod_inf_ind</v>
          </cell>
          <cell r="D1235">
            <v>-2.044700145721436</v>
          </cell>
        </row>
        <row r="1236">
          <cell r="A1236" t="str">
            <v>DOM</v>
          </cell>
          <cell r="B1236">
            <v>2023</v>
          </cell>
          <cell r="C1236" t="str">
            <v>prod_inf_serv</v>
          </cell>
          <cell r="D1236">
            <v>-2.1104540824890141</v>
          </cell>
        </row>
        <row r="1237">
          <cell r="A1237" t="str">
            <v>ECU</v>
          </cell>
          <cell r="B1237">
            <v>2008</v>
          </cell>
          <cell r="C1237" t="str">
            <v>gdp_activity</v>
          </cell>
          <cell r="D1237">
            <v>0.27182123064994812</v>
          </cell>
        </row>
        <row r="1238">
          <cell r="A1238" t="str">
            <v>ECU</v>
          </cell>
          <cell r="B1238">
            <v>2008</v>
          </cell>
          <cell r="C1238" t="str">
            <v>gdp_for_agri</v>
          </cell>
          <cell r="D1238">
            <v>3.4597320556640629</v>
          </cell>
        </row>
        <row r="1239">
          <cell r="A1239" t="str">
            <v>ECU</v>
          </cell>
          <cell r="B1239">
            <v>2008</v>
          </cell>
          <cell r="C1239" t="str">
            <v>gdp_for_ind</v>
          </cell>
          <cell r="D1239">
            <v>1.6621567010879521</v>
          </cell>
        </row>
        <row r="1240">
          <cell r="A1240" t="str">
            <v>ECU</v>
          </cell>
          <cell r="B1240">
            <v>2008</v>
          </cell>
          <cell r="C1240" t="str">
            <v>gdp_for_serv</v>
          </cell>
          <cell r="D1240">
            <v>0.86635100841522217</v>
          </cell>
        </row>
        <row r="1241">
          <cell r="A1241" t="str">
            <v>ECU</v>
          </cell>
          <cell r="B1241">
            <v>2008</v>
          </cell>
          <cell r="C1241" t="str">
            <v>gdp_inf_agri</v>
          </cell>
          <cell r="D1241">
            <v>-1.395657062530518</v>
          </cell>
        </row>
        <row r="1242">
          <cell r="A1242" t="str">
            <v>ECU</v>
          </cell>
          <cell r="B1242">
            <v>2008</v>
          </cell>
          <cell r="C1242" t="str">
            <v>gdp_inf_ind</v>
          </cell>
          <cell r="D1242">
            <v>0.188397616147995</v>
          </cell>
        </row>
        <row r="1243">
          <cell r="A1243" t="str">
            <v>ECU</v>
          </cell>
          <cell r="B1243">
            <v>2008</v>
          </cell>
          <cell r="C1243" t="str">
            <v>gdp_inf_serv</v>
          </cell>
          <cell r="D1243">
            <v>-0.247862309217453</v>
          </cell>
        </row>
        <row r="1244">
          <cell r="A1244" t="str">
            <v>ECU</v>
          </cell>
          <cell r="B1244">
            <v>2008</v>
          </cell>
          <cell r="C1244" t="str">
            <v>prod_for_agri</v>
          </cell>
          <cell r="D1244">
            <v>6.7406644821166992</v>
          </cell>
        </row>
        <row r="1245">
          <cell r="A1245" t="str">
            <v>ECU</v>
          </cell>
          <cell r="B1245">
            <v>2008</v>
          </cell>
          <cell r="C1245" t="str">
            <v>prod_for_ind</v>
          </cell>
          <cell r="D1245">
            <v>-9.3918628692626953</v>
          </cell>
        </row>
        <row r="1246">
          <cell r="A1246" t="str">
            <v>ECU</v>
          </cell>
          <cell r="B1246">
            <v>2008</v>
          </cell>
          <cell r="C1246" t="str">
            <v>prod_for_serv</v>
          </cell>
          <cell r="D1246">
            <v>-0.8683924674987793</v>
          </cell>
        </row>
        <row r="1247">
          <cell r="A1247" t="str">
            <v>ECU</v>
          </cell>
          <cell r="B1247">
            <v>2008</v>
          </cell>
          <cell r="C1247" t="str">
            <v>prod_inf_agri</v>
          </cell>
          <cell r="D1247">
            <v>-0.35564574599266052</v>
          </cell>
        </row>
        <row r="1248">
          <cell r="A1248" t="str">
            <v>ECU</v>
          </cell>
          <cell r="B1248">
            <v>2008</v>
          </cell>
          <cell r="C1248" t="str">
            <v>prod_inf_ind</v>
          </cell>
          <cell r="D1248">
            <v>-0.68916255235671997</v>
          </cell>
        </row>
        <row r="1249">
          <cell r="A1249" t="str">
            <v>ECU</v>
          </cell>
          <cell r="B1249">
            <v>2008</v>
          </cell>
          <cell r="C1249" t="str">
            <v>prod_inf_serv</v>
          </cell>
          <cell r="D1249">
            <v>-0.66423392295837402</v>
          </cell>
        </row>
        <row r="1250">
          <cell r="A1250" t="str">
            <v>ECU</v>
          </cell>
          <cell r="B1250">
            <v>2009</v>
          </cell>
          <cell r="C1250" t="str">
            <v>gdp_activity</v>
          </cell>
          <cell r="D1250">
            <v>0.19821079075336459</v>
          </cell>
        </row>
        <row r="1251">
          <cell r="A1251" t="str">
            <v>ECU</v>
          </cell>
          <cell r="B1251">
            <v>2009</v>
          </cell>
          <cell r="C1251" t="str">
            <v>gdp_for_agri</v>
          </cell>
          <cell r="D1251">
            <v>0.23500855267047879</v>
          </cell>
        </row>
        <row r="1252">
          <cell r="A1252" t="str">
            <v>ECU</v>
          </cell>
          <cell r="B1252">
            <v>2009</v>
          </cell>
          <cell r="C1252" t="str">
            <v>gdp_for_ind</v>
          </cell>
          <cell r="D1252">
            <v>-34.420261383056641</v>
          </cell>
        </row>
        <row r="1253">
          <cell r="A1253" t="str">
            <v>ECU</v>
          </cell>
          <cell r="B1253">
            <v>2009</v>
          </cell>
          <cell r="C1253" t="str">
            <v>gdp_for_serv</v>
          </cell>
          <cell r="D1253">
            <v>1.9154894351959231</v>
          </cell>
        </row>
        <row r="1254">
          <cell r="A1254" t="str">
            <v>ECU</v>
          </cell>
          <cell r="B1254">
            <v>2009</v>
          </cell>
          <cell r="C1254" t="str">
            <v>gdp_inf_agri</v>
          </cell>
          <cell r="D1254">
            <v>0.77128571271896362</v>
          </cell>
        </row>
        <row r="1255">
          <cell r="A1255" t="str">
            <v>ECU</v>
          </cell>
          <cell r="B1255">
            <v>2009</v>
          </cell>
          <cell r="C1255" t="str">
            <v>gdp_inf_ind</v>
          </cell>
          <cell r="D1255">
            <v>16.76296424865723</v>
          </cell>
        </row>
        <row r="1256">
          <cell r="A1256" t="str">
            <v>ECU</v>
          </cell>
          <cell r="B1256">
            <v>2009</v>
          </cell>
          <cell r="C1256" t="str">
            <v>gdp_inf_serv</v>
          </cell>
          <cell r="D1256">
            <v>-1.6518223285675051</v>
          </cell>
        </row>
        <row r="1257">
          <cell r="A1257" t="str">
            <v>ECU</v>
          </cell>
          <cell r="B1257">
            <v>2009</v>
          </cell>
          <cell r="C1257" t="str">
            <v>prod_for_agri</v>
          </cell>
          <cell r="D1257">
            <v>-17.908975601196289</v>
          </cell>
        </row>
        <row r="1258">
          <cell r="A1258" t="str">
            <v>ECU</v>
          </cell>
          <cell r="B1258">
            <v>2009</v>
          </cell>
          <cell r="C1258" t="str">
            <v>prod_for_ind</v>
          </cell>
          <cell r="D1258">
            <v>0.98576664924621582</v>
          </cell>
        </row>
        <row r="1259">
          <cell r="A1259" t="str">
            <v>ECU</v>
          </cell>
          <cell r="B1259">
            <v>2009</v>
          </cell>
          <cell r="C1259" t="str">
            <v>prod_for_serv</v>
          </cell>
          <cell r="D1259">
            <v>-0.32884585857391357</v>
          </cell>
        </row>
        <row r="1260">
          <cell r="A1260" t="str">
            <v>ECU</v>
          </cell>
          <cell r="B1260">
            <v>2009</v>
          </cell>
          <cell r="C1260" t="str">
            <v>prod_inf_agri</v>
          </cell>
          <cell r="D1260">
            <v>-6.2932214736938477</v>
          </cell>
        </row>
        <row r="1261">
          <cell r="A1261" t="str">
            <v>ECU</v>
          </cell>
          <cell r="B1261">
            <v>2009</v>
          </cell>
          <cell r="C1261" t="str">
            <v>prod_inf_ind</v>
          </cell>
          <cell r="D1261">
            <v>-11.680707931518549</v>
          </cell>
        </row>
        <row r="1262">
          <cell r="A1262" t="str">
            <v>ECU</v>
          </cell>
          <cell r="B1262">
            <v>2009</v>
          </cell>
          <cell r="C1262" t="str">
            <v>prod_inf_serv</v>
          </cell>
          <cell r="D1262">
            <v>-2.3286232948303218</v>
          </cell>
        </row>
        <row r="1263">
          <cell r="A1263" t="str">
            <v>ECU</v>
          </cell>
          <cell r="B1263">
            <v>2010</v>
          </cell>
          <cell r="C1263" t="str">
            <v>gdp_activity</v>
          </cell>
          <cell r="D1263">
            <v>-0.10613226145505909</v>
          </cell>
        </row>
        <row r="1264">
          <cell r="A1264" t="str">
            <v>ECU</v>
          </cell>
          <cell r="B1264">
            <v>2010</v>
          </cell>
          <cell r="C1264" t="str">
            <v>gdp_for_agri</v>
          </cell>
          <cell r="D1264">
            <v>3.9886658191680908</v>
          </cell>
        </row>
        <row r="1265">
          <cell r="A1265" t="str">
            <v>ECU</v>
          </cell>
          <cell r="B1265">
            <v>2010</v>
          </cell>
          <cell r="C1265" t="str">
            <v>gdp_for_ind</v>
          </cell>
          <cell r="D1265">
            <v>7.3621611595153809</v>
          </cell>
        </row>
        <row r="1266">
          <cell r="A1266" t="str">
            <v>ECU</v>
          </cell>
          <cell r="B1266">
            <v>2010</v>
          </cell>
          <cell r="C1266" t="str">
            <v>gdp_for_serv</v>
          </cell>
          <cell r="D1266">
            <v>2.7377219200134282</v>
          </cell>
        </row>
        <row r="1267">
          <cell r="A1267" t="str">
            <v>ECU</v>
          </cell>
          <cell r="B1267">
            <v>2010</v>
          </cell>
          <cell r="C1267" t="str">
            <v>gdp_inf_agri</v>
          </cell>
          <cell r="D1267">
            <v>-9.6307792663574219</v>
          </cell>
        </row>
        <row r="1268">
          <cell r="A1268" t="str">
            <v>ECU</v>
          </cell>
          <cell r="B1268">
            <v>2010</v>
          </cell>
          <cell r="C1268" t="str">
            <v>gdp_inf_ind</v>
          </cell>
          <cell r="D1268">
            <v>-2.2879371643066411</v>
          </cell>
        </row>
        <row r="1269">
          <cell r="A1269" t="str">
            <v>ECU</v>
          </cell>
          <cell r="B1269">
            <v>2010</v>
          </cell>
          <cell r="C1269" t="str">
            <v>gdp_inf_serv</v>
          </cell>
          <cell r="D1269">
            <v>-0.75272119045257568</v>
          </cell>
        </row>
        <row r="1270">
          <cell r="A1270" t="str">
            <v>ECU</v>
          </cell>
          <cell r="B1270">
            <v>2010</v>
          </cell>
          <cell r="C1270" t="str">
            <v>prod_for_agri</v>
          </cell>
          <cell r="D1270">
            <v>4.5247864723205566</v>
          </cell>
        </row>
        <row r="1271">
          <cell r="A1271" t="str">
            <v>ECU</v>
          </cell>
          <cell r="B1271">
            <v>2010</v>
          </cell>
          <cell r="C1271" t="str">
            <v>prod_for_ind</v>
          </cell>
          <cell r="D1271">
            <v>12.49103450775146</v>
          </cell>
        </row>
        <row r="1272">
          <cell r="A1272" t="str">
            <v>ECU</v>
          </cell>
          <cell r="B1272">
            <v>2010</v>
          </cell>
          <cell r="C1272" t="str">
            <v>prod_for_serv</v>
          </cell>
          <cell r="D1272">
            <v>1.2351312637329099</v>
          </cell>
        </row>
        <row r="1273">
          <cell r="A1273" t="str">
            <v>ECU</v>
          </cell>
          <cell r="B1273">
            <v>2010</v>
          </cell>
          <cell r="C1273" t="str">
            <v>prod_inf_agri</v>
          </cell>
          <cell r="D1273">
            <v>1.97499144077301</v>
          </cell>
        </row>
        <row r="1274">
          <cell r="A1274" t="str">
            <v>ECU</v>
          </cell>
          <cell r="B1274">
            <v>2010</v>
          </cell>
          <cell r="C1274" t="str">
            <v>prod_inf_ind</v>
          </cell>
          <cell r="D1274">
            <v>11.819822311401371</v>
          </cell>
        </row>
        <row r="1275">
          <cell r="A1275" t="str">
            <v>ECU</v>
          </cell>
          <cell r="B1275">
            <v>2010</v>
          </cell>
          <cell r="C1275" t="str">
            <v>prod_inf_serv</v>
          </cell>
          <cell r="D1275">
            <v>2.8883016109466548</v>
          </cell>
        </row>
        <row r="1276">
          <cell r="A1276" t="str">
            <v>ECU</v>
          </cell>
          <cell r="B1276">
            <v>2011</v>
          </cell>
          <cell r="C1276" t="str">
            <v>gdp_activity</v>
          </cell>
          <cell r="D1276">
            <v>0.19568927586078641</v>
          </cell>
        </row>
        <row r="1277">
          <cell r="A1277" t="str">
            <v>ECU</v>
          </cell>
          <cell r="B1277">
            <v>2011</v>
          </cell>
          <cell r="C1277" t="str">
            <v>gdp_for_agri</v>
          </cell>
          <cell r="D1277">
            <v>2.8643736839294429</v>
          </cell>
        </row>
        <row r="1278">
          <cell r="A1278" t="str">
            <v>ECU</v>
          </cell>
          <cell r="B1278">
            <v>2011</v>
          </cell>
          <cell r="C1278" t="str">
            <v>gdp_for_ind</v>
          </cell>
          <cell r="D1278">
            <v>1.356339812278748</v>
          </cell>
        </row>
        <row r="1279">
          <cell r="A1279" t="str">
            <v>ECU</v>
          </cell>
          <cell r="B1279">
            <v>2011</v>
          </cell>
          <cell r="C1279" t="str">
            <v>gdp_for_serv</v>
          </cell>
          <cell r="D1279">
            <v>2.3582460880279541</v>
          </cell>
        </row>
        <row r="1280">
          <cell r="A1280" t="str">
            <v>ECU</v>
          </cell>
          <cell r="B1280">
            <v>2011</v>
          </cell>
          <cell r="C1280" t="str">
            <v>gdp_inf_agri</v>
          </cell>
          <cell r="D1280">
            <v>-0.6942020058631897</v>
          </cell>
        </row>
        <row r="1281">
          <cell r="A1281" t="str">
            <v>ECU</v>
          </cell>
          <cell r="B1281">
            <v>2011</v>
          </cell>
          <cell r="C1281" t="str">
            <v>gdp_inf_ind</v>
          </cell>
          <cell r="D1281">
            <v>-1.086379766464233</v>
          </cell>
        </row>
        <row r="1282">
          <cell r="A1282" t="str">
            <v>ECU</v>
          </cell>
          <cell r="B1282">
            <v>2011</v>
          </cell>
          <cell r="C1282" t="str">
            <v>gdp_inf_serv</v>
          </cell>
          <cell r="D1282">
            <v>-0.4153379499912262</v>
          </cell>
        </row>
        <row r="1283">
          <cell r="A1283" t="str">
            <v>ECU</v>
          </cell>
          <cell r="B1283">
            <v>2011</v>
          </cell>
          <cell r="C1283" t="str">
            <v>prod_for_agri</v>
          </cell>
          <cell r="D1283">
            <v>2.0671641826629639</v>
          </cell>
        </row>
        <row r="1284">
          <cell r="A1284" t="str">
            <v>ECU</v>
          </cell>
          <cell r="B1284">
            <v>2011</v>
          </cell>
          <cell r="C1284" t="str">
            <v>prod_for_ind</v>
          </cell>
          <cell r="D1284">
            <v>-0.91256517171859741</v>
          </cell>
        </row>
        <row r="1285">
          <cell r="A1285" t="str">
            <v>ECU</v>
          </cell>
          <cell r="B1285">
            <v>2011</v>
          </cell>
          <cell r="C1285" t="str">
            <v>prod_for_serv</v>
          </cell>
          <cell r="D1285">
            <v>-0.88673943281173706</v>
          </cell>
        </row>
        <row r="1286">
          <cell r="A1286" t="str">
            <v>ECU</v>
          </cell>
          <cell r="B1286">
            <v>2011</v>
          </cell>
          <cell r="C1286" t="str">
            <v>prod_inf_agri</v>
          </cell>
          <cell r="D1286">
            <v>0.97242468595504761</v>
          </cell>
        </row>
        <row r="1287">
          <cell r="A1287" t="str">
            <v>ECU</v>
          </cell>
          <cell r="B1287">
            <v>2011</v>
          </cell>
          <cell r="C1287" t="str">
            <v>prod_inf_ind</v>
          </cell>
          <cell r="D1287">
            <v>-0.22737915813922879</v>
          </cell>
        </row>
        <row r="1288">
          <cell r="A1288" t="str">
            <v>ECU</v>
          </cell>
          <cell r="B1288">
            <v>2011</v>
          </cell>
          <cell r="C1288" t="str">
            <v>prod_inf_serv</v>
          </cell>
          <cell r="D1288">
            <v>-2.475966215133667</v>
          </cell>
        </row>
        <row r="1289">
          <cell r="A1289" t="str">
            <v>ECU</v>
          </cell>
          <cell r="B1289">
            <v>2012</v>
          </cell>
          <cell r="C1289" t="str">
            <v>gdp_activity</v>
          </cell>
          <cell r="D1289">
            <v>-0.1080251634120941</v>
          </cell>
        </row>
        <row r="1290">
          <cell r="A1290" t="str">
            <v>ECU</v>
          </cell>
          <cell r="B1290">
            <v>2012</v>
          </cell>
          <cell r="C1290" t="str">
            <v>gdp_for_agri</v>
          </cell>
          <cell r="D1290">
            <v>-35.772220611572273</v>
          </cell>
        </row>
        <row r="1291">
          <cell r="A1291" t="str">
            <v>ECU</v>
          </cell>
          <cell r="B1291">
            <v>2012</v>
          </cell>
          <cell r="C1291" t="str">
            <v>gdp_for_ind</v>
          </cell>
          <cell r="D1291">
            <v>0.68841826915740967</v>
          </cell>
        </row>
        <row r="1292">
          <cell r="A1292" t="str">
            <v>ECU</v>
          </cell>
          <cell r="B1292">
            <v>2012</v>
          </cell>
          <cell r="C1292" t="str">
            <v>gdp_for_serv</v>
          </cell>
          <cell r="D1292">
            <v>0.78438800573348999</v>
          </cell>
        </row>
        <row r="1293">
          <cell r="A1293" t="str">
            <v>ECU</v>
          </cell>
          <cell r="B1293">
            <v>2012</v>
          </cell>
          <cell r="C1293" t="str">
            <v>gdp_inf_agri</v>
          </cell>
          <cell r="D1293">
            <v>17.039787292480469</v>
          </cell>
        </row>
        <row r="1294">
          <cell r="A1294" t="str">
            <v>ECU</v>
          </cell>
          <cell r="B1294">
            <v>2012</v>
          </cell>
          <cell r="C1294" t="str">
            <v>gdp_inf_ind</v>
          </cell>
          <cell r="D1294">
            <v>-0.2159108221530914</v>
          </cell>
        </row>
        <row r="1295">
          <cell r="A1295" t="str">
            <v>ECU</v>
          </cell>
          <cell r="B1295">
            <v>2012</v>
          </cell>
          <cell r="C1295" t="str">
            <v>gdp_inf_serv</v>
          </cell>
          <cell r="D1295">
            <v>-0.9805794358253479</v>
          </cell>
        </row>
        <row r="1296">
          <cell r="A1296" t="str">
            <v>ECU</v>
          </cell>
          <cell r="B1296">
            <v>2012</v>
          </cell>
          <cell r="C1296" t="str">
            <v>prod_for_agri</v>
          </cell>
          <cell r="D1296">
            <v>0.52723580598831177</v>
          </cell>
        </row>
        <row r="1297">
          <cell r="A1297" t="str">
            <v>ECU</v>
          </cell>
          <cell r="B1297">
            <v>2012</v>
          </cell>
          <cell r="C1297" t="str">
            <v>prod_for_ind</v>
          </cell>
          <cell r="D1297">
            <v>-0.46108025312423712</v>
          </cell>
        </row>
        <row r="1298">
          <cell r="A1298" t="str">
            <v>ECU</v>
          </cell>
          <cell r="B1298">
            <v>2012</v>
          </cell>
          <cell r="C1298" t="str">
            <v>prod_for_serv</v>
          </cell>
          <cell r="D1298">
            <v>0.40981850028038019</v>
          </cell>
        </row>
        <row r="1299">
          <cell r="A1299" t="str">
            <v>ECU</v>
          </cell>
          <cell r="B1299">
            <v>2012</v>
          </cell>
          <cell r="C1299" t="str">
            <v>prod_inf_agri</v>
          </cell>
          <cell r="D1299">
            <v>0.76354438066482544</v>
          </cell>
        </row>
        <row r="1300">
          <cell r="A1300" t="str">
            <v>ECU</v>
          </cell>
          <cell r="B1300">
            <v>2012</v>
          </cell>
          <cell r="C1300" t="str">
            <v>prod_inf_ind</v>
          </cell>
          <cell r="D1300">
            <v>3.7985165119171138</v>
          </cell>
        </row>
        <row r="1301">
          <cell r="A1301" t="str">
            <v>ECU</v>
          </cell>
          <cell r="B1301">
            <v>2012</v>
          </cell>
          <cell r="C1301" t="str">
            <v>prod_inf_serv</v>
          </cell>
          <cell r="D1301">
            <v>0.73349756002426147</v>
          </cell>
        </row>
        <row r="1302">
          <cell r="A1302" t="str">
            <v>ECU</v>
          </cell>
          <cell r="B1302">
            <v>2013</v>
          </cell>
          <cell r="C1302" t="str">
            <v>gdp_activity</v>
          </cell>
          <cell r="D1302">
            <v>1.213131308555603</v>
          </cell>
        </row>
        <row r="1303">
          <cell r="A1303" t="str">
            <v>ECU</v>
          </cell>
          <cell r="B1303">
            <v>2013</v>
          </cell>
          <cell r="C1303" t="str">
            <v>gdp_for_agri</v>
          </cell>
          <cell r="D1303">
            <v>0.78201431035995483</v>
          </cell>
        </row>
        <row r="1304">
          <cell r="A1304" t="str">
            <v>ECU</v>
          </cell>
          <cell r="B1304">
            <v>2013</v>
          </cell>
          <cell r="C1304" t="str">
            <v>gdp_for_ind</v>
          </cell>
          <cell r="D1304">
            <v>2.5766115188598628</v>
          </cell>
        </row>
        <row r="1305">
          <cell r="A1305" t="str">
            <v>ECU</v>
          </cell>
          <cell r="B1305">
            <v>2013</v>
          </cell>
          <cell r="C1305" t="str">
            <v>gdp_for_serv</v>
          </cell>
          <cell r="D1305">
            <v>2.068458080291748</v>
          </cell>
        </row>
        <row r="1306">
          <cell r="A1306" t="str">
            <v>ECU</v>
          </cell>
          <cell r="B1306">
            <v>2013</v>
          </cell>
          <cell r="C1306" t="str">
            <v>gdp_inf_agri</v>
          </cell>
          <cell r="D1306">
            <v>-0.3470451831817627</v>
          </cell>
        </row>
        <row r="1307">
          <cell r="A1307" t="str">
            <v>ECU</v>
          </cell>
          <cell r="B1307">
            <v>2013</v>
          </cell>
          <cell r="C1307" t="str">
            <v>gdp_inf_ind</v>
          </cell>
          <cell r="D1307">
            <v>2.513375043869019</v>
          </cell>
        </row>
        <row r="1308">
          <cell r="A1308" t="str">
            <v>ECU</v>
          </cell>
          <cell r="B1308">
            <v>2013</v>
          </cell>
          <cell r="C1308" t="str">
            <v>gdp_inf_serv</v>
          </cell>
          <cell r="D1308">
            <v>0.45091086626052862</v>
          </cell>
        </row>
        <row r="1309">
          <cell r="A1309" t="str">
            <v>ECU</v>
          </cell>
          <cell r="B1309">
            <v>2013</v>
          </cell>
          <cell r="C1309" t="str">
            <v>prod_for_agri</v>
          </cell>
          <cell r="D1309">
            <v>0.77258890867233276</v>
          </cell>
        </row>
        <row r="1310">
          <cell r="A1310" t="str">
            <v>ECU</v>
          </cell>
          <cell r="B1310">
            <v>2013</v>
          </cell>
          <cell r="C1310" t="str">
            <v>prod_for_ind</v>
          </cell>
          <cell r="D1310">
            <v>-2.0106832981109619</v>
          </cell>
        </row>
        <row r="1311">
          <cell r="A1311" t="str">
            <v>ECU</v>
          </cell>
          <cell r="B1311">
            <v>2013</v>
          </cell>
          <cell r="C1311" t="str">
            <v>prod_for_serv</v>
          </cell>
          <cell r="D1311">
            <v>-5.9099798202514648</v>
          </cell>
        </row>
        <row r="1312">
          <cell r="A1312" t="str">
            <v>ECU</v>
          </cell>
          <cell r="B1312">
            <v>2013</v>
          </cell>
          <cell r="C1312" t="str">
            <v>prod_inf_agri</v>
          </cell>
          <cell r="D1312">
            <v>1.0266216993331909</v>
          </cell>
        </row>
        <row r="1313">
          <cell r="A1313" t="str">
            <v>ECU</v>
          </cell>
          <cell r="B1313">
            <v>2013</v>
          </cell>
          <cell r="C1313" t="str">
            <v>prod_inf_ind</v>
          </cell>
          <cell r="D1313">
            <v>0.53684353828430176</v>
          </cell>
        </row>
        <row r="1314">
          <cell r="A1314" t="str">
            <v>ECU</v>
          </cell>
          <cell r="B1314">
            <v>2013</v>
          </cell>
          <cell r="C1314" t="str">
            <v>prod_inf_serv</v>
          </cell>
          <cell r="D1314">
            <v>0.9021952748298645</v>
          </cell>
        </row>
        <row r="1315">
          <cell r="A1315" t="str">
            <v>ECU</v>
          </cell>
          <cell r="B1315">
            <v>2014</v>
          </cell>
          <cell r="C1315" t="str">
            <v>gdp_activity</v>
          </cell>
          <cell r="D1315">
            <v>1.0539664030075071</v>
          </cell>
        </row>
        <row r="1316">
          <cell r="A1316" t="str">
            <v>ECU</v>
          </cell>
          <cell r="B1316">
            <v>2014</v>
          </cell>
          <cell r="C1316" t="str">
            <v>gdp_for_agri</v>
          </cell>
          <cell r="D1316">
            <v>1.959187865257263</v>
          </cell>
        </row>
        <row r="1317">
          <cell r="A1317" t="str">
            <v>ECU</v>
          </cell>
          <cell r="B1317">
            <v>2014</v>
          </cell>
          <cell r="C1317" t="str">
            <v>gdp_for_ind</v>
          </cell>
          <cell r="D1317">
            <v>4.4169278144836426</v>
          </cell>
        </row>
        <row r="1318">
          <cell r="A1318" t="str">
            <v>ECU</v>
          </cell>
          <cell r="B1318">
            <v>2014</v>
          </cell>
          <cell r="C1318" t="str">
            <v>gdp_for_serv</v>
          </cell>
          <cell r="D1318">
            <v>0.9431006908416748</v>
          </cell>
        </row>
        <row r="1319">
          <cell r="A1319" t="str">
            <v>ECU</v>
          </cell>
          <cell r="B1319">
            <v>2014</v>
          </cell>
          <cell r="C1319" t="str">
            <v>gdp_inf_agri</v>
          </cell>
          <cell r="D1319">
            <v>-8.8344074785709381E-2</v>
          </cell>
        </row>
        <row r="1320">
          <cell r="A1320" t="str">
            <v>ECU</v>
          </cell>
          <cell r="B1320">
            <v>2014</v>
          </cell>
          <cell r="C1320" t="str">
            <v>gdp_inf_ind</v>
          </cell>
          <cell r="D1320">
            <v>0.69220733642578125</v>
          </cell>
        </row>
        <row r="1321">
          <cell r="A1321" t="str">
            <v>ECU</v>
          </cell>
          <cell r="B1321">
            <v>2014</v>
          </cell>
          <cell r="C1321" t="str">
            <v>gdp_inf_serv</v>
          </cell>
          <cell r="D1321">
            <v>0.85092043876647949</v>
          </cell>
        </row>
        <row r="1322">
          <cell r="A1322" t="str">
            <v>ECU</v>
          </cell>
          <cell r="B1322">
            <v>2014</v>
          </cell>
          <cell r="C1322" t="str">
            <v>prod_for_agri</v>
          </cell>
          <cell r="D1322">
            <v>1.11039674282074</v>
          </cell>
        </row>
        <row r="1323">
          <cell r="A1323" t="str">
            <v>ECU</v>
          </cell>
          <cell r="B1323">
            <v>2014</v>
          </cell>
          <cell r="C1323" t="str">
            <v>prod_for_ind</v>
          </cell>
          <cell r="D1323">
            <v>-0.35160395503044128</v>
          </cell>
        </row>
        <row r="1324">
          <cell r="A1324" t="str">
            <v>ECU</v>
          </cell>
          <cell r="B1324">
            <v>2014</v>
          </cell>
          <cell r="C1324" t="str">
            <v>prod_for_serv</v>
          </cell>
          <cell r="D1324">
            <v>-9.4711170196533203</v>
          </cell>
        </row>
        <row r="1325">
          <cell r="A1325" t="str">
            <v>ECU</v>
          </cell>
          <cell r="B1325">
            <v>2014</v>
          </cell>
          <cell r="C1325" t="str">
            <v>prod_inf_agri</v>
          </cell>
          <cell r="D1325">
            <v>-1.6206871271133421</v>
          </cell>
        </row>
        <row r="1326">
          <cell r="A1326" t="str">
            <v>ECU</v>
          </cell>
          <cell r="B1326">
            <v>2014</v>
          </cell>
          <cell r="C1326" t="str">
            <v>prod_inf_ind</v>
          </cell>
          <cell r="D1326">
            <v>1.5053374767303469</v>
          </cell>
        </row>
        <row r="1327">
          <cell r="A1327" t="str">
            <v>ECU</v>
          </cell>
          <cell r="B1327">
            <v>2014</v>
          </cell>
          <cell r="C1327" t="str">
            <v>prod_inf_serv</v>
          </cell>
          <cell r="D1327">
            <v>1.2211635112762449</v>
          </cell>
        </row>
        <row r="1328">
          <cell r="A1328" t="str">
            <v>ECU</v>
          </cell>
          <cell r="B1328">
            <v>2015</v>
          </cell>
          <cell r="C1328" t="str">
            <v>gdp_activity</v>
          </cell>
          <cell r="D1328">
            <v>29.74648284912109</v>
          </cell>
        </row>
        <row r="1329">
          <cell r="A1329" t="str">
            <v>ECU</v>
          </cell>
          <cell r="B1329">
            <v>2015</v>
          </cell>
          <cell r="C1329" t="str">
            <v>gdp_for_agri</v>
          </cell>
          <cell r="D1329">
            <v>-0.34805428981781011</v>
          </cell>
        </row>
        <row r="1330">
          <cell r="A1330" t="str">
            <v>ECU</v>
          </cell>
          <cell r="B1330">
            <v>2015</v>
          </cell>
          <cell r="C1330" t="str">
            <v>gdp_for_ind</v>
          </cell>
          <cell r="D1330">
            <v>-1.3645375967025759</v>
          </cell>
        </row>
        <row r="1331">
          <cell r="A1331" t="str">
            <v>ECU</v>
          </cell>
          <cell r="B1331">
            <v>2015</v>
          </cell>
          <cell r="C1331" t="str">
            <v>gdp_for_serv</v>
          </cell>
          <cell r="D1331">
            <v>1.0783694982528691</v>
          </cell>
        </row>
        <row r="1332">
          <cell r="A1332" t="str">
            <v>ECU</v>
          </cell>
          <cell r="B1332">
            <v>2015</v>
          </cell>
          <cell r="C1332" t="str">
            <v>gdp_inf_agri</v>
          </cell>
          <cell r="D1332">
            <v>2.188933134078979</v>
          </cell>
        </row>
        <row r="1333">
          <cell r="A1333" t="str">
            <v>ECU</v>
          </cell>
          <cell r="B1333">
            <v>2015</v>
          </cell>
          <cell r="C1333" t="str">
            <v>gdp_inf_ind</v>
          </cell>
          <cell r="D1333">
            <v>1.900653004646301</v>
          </cell>
        </row>
        <row r="1334">
          <cell r="A1334" t="str">
            <v>ECU</v>
          </cell>
          <cell r="B1334">
            <v>2015</v>
          </cell>
          <cell r="C1334" t="str">
            <v>gdp_inf_serv</v>
          </cell>
          <cell r="D1334">
            <v>0.86777520179748535</v>
          </cell>
        </row>
        <row r="1335">
          <cell r="A1335" t="str">
            <v>ECU</v>
          </cell>
          <cell r="B1335">
            <v>2015</v>
          </cell>
          <cell r="C1335" t="str">
            <v>prod_for_agri</v>
          </cell>
          <cell r="D1335">
            <v>1.4394024610519409</v>
          </cell>
        </row>
        <row r="1336">
          <cell r="A1336" t="str">
            <v>ECU</v>
          </cell>
          <cell r="B1336">
            <v>2015</v>
          </cell>
          <cell r="C1336" t="str">
            <v>prod_for_ind</v>
          </cell>
          <cell r="D1336">
            <v>-2.022904634475708</v>
          </cell>
        </row>
        <row r="1337">
          <cell r="A1337" t="str">
            <v>ECU</v>
          </cell>
          <cell r="B1337">
            <v>2015</v>
          </cell>
          <cell r="C1337" t="str">
            <v>prod_for_serv</v>
          </cell>
          <cell r="D1337">
            <v>29.699686050415039</v>
          </cell>
        </row>
        <row r="1338">
          <cell r="A1338" t="str">
            <v>ECU</v>
          </cell>
          <cell r="B1338">
            <v>2015</v>
          </cell>
          <cell r="C1338" t="str">
            <v>prod_inf_agri</v>
          </cell>
          <cell r="D1338">
            <v>5.0768189430236816</v>
          </cell>
        </row>
        <row r="1339">
          <cell r="A1339" t="str">
            <v>ECU</v>
          </cell>
          <cell r="B1339">
            <v>2015</v>
          </cell>
          <cell r="C1339" t="str">
            <v>prod_inf_ind</v>
          </cell>
          <cell r="D1339">
            <v>0.67578619718551636</v>
          </cell>
        </row>
        <row r="1340">
          <cell r="A1340" t="str">
            <v>ECU</v>
          </cell>
          <cell r="B1340">
            <v>2015</v>
          </cell>
          <cell r="C1340" t="str">
            <v>prod_inf_serv</v>
          </cell>
          <cell r="D1340">
            <v>-99.031608581542969</v>
          </cell>
        </row>
        <row r="1341">
          <cell r="A1341" t="str">
            <v>ECU</v>
          </cell>
          <cell r="B1341">
            <v>2016</v>
          </cell>
          <cell r="C1341" t="str">
            <v>gdp_activity</v>
          </cell>
          <cell r="D1341">
            <v>-7.8020358085632324</v>
          </cell>
        </row>
        <row r="1342">
          <cell r="A1342" t="str">
            <v>ECU</v>
          </cell>
          <cell r="B1342">
            <v>2016</v>
          </cell>
          <cell r="C1342" t="str">
            <v>gdp_for_agri</v>
          </cell>
          <cell r="D1342">
            <v>3.8920245170593262</v>
          </cell>
        </row>
        <row r="1343">
          <cell r="A1343" t="str">
            <v>ECU</v>
          </cell>
          <cell r="B1343">
            <v>2016</v>
          </cell>
          <cell r="C1343" t="str">
            <v>gdp_for_ind</v>
          </cell>
          <cell r="D1343">
            <v>1.155331969261169</v>
          </cell>
        </row>
        <row r="1344">
          <cell r="A1344" t="str">
            <v>ECU</v>
          </cell>
          <cell r="B1344">
            <v>2016</v>
          </cell>
          <cell r="C1344" t="str">
            <v>gdp_for_serv</v>
          </cell>
          <cell r="D1344">
            <v>-1.3159351348876951</v>
          </cell>
        </row>
        <row r="1345">
          <cell r="A1345" t="str">
            <v>ECU</v>
          </cell>
          <cell r="B1345">
            <v>2016</v>
          </cell>
          <cell r="C1345" t="str">
            <v>gdp_inf_agri</v>
          </cell>
          <cell r="D1345">
            <v>4.6097817420959473</v>
          </cell>
        </row>
        <row r="1346">
          <cell r="A1346" t="str">
            <v>ECU</v>
          </cell>
          <cell r="B1346">
            <v>2016</v>
          </cell>
          <cell r="C1346" t="str">
            <v>gdp_inf_ind</v>
          </cell>
          <cell r="D1346">
            <v>-17.385105133056641</v>
          </cell>
        </row>
        <row r="1347">
          <cell r="A1347" t="str">
            <v>ECU</v>
          </cell>
          <cell r="B1347">
            <v>2016</v>
          </cell>
          <cell r="C1347" t="str">
            <v>gdp_inf_serv</v>
          </cell>
          <cell r="D1347">
            <v>14.46536064147949</v>
          </cell>
        </row>
        <row r="1348">
          <cell r="A1348" t="str">
            <v>ECU</v>
          </cell>
          <cell r="B1348">
            <v>2016</v>
          </cell>
          <cell r="C1348" t="str">
            <v>prod_for_agri</v>
          </cell>
          <cell r="D1348">
            <v>1.3245115280151369</v>
          </cell>
        </row>
        <row r="1349">
          <cell r="A1349" t="str">
            <v>ECU</v>
          </cell>
          <cell r="B1349">
            <v>2016</v>
          </cell>
          <cell r="C1349" t="str">
            <v>prod_for_ind</v>
          </cell>
          <cell r="D1349">
            <v>1.07403028011322</v>
          </cell>
        </row>
        <row r="1350">
          <cell r="A1350" t="str">
            <v>ECU</v>
          </cell>
          <cell r="B1350">
            <v>2016</v>
          </cell>
          <cell r="C1350" t="str">
            <v>prod_for_serv</v>
          </cell>
          <cell r="D1350">
            <v>0.65929299592971802</v>
          </cell>
        </row>
        <row r="1351">
          <cell r="A1351" t="str">
            <v>ECU</v>
          </cell>
          <cell r="B1351">
            <v>2016</v>
          </cell>
          <cell r="C1351" t="str">
            <v>prod_inf_agri</v>
          </cell>
          <cell r="D1351">
            <v>2.6510848999023442</v>
          </cell>
        </row>
        <row r="1352">
          <cell r="A1352" t="str">
            <v>ECU</v>
          </cell>
          <cell r="B1352">
            <v>2016</v>
          </cell>
          <cell r="C1352" t="str">
            <v>prod_inf_ind</v>
          </cell>
          <cell r="D1352">
            <v>0.74257302284240723</v>
          </cell>
        </row>
        <row r="1353">
          <cell r="A1353" t="str">
            <v>ECU</v>
          </cell>
          <cell r="B1353">
            <v>2016</v>
          </cell>
          <cell r="C1353" t="str">
            <v>prod_inf_serv</v>
          </cell>
          <cell r="D1353">
            <v>3.710912704467773</v>
          </cell>
        </row>
        <row r="1354">
          <cell r="A1354" t="str">
            <v>ECU</v>
          </cell>
          <cell r="B1354">
            <v>2017</v>
          </cell>
          <cell r="C1354" t="str">
            <v>gdp_activity</v>
          </cell>
          <cell r="D1354">
            <v>0.49669414758682251</v>
          </cell>
        </row>
        <row r="1355">
          <cell r="A1355" t="str">
            <v>ECU</v>
          </cell>
          <cell r="B1355">
            <v>2017</v>
          </cell>
          <cell r="C1355" t="str">
            <v>gdp_for_agri</v>
          </cell>
          <cell r="D1355">
            <v>-0.85931670665740967</v>
          </cell>
        </row>
        <row r="1356">
          <cell r="A1356" t="str">
            <v>ECU</v>
          </cell>
          <cell r="B1356">
            <v>2017</v>
          </cell>
          <cell r="C1356" t="str">
            <v>gdp_for_ind</v>
          </cell>
          <cell r="D1356">
            <v>-1.5061942338943479</v>
          </cell>
        </row>
        <row r="1357">
          <cell r="A1357" t="str">
            <v>ECU</v>
          </cell>
          <cell r="B1357">
            <v>2017</v>
          </cell>
          <cell r="C1357" t="str">
            <v>gdp_for_serv</v>
          </cell>
          <cell r="D1357">
            <v>0.36608767509460449</v>
          </cell>
        </row>
        <row r="1358">
          <cell r="A1358" t="str">
            <v>ECU</v>
          </cell>
          <cell r="B1358">
            <v>2017</v>
          </cell>
          <cell r="C1358" t="str">
            <v>gdp_inf_agri</v>
          </cell>
          <cell r="D1358">
            <v>1.448680520057678</v>
          </cell>
        </row>
        <row r="1359">
          <cell r="A1359" t="str">
            <v>ECU</v>
          </cell>
          <cell r="B1359">
            <v>2017</v>
          </cell>
          <cell r="C1359" t="str">
            <v>gdp_inf_ind</v>
          </cell>
          <cell r="D1359">
            <v>1.3394403457641599</v>
          </cell>
        </row>
        <row r="1360">
          <cell r="A1360" t="str">
            <v>ECU</v>
          </cell>
          <cell r="B1360">
            <v>2017</v>
          </cell>
          <cell r="C1360" t="str">
            <v>gdp_inf_serv</v>
          </cell>
          <cell r="D1360">
            <v>1.2529599666595459</v>
          </cell>
        </row>
        <row r="1361">
          <cell r="A1361" t="str">
            <v>ECU</v>
          </cell>
          <cell r="B1361">
            <v>2017</v>
          </cell>
          <cell r="C1361" t="str">
            <v>prod_for_agri</v>
          </cell>
          <cell r="D1361">
            <v>1.198984026908875</v>
          </cell>
        </row>
        <row r="1362">
          <cell r="A1362" t="str">
            <v>ECU</v>
          </cell>
          <cell r="B1362">
            <v>2017</v>
          </cell>
          <cell r="C1362" t="str">
            <v>prod_for_ind</v>
          </cell>
          <cell r="D1362">
            <v>-1.3809467554092409</v>
          </cell>
        </row>
        <row r="1363">
          <cell r="A1363" t="str">
            <v>ECU</v>
          </cell>
          <cell r="B1363">
            <v>2017</v>
          </cell>
          <cell r="C1363" t="str">
            <v>prod_for_serv</v>
          </cell>
          <cell r="D1363">
            <v>0.9592357873916626</v>
          </cell>
        </row>
        <row r="1364">
          <cell r="A1364" t="str">
            <v>ECU</v>
          </cell>
          <cell r="B1364">
            <v>2017</v>
          </cell>
          <cell r="C1364" t="str">
            <v>prod_inf_agri</v>
          </cell>
          <cell r="D1364">
            <v>2.312207937240601</v>
          </cell>
        </row>
        <row r="1365">
          <cell r="A1365" t="str">
            <v>ECU</v>
          </cell>
          <cell r="B1365">
            <v>2017</v>
          </cell>
          <cell r="C1365" t="str">
            <v>prod_inf_ind</v>
          </cell>
          <cell r="D1365">
            <v>-0.53351891040802002</v>
          </cell>
        </row>
        <row r="1366">
          <cell r="A1366" t="str">
            <v>ECU</v>
          </cell>
          <cell r="B1366">
            <v>2017</v>
          </cell>
          <cell r="C1366" t="str">
            <v>prod_inf_serv</v>
          </cell>
          <cell r="D1366">
            <v>12.73682975769043</v>
          </cell>
        </row>
        <row r="1367">
          <cell r="A1367" t="str">
            <v>ECU</v>
          </cell>
          <cell r="B1367">
            <v>2018</v>
          </cell>
          <cell r="C1367" t="str">
            <v>gdp_activity</v>
          </cell>
          <cell r="D1367">
            <v>-2.65260910987854</v>
          </cell>
        </row>
        <row r="1368">
          <cell r="A1368" t="str">
            <v>ECU</v>
          </cell>
          <cell r="B1368">
            <v>2018</v>
          </cell>
          <cell r="C1368" t="str">
            <v>gdp_for_agri</v>
          </cell>
          <cell r="D1368">
            <v>14.775710105896</v>
          </cell>
        </row>
        <row r="1369">
          <cell r="A1369" t="str">
            <v>ECU</v>
          </cell>
          <cell r="B1369">
            <v>2018</v>
          </cell>
          <cell r="C1369" t="str">
            <v>gdp_for_ind</v>
          </cell>
          <cell r="D1369">
            <v>1.3909099102020259</v>
          </cell>
        </row>
        <row r="1370">
          <cell r="A1370" t="str">
            <v>ECU</v>
          </cell>
          <cell r="B1370">
            <v>2018</v>
          </cell>
          <cell r="C1370" t="str">
            <v>gdp_for_serv</v>
          </cell>
          <cell r="D1370">
            <v>-2.3753571510314941</v>
          </cell>
        </row>
        <row r="1371">
          <cell r="A1371" t="str">
            <v>ECU</v>
          </cell>
          <cell r="B1371">
            <v>2018</v>
          </cell>
          <cell r="C1371" t="str">
            <v>gdp_inf_agri</v>
          </cell>
          <cell r="D1371">
            <v>3.5997657775878911</v>
          </cell>
        </row>
        <row r="1372">
          <cell r="A1372" t="str">
            <v>ECU</v>
          </cell>
          <cell r="B1372">
            <v>2018</v>
          </cell>
          <cell r="C1372" t="str">
            <v>gdp_inf_ind</v>
          </cell>
          <cell r="D1372">
            <v>0.43880605697631841</v>
          </cell>
        </row>
        <row r="1373">
          <cell r="A1373" t="str">
            <v>ECU</v>
          </cell>
          <cell r="B1373">
            <v>2018</v>
          </cell>
          <cell r="C1373" t="str">
            <v>gdp_inf_serv</v>
          </cell>
          <cell r="D1373">
            <v>-0.48354345560073853</v>
          </cell>
        </row>
        <row r="1374">
          <cell r="A1374" t="str">
            <v>ECU</v>
          </cell>
          <cell r="B1374">
            <v>2018</v>
          </cell>
          <cell r="C1374" t="str">
            <v>prod_for_agri</v>
          </cell>
          <cell r="D1374">
            <v>0.94211500883102417</v>
          </cell>
        </row>
        <row r="1375">
          <cell r="A1375" t="str">
            <v>ECU</v>
          </cell>
          <cell r="B1375">
            <v>2018</v>
          </cell>
          <cell r="C1375" t="str">
            <v>prod_for_ind</v>
          </cell>
          <cell r="D1375">
            <v>-4.6832985877990723</v>
          </cell>
        </row>
        <row r="1376">
          <cell r="A1376" t="str">
            <v>ECU</v>
          </cell>
          <cell r="B1376">
            <v>2018</v>
          </cell>
          <cell r="C1376" t="str">
            <v>prod_for_serv</v>
          </cell>
          <cell r="D1376">
            <v>0.177934929728508</v>
          </cell>
        </row>
        <row r="1377">
          <cell r="A1377" t="str">
            <v>ECU</v>
          </cell>
          <cell r="B1377">
            <v>2018</v>
          </cell>
          <cell r="C1377" t="str">
            <v>prod_inf_agri</v>
          </cell>
          <cell r="D1377">
            <v>0.35486748814582819</v>
          </cell>
        </row>
        <row r="1378">
          <cell r="A1378" t="str">
            <v>ECU</v>
          </cell>
          <cell r="B1378">
            <v>2018</v>
          </cell>
          <cell r="C1378" t="str">
            <v>prod_inf_ind</v>
          </cell>
          <cell r="D1378">
            <v>1.69192898273468</v>
          </cell>
        </row>
        <row r="1379">
          <cell r="A1379" t="str">
            <v>ECU</v>
          </cell>
          <cell r="B1379">
            <v>2018</v>
          </cell>
          <cell r="C1379" t="str">
            <v>prod_inf_serv</v>
          </cell>
          <cell r="D1379">
            <v>0.31905075907707209</v>
          </cell>
        </row>
        <row r="1380">
          <cell r="A1380" t="str">
            <v>ECU</v>
          </cell>
          <cell r="B1380">
            <v>2019</v>
          </cell>
          <cell r="C1380" t="str">
            <v>gdp_activity</v>
          </cell>
          <cell r="D1380">
            <v>2.002205610275269</v>
          </cell>
        </row>
        <row r="1381">
          <cell r="A1381" t="str">
            <v>ECU</v>
          </cell>
          <cell r="B1381">
            <v>2019</v>
          </cell>
          <cell r="C1381" t="str">
            <v>gdp_for_agri</v>
          </cell>
          <cell r="D1381">
            <v>-3.3991489410400391</v>
          </cell>
        </row>
        <row r="1382">
          <cell r="A1382" t="str">
            <v>ECU</v>
          </cell>
          <cell r="B1382">
            <v>2019</v>
          </cell>
          <cell r="C1382" t="str">
            <v>gdp_for_ind</v>
          </cell>
          <cell r="D1382">
            <v>5.9064583778381348</v>
          </cell>
        </row>
        <row r="1383">
          <cell r="A1383" t="str">
            <v>ECU</v>
          </cell>
          <cell r="B1383">
            <v>2019</v>
          </cell>
          <cell r="C1383" t="str">
            <v>gdp_for_serv</v>
          </cell>
          <cell r="D1383">
            <v>-2.1156928539276119</v>
          </cell>
        </row>
        <row r="1384">
          <cell r="A1384" t="str">
            <v>ECU</v>
          </cell>
          <cell r="B1384">
            <v>2019</v>
          </cell>
          <cell r="C1384" t="str">
            <v>gdp_inf_agri</v>
          </cell>
          <cell r="D1384">
            <v>4.1886320114135742</v>
          </cell>
        </row>
        <row r="1385">
          <cell r="A1385" t="str">
            <v>ECU</v>
          </cell>
          <cell r="B1385">
            <v>2019</v>
          </cell>
          <cell r="C1385" t="str">
            <v>gdp_inf_ind</v>
          </cell>
          <cell r="D1385">
            <v>2.9442622661590581</v>
          </cell>
        </row>
        <row r="1386">
          <cell r="A1386" t="str">
            <v>ECU</v>
          </cell>
          <cell r="B1386">
            <v>2019</v>
          </cell>
          <cell r="C1386" t="str">
            <v>gdp_inf_serv</v>
          </cell>
          <cell r="D1386">
            <v>2.4711394309997559</v>
          </cell>
        </row>
        <row r="1387">
          <cell r="A1387" t="str">
            <v>ECU</v>
          </cell>
          <cell r="B1387">
            <v>2019</v>
          </cell>
          <cell r="C1387" t="str">
            <v>prod_for_agri</v>
          </cell>
          <cell r="D1387">
            <v>1.7605123519897461</v>
          </cell>
        </row>
        <row r="1388">
          <cell r="A1388" t="str">
            <v>ECU</v>
          </cell>
          <cell r="B1388">
            <v>2019</v>
          </cell>
          <cell r="C1388" t="str">
            <v>prod_for_ind</v>
          </cell>
          <cell r="D1388">
            <v>9.9122524261474609E-2</v>
          </cell>
        </row>
        <row r="1389">
          <cell r="A1389" t="str">
            <v>ECU</v>
          </cell>
          <cell r="B1389">
            <v>2019</v>
          </cell>
          <cell r="C1389" t="str">
            <v>prod_for_serv</v>
          </cell>
          <cell r="D1389">
            <v>-2.3816814422607422</v>
          </cell>
        </row>
        <row r="1390">
          <cell r="A1390" t="str">
            <v>ECU</v>
          </cell>
          <cell r="B1390">
            <v>2019</v>
          </cell>
          <cell r="C1390" t="str">
            <v>prod_inf_agri</v>
          </cell>
          <cell r="D1390">
            <v>4.9398741722106934</v>
          </cell>
        </row>
        <row r="1391">
          <cell r="A1391" t="str">
            <v>ECU</v>
          </cell>
          <cell r="B1391">
            <v>2019</v>
          </cell>
          <cell r="C1391" t="str">
            <v>prod_inf_ind</v>
          </cell>
          <cell r="D1391">
            <v>0.48444399237632751</v>
          </cell>
        </row>
        <row r="1392">
          <cell r="A1392" t="str">
            <v>ECU</v>
          </cell>
          <cell r="B1392">
            <v>2019</v>
          </cell>
          <cell r="C1392" t="str">
            <v>prod_inf_serv</v>
          </cell>
          <cell r="D1392">
            <v>-3.594455480575562</v>
          </cell>
        </row>
        <row r="1393">
          <cell r="A1393" t="str">
            <v>ECU</v>
          </cell>
          <cell r="B1393">
            <v>2020</v>
          </cell>
          <cell r="C1393" t="str">
            <v>gdp_activity</v>
          </cell>
          <cell r="D1393">
            <v>-4.2133461683988571E-2</v>
          </cell>
        </row>
        <row r="1394">
          <cell r="A1394" t="str">
            <v>ECU</v>
          </cell>
          <cell r="B1394">
            <v>2020</v>
          </cell>
          <cell r="C1394" t="str">
            <v>gdp_for_agri</v>
          </cell>
          <cell r="D1394">
            <v>-1441.840454101563</v>
          </cell>
        </row>
        <row r="1395">
          <cell r="A1395" t="str">
            <v>ECU</v>
          </cell>
          <cell r="B1395">
            <v>2020</v>
          </cell>
          <cell r="C1395" t="str">
            <v>gdp_for_ind</v>
          </cell>
          <cell r="D1395">
            <v>1.827924251556396</v>
          </cell>
        </row>
        <row r="1396">
          <cell r="A1396" t="str">
            <v>ECU</v>
          </cell>
          <cell r="B1396">
            <v>2020</v>
          </cell>
          <cell r="C1396" t="str">
            <v>gdp_for_serv</v>
          </cell>
          <cell r="D1396">
            <v>2.072414636611938</v>
          </cell>
        </row>
        <row r="1397">
          <cell r="A1397" t="str">
            <v>ECU</v>
          </cell>
          <cell r="B1397">
            <v>2020</v>
          </cell>
          <cell r="C1397" t="str">
            <v>gdp_inf_agri</v>
          </cell>
          <cell r="D1397">
            <v>4176.77880859375</v>
          </cell>
        </row>
        <row r="1398">
          <cell r="A1398" t="str">
            <v>ECU</v>
          </cell>
          <cell r="B1398">
            <v>2020</v>
          </cell>
          <cell r="C1398" t="str">
            <v>gdp_inf_ind</v>
          </cell>
          <cell r="D1398">
            <v>0.19324770569801331</v>
          </cell>
        </row>
        <row r="1399">
          <cell r="A1399" t="str">
            <v>ECU</v>
          </cell>
          <cell r="B1399">
            <v>2020</v>
          </cell>
          <cell r="C1399" t="str">
            <v>gdp_inf_serv</v>
          </cell>
          <cell r="D1399">
            <v>-0.80829483270645142</v>
          </cell>
        </row>
        <row r="1400">
          <cell r="A1400" t="str">
            <v>ECU</v>
          </cell>
          <cell r="B1400">
            <v>2020</v>
          </cell>
          <cell r="C1400" t="str">
            <v>prod_for_agri</v>
          </cell>
          <cell r="D1400">
            <v>1.8838522434234619</v>
          </cell>
        </row>
        <row r="1401">
          <cell r="A1401" t="str">
            <v>ECU</v>
          </cell>
          <cell r="B1401">
            <v>2020</v>
          </cell>
          <cell r="C1401" t="str">
            <v>prod_for_ind</v>
          </cell>
          <cell r="D1401">
            <v>3.513786792755127</v>
          </cell>
        </row>
        <row r="1402">
          <cell r="A1402" t="str">
            <v>ECU</v>
          </cell>
          <cell r="B1402">
            <v>2020</v>
          </cell>
          <cell r="C1402" t="str">
            <v>prod_for_serv</v>
          </cell>
          <cell r="D1402">
            <v>1.1013897657394409</v>
          </cell>
        </row>
        <row r="1403">
          <cell r="A1403" t="str">
            <v>ECU</v>
          </cell>
          <cell r="B1403">
            <v>2020</v>
          </cell>
          <cell r="C1403" t="str">
            <v>prod_inf_agri</v>
          </cell>
          <cell r="D1403">
            <v>1.3150360584259031</v>
          </cell>
        </row>
        <row r="1404">
          <cell r="A1404" t="str">
            <v>ECU</v>
          </cell>
          <cell r="B1404">
            <v>2020</v>
          </cell>
          <cell r="C1404" t="str">
            <v>prod_inf_ind</v>
          </cell>
          <cell r="D1404">
            <v>5.4494466781616211</v>
          </cell>
        </row>
        <row r="1405">
          <cell r="A1405" t="str">
            <v>ECU</v>
          </cell>
          <cell r="B1405">
            <v>2020</v>
          </cell>
          <cell r="C1405" t="str">
            <v>prod_inf_serv</v>
          </cell>
          <cell r="D1405">
            <v>2.8407049179077148</v>
          </cell>
        </row>
        <row r="1406">
          <cell r="A1406" t="str">
            <v>ECU</v>
          </cell>
          <cell r="B1406">
            <v>2021</v>
          </cell>
          <cell r="C1406" t="str">
            <v>gdp_activity</v>
          </cell>
          <cell r="D1406">
            <v>0.68531429767608643</v>
          </cell>
        </row>
        <row r="1407">
          <cell r="A1407" t="str">
            <v>ECU</v>
          </cell>
          <cell r="B1407">
            <v>2021</v>
          </cell>
          <cell r="C1407" t="str">
            <v>gdp_for_agri</v>
          </cell>
          <cell r="D1407">
            <v>0.55156797170639038</v>
          </cell>
        </row>
        <row r="1408">
          <cell r="A1408" t="str">
            <v>ECU</v>
          </cell>
          <cell r="B1408">
            <v>2021</v>
          </cell>
          <cell r="C1408" t="str">
            <v>gdp_for_ind</v>
          </cell>
          <cell r="D1408">
            <v>2.48331618309021</v>
          </cell>
        </row>
        <row r="1409">
          <cell r="A1409" t="str">
            <v>ECU</v>
          </cell>
          <cell r="B1409">
            <v>2021</v>
          </cell>
          <cell r="C1409" t="str">
            <v>gdp_for_serv</v>
          </cell>
          <cell r="D1409">
            <v>0.37202039361000061</v>
          </cell>
        </row>
        <row r="1410">
          <cell r="A1410" t="str">
            <v>ECU</v>
          </cell>
          <cell r="B1410">
            <v>2021</v>
          </cell>
          <cell r="C1410" t="str">
            <v>gdp_inf_agri</v>
          </cell>
          <cell r="D1410">
            <v>0.53028303384780884</v>
          </cell>
        </row>
        <row r="1411">
          <cell r="A1411" t="str">
            <v>ECU</v>
          </cell>
          <cell r="B1411">
            <v>2021</v>
          </cell>
          <cell r="C1411" t="str">
            <v>gdp_inf_ind</v>
          </cell>
          <cell r="D1411">
            <v>0.45277297496795649</v>
          </cell>
        </row>
        <row r="1412">
          <cell r="A1412" t="str">
            <v>ECU</v>
          </cell>
          <cell r="B1412">
            <v>2021</v>
          </cell>
          <cell r="C1412" t="str">
            <v>gdp_inf_serv</v>
          </cell>
          <cell r="D1412">
            <v>1.2271968126296999</v>
          </cell>
        </row>
        <row r="1413">
          <cell r="A1413" t="str">
            <v>ECU</v>
          </cell>
          <cell r="B1413">
            <v>2021</v>
          </cell>
          <cell r="C1413" t="str">
            <v>prod_for_agri</v>
          </cell>
          <cell r="D1413">
            <v>2.127703189849854</v>
          </cell>
        </row>
        <row r="1414">
          <cell r="A1414" t="str">
            <v>ECU</v>
          </cell>
          <cell r="B1414">
            <v>2021</v>
          </cell>
          <cell r="C1414" t="str">
            <v>prod_for_ind</v>
          </cell>
          <cell r="D1414">
            <v>-7.0858583450317383</v>
          </cell>
        </row>
        <row r="1415">
          <cell r="A1415" t="str">
            <v>ECU</v>
          </cell>
          <cell r="B1415">
            <v>2021</v>
          </cell>
          <cell r="C1415" t="str">
            <v>prod_for_serv</v>
          </cell>
          <cell r="D1415">
            <v>1.3830604553222661</v>
          </cell>
        </row>
        <row r="1416">
          <cell r="A1416" t="str">
            <v>ECU</v>
          </cell>
          <cell r="B1416">
            <v>2021</v>
          </cell>
          <cell r="C1416" t="str">
            <v>prod_inf_agri</v>
          </cell>
          <cell r="D1416">
            <v>0.11109039932489401</v>
          </cell>
        </row>
        <row r="1417">
          <cell r="A1417" t="str">
            <v>ECU</v>
          </cell>
          <cell r="B1417">
            <v>2021</v>
          </cell>
          <cell r="C1417" t="str">
            <v>prod_inf_ind</v>
          </cell>
          <cell r="D1417">
            <v>-15.918007850646971</v>
          </cell>
        </row>
        <row r="1418">
          <cell r="A1418" t="str">
            <v>ECU</v>
          </cell>
          <cell r="B1418">
            <v>2021</v>
          </cell>
          <cell r="C1418" t="str">
            <v>prod_inf_serv</v>
          </cell>
          <cell r="D1418">
            <v>2.2199192047119141</v>
          </cell>
        </row>
        <row r="1419">
          <cell r="A1419" t="str">
            <v>ECU</v>
          </cell>
          <cell r="B1419">
            <v>2022</v>
          </cell>
          <cell r="C1419" t="str">
            <v>gdp_activity</v>
          </cell>
          <cell r="D1419">
            <v>-0.50140643119812012</v>
          </cell>
        </row>
        <row r="1420">
          <cell r="A1420" t="str">
            <v>ECU</v>
          </cell>
          <cell r="B1420">
            <v>2022</v>
          </cell>
          <cell r="C1420" t="str">
            <v>gdp_for_agri</v>
          </cell>
          <cell r="D1420">
            <v>-9.0251321792602539</v>
          </cell>
        </row>
        <row r="1421">
          <cell r="A1421" t="str">
            <v>ECU</v>
          </cell>
          <cell r="B1421">
            <v>2022</v>
          </cell>
          <cell r="C1421" t="str">
            <v>gdp_for_ind</v>
          </cell>
          <cell r="D1421">
            <v>-1.6329599618911741</v>
          </cell>
        </row>
        <row r="1422">
          <cell r="A1422" t="str">
            <v>ECU</v>
          </cell>
          <cell r="B1422">
            <v>2022</v>
          </cell>
          <cell r="C1422" t="str">
            <v>gdp_for_serv</v>
          </cell>
          <cell r="D1422">
            <v>0.79760366678237915</v>
          </cell>
        </row>
        <row r="1423">
          <cell r="A1423" t="str">
            <v>ECU</v>
          </cell>
          <cell r="B1423">
            <v>2022</v>
          </cell>
          <cell r="C1423" t="str">
            <v>gdp_inf_agri</v>
          </cell>
          <cell r="D1423">
            <v>-1.285298228263855</v>
          </cell>
        </row>
        <row r="1424">
          <cell r="A1424" t="str">
            <v>ECU</v>
          </cell>
          <cell r="B1424">
            <v>2022</v>
          </cell>
          <cell r="C1424" t="str">
            <v>gdp_inf_ind</v>
          </cell>
          <cell r="D1424">
            <v>1.0842738151550291</v>
          </cell>
        </row>
        <row r="1425">
          <cell r="A1425" t="str">
            <v>ECU</v>
          </cell>
          <cell r="B1425">
            <v>2022</v>
          </cell>
          <cell r="C1425" t="str">
            <v>gdp_inf_serv</v>
          </cell>
          <cell r="D1425">
            <v>-0.5122954249382019</v>
          </cell>
        </row>
        <row r="1426">
          <cell r="A1426" t="str">
            <v>ECU</v>
          </cell>
          <cell r="B1426">
            <v>2022</v>
          </cell>
          <cell r="C1426" t="str">
            <v>prod_for_agri</v>
          </cell>
          <cell r="D1426">
            <v>1.182395219802856</v>
          </cell>
        </row>
        <row r="1427">
          <cell r="A1427" t="str">
            <v>ECU</v>
          </cell>
          <cell r="B1427">
            <v>2022</v>
          </cell>
          <cell r="C1427" t="str">
            <v>prod_for_ind</v>
          </cell>
          <cell r="D1427">
            <v>-0.89629799127578735</v>
          </cell>
        </row>
        <row r="1428">
          <cell r="A1428" t="str">
            <v>ECU</v>
          </cell>
          <cell r="B1428">
            <v>2022</v>
          </cell>
          <cell r="C1428" t="str">
            <v>prod_for_serv</v>
          </cell>
          <cell r="D1428">
            <v>1.110431909561157</v>
          </cell>
        </row>
        <row r="1429">
          <cell r="A1429" t="str">
            <v>ECU</v>
          </cell>
          <cell r="B1429">
            <v>2022</v>
          </cell>
          <cell r="C1429" t="str">
            <v>prod_inf_agri</v>
          </cell>
          <cell r="D1429">
            <v>-0.40216967463493353</v>
          </cell>
        </row>
        <row r="1430">
          <cell r="A1430" t="str">
            <v>ECU</v>
          </cell>
          <cell r="B1430">
            <v>2022</v>
          </cell>
          <cell r="C1430" t="str">
            <v>prod_inf_ind</v>
          </cell>
          <cell r="D1430">
            <v>-0.4055403470993042</v>
          </cell>
        </row>
        <row r="1431">
          <cell r="A1431" t="str">
            <v>ECU</v>
          </cell>
          <cell r="B1431">
            <v>2022</v>
          </cell>
          <cell r="C1431" t="str">
            <v>prod_inf_serv</v>
          </cell>
          <cell r="D1431">
            <v>2.0079143047332759</v>
          </cell>
        </row>
        <row r="1432">
          <cell r="A1432" t="str">
            <v>ECU</v>
          </cell>
          <cell r="B1432">
            <v>2023</v>
          </cell>
          <cell r="C1432" t="str">
            <v>gdp_activity</v>
          </cell>
          <cell r="D1432">
            <v>1.253756165504456</v>
          </cell>
        </row>
        <row r="1433">
          <cell r="A1433" t="str">
            <v>ECU</v>
          </cell>
          <cell r="B1433">
            <v>2023</v>
          </cell>
          <cell r="C1433" t="str">
            <v>gdp_for_agri</v>
          </cell>
          <cell r="D1433">
            <v>0.1620618999004364</v>
          </cell>
        </row>
        <row r="1434">
          <cell r="A1434" t="str">
            <v>ECU</v>
          </cell>
          <cell r="B1434">
            <v>2023</v>
          </cell>
          <cell r="C1434" t="str">
            <v>gdp_for_ind</v>
          </cell>
          <cell r="D1434">
            <v>-14.89675807952881</v>
          </cell>
        </row>
        <row r="1435">
          <cell r="A1435" t="str">
            <v>ECU</v>
          </cell>
          <cell r="B1435">
            <v>2023</v>
          </cell>
          <cell r="C1435" t="str">
            <v>gdp_for_serv</v>
          </cell>
          <cell r="D1435">
            <v>1.796420693397522</v>
          </cell>
        </row>
        <row r="1436">
          <cell r="A1436" t="str">
            <v>ECU</v>
          </cell>
          <cell r="B1436">
            <v>2023</v>
          </cell>
          <cell r="C1436" t="str">
            <v>gdp_inf_agri</v>
          </cell>
          <cell r="D1436">
            <v>2.7950375080108638</v>
          </cell>
        </row>
        <row r="1437">
          <cell r="A1437" t="str">
            <v>ECU</v>
          </cell>
          <cell r="B1437">
            <v>2023</v>
          </cell>
          <cell r="C1437" t="str">
            <v>gdp_inf_ind</v>
          </cell>
          <cell r="D1437">
            <v>0.34516608715057367</v>
          </cell>
        </row>
        <row r="1438">
          <cell r="A1438" t="str">
            <v>ECU</v>
          </cell>
          <cell r="B1438">
            <v>2023</v>
          </cell>
          <cell r="C1438" t="str">
            <v>gdp_inf_serv</v>
          </cell>
          <cell r="D1438">
            <v>1.068838953971863</v>
          </cell>
        </row>
        <row r="1439">
          <cell r="A1439" t="str">
            <v>ECU</v>
          </cell>
          <cell r="B1439">
            <v>2023</v>
          </cell>
          <cell r="C1439" t="str">
            <v>prod_for_agri</v>
          </cell>
          <cell r="D1439">
            <v>0.96997588872909546</v>
          </cell>
        </row>
        <row r="1440">
          <cell r="A1440" t="str">
            <v>ECU</v>
          </cell>
          <cell r="B1440">
            <v>2023</v>
          </cell>
          <cell r="C1440" t="str">
            <v>prod_for_ind</v>
          </cell>
          <cell r="D1440">
            <v>1.36897337436676</v>
          </cell>
        </row>
        <row r="1441">
          <cell r="A1441" t="str">
            <v>ECU</v>
          </cell>
          <cell r="B1441">
            <v>2023</v>
          </cell>
          <cell r="C1441" t="str">
            <v>prod_for_serv</v>
          </cell>
          <cell r="D1441">
            <v>9.0222501754760742</v>
          </cell>
        </row>
        <row r="1442">
          <cell r="A1442" t="str">
            <v>ECU</v>
          </cell>
          <cell r="B1442">
            <v>2023</v>
          </cell>
          <cell r="C1442" t="str">
            <v>prod_inf_agri</v>
          </cell>
          <cell r="D1442">
            <v>-4.6968603134155273</v>
          </cell>
        </row>
        <row r="1443">
          <cell r="A1443" t="str">
            <v>ECU</v>
          </cell>
          <cell r="B1443">
            <v>2023</v>
          </cell>
          <cell r="C1443" t="str">
            <v>prod_inf_ind</v>
          </cell>
          <cell r="D1443">
            <v>1.121558785438538</v>
          </cell>
        </row>
        <row r="1444">
          <cell r="A1444" t="str">
            <v>ECU</v>
          </cell>
          <cell r="B1444">
            <v>2023</v>
          </cell>
          <cell r="C1444" t="str">
            <v>prod_inf_serv</v>
          </cell>
          <cell r="D1444">
            <v>-0.7955855131149292</v>
          </cell>
        </row>
        <row r="1445">
          <cell r="A1445" t="str">
            <v>GTM</v>
          </cell>
          <cell r="B1445">
            <v>2011</v>
          </cell>
          <cell r="C1445" t="str">
            <v>gdp_activity</v>
          </cell>
          <cell r="D1445">
            <v>2.983075857162476</v>
          </cell>
        </row>
        <row r="1446">
          <cell r="A1446" t="str">
            <v>GTM</v>
          </cell>
          <cell r="B1446">
            <v>2011</v>
          </cell>
          <cell r="C1446" t="str">
            <v>gdp_for_agri</v>
          </cell>
          <cell r="D1446">
            <v>2.116676807403564</v>
          </cell>
        </row>
        <row r="1447">
          <cell r="A1447" t="str">
            <v>GTM</v>
          </cell>
          <cell r="B1447">
            <v>2011</v>
          </cell>
          <cell r="C1447" t="str">
            <v>gdp_for_ind</v>
          </cell>
          <cell r="D1447">
            <v>2.784919261932373</v>
          </cell>
        </row>
        <row r="1448">
          <cell r="A1448" t="str">
            <v>GTM</v>
          </cell>
          <cell r="B1448">
            <v>2011</v>
          </cell>
          <cell r="C1448" t="str">
            <v>gdp_for_serv</v>
          </cell>
          <cell r="D1448">
            <v>3.24602198600769</v>
          </cell>
        </row>
        <row r="1449">
          <cell r="A1449" t="str">
            <v>GTM</v>
          </cell>
          <cell r="B1449">
            <v>2011</v>
          </cell>
          <cell r="C1449" t="str">
            <v>gdp_inf_agri</v>
          </cell>
          <cell r="D1449">
            <v>2.558354377746582</v>
          </cell>
        </row>
        <row r="1450">
          <cell r="A1450" t="str">
            <v>GTM</v>
          </cell>
          <cell r="B1450">
            <v>2011</v>
          </cell>
          <cell r="C1450" t="str">
            <v>gdp_inf_ind</v>
          </cell>
          <cell r="D1450">
            <v>2.932942390441895</v>
          </cell>
        </row>
        <row r="1451">
          <cell r="A1451" t="str">
            <v>GTM</v>
          </cell>
          <cell r="B1451">
            <v>2011</v>
          </cell>
          <cell r="C1451" t="str">
            <v>gdp_inf_serv</v>
          </cell>
          <cell r="D1451">
            <v>2.7367172241210942</v>
          </cell>
        </row>
        <row r="1452">
          <cell r="A1452" t="str">
            <v>GTM</v>
          </cell>
          <cell r="B1452">
            <v>2011</v>
          </cell>
          <cell r="C1452" t="str">
            <v>prod_for_agri</v>
          </cell>
          <cell r="D1452">
            <v>0.96027940511703491</v>
          </cell>
        </row>
        <row r="1453">
          <cell r="A1453" t="str">
            <v>GTM</v>
          </cell>
          <cell r="B1453">
            <v>2011</v>
          </cell>
          <cell r="C1453" t="str">
            <v>prod_for_ind</v>
          </cell>
          <cell r="D1453">
            <v>0.50659394264221191</v>
          </cell>
        </row>
        <row r="1454">
          <cell r="A1454" t="str">
            <v>GTM</v>
          </cell>
          <cell r="B1454">
            <v>2011</v>
          </cell>
          <cell r="C1454" t="str">
            <v>prod_for_serv</v>
          </cell>
          <cell r="D1454">
            <v>1.1114741563796999</v>
          </cell>
        </row>
        <row r="1455">
          <cell r="A1455" t="str">
            <v>GTM</v>
          </cell>
          <cell r="B1455">
            <v>2011</v>
          </cell>
          <cell r="C1455" t="str">
            <v>prod_inf_agri</v>
          </cell>
          <cell r="D1455">
            <v>5.1564106941223136</v>
          </cell>
        </row>
        <row r="1456">
          <cell r="A1456" t="str">
            <v>GTM</v>
          </cell>
          <cell r="B1456">
            <v>2011</v>
          </cell>
          <cell r="C1456" t="str">
            <v>prod_inf_ind</v>
          </cell>
          <cell r="D1456">
            <v>0.37630379199981689</v>
          </cell>
        </row>
        <row r="1457">
          <cell r="A1457" t="str">
            <v>GTM</v>
          </cell>
          <cell r="B1457">
            <v>2011</v>
          </cell>
          <cell r="C1457" t="str">
            <v>prod_inf_serv</v>
          </cell>
          <cell r="D1457">
            <v>-0.49939170479774481</v>
          </cell>
        </row>
        <row r="1458">
          <cell r="A1458" t="str">
            <v>GTM</v>
          </cell>
          <cell r="B1458">
            <v>2012</v>
          </cell>
          <cell r="C1458" t="str">
            <v>gdp_activity</v>
          </cell>
          <cell r="D1458">
            <v>3.4264354705810551</v>
          </cell>
        </row>
        <row r="1459">
          <cell r="A1459" t="str">
            <v>GTM</v>
          </cell>
          <cell r="B1459">
            <v>2012</v>
          </cell>
          <cell r="C1459" t="str">
            <v>gdp_for_agri</v>
          </cell>
          <cell r="D1459">
            <v>-6.9031810760498047</v>
          </cell>
        </row>
        <row r="1460">
          <cell r="A1460" t="str">
            <v>GTM</v>
          </cell>
          <cell r="B1460">
            <v>2012</v>
          </cell>
          <cell r="C1460" t="str">
            <v>gdp_for_ind</v>
          </cell>
          <cell r="D1460">
            <v>6.4892978668212891</v>
          </cell>
        </row>
        <row r="1461">
          <cell r="A1461" t="str">
            <v>GTM</v>
          </cell>
          <cell r="B1461">
            <v>2012</v>
          </cell>
          <cell r="C1461" t="str">
            <v>gdp_for_serv</v>
          </cell>
          <cell r="D1461">
            <v>0.75667470693588257</v>
          </cell>
        </row>
        <row r="1462">
          <cell r="A1462" t="str">
            <v>GTM</v>
          </cell>
          <cell r="B1462">
            <v>2012</v>
          </cell>
          <cell r="C1462" t="str">
            <v>gdp_inf_agri</v>
          </cell>
          <cell r="D1462">
            <v>1.784385561943054</v>
          </cell>
        </row>
        <row r="1463">
          <cell r="A1463" t="str">
            <v>GTM</v>
          </cell>
          <cell r="B1463">
            <v>2012</v>
          </cell>
          <cell r="C1463" t="str">
            <v>gdp_inf_ind</v>
          </cell>
          <cell r="D1463">
            <v>8.396698534488678E-2</v>
          </cell>
        </row>
        <row r="1464">
          <cell r="A1464" t="str">
            <v>GTM</v>
          </cell>
          <cell r="B1464">
            <v>2012</v>
          </cell>
          <cell r="C1464" t="str">
            <v>gdp_inf_serv</v>
          </cell>
          <cell r="D1464">
            <v>6.9048295021057129</v>
          </cell>
        </row>
        <row r="1465">
          <cell r="A1465" t="str">
            <v>GTM</v>
          </cell>
          <cell r="B1465">
            <v>2012</v>
          </cell>
          <cell r="C1465" t="str">
            <v>prod_for_agri</v>
          </cell>
          <cell r="D1465">
            <v>2.3103079795837398</v>
          </cell>
        </row>
        <row r="1466">
          <cell r="A1466" t="str">
            <v>GTM</v>
          </cell>
          <cell r="B1466">
            <v>2012</v>
          </cell>
          <cell r="C1466" t="str">
            <v>prod_for_ind</v>
          </cell>
          <cell r="D1466">
            <v>-3.7335700988769531</v>
          </cell>
        </row>
        <row r="1467">
          <cell r="A1467" t="str">
            <v>GTM</v>
          </cell>
          <cell r="B1467">
            <v>2012</v>
          </cell>
          <cell r="C1467" t="str">
            <v>prod_for_serv</v>
          </cell>
          <cell r="D1467">
            <v>-0.53971922397613525</v>
          </cell>
        </row>
        <row r="1468">
          <cell r="A1468" t="str">
            <v>GTM</v>
          </cell>
          <cell r="B1468">
            <v>2012</v>
          </cell>
          <cell r="C1468" t="str">
            <v>prod_inf_agri</v>
          </cell>
          <cell r="D1468">
            <v>-6.2095236778259277</v>
          </cell>
        </row>
        <row r="1469">
          <cell r="A1469" t="str">
            <v>GTM</v>
          </cell>
          <cell r="B1469">
            <v>2012</v>
          </cell>
          <cell r="C1469" t="str">
            <v>prod_inf_ind</v>
          </cell>
          <cell r="D1469">
            <v>4.2522501945495614</v>
          </cell>
        </row>
        <row r="1470">
          <cell r="A1470" t="str">
            <v>GTM</v>
          </cell>
          <cell r="B1470">
            <v>2012</v>
          </cell>
          <cell r="C1470" t="str">
            <v>prod_inf_serv</v>
          </cell>
          <cell r="D1470">
            <v>0.82675409317016602</v>
          </cell>
        </row>
        <row r="1471">
          <cell r="A1471" t="str">
            <v>GTM</v>
          </cell>
          <cell r="B1471">
            <v>2013</v>
          </cell>
          <cell r="C1471" t="str">
            <v>gdp_activity</v>
          </cell>
          <cell r="D1471">
            <v>-1.3726843595504761</v>
          </cell>
        </row>
        <row r="1472">
          <cell r="A1472" t="str">
            <v>GTM</v>
          </cell>
          <cell r="B1472">
            <v>2013</v>
          </cell>
          <cell r="C1472" t="str">
            <v>gdp_for_agri</v>
          </cell>
          <cell r="D1472">
            <v>0.58871239423751831</v>
          </cell>
        </row>
        <row r="1473">
          <cell r="A1473" t="str">
            <v>GTM</v>
          </cell>
          <cell r="B1473">
            <v>2013</v>
          </cell>
          <cell r="C1473" t="str">
            <v>gdp_for_ind</v>
          </cell>
          <cell r="D1473">
            <v>1.4672563076019289</v>
          </cell>
        </row>
        <row r="1474">
          <cell r="A1474" t="str">
            <v>GTM</v>
          </cell>
          <cell r="B1474">
            <v>2013</v>
          </cell>
          <cell r="C1474" t="str">
            <v>gdp_for_serv</v>
          </cell>
          <cell r="D1474">
            <v>2.734072208404541</v>
          </cell>
        </row>
        <row r="1475">
          <cell r="A1475" t="str">
            <v>GTM</v>
          </cell>
          <cell r="B1475">
            <v>2013</v>
          </cell>
          <cell r="C1475" t="str">
            <v>gdp_inf_agri</v>
          </cell>
          <cell r="D1475">
            <v>-2.0084869861602779</v>
          </cell>
        </row>
        <row r="1476">
          <cell r="A1476" t="str">
            <v>GTM</v>
          </cell>
          <cell r="B1476">
            <v>2013</v>
          </cell>
          <cell r="C1476" t="str">
            <v>gdp_inf_ind</v>
          </cell>
          <cell r="D1476">
            <v>-3.547713994979858</v>
          </cell>
        </row>
        <row r="1477">
          <cell r="A1477" t="str">
            <v>GTM</v>
          </cell>
          <cell r="B1477">
            <v>2013</v>
          </cell>
          <cell r="C1477" t="str">
            <v>gdp_inf_serv</v>
          </cell>
          <cell r="D1477">
            <v>-1.324180483818054</v>
          </cell>
        </row>
        <row r="1478">
          <cell r="A1478" t="str">
            <v>GTM</v>
          </cell>
          <cell r="B1478">
            <v>2013</v>
          </cell>
          <cell r="C1478" t="str">
            <v>prod_for_agri</v>
          </cell>
          <cell r="D1478">
            <v>0.66726112365722656</v>
          </cell>
        </row>
        <row r="1479">
          <cell r="A1479" t="str">
            <v>GTM</v>
          </cell>
          <cell r="B1479">
            <v>2013</v>
          </cell>
          <cell r="C1479" t="str">
            <v>prod_for_ind</v>
          </cell>
          <cell r="D1479">
            <v>-0.1191670298576355</v>
          </cell>
        </row>
        <row r="1480">
          <cell r="A1480" t="str">
            <v>GTM</v>
          </cell>
          <cell r="B1480">
            <v>2013</v>
          </cell>
          <cell r="C1480" t="str">
            <v>prod_for_serv</v>
          </cell>
          <cell r="D1480">
            <v>-0.92534548044204712</v>
          </cell>
        </row>
        <row r="1481">
          <cell r="A1481" t="str">
            <v>GTM</v>
          </cell>
          <cell r="B1481">
            <v>2013</v>
          </cell>
          <cell r="C1481" t="str">
            <v>prod_inf_agri</v>
          </cell>
          <cell r="D1481">
            <v>2.5641705989837651</v>
          </cell>
        </row>
        <row r="1482">
          <cell r="A1482" t="str">
            <v>GTM</v>
          </cell>
          <cell r="B1482">
            <v>2013</v>
          </cell>
          <cell r="C1482" t="str">
            <v>prod_inf_ind</v>
          </cell>
          <cell r="D1482">
            <v>0.63055020570755005</v>
          </cell>
        </row>
        <row r="1483">
          <cell r="A1483" t="str">
            <v>GTM</v>
          </cell>
          <cell r="B1483">
            <v>2013</v>
          </cell>
          <cell r="C1483" t="str">
            <v>prod_inf_serv</v>
          </cell>
          <cell r="D1483">
            <v>0.49302053451538091</v>
          </cell>
        </row>
        <row r="1484">
          <cell r="A1484" t="str">
            <v>GTM</v>
          </cell>
          <cell r="B1484">
            <v>2014</v>
          </cell>
          <cell r="C1484" t="str">
            <v>gdp_activity</v>
          </cell>
          <cell r="D1484">
            <v>1.6330140829086299</v>
          </cell>
        </row>
        <row r="1485">
          <cell r="A1485" t="str">
            <v>GTM</v>
          </cell>
          <cell r="B1485">
            <v>2014</v>
          </cell>
          <cell r="C1485" t="str">
            <v>gdp_for_agri</v>
          </cell>
          <cell r="D1485">
            <v>44.581474304199219</v>
          </cell>
        </row>
        <row r="1486">
          <cell r="A1486" t="str">
            <v>GTM</v>
          </cell>
          <cell r="B1486">
            <v>2014</v>
          </cell>
          <cell r="C1486" t="str">
            <v>gdp_for_ind</v>
          </cell>
          <cell r="D1486">
            <v>-1.7239875793457029</v>
          </cell>
        </row>
        <row r="1487">
          <cell r="A1487" t="str">
            <v>GTM</v>
          </cell>
          <cell r="B1487">
            <v>2014</v>
          </cell>
          <cell r="C1487" t="str">
            <v>gdp_for_serv</v>
          </cell>
          <cell r="D1487">
            <v>-6.004241481423378E-2</v>
          </cell>
        </row>
        <row r="1488">
          <cell r="A1488" t="str">
            <v>GTM</v>
          </cell>
          <cell r="B1488">
            <v>2014</v>
          </cell>
          <cell r="C1488" t="str">
            <v>gdp_inf_agri</v>
          </cell>
          <cell r="D1488">
            <v>9.1735715866088867</v>
          </cell>
        </row>
        <row r="1489">
          <cell r="A1489" t="str">
            <v>GTM</v>
          </cell>
          <cell r="B1489">
            <v>2014</v>
          </cell>
          <cell r="C1489" t="str">
            <v>gdp_inf_ind</v>
          </cell>
          <cell r="D1489">
            <v>2.301038503646851</v>
          </cell>
        </row>
        <row r="1490">
          <cell r="A1490" t="str">
            <v>GTM</v>
          </cell>
          <cell r="B1490">
            <v>2014</v>
          </cell>
          <cell r="C1490" t="str">
            <v>gdp_inf_serv</v>
          </cell>
          <cell r="D1490">
            <v>1.085744261741638</v>
          </cell>
        </row>
        <row r="1491">
          <cell r="A1491" t="str">
            <v>GTM</v>
          </cell>
          <cell r="B1491">
            <v>2014</v>
          </cell>
          <cell r="C1491" t="str">
            <v>prod_for_agri</v>
          </cell>
          <cell r="D1491">
            <v>1.009717769920826E-2</v>
          </cell>
        </row>
        <row r="1492">
          <cell r="A1492" t="str">
            <v>GTM</v>
          </cell>
          <cell r="B1492">
            <v>2014</v>
          </cell>
          <cell r="C1492" t="str">
            <v>prod_for_ind</v>
          </cell>
          <cell r="D1492">
            <v>6.6936092376708984</v>
          </cell>
        </row>
        <row r="1493">
          <cell r="A1493" t="str">
            <v>GTM</v>
          </cell>
          <cell r="B1493">
            <v>2014</v>
          </cell>
          <cell r="C1493" t="str">
            <v>prod_for_serv</v>
          </cell>
          <cell r="D1493">
            <v>-1.147808194160461</v>
          </cell>
        </row>
        <row r="1494">
          <cell r="A1494" t="str">
            <v>GTM</v>
          </cell>
          <cell r="B1494">
            <v>2014</v>
          </cell>
          <cell r="C1494" t="str">
            <v>prod_inf_agri</v>
          </cell>
          <cell r="D1494">
            <v>2.9456346035003662</v>
          </cell>
        </row>
        <row r="1495">
          <cell r="A1495" t="str">
            <v>GTM</v>
          </cell>
          <cell r="B1495">
            <v>2014</v>
          </cell>
          <cell r="C1495" t="str">
            <v>prod_inf_ind</v>
          </cell>
          <cell r="D1495">
            <v>6.481381893157959</v>
          </cell>
        </row>
        <row r="1496">
          <cell r="A1496" t="str">
            <v>GTM</v>
          </cell>
          <cell r="B1496">
            <v>2014</v>
          </cell>
          <cell r="C1496" t="str">
            <v>prod_inf_serv</v>
          </cell>
          <cell r="D1496">
            <v>-1.5899515151977539</v>
          </cell>
        </row>
        <row r="1497">
          <cell r="A1497" t="str">
            <v>GTM</v>
          </cell>
          <cell r="B1497">
            <v>2015</v>
          </cell>
          <cell r="C1497" t="str">
            <v>gdp_activity</v>
          </cell>
          <cell r="D1497">
            <v>0.10134252905845639</v>
          </cell>
        </row>
        <row r="1498">
          <cell r="A1498" t="str">
            <v>GTM</v>
          </cell>
          <cell r="B1498">
            <v>2015</v>
          </cell>
          <cell r="C1498" t="str">
            <v>gdp_for_agri</v>
          </cell>
          <cell r="D1498">
            <v>-5.7875218391418457</v>
          </cell>
        </row>
        <row r="1499">
          <cell r="A1499" t="str">
            <v>GTM</v>
          </cell>
          <cell r="B1499">
            <v>2015</v>
          </cell>
          <cell r="C1499" t="str">
            <v>gdp_for_ind</v>
          </cell>
          <cell r="D1499">
            <v>2.036998987197876</v>
          </cell>
        </row>
        <row r="1500">
          <cell r="A1500" t="str">
            <v>GTM</v>
          </cell>
          <cell r="B1500">
            <v>2015</v>
          </cell>
          <cell r="C1500" t="str">
            <v>gdp_for_serv</v>
          </cell>
          <cell r="D1500">
            <v>4.662315845489502</v>
          </cell>
        </row>
        <row r="1501">
          <cell r="A1501" t="str">
            <v>GTM</v>
          </cell>
          <cell r="B1501">
            <v>2015</v>
          </cell>
          <cell r="C1501" t="str">
            <v>gdp_inf_agri</v>
          </cell>
          <cell r="D1501">
            <v>-1.1257597208023069</v>
          </cell>
        </row>
        <row r="1502">
          <cell r="A1502" t="str">
            <v>GTM</v>
          </cell>
          <cell r="B1502">
            <v>2015</v>
          </cell>
          <cell r="C1502" t="str">
            <v>gdp_inf_ind</v>
          </cell>
          <cell r="D1502">
            <v>-0.52358585596084595</v>
          </cell>
        </row>
        <row r="1503">
          <cell r="A1503" t="str">
            <v>GTM</v>
          </cell>
          <cell r="B1503">
            <v>2015</v>
          </cell>
          <cell r="C1503" t="str">
            <v>gdp_inf_serv</v>
          </cell>
          <cell r="D1503">
            <v>-0.69240784645080566</v>
          </cell>
        </row>
        <row r="1504">
          <cell r="A1504" t="str">
            <v>GTM</v>
          </cell>
          <cell r="B1504">
            <v>2015</v>
          </cell>
          <cell r="C1504" t="str">
            <v>prod_for_agri</v>
          </cell>
          <cell r="D1504">
            <v>-0.62774282693862915</v>
          </cell>
        </row>
        <row r="1505">
          <cell r="A1505" t="str">
            <v>GTM</v>
          </cell>
          <cell r="B1505">
            <v>2015</v>
          </cell>
          <cell r="C1505" t="str">
            <v>prod_for_ind</v>
          </cell>
          <cell r="D1505">
            <v>5.7626104354858398</v>
          </cell>
        </row>
        <row r="1506">
          <cell r="A1506" t="str">
            <v>GTM</v>
          </cell>
          <cell r="B1506">
            <v>2015</v>
          </cell>
          <cell r="C1506" t="str">
            <v>prod_for_serv</v>
          </cell>
          <cell r="D1506">
            <v>-0.50862693786621094</v>
          </cell>
        </row>
        <row r="1507">
          <cell r="A1507" t="str">
            <v>GTM</v>
          </cell>
          <cell r="B1507">
            <v>2015</v>
          </cell>
          <cell r="C1507" t="str">
            <v>prod_inf_agri</v>
          </cell>
          <cell r="D1507">
            <v>4.6430315971374512</v>
          </cell>
        </row>
        <row r="1508">
          <cell r="A1508" t="str">
            <v>GTM</v>
          </cell>
          <cell r="B1508">
            <v>2015</v>
          </cell>
          <cell r="C1508" t="str">
            <v>prod_inf_ind</v>
          </cell>
          <cell r="D1508">
            <v>6.5956335067749023</v>
          </cell>
        </row>
        <row r="1509">
          <cell r="A1509" t="str">
            <v>GTM</v>
          </cell>
          <cell r="B1509">
            <v>2015</v>
          </cell>
          <cell r="C1509" t="str">
            <v>prod_inf_serv</v>
          </cell>
          <cell r="D1509">
            <v>-4.3754668235778809</v>
          </cell>
        </row>
        <row r="1510">
          <cell r="A1510" t="str">
            <v>GTM</v>
          </cell>
          <cell r="B1510">
            <v>2016</v>
          </cell>
          <cell r="C1510" t="str">
            <v>gdp_activity</v>
          </cell>
          <cell r="D1510">
            <v>1.394928574562073</v>
          </cell>
        </row>
        <row r="1511">
          <cell r="A1511" t="str">
            <v>GTM</v>
          </cell>
          <cell r="B1511">
            <v>2016</v>
          </cell>
          <cell r="C1511" t="str">
            <v>gdp_for_agri</v>
          </cell>
          <cell r="D1511">
            <v>-5.7616977691650391</v>
          </cell>
        </row>
        <row r="1512">
          <cell r="A1512" t="str">
            <v>GTM</v>
          </cell>
          <cell r="B1512">
            <v>2016</v>
          </cell>
          <cell r="C1512" t="str">
            <v>gdp_for_ind</v>
          </cell>
          <cell r="D1512">
            <v>6.9579501152038574</v>
          </cell>
        </row>
        <row r="1513">
          <cell r="A1513" t="str">
            <v>GTM</v>
          </cell>
          <cell r="B1513">
            <v>2016</v>
          </cell>
          <cell r="C1513" t="str">
            <v>gdp_for_serv</v>
          </cell>
          <cell r="D1513">
            <v>0.146387904882431</v>
          </cell>
        </row>
        <row r="1514">
          <cell r="A1514" t="str">
            <v>GTM</v>
          </cell>
          <cell r="B1514">
            <v>2016</v>
          </cell>
          <cell r="C1514" t="str">
            <v>gdp_inf_agri</v>
          </cell>
          <cell r="D1514">
            <v>-1.84685754776001</v>
          </cell>
        </row>
        <row r="1515">
          <cell r="A1515" t="str">
            <v>GTM</v>
          </cell>
          <cell r="B1515">
            <v>2016</v>
          </cell>
          <cell r="C1515" t="str">
            <v>gdp_inf_ind</v>
          </cell>
          <cell r="D1515">
            <v>8.8790435791015625</v>
          </cell>
        </row>
        <row r="1516">
          <cell r="A1516" t="str">
            <v>GTM</v>
          </cell>
          <cell r="B1516">
            <v>2016</v>
          </cell>
          <cell r="C1516" t="str">
            <v>gdp_inf_serv</v>
          </cell>
          <cell r="D1516">
            <v>2.064656019210815</v>
          </cell>
        </row>
        <row r="1517">
          <cell r="A1517" t="str">
            <v>GTM</v>
          </cell>
          <cell r="B1517">
            <v>2016</v>
          </cell>
          <cell r="C1517" t="str">
            <v>prod_for_agri</v>
          </cell>
          <cell r="D1517">
            <v>1.5160617828369141</v>
          </cell>
        </row>
        <row r="1518">
          <cell r="A1518" t="str">
            <v>GTM</v>
          </cell>
          <cell r="B1518">
            <v>2016</v>
          </cell>
          <cell r="C1518" t="str">
            <v>prod_for_ind</v>
          </cell>
          <cell r="D1518">
            <v>0.12973657250404361</v>
          </cell>
        </row>
        <row r="1519">
          <cell r="A1519" t="str">
            <v>GTM</v>
          </cell>
          <cell r="B1519">
            <v>2016</v>
          </cell>
          <cell r="C1519" t="str">
            <v>prod_for_serv</v>
          </cell>
          <cell r="D1519">
            <v>-0.99756622314453125</v>
          </cell>
        </row>
        <row r="1520">
          <cell r="A1520" t="str">
            <v>GTM</v>
          </cell>
          <cell r="B1520">
            <v>2016</v>
          </cell>
          <cell r="C1520" t="str">
            <v>prod_inf_agri</v>
          </cell>
          <cell r="D1520">
            <v>-0.15359263122081759</v>
          </cell>
        </row>
        <row r="1521">
          <cell r="A1521" t="str">
            <v>GTM</v>
          </cell>
          <cell r="B1521">
            <v>2016</v>
          </cell>
          <cell r="C1521" t="str">
            <v>prod_inf_ind</v>
          </cell>
          <cell r="D1521">
            <v>0.91961205005645752</v>
          </cell>
        </row>
        <row r="1522">
          <cell r="A1522" t="str">
            <v>GTM</v>
          </cell>
          <cell r="B1522">
            <v>2016</v>
          </cell>
          <cell r="C1522" t="str">
            <v>prod_inf_serv</v>
          </cell>
          <cell r="D1522">
            <v>0.69611841440200806</v>
          </cell>
        </row>
        <row r="1523">
          <cell r="A1523" t="str">
            <v>GTM</v>
          </cell>
          <cell r="B1523">
            <v>2017</v>
          </cell>
          <cell r="C1523" t="str">
            <v>gdp_activity</v>
          </cell>
          <cell r="D1523">
            <v>0.82119828462600708</v>
          </cell>
        </row>
        <row r="1524">
          <cell r="A1524" t="str">
            <v>GTM</v>
          </cell>
          <cell r="B1524">
            <v>2017</v>
          </cell>
          <cell r="C1524" t="str">
            <v>gdp_for_agri</v>
          </cell>
          <cell r="D1524">
            <v>1.8262486457824709</v>
          </cell>
        </row>
        <row r="1525">
          <cell r="A1525" t="str">
            <v>GTM</v>
          </cell>
          <cell r="B1525">
            <v>2017</v>
          </cell>
          <cell r="C1525" t="str">
            <v>gdp_for_ind</v>
          </cell>
          <cell r="D1525">
            <v>-6.3385601043701172</v>
          </cell>
        </row>
        <row r="1526">
          <cell r="A1526" t="str">
            <v>GTM</v>
          </cell>
          <cell r="B1526">
            <v>2017</v>
          </cell>
          <cell r="C1526" t="str">
            <v>gdp_for_serv</v>
          </cell>
          <cell r="D1526">
            <v>0.18545860052108759</v>
          </cell>
        </row>
        <row r="1527">
          <cell r="A1527" t="str">
            <v>GTM</v>
          </cell>
          <cell r="B1527">
            <v>2017</v>
          </cell>
          <cell r="C1527" t="str">
            <v>gdp_inf_agri</v>
          </cell>
          <cell r="D1527">
            <v>3.496951818466187</v>
          </cell>
        </row>
        <row r="1528">
          <cell r="A1528" t="str">
            <v>GTM</v>
          </cell>
          <cell r="B1528">
            <v>2017</v>
          </cell>
          <cell r="C1528" t="str">
            <v>gdp_inf_ind</v>
          </cell>
          <cell r="D1528">
            <v>-2.7786836624145508</v>
          </cell>
        </row>
        <row r="1529">
          <cell r="A1529" t="str">
            <v>GTM</v>
          </cell>
          <cell r="B1529">
            <v>2017</v>
          </cell>
          <cell r="C1529" t="str">
            <v>gdp_inf_serv</v>
          </cell>
          <cell r="D1529">
            <v>0.62309306859970093</v>
          </cell>
        </row>
        <row r="1530">
          <cell r="A1530" t="str">
            <v>GTM</v>
          </cell>
          <cell r="B1530">
            <v>2017</v>
          </cell>
          <cell r="C1530" t="str">
            <v>prod_for_agri</v>
          </cell>
          <cell r="D1530">
            <v>0.70486116409301758</v>
          </cell>
        </row>
        <row r="1531">
          <cell r="A1531" t="str">
            <v>GTM</v>
          </cell>
          <cell r="B1531">
            <v>2017</v>
          </cell>
          <cell r="C1531" t="str">
            <v>prod_for_ind</v>
          </cell>
          <cell r="D1531">
            <v>-0.83220797777175903</v>
          </cell>
        </row>
        <row r="1532">
          <cell r="A1532" t="str">
            <v>GTM</v>
          </cell>
          <cell r="B1532">
            <v>2017</v>
          </cell>
          <cell r="C1532" t="str">
            <v>prod_for_serv</v>
          </cell>
          <cell r="D1532">
            <v>-0.24319818615913391</v>
          </cell>
        </row>
        <row r="1533">
          <cell r="A1533" t="str">
            <v>GTM</v>
          </cell>
          <cell r="B1533">
            <v>2017</v>
          </cell>
          <cell r="C1533" t="str">
            <v>prod_inf_agri</v>
          </cell>
          <cell r="D1533">
            <v>0.9298325777053833</v>
          </cell>
        </row>
        <row r="1534">
          <cell r="A1534" t="str">
            <v>GTM</v>
          </cell>
          <cell r="B1534">
            <v>2017</v>
          </cell>
          <cell r="C1534" t="str">
            <v>prod_inf_ind</v>
          </cell>
          <cell r="D1534">
            <v>-0.45059654116630549</v>
          </cell>
        </row>
        <row r="1535">
          <cell r="A1535" t="str">
            <v>GTM</v>
          </cell>
          <cell r="B1535">
            <v>2017</v>
          </cell>
          <cell r="C1535" t="str">
            <v>prod_inf_serv</v>
          </cell>
          <cell r="D1535">
            <v>-1.061373829841614</v>
          </cell>
        </row>
        <row r="1536">
          <cell r="A1536" t="str">
            <v>GTM</v>
          </cell>
          <cell r="B1536">
            <v>2018</v>
          </cell>
          <cell r="C1536" t="str">
            <v>gdp_activity</v>
          </cell>
          <cell r="D1536">
            <v>1.0569033622741699</v>
          </cell>
        </row>
        <row r="1537">
          <cell r="A1537" t="str">
            <v>GTM</v>
          </cell>
          <cell r="B1537">
            <v>2018</v>
          </cell>
          <cell r="C1537" t="str">
            <v>gdp_for_agri</v>
          </cell>
          <cell r="D1537">
            <v>1.446439266204834</v>
          </cell>
        </row>
        <row r="1538">
          <cell r="A1538" t="str">
            <v>GTM</v>
          </cell>
          <cell r="B1538">
            <v>2018</v>
          </cell>
          <cell r="C1538" t="str">
            <v>gdp_for_ind</v>
          </cell>
          <cell r="D1538">
            <v>8.191874623298645E-2</v>
          </cell>
        </row>
        <row r="1539">
          <cell r="A1539" t="str">
            <v>GTM</v>
          </cell>
          <cell r="B1539">
            <v>2018</v>
          </cell>
          <cell r="C1539" t="str">
            <v>gdp_for_serv</v>
          </cell>
          <cell r="D1539">
            <v>0.37735861539840698</v>
          </cell>
        </row>
        <row r="1540">
          <cell r="A1540" t="str">
            <v>GTM</v>
          </cell>
          <cell r="B1540">
            <v>2018</v>
          </cell>
          <cell r="C1540" t="str">
            <v>gdp_inf_agri</v>
          </cell>
          <cell r="D1540">
            <v>2.8552019596099849</v>
          </cell>
        </row>
        <row r="1541">
          <cell r="A1541" t="str">
            <v>GTM</v>
          </cell>
          <cell r="B1541">
            <v>2018</v>
          </cell>
          <cell r="C1541" t="str">
            <v>gdp_inf_ind</v>
          </cell>
          <cell r="D1541">
            <v>1.556533217430115</v>
          </cell>
        </row>
        <row r="1542">
          <cell r="A1542" t="str">
            <v>GTM</v>
          </cell>
          <cell r="B1542">
            <v>2018</v>
          </cell>
          <cell r="C1542" t="str">
            <v>gdp_inf_serv</v>
          </cell>
          <cell r="D1542">
            <v>0.44028890132904053</v>
          </cell>
        </row>
        <row r="1543">
          <cell r="A1543" t="str">
            <v>GTM</v>
          </cell>
          <cell r="B1543">
            <v>2018</v>
          </cell>
          <cell r="C1543" t="str">
            <v>prod_for_agri</v>
          </cell>
          <cell r="D1543">
            <v>4.1701562702655792E-2</v>
          </cell>
        </row>
        <row r="1544">
          <cell r="A1544" t="str">
            <v>GTM</v>
          </cell>
          <cell r="B1544">
            <v>2018</v>
          </cell>
          <cell r="C1544" t="str">
            <v>prod_for_ind</v>
          </cell>
          <cell r="D1544">
            <v>1.303997159004211</v>
          </cell>
        </row>
        <row r="1545">
          <cell r="A1545" t="str">
            <v>GTM</v>
          </cell>
          <cell r="B1545">
            <v>2018</v>
          </cell>
          <cell r="C1545" t="str">
            <v>prod_for_serv</v>
          </cell>
          <cell r="D1545">
            <v>0.33497604727745062</v>
          </cell>
        </row>
        <row r="1546">
          <cell r="A1546" t="str">
            <v>GTM</v>
          </cell>
          <cell r="B1546">
            <v>2018</v>
          </cell>
          <cell r="C1546" t="str">
            <v>prod_inf_agri</v>
          </cell>
          <cell r="D1546">
            <v>0.56218540668487549</v>
          </cell>
        </row>
        <row r="1547">
          <cell r="A1547" t="str">
            <v>GTM</v>
          </cell>
          <cell r="B1547">
            <v>2018</v>
          </cell>
          <cell r="C1547" t="str">
            <v>prod_inf_ind</v>
          </cell>
          <cell r="D1547">
            <v>1.4173213243484499</v>
          </cell>
        </row>
        <row r="1548">
          <cell r="A1548" t="str">
            <v>GTM</v>
          </cell>
          <cell r="B1548">
            <v>2018</v>
          </cell>
          <cell r="C1548" t="str">
            <v>prod_inf_serv</v>
          </cell>
          <cell r="D1548">
            <v>-0.96764671802520752</v>
          </cell>
        </row>
        <row r="1549">
          <cell r="A1549" t="str">
            <v>GTM</v>
          </cell>
          <cell r="B1549">
            <v>2019</v>
          </cell>
          <cell r="C1549" t="str">
            <v>gdp_activity</v>
          </cell>
          <cell r="D1549">
            <v>0.53464037179946899</v>
          </cell>
        </row>
        <row r="1550">
          <cell r="A1550" t="str">
            <v>GTM</v>
          </cell>
          <cell r="B1550">
            <v>2019</v>
          </cell>
          <cell r="C1550" t="str">
            <v>gdp_for_agri</v>
          </cell>
          <cell r="D1550">
            <v>27.139743804931641</v>
          </cell>
        </row>
        <row r="1551">
          <cell r="A1551" t="str">
            <v>GTM</v>
          </cell>
          <cell r="B1551">
            <v>2019</v>
          </cell>
          <cell r="C1551" t="str">
            <v>gdp_for_ind</v>
          </cell>
          <cell r="D1551">
            <v>-0.37838616967201227</v>
          </cell>
        </row>
        <row r="1552">
          <cell r="A1552" t="str">
            <v>GTM</v>
          </cell>
          <cell r="B1552">
            <v>2019</v>
          </cell>
          <cell r="C1552" t="str">
            <v>gdp_for_serv</v>
          </cell>
          <cell r="D1552">
            <v>3.131016731262207</v>
          </cell>
        </row>
        <row r="1553">
          <cell r="A1553" t="str">
            <v>GTM</v>
          </cell>
          <cell r="B1553">
            <v>2019</v>
          </cell>
          <cell r="C1553" t="str">
            <v>gdp_inf_agri</v>
          </cell>
          <cell r="D1553">
            <v>-3.066327571868896</v>
          </cell>
        </row>
        <row r="1554">
          <cell r="A1554" t="str">
            <v>GTM</v>
          </cell>
          <cell r="B1554">
            <v>2019</v>
          </cell>
          <cell r="C1554" t="str">
            <v>gdp_inf_ind</v>
          </cell>
          <cell r="D1554">
            <v>0.53251612186431885</v>
          </cell>
        </row>
        <row r="1555">
          <cell r="A1555" t="str">
            <v>GTM</v>
          </cell>
          <cell r="B1555">
            <v>2019</v>
          </cell>
          <cell r="C1555" t="str">
            <v>gdp_inf_serv</v>
          </cell>
          <cell r="D1555">
            <v>1.1176050901412959</v>
          </cell>
        </row>
        <row r="1556">
          <cell r="A1556" t="str">
            <v>GTM</v>
          </cell>
          <cell r="B1556">
            <v>2019</v>
          </cell>
          <cell r="C1556" t="str">
            <v>prod_for_agri</v>
          </cell>
          <cell r="D1556">
            <v>-0.23896123468875891</v>
          </cell>
        </row>
        <row r="1557">
          <cell r="A1557" t="str">
            <v>GTM</v>
          </cell>
          <cell r="B1557">
            <v>2019</v>
          </cell>
          <cell r="C1557" t="str">
            <v>prod_for_ind</v>
          </cell>
          <cell r="D1557">
            <v>2.241384744644165</v>
          </cell>
        </row>
        <row r="1558">
          <cell r="A1558" t="str">
            <v>GTM</v>
          </cell>
          <cell r="B1558">
            <v>2019</v>
          </cell>
          <cell r="C1558" t="str">
            <v>prod_for_serv</v>
          </cell>
          <cell r="D1558">
            <v>0.61926949024200439</v>
          </cell>
        </row>
        <row r="1559">
          <cell r="A1559" t="str">
            <v>GTM</v>
          </cell>
          <cell r="B1559">
            <v>2019</v>
          </cell>
          <cell r="C1559" t="str">
            <v>prod_inf_agri</v>
          </cell>
          <cell r="D1559">
            <v>2.30245041847229</v>
          </cell>
        </row>
        <row r="1560">
          <cell r="A1560" t="str">
            <v>GTM</v>
          </cell>
          <cell r="B1560">
            <v>2019</v>
          </cell>
          <cell r="C1560" t="str">
            <v>prod_inf_ind</v>
          </cell>
          <cell r="D1560">
            <v>-0.75152045488357544</v>
          </cell>
        </row>
        <row r="1561">
          <cell r="A1561" t="str">
            <v>GTM</v>
          </cell>
          <cell r="B1561">
            <v>2019</v>
          </cell>
          <cell r="C1561" t="str">
            <v>prod_inf_serv</v>
          </cell>
          <cell r="D1561">
            <v>-0.67825198173522949</v>
          </cell>
        </row>
        <row r="1562">
          <cell r="A1562" t="str">
            <v>GTM</v>
          </cell>
          <cell r="B1562">
            <v>2021</v>
          </cell>
          <cell r="C1562" t="str">
            <v>gdp_activity</v>
          </cell>
          <cell r="D1562">
            <v>0.46796104311943049</v>
          </cell>
        </row>
        <row r="1563">
          <cell r="A1563" t="str">
            <v>GTM</v>
          </cell>
          <cell r="B1563">
            <v>2021</v>
          </cell>
          <cell r="C1563" t="str">
            <v>gdp_for_agri</v>
          </cell>
          <cell r="D1563">
            <v>-3.5863831043243408</v>
          </cell>
        </row>
        <row r="1564">
          <cell r="A1564" t="str">
            <v>GTM</v>
          </cell>
          <cell r="B1564">
            <v>2021</v>
          </cell>
          <cell r="C1564" t="str">
            <v>gdp_for_ind</v>
          </cell>
          <cell r="D1564">
            <v>-1.9537143707275391</v>
          </cell>
        </row>
        <row r="1565">
          <cell r="A1565" t="str">
            <v>GTM</v>
          </cell>
          <cell r="B1565">
            <v>2021</v>
          </cell>
          <cell r="C1565" t="str">
            <v>gdp_for_serv</v>
          </cell>
          <cell r="D1565">
            <v>-2.0711255073547359</v>
          </cell>
        </row>
        <row r="1566">
          <cell r="A1566" t="str">
            <v>GTM</v>
          </cell>
          <cell r="B1566">
            <v>2021</v>
          </cell>
          <cell r="C1566" t="str">
            <v>gdp_inf_agri</v>
          </cell>
          <cell r="D1566">
            <v>-0.80080825090408325</v>
          </cell>
        </row>
        <row r="1567">
          <cell r="A1567" t="str">
            <v>GTM</v>
          </cell>
          <cell r="B1567">
            <v>2021</v>
          </cell>
          <cell r="C1567" t="str">
            <v>gdp_inf_ind</v>
          </cell>
          <cell r="D1567">
            <v>3.443560123443604</v>
          </cell>
        </row>
        <row r="1568">
          <cell r="A1568" t="str">
            <v>GTM</v>
          </cell>
          <cell r="B1568">
            <v>2021</v>
          </cell>
          <cell r="C1568" t="str">
            <v>gdp_inf_serv</v>
          </cell>
          <cell r="D1568">
            <v>1.0159871578216551</v>
          </cell>
        </row>
        <row r="1569">
          <cell r="A1569" t="str">
            <v>GTM</v>
          </cell>
          <cell r="B1569">
            <v>2021</v>
          </cell>
          <cell r="C1569" t="str">
            <v>prod_for_agri</v>
          </cell>
          <cell r="D1569">
            <v>-1.134011387825012</v>
          </cell>
        </row>
        <row r="1570">
          <cell r="A1570" t="str">
            <v>GTM</v>
          </cell>
          <cell r="B1570">
            <v>2021</v>
          </cell>
          <cell r="C1570" t="str">
            <v>prod_for_ind</v>
          </cell>
          <cell r="D1570">
            <v>1.1636919975280759</v>
          </cell>
        </row>
        <row r="1571">
          <cell r="A1571" t="str">
            <v>GTM</v>
          </cell>
          <cell r="B1571">
            <v>2021</v>
          </cell>
          <cell r="C1571" t="str">
            <v>prod_for_serv</v>
          </cell>
          <cell r="D1571">
            <v>-1.0385268926620479</v>
          </cell>
        </row>
        <row r="1572">
          <cell r="A1572" t="str">
            <v>GTM</v>
          </cell>
          <cell r="B1572">
            <v>2021</v>
          </cell>
          <cell r="C1572" t="str">
            <v>prod_inf_agri</v>
          </cell>
          <cell r="D1572">
            <v>1.331311821937561</v>
          </cell>
        </row>
        <row r="1573">
          <cell r="A1573" t="str">
            <v>GTM</v>
          </cell>
          <cell r="B1573">
            <v>2021</v>
          </cell>
          <cell r="C1573" t="str">
            <v>prod_inf_ind</v>
          </cell>
          <cell r="D1573">
            <v>2.443065881729126</v>
          </cell>
        </row>
        <row r="1574">
          <cell r="A1574" t="str">
            <v>GTM</v>
          </cell>
          <cell r="B1574">
            <v>2021</v>
          </cell>
          <cell r="C1574" t="str">
            <v>prod_inf_serv</v>
          </cell>
          <cell r="D1574">
            <v>-3.8311042785644531</v>
          </cell>
        </row>
        <row r="1575">
          <cell r="A1575" t="str">
            <v>GTM</v>
          </cell>
          <cell r="B1575">
            <v>2022</v>
          </cell>
          <cell r="C1575" t="str">
            <v>gdp_activity</v>
          </cell>
          <cell r="D1575">
            <v>-0.98359447717666626</v>
          </cell>
        </row>
        <row r="1576">
          <cell r="A1576" t="str">
            <v>GTM</v>
          </cell>
          <cell r="B1576">
            <v>2022</v>
          </cell>
          <cell r="C1576" t="str">
            <v>gdp_for_agri</v>
          </cell>
          <cell r="D1576">
            <v>-1.6522397994995119</v>
          </cell>
        </row>
        <row r="1577">
          <cell r="A1577" t="str">
            <v>GTM</v>
          </cell>
          <cell r="B1577">
            <v>2022</v>
          </cell>
          <cell r="C1577" t="str">
            <v>gdp_for_ind</v>
          </cell>
          <cell r="D1577">
            <v>2.3135802745819092</v>
          </cell>
        </row>
        <row r="1578">
          <cell r="A1578" t="str">
            <v>GTM</v>
          </cell>
          <cell r="B1578">
            <v>2022</v>
          </cell>
          <cell r="C1578" t="str">
            <v>gdp_for_serv</v>
          </cell>
          <cell r="D1578">
            <v>-1.4018236398696899</v>
          </cell>
        </row>
        <row r="1579">
          <cell r="A1579" t="str">
            <v>GTM</v>
          </cell>
          <cell r="B1579">
            <v>2022</v>
          </cell>
          <cell r="C1579" t="str">
            <v>gdp_inf_agri</v>
          </cell>
          <cell r="D1579">
            <v>-5.1700425148010254</v>
          </cell>
        </row>
        <row r="1580">
          <cell r="A1580" t="str">
            <v>GTM</v>
          </cell>
          <cell r="B1580">
            <v>2022</v>
          </cell>
          <cell r="C1580" t="str">
            <v>gdp_inf_ind</v>
          </cell>
          <cell r="D1580">
            <v>-1.517692446708679</v>
          </cell>
        </row>
        <row r="1581">
          <cell r="A1581" t="str">
            <v>GTM</v>
          </cell>
          <cell r="B1581">
            <v>2022</v>
          </cell>
          <cell r="C1581" t="str">
            <v>gdp_inf_serv</v>
          </cell>
          <cell r="D1581">
            <v>-0.16425496339797971</v>
          </cell>
        </row>
        <row r="1582">
          <cell r="A1582" t="str">
            <v>GTM</v>
          </cell>
          <cell r="B1582">
            <v>2022</v>
          </cell>
          <cell r="C1582" t="str">
            <v>prod_for_agri</v>
          </cell>
          <cell r="D1582">
            <v>-0.26044204831123352</v>
          </cell>
        </row>
        <row r="1583">
          <cell r="A1583" t="str">
            <v>GTM</v>
          </cell>
          <cell r="B1583">
            <v>2022</v>
          </cell>
          <cell r="C1583" t="str">
            <v>prod_for_ind</v>
          </cell>
          <cell r="D1583">
            <v>0.24747397005558011</v>
          </cell>
        </row>
        <row r="1584">
          <cell r="A1584" t="str">
            <v>GTM</v>
          </cell>
          <cell r="B1584">
            <v>2022</v>
          </cell>
          <cell r="C1584" t="str">
            <v>prod_for_serv</v>
          </cell>
          <cell r="D1584">
            <v>-1.0030132532119751</v>
          </cell>
        </row>
        <row r="1585">
          <cell r="A1585" t="str">
            <v>GTM</v>
          </cell>
          <cell r="B1585">
            <v>2022</v>
          </cell>
          <cell r="C1585" t="str">
            <v>prod_inf_agri</v>
          </cell>
          <cell r="D1585">
            <v>3.6217670440673828</v>
          </cell>
        </row>
        <row r="1586">
          <cell r="A1586" t="str">
            <v>GTM</v>
          </cell>
          <cell r="B1586">
            <v>2022</v>
          </cell>
          <cell r="C1586" t="str">
            <v>prod_inf_ind</v>
          </cell>
          <cell r="D1586">
            <v>3.3201901912689209</v>
          </cell>
        </row>
        <row r="1587">
          <cell r="A1587" t="str">
            <v>GTM</v>
          </cell>
          <cell r="B1587">
            <v>2022</v>
          </cell>
          <cell r="C1587" t="str">
            <v>prod_inf_serv</v>
          </cell>
          <cell r="D1587">
            <v>3.4632441997528081</v>
          </cell>
        </row>
        <row r="1588">
          <cell r="A1588" t="str">
            <v>HND</v>
          </cell>
          <cell r="B1588">
            <v>2008</v>
          </cell>
          <cell r="C1588" t="str">
            <v>gdp_activity</v>
          </cell>
          <cell r="D1588">
            <v>0.9437146782875061</v>
          </cell>
        </row>
        <row r="1589">
          <cell r="A1589" t="str">
            <v>HND</v>
          </cell>
          <cell r="B1589">
            <v>2008</v>
          </cell>
          <cell r="C1589" t="str">
            <v>gdp_for_agri</v>
          </cell>
          <cell r="D1589">
            <v>7.8874959945678711</v>
          </cell>
        </row>
        <row r="1590">
          <cell r="A1590" t="str">
            <v>HND</v>
          </cell>
          <cell r="B1590">
            <v>2008</v>
          </cell>
          <cell r="C1590" t="str">
            <v>gdp_for_ind</v>
          </cell>
          <cell r="D1590">
            <v>-0.28824171423912048</v>
          </cell>
        </row>
        <row r="1591">
          <cell r="A1591" t="str">
            <v>HND</v>
          </cell>
          <cell r="B1591">
            <v>2008</v>
          </cell>
          <cell r="C1591" t="str">
            <v>gdp_for_serv</v>
          </cell>
          <cell r="D1591">
            <v>-0.45313531160354609</v>
          </cell>
        </row>
        <row r="1592">
          <cell r="A1592" t="str">
            <v>HND</v>
          </cell>
          <cell r="B1592">
            <v>2008</v>
          </cell>
          <cell r="C1592" t="str">
            <v>gdp_inf_agri</v>
          </cell>
          <cell r="D1592">
            <v>-0.2249288409948349</v>
          </cell>
        </row>
        <row r="1593">
          <cell r="A1593" t="str">
            <v>HND</v>
          </cell>
          <cell r="B1593">
            <v>2008</v>
          </cell>
          <cell r="C1593" t="str">
            <v>gdp_inf_ind</v>
          </cell>
          <cell r="D1593">
            <v>2.453039407730103</v>
          </cell>
        </row>
        <row r="1594">
          <cell r="A1594" t="str">
            <v>HND</v>
          </cell>
          <cell r="B1594">
            <v>2008</v>
          </cell>
          <cell r="C1594" t="str">
            <v>gdp_inf_serv</v>
          </cell>
          <cell r="D1594">
            <v>1.4380297660827639</v>
          </cell>
        </row>
        <row r="1595">
          <cell r="A1595" t="str">
            <v>HND</v>
          </cell>
          <cell r="B1595">
            <v>2008</v>
          </cell>
          <cell r="C1595" t="str">
            <v>prod_for_agri</v>
          </cell>
          <cell r="D1595">
            <v>-7.0584449768066406</v>
          </cell>
        </row>
        <row r="1596">
          <cell r="A1596" t="str">
            <v>HND</v>
          </cell>
          <cell r="B1596">
            <v>2008</v>
          </cell>
          <cell r="C1596" t="str">
            <v>prod_for_ind</v>
          </cell>
          <cell r="D1596">
            <v>0.90038591623306274</v>
          </cell>
        </row>
        <row r="1597">
          <cell r="A1597" t="str">
            <v>HND</v>
          </cell>
          <cell r="B1597">
            <v>2008</v>
          </cell>
          <cell r="C1597" t="str">
            <v>prod_for_serv</v>
          </cell>
          <cell r="D1597">
            <v>-6.4136910438537598</v>
          </cell>
        </row>
        <row r="1598">
          <cell r="A1598" t="str">
            <v>HND</v>
          </cell>
          <cell r="B1598">
            <v>2008</v>
          </cell>
          <cell r="C1598" t="str">
            <v>prod_inf_agri</v>
          </cell>
          <cell r="D1598">
            <v>13.89789962768555</v>
          </cell>
        </row>
        <row r="1599">
          <cell r="A1599" t="str">
            <v>HND</v>
          </cell>
          <cell r="B1599">
            <v>2008</v>
          </cell>
          <cell r="C1599" t="str">
            <v>prod_inf_ind</v>
          </cell>
          <cell r="D1599">
            <v>-2.2237365245819092</v>
          </cell>
        </row>
        <row r="1600">
          <cell r="A1600" t="str">
            <v>HND</v>
          </cell>
          <cell r="B1600">
            <v>2008</v>
          </cell>
          <cell r="C1600" t="str">
            <v>prod_inf_serv</v>
          </cell>
          <cell r="D1600">
            <v>5.5374698638916016</v>
          </cell>
        </row>
        <row r="1601">
          <cell r="A1601" t="str">
            <v>HND</v>
          </cell>
          <cell r="B1601">
            <v>2009</v>
          </cell>
          <cell r="C1601" t="str">
            <v>gdp_activity</v>
          </cell>
          <cell r="D1601">
            <v>-2.37273097038269</v>
          </cell>
        </row>
        <row r="1602">
          <cell r="A1602" t="str">
            <v>HND</v>
          </cell>
          <cell r="B1602">
            <v>2009</v>
          </cell>
          <cell r="C1602" t="str">
            <v>gdp_for_agri</v>
          </cell>
          <cell r="D1602">
            <v>-8.3685626983642578</v>
          </cell>
        </row>
        <row r="1603">
          <cell r="A1603" t="str">
            <v>HND</v>
          </cell>
          <cell r="B1603">
            <v>2009</v>
          </cell>
          <cell r="C1603" t="str">
            <v>gdp_for_ind</v>
          </cell>
          <cell r="D1603">
            <v>1.448980331420898</v>
          </cell>
        </row>
        <row r="1604">
          <cell r="A1604" t="str">
            <v>HND</v>
          </cell>
          <cell r="B1604">
            <v>2009</v>
          </cell>
          <cell r="C1604" t="str">
            <v>gdp_for_serv</v>
          </cell>
          <cell r="D1604">
            <v>18.571926116943359</v>
          </cell>
        </row>
        <row r="1605">
          <cell r="A1605" t="str">
            <v>HND</v>
          </cell>
          <cell r="B1605">
            <v>2009</v>
          </cell>
          <cell r="C1605" t="str">
            <v>gdp_inf_agri</v>
          </cell>
          <cell r="D1605">
            <v>-6.0844764709472656</v>
          </cell>
        </row>
        <row r="1606">
          <cell r="A1606" t="str">
            <v>HND</v>
          </cell>
          <cell r="B1606">
            <v>2009</v>
          </cell>
          <cell r="C1606" t="str">
            <v>gdp_inf_ind</v>
          </cell>
          <cell r="D1606">
            <v>-9.9287763237953186E-2</v>
          </cell>
        </row>
        <row r="1607">
          <cell r="A1607" t="str">
            <v>HND</v>
          </cell>
          <cell r="B1607">
            <v>2009</v>
          </cell>
          <cell r="C1607" t="str">
            <v>gdp_inf_serv</v>
          </cell>
          <cell r="D1607">
            <v>5.3029747009277344</v>
          </cell>
        </row>
        <row r="1608">
          <cell r="A1608" t="str">
            <v>HND</v>
          </cell>
          <cell r="B1608">
            <v>2009</v>
          </cell>
          <cell r="C1608" t="str">
            <v>prod_for_agri</v>
          </cell>
          <cell r="D1608">
            <v>-2.2945306301116939</v>
          </cell>
        </row>
        <row r="1609">
          <cell r="A1609" t="str">
            <v>HND</v>
          </cell>
          <cell r="B1609">
            <v>2009</v>
          </cell>
          <cell r="C1609" t="str">
            <v>prod_for_ind</v>
          </cell>
          <cell r="D1609">
            <v>-1.698750257492065</v>
          </cell>
        </row>
        <row r="1610">
          <cell r="A1610" t="str">
            <v>HND</v>
          </cell>
          <cell r="B1610">
            <v>2009</v>
          </cell>
          <cell r="C1610" t="str">
            <v>prod_for_serv</v>
          </cell>
          <cell r="D1610">
            <v>-2.142214298248291</v>
          </cell>
        </row>
        <row r="1611">
          <cell r="A1611" t="str">
            <v>HND</v>
          </cell>
          <cell r="B1611">
            <v>2009</v>
          </cell>
          <cell r="C1611" t="str">
            <v>prod_inf_agri</v>
          </cell>
          <cell r="D1611">
            <v>1.375591993331909</v>
          </cell>
        </row>
        <row r="1612">
          <cell r="A1612" t="str">
            <v>HND</v>
          </cell>
          <cell r="B1612">
            <v>2009</v>
          </cell>
          <cell r="C1612" t="str">
            <v>prod_inf_ind</v>
          </cell>
          <cell r="D1612">
            <v>1.616686105728149</v>
          </cell>
        </row>
        <row r="1613">
          <cell r="A1613" t="str">
            <v>HND</v>
          </cell>
          <cell r="B1613">
            <v>2009</v>
          </cell>
          <cell r="C1613" t="str">
            <v>prod_inf_serv</v>
          </cell>
          <cell r="D1613">
            <v>2.683324813842773</v>
          </cell>
        </row>
        <row r="1614">
          <cell r="A1614" t="str">
            <v>HND</v>
          </cell>
          <cell r="B1614">
            <v>2010</v>
          </cell>
          <cell r="C1614" t="str">
            <v>gdp_activity</v>
          </cell>
          <cell r="D1614">
            <v>1.3967312574386599</v>
          </cell>
        </row>
        <row r="1615">
          <cell r="A1615" t="str">
            <v>HND</v>
          </cell>
          <cell r="B1615">
            <v>2010</v>
          </cell>
          <cell r="C1615" t="str">
            <v>gdp_for_agri</v>
          </cell>
          <cell r="D1615">
            <v>2.9203310012817378</v>
          </cell>
        </row>
        <row r="1616">
          <cell r="A1616" t="str">
            <v>HND</v>
          </cell>
          <cell r="B1616">
            <v>2010</v>
          </cell>
          <cell r="C1616" t="str">
            <v>gdp_for_ind</v>
          </cell>
          <cell r="D1616">
            <v>-1.27179479598999</v>
          </cell>
        </row>
        <row r="1617">
          <cell r="A1617" t="str">
            <v>HND</v>
          </cell>
          <cell r="B1617">
            <v>2010</v>
          </cell>
          <cell r="C1617" t="str">
            <v>gdp_for_serv</v>
          </cell>
          <cell r="D1617">
            <v>1.789503335952759</v>
          </cell>
        </row>
        <row r="1618">
          <cell r="A1618" t="str">
            <v>HND</v>
          </cell>
          <cell r="B1618">
            <v>2010</v>
          </cell>
          <cell r="C1618" t="str">
            <v>gdp_inf_agri</v>
          </cell>
          <cell r="D1618">
            <v>3.9782364368438721</v>
          </cell>
        </row>
        <row r="1619">
          <cell r="A1619" t="str">
            <v>HND</v>
          </cell>
          <cell r="B1619">
            <v>2010</v>
          </cell>
          <cell r="C1619" t="str">
            <v>gdp_inf_ind</v>
          </cell>
          <cell r="D1619">
            <v>-1.7816857099533081</v>
          </cell>
        </row>
        <row r="1620">
          <cell r="A1620" t="str">
            <v>HND</v>
          </cell>
          <cell r="B1620">
            <v>2010</v>
          </cell>
          <cell r="C1620" t="str">
            <v>gdp_inf_serv</v>
          </cell>
          <cell r="D1620">
            <v>0.88519853353500366</v>
          </cell>
        </row>
        <row r="1621">
          <cell r="A1621" t="str">
            <v>HND</v>
          </cell>
          <cell r="B1621">
            <v>2010</v>
          </cell>
          <cell r="C1621" t="str">
            <v>prod_for_agri</v>
          </cell>
          <cell r="D1621">
            <v>-2.4715085029602051</v>
          </cell>
        </row>
        <row r="1622">
          <cell r="A1622" t="str">
            <v>HND</v>
          </cell>
          <cell r="B1622">
            <v>2010</v>
          </cell>
          <cell r="C1622" t="str">
            <v>prod_for_ind</v>
          </cell>
          <cell r="D1622">
            <v>-0.70076233148574829</v>
          </cell>
        </row>
        <row r="1623">
          <cell r="A1623" t="str">
            <v>HND</v>
          </cell>
          <cell r="B1623">
            <v>2010</v>
          </cell>
          <cell r="C1623" t="str">
            <v>prod_for_serv</v>
          </cell>
          <cell r="D1623">
            <v>-6.9606246948242188</v>
          </cell>
        </row>
        <row r="1624">
          <cell r="A1624" t="str">
            <v>HND</v>
          </cell>
          <cell r="B1624">
            <v>2010</v>
          </cell>
          <cell r="C1624" t="str">
            <v>prod_inf_agri</v>
          </cell>
          <cell r="D1624">
            <v>-0.5429919958114624</v>
          </cell>
        </row>
        <row r="1625">
          <cell r="A1625" t="str">
            <v>HND</v>
          </cell>
          <cell r="B1625">
            <v>2010</v>
          </cell>
          <cell r="C1625" t="str">
            <v>prod_inf_ind</v>
          </cell>
          <cell r="D1625">
            <v>-1.491935729980469</v>
          </cell>
        </row>
        <row r="1626">
          <cell r="A1626" t="str">
            <v>HND</v>
          </cell>
          <cell r="B1626">
            <v>2010</v>
          </cell>
          <cell r="C1626" t="str">
            <v>prod_inf_serv</v>
          </cell>
          <cell r="D1626">
            <v>13.982014656066889</v>
          </cell>
        </row>
        <row r="1627">
          <cell r="A1627" t="str">
            <v>HND</v>
          </cell>
          <cell r="B1627">
            <v>2011</v>
          </cell>
          <cell r="C1627" t="str">
            <v>gdp_activity</v>
          </cell>
          <cell r="D1627">
            <v>-1.6390679404139519E-2</v>
          </cell>
        </row>
        <row r="1628">
          <cell r="A1628" t="str">
            <v>HND</v>
          </cell>
          <cell r="B1628">
            <v>2011</v>
          </cell>
          <cell r="C1628" t="str">
            <v>gdp_for_agri</v>
          </cell>
          <cell r="D1628">
            <v>-8.038233757019043</v>
          </cell>
        </row>
        <row r="1629">
          <cell r="A1629" t="str">
            <v>HND</v>
          </cell>
          <cell r="B1629">
            <v>2011</v>
          </cell>
          <cell r="C1629" t="str">
            <v>gdp_for_ind</v>
          </cell>
          <cell r="D1629">
            <v>1.341300845146179</v>
          </cell>
        </row>
        <row r="1630">
          <cell r="A1630" t="str">
            <v>HND</v>
          </cell>
          <cell r="B1630">
            <v>2011</v>
          </cell>
          <cell r="C1630" t="str">
            <v>gdp_for_serv</v>
          </cell>
          <cell r="D1630">
            <v>-1.616432785987854</v>
          </cell>
        </row>
        <row r="1631">
          <cell r="A1631" t="str">
            <v>HND</v>
          </cell>
          <cell r="B1631">
            <v>2011</v>
          </cell>
          <cell r="C1631" t="str">
            <v>gdp_inf_agri</v>
          </cell>
          <cell r="D1631">
            <v>-0.20456200838088989</v>
          </cell>
        </row>
        <row r="1632">
          <cell r="A1632" t="str">
            <v>HND</v>
          </cell>
          <cell r="B1632">
            <v>2011</v>
          </cell>
          <cell r="C1632" t="str">
            <v>gdp_inf_ind</v>
          </cell>
          <cell r="D1632">
            <v>0.74608147144317627</v>
          </cell>
        </row>
        <row r="1633">
          <cell r="A1633" t="str">
            <v>HND</v>
          </cell>
          <cell r="B1633">
            <v>2011</v>
          </cell>
          <cell r="C1633" t="str">
            <v>gdp_inf_serv</v>
          </cell>
          <cell r="D1633">
            <v>0.91321390867233276</v>
          </cell>
        </row>
        <row r="1634">
          <cell r="A1634" t="str">
            <v>HND</v>
          </cell>
          <cell r="B1634">
            <v>2011</v>
          </cell>
          <cell r="C1634" t="str">
            <v>prod_for_agri</v>
          </cell>
          <cell r="D1634">
            <v>-2.364463090896606</v>
          </cell>
        </row>
        <row r="1635">
          <cell r="A1635" t="str">
            <v>HND</v>
          </cell>
          <cell r="B1635">
            <v>2011</v>
          </cell>
          <cell r="C1635" t="str">
            <v>prod_for_ind</v>
          </cell>
          <cell r="D1635">
            <v>39.634193420410163</v>
          </cell>
        </row>
        <row r="1636">
          <cell r="A1636" t="str">
            <v>HND</v>
          </cell>
          <cell r="B1636">
            <v>2011</v>
          </cell>
          <cell r="C1636" t="str">
            <v>prod_for_serv</v>
          </cell>
          <cell r="D1636">
            <v>1.9694855213165281</v>
          </cell>
        </row>
        <row r="1637">
          <cell r="A1637" t="str">
            <v>HND</v>
          </cell>
          <cell r="B1637">
            <v>2011</v>
          </cell>
          <cell r="C1637" t="str">
            <v>prod_inf_agri</v>
          </cell>
          <cell r="D1637">
            <v>2.9008584022521968</v>
          </cell>
        </row>
        <row r="1638">
          <cell r="A1638" t="str">
            <v>HND</v>
          </cell>
          <cell r="B1638">
            <v>2011</v>
          </cell>
          <cell r="C1638" t="str">
            <v>prod_inf_ind</v>
          </cell>
          <cell r="D1638">
            <v>-13.151309967041019</v>
          </cell>
        </row>
        <row r="1639">
          <cell r="A1639" t="str">
            <v>HND</v>
          </cell>
          <cell r="B1639">
            <v>2011</v>
          </cell>
          <cell r="C1639" t="str">
            <v>prod_inf_serv</v>
          </cell>
          <cell r="D1639">
            <v>-2.7730944156646729</v>
          </cell>
        </row>
        <row r="1640">
          <cell r="A1640" t="str">
            <v>HND</v>
          </cell>
          <cell r="B1640">
            <v>2012</v>
          </cell>
          <cell r="C1640" t="str">
            <v>gdp_activity</v>
          </cell>
          <cell r="D1640">
            <v>7.1741841733455658E-2</v>
          </cell>
        </row>
        <row r="1641">
          <cell r="A1641" t="str">
            <v>HND</v>
          </cell>
          <cell r="B1641">
            <v>2012</v>
          </cell>
          <cell r="C1641" t="str">
            <v>gdp_for_agri</v>
          </cell>
          <cell r="D1641">
            <v>5.7521048933267593E-2</v>
          </cell>
        </row>
        <row r="1642">
          <cell r="A1642" t="str">
            <v>HND</v>
          </cell>
          <cell r="B1642">
            <v>2012</v>
          </cell>
          <cell r="C1642" t="str">
            <v>gdp_for_ind</v>
          </cell>
          <cell r="D1642">
            <v>-7.6857571601867676</v>
          </cell>
        </row>
        <row r="1643">
          <cell r="A1643" t="str">
            <v>HND</v>
          </cell>
          <cell r="B1643">
            <v>2012</v>
          </cell>
          <cell r="C1643" t="str">
            <v>gdp_for_serv</v>
          </cell>
          <cell r="D1643">
            <v>-2.1087932586669922</v>
          </cell>
        </row>
        <row r="1644">
          <cell r="A1644" t="str">
            <v>HND</v>
          </cell>
          <cell r="B1644">
            <v>2012</v>
          </cell>
          <cell r="C1644" t="str">
            <v>gdp_inf_agri</v>
          </cell>
          <cell r="D1644">
            <v>0.5766596794128418</v>
          </cell>
        </row>
        <row r="1645">
          <cell r="A1645" t="str">
            <v>HND</v>
          </cell>
          <cell r="B1645">
            <v>2012</v>
          </cell>
          <cell r="C1645" t="str">
            <v>gdp_inf_ind</v>
          </cell>
          <cell r="D1645">
            <v>3.5967974662780762</v>
          </cell>
        </row>
        <row r="1646">
          <cell r="A1646" t="str">
            <v>HND</v>
          </cell>
          <cell r="B1646">
            <v>2012</v>
          </cell>
          <cell r="C1646" t="str">
            <v>gdp_inf_serv</v>
          </cell>
          <cell r="D1646">
            <v>-9.2171303927898407E-2</v>
          </cell>
        </row>
        <row r="1647">
          <cell r="A1647" t="str">
            <v>HND</v>
          </cell>
          <cell r="B1647">
            <v>2012</v>
          </cell>
          <cell r="C1647" t="str">
            <v>prod_for_agri</v>
          </cell>
          <cell r="D1647">
            <v>9.3777704238891602</v>
          </cell>
        </row>
        <row r="1648">
          <cell r="A1648" t="str">
            <v>HND</v>
          </cell>
          <cell r="B1648">
            <v>2012</v>
          </cell>
          <cell r="C1648" t="str">
            <v>prod_for_ind</v>
          </cell>
          <cell r="D1648">
            <v>-1.3423732481896881E-2</v>
          </cell>
        </row>
        <row r="1649">
          <cell r="A1649" t="str">
            <v>HND</v>
          </cell>
          <cell r="B1649">
            <v>2012</v>
          </cell>
          <cell r="C1649" t="str">
            <v>prod_for_serv</v>
          </cell>
          <cell r="D1649">
            <v>-0.94570839405059814</v>
          </cell>
        </row>
        <row r="1650">
          <cell r="A1650" t="str">
            <v>HND</v>
          </cell>
          <cell r="B1650">
            <v>2012</v>
          </cell>
          <cell r="C1650" t="str">
            <v>prod_inf_agri</v>
          </cell>
          <cell r="D1650">
            <v>-6.603022575378418</v>
          </cell>
        </row>
        <row r="1651">
          <cell r="A1651" t="str">
            <v>HND</v>
          </cell>
          <cell r="B1651">
            <v>2012</v>
          </cell>
          <cell r="C1651" t="str">
            <v>prod_inf_ind</v>
          </cell>
          <cell r="D1651">
            <v>-7.9795475006103516</v>
          </cell>
        </row>
        <row r="1652">
          <cell r="A1652" t="str">
            <v>HND</v>
          </cell>
          <cell r="B1652">
            <v>2012</v>
          </cell>
          <cell r="C1652" t="str">
            <v>prod_inf_serv</v>
          </cell>
          <cell r="D1652">
            <v>-0.65424764156341553</v>
          </cell>
        </row>
        <row r="1653">
          <cell r="A1653" t="str">
            <v>HND</v>
          </cell>
          <cell r="B1653">
            <v>2013</v>
          </cell>
          <cell r="C1653" t="str">
            <v>gdp_activity</v>
          </cell>
          <cell r="D1653">
            <v>2.5074360370635991</v>
          </cell>
        </row>
        <row r="1654">
          <cell r="A1654" t="str">
            <v>HND</v>
          </cell>
          <cell r="B1654">
            <v>2013</v>
          </cell>
          <cell r="C1654" t="str">
            <v>gdp_for_agri</v>
          </cell>
          <cell r="D1654">
            <v>35.559333801269531</v>
          </cell>
        </row>
        <row r="1655">
          <cell r="A1655" t="str">
            <v>HND</v>
          </cell>
          <cell r="B1655">
            <v>2013</v>
          </cell>
          <cell r="C1655" t="str">
            <v>gdp_for_ind</v>
          </cell>
          <cell r="D1655">
            <v>3.585541963577271</v>
          </cell>
        </row>
        <row r="1656">
          <cell r="A1656" t="str">
            <v>HND</v>
          </cell>
          <cell r="B1656">
            <v>2013</v>
          </cell>
          <cell r="C1656" t="str">
            <v>gdp_for_serv</v>
          </cell>
          <cell r="D1656">
            <v>4.7357707023620614</v>
          </cell>
        </row>
        <row r="1657">
          <cell r="A1657" t="str">
            <v>HND</v>
          </cell>
          <cell r="B1657">
            <v>2013</v>
          </cell>
          <cell r="C1657" t="str">
            <v>gdp_inf_agri</v>
          </cell>
          <cell r="D1657">
            <v>-0.75689679384231567</v>
          </cell>
        </row>
        <row r="1658">
          <cell r="A1658" t="str">
            <v>HND</v>
          </cell>
          <cell r="B1658">
            <v>2013</v>
          </cell>
          <cell r="C1658" t="str">
            <v>gdp_inf_ind</v>
          </cell>
          <cell r="D1658">
            <v>0.77965974807739258</v>
          </cell>
        </row>
        <row r="1659">
          <cell r="A1659" t="str">
            <v>HND</v>
          </cell>
          <cell r="B1659">
            <v>2013</v>
          </cell>
          <cell r="C1659" t="str">
            <v>gdp_inf_serv</v>
          </cell>
          <cell r="D1659">
            <v>4.0727596282958984</v>
          </cell>
        </row>
        <row r="1660">
          <cell r="A1660" t="str">
            <v>HND</v>
          </cell>
          <cell r="B1660">
            <v>2013</v>
          </cell>
          <cell r="C1660" t="str">
            <v>prod_for_agri</v>
          </cell>
          <cell r="D1660">
            <v>-5.9196286201477051</v>
          </cell>
        </row>
        <row r="1661">
          <cell r="A1661" t="str">
            <v>HND</v>
          </cell>
          <cell r="B1661">
            <v>2013</v>
          </cell>
          <cell r="C1661" t="str">
            <v>prod_for_ind</v>
          </cell>
          <cell r="D1661">
            <v>10.54794502258301</v>
          </cell>
        </row>
        <row r="1662">
          <cell r="A1662" t="str">
            <v>HND</v>
          </cell>
          <cell r="B1662">
            <v>2013</v>
          </cell>
          <cell r="C1662" t="str">
            <v>prod_for_serv</v>
          </cell>
          <cell r="D1662">
            <v>0.25833854079246521</v>
          </cell>
        </row>
        <row r="1663">
          <cell r="A1663" t="str">
            <v>HND</v>
          </cell>
          <cell r="B1663">
            <v>2013</v>
          </cell>
          <cell r="C1663" t="str">
            <v>prod_inf_agri</v>
          </cell>
          <cell r="D1663">
            <v>-2.289324283599854</v>
          </cell>
        </row>
        <row r="1664">
          <cell r="A1664" t="str">
            <v>HND</v>
          </cell>
          <cell r="B1664">
            <v>2013</v>
          </cell>
          <cell r="C1664" t="str">
            <v>prod_inf_ind</v>
          </cell>
          <cell r="D1664">
            <v>11.3474235534668</v>
          </cell>
        </row>
        <row r="1665">
          <cell r="A1665" t="str">
            <v>HND</v>
          </cell>
          <cell r="B1665">
            <v>2013</v>
          </cell>
          <cell r="C1665" t="str">
            <v>prod_inf_serv</v>
          </cell>
          <cell r="D1665">
            <v>0.78148132562637329</v>
          </cell>
        </row>
        <row r="1666">
          <cell r="A1666" t="str">
            <v>HND</v>
          </cell>
          <cell r="B1666">
            <v>2014</v>
          </cell>
          <cell r="C1666" t="str">
            <v>gdp_activity</v>
          </cell>
          <cell r="D1666">
            <v>-0.32401853799819952</v>
          </cell>
        </row>
        <row r="1667">
          <cell r="A1667" t="str">
            <v>HND</v>
          </cell>
          <cell r="B1667">
            <v>2014</v>
          </cell>
          <cell r="C1667" t="str">
            <v>gdp_for_agri</v>
          </cell>
          <cell r="D1667">
            <v>-7.5549521446228027</v>
          </cell>
        </row>
        <row r="1668">
          <cell r="A1668" t="str">
            <v>HND</v>
          </cell>
          <cell r="B1668">
            <v>2014</v>
          </cell>
          <cell r="C1668" t="str">
            <v>gdp_for_ind</v>
          </cell>
          <cell r="D1668">
            <v>31.760805130004879</v>
          </cell>
        </row>
        <row r="1669">
          <cell r="A1669" t="str">
            <v>HND</v>
          </cell>
          <cell r="B1669">
            <v>2014</v>
          </cell>
          <cell r="C1669" t="str">
            <v>gdp_for_serv</v>
          </cell>
          <cell r="D1669">
            <v>1.7996352910995479</v>
          </cell>
        </row>
        <row r="1670">
          <cell r="A1670" t="str">
            <v>HND</v>
          </cell>
          <cell r="B1670">
            <v>2014</v>
          </cell>
          <cell r="C1670" t="str">
            <v>gdp_inf_agri</v>
          </cell>
          <cell r="D1670">
            <v>-3.473341703414917</v>
          </cell>
        </row>
        <row r="1671">
          <cell r="A1671" t="str">
            <v>HND</v>
          </cell>
          <cell r="B1671">
            <v>2014</v>
          </cell>
          <cell r="C1671" t="str">
            <v>gdp_inf_ind</v>
          </cell>
          <cell r="D1671">
            <v>-0.61555361747741699</v>
          </cell>
        </row>
        <row r="1672">
          <cell r="A1672" t="str">
            <v>HND</v>
          </cell>
          <cell r="B1672">
            <v>2014</v>
          </cell>
          <cell r="C1672" t="str">
            <v>gdp_inf_serv</v>
          </cell>
          <cell r="D1672">
            <v>-1.191336870193481</v>
          </cell>
        </row>
        <row r="1673">
          <cell r="A1673" t="str">
            <v>HND</v>
          </cell>
          <cell r="B1673">
            <v>2014</v>
          </cell>
          <cell r="C1673" t="str">
            <v>prod_for_agri</v>
          </cell>
          <cell r="D1673">
            <v>-1.952695250511169</v>
          </cell>
        </row>
        <row r="1674">
          <cell r="A1674" t="str">
            <v>HND</v>
          </cell>
          <cell r="B1674">
            <v>2014</v>
          </cell>
          <cell r="C1674" t="str">
            <v>prod_for_ind</v>
          </cell>
          <cell r="D1674">
            <v>0.72005140781402588</v>
          </cell>
        </row>
        <row r="1675">
          <cell r="A1675" t="str">
            <v>HND</v>
          </cell>
          <cell r="B1675">
            <v>2014</v>
          </cell>
          <cell r="C1675" t="str">
            <v>prod_for_serv</v>
          </cell>
          <cell r="D1675">
            <v>0.32784321904182429</v>
          </cell>
        </row>
        <row r="1676">
          <cell r="A1676" t="str">
            <v>HND</v>
          </cell>
          <cell r="B1676">
            <v>2014</v>
          </cell>
          <cell r="C1676" t="str">
            <v>prod_inf_agri</v>
          </cell>
          <cell r="D1676">
            <v>-0.57975685596466064</v>
          </cell>
        </row>
        <row r="1677">
          <cell r="A1677" t="str">
            <v>HND</v>
          </cell>
          <cell r="B1677">
            <v>2014</v>
          </cell>
          <cell r="C1677" t="str">
            <v>prod_inf_ind</v>
          </cell>
          <cell r="D1677">
            <v>0.10299144685268399</v>
          </cell>
        </row>
        <row r="1678">
          <cell r="A1678" t="str">
            <v>HND</v>
          </cell>
          <cell r="B1678">
            <v>2014</v>
          </cell>
          <cell r="C1678" t="str">
            <v>prod_inf_serv</v>
          </cell>
          <cell r="D1678">
            <v>-0.78174811601638794</v>
          </cell>
        </row>
        <row r="1679">
          <cell r="A1679" t="str">
            <v>HND</v>
          </cell>
          <cell r="B1679">
            <v>2015</v>
          </cell>
          <cell r="C1679" t="str">
            <v>gdp_activity</v>
          </cell>
          <cell r="D1679">
            <v>1.6839848756790159</v>
          </cell>
        </row>
        <row r="1680">
          <cell r="A1680" t="str">
            <v>HND</v>
          </cell>
          <cell r="B1680">
            <v>2015</v>
          </cell>
          <cell r="C1680" t="str">
            <v>gdp_for_agri</v>
          </cell>
          <cell r="D1680">
            <v>5.8306856155395508</v>
          </cell>
        </row>
        <row r="1681">
          <cell r="A1681" t="str">
            <v>HND</v>
          </cell>
          <cell r="B1681">
            <v>2015</v>
          </cell>
          <cell r="C1681" t="str">
            <v>gdp_for_ind</v>
          </cell>
          <cell r="D1681">
            <v>0.38877922296524048</v>
          </cell>
        </row>
        <row r="1682">
          <cell r="A1682" t="str">
            <v>HND</v>
          </cell>
          <cell r="B1682">
            <v>2015</v>
          </cell>
          <cell r="C1682" t="str">
            <v>gdp_for_serv</v>
          </cell>
          <cell r="D1682">
            <v>-2.5803506374359131</v>
          </cell>
        </row>
        <row r="1683">
          <cell r="A1683" t="str">
            <v>HND</v>
          </cell>
          <cell r="B1683">
            <v>2015</v>
          </cell>
          <cell r="C1683" t="str">
            <v>gdp_inf_agri</v>
          </cell>
          <cell r="D1683">
            <v>1.1088685989379881</v>
          </cell>
        </row>
        <row r="1684">
          <cell r="A1684" t="str">
            <v>HND</v>
          </cell>
          <cell r="B1684">
            <v>2015</v>
          </cell>
          <cell r="C1684" t="str">
            <v>gdp_inf_ind</v>
          </cell>
          <cell r="D1684">
            <v>1.0843749046325679</v>
          </cell>
        </row>
        <row r="1685">
          <cell r="A1685" t="str">
            <v>HND</v>
          </cell>
          <cell r="B1685">
            <v>2015</v>
          </cell>
          <cell r="C1685" t="str">
            <v>gdp_inf_serv</v>
          </cell>
          <cell r="D1685">
            <v>2.8182895183563228</v>
          </cell>
        </row>
        <row r="1686">
          <cell r="A1686" t="str">
            <v>HND</v>
          </cell>
          <cell r="B1686">
            <v>2015</v>
          </cell>
          <cell r="C1686" t="str">
            <v>prod_for_agri</v>
          </cell>
          <cell r="D1686">
            <v>-82.901321411132813</v>
          </cell>
        </row>
        <row r="1687">
          <cell r="A1687" t="str">
            <v>HND</v>
          </cell>
          <cell r="B1687">
            <v>2015</v>
          </cell>
          <cell r="C1687" t="str">
            <v>prod_for_ind</v>
          </cell>
          <cell r="D1687">
            <v>10.750261306762701</v>
          </cell>
        </row>
        <row r="1688">
          <cell r="A1688" t="str">
            <v>HND</v>
          </cell>
          <cell r="B1688">
            <v>2015</v>
          </cell>
          <cell r="C1688" t="str">
            <v>prod_for_serv</v>
          </cell>
          <cell r="D1688">
            <v>-0.40072667598724371</v>
          </cell>
        </row>
        <row r="1689">
          <cell r="A1689" t="str">
            <v>HND</v>
          </cell>
          <cell r="B1689">
            <v>2015</v>
          </cell>
          <cell r="C1689" t="str">
            <v>prod_inf_agri</v>
          </cell>
          <cell r="D1689">
            <v>-10.22042846679688</v>
          </cell>
        </row>
        <row r="1690">
          <cell r="A1690" t="str">
            <v>HND</v>
          </cell>
          <cell r="B1690">
            <v>2015</v>
          </cell>
          <cell r="C1690" t="str">
            <v>prod_inf_ind</v>
          </cell>
          <cell r="D1690">
            <v>-6.4307632446289063</v>
          </cell>
        </row>
        <row r="1691">
          <cell r="A1691" t="str">
            <v>HND</v>
          </cell>
          <cell r="B1691">
            <v>2015</v>
          </cell>
          <cell r="C1691" t="str">
            <v>prod_inf_serv</v>
          </cell>
          <cell r="D1691">
            <v>1.1399508714675901</v>
          </cell>
        </row>
        <row r="1692">
          <cell r="A1692" t="str">
            <v>HND</v>
          </cell>
          <cell r="B1692">
            <v>2016</v>
          </cell>
          <cell r="C1692" t="str">
            <v>gdp_activity</v>
          </cell>
          <cell r="D1692">
            <v>0.1791136562824249</v>
          </cell>
        </row>
        <row r="1693">
          <cell r="A1693" t="str">
            <v>HND</v>
          </cell>
          <cell r="B1693">
            <v>2016</v>
          </cell>
          <cell r="C1693" t="str">
            <v>gdp_for_agri</v>
          </cell>
          <cell r="D1693">
            <v>2.285948514938354</v>
          </cell>
        </row>
        <row r="1694">
          <cell r="A1694" t="str">
            <v>HND</v>
          </cell>
          <cell r="B1694">
            <v>2016</v>
          </cell>
          <cell r="C1694" t="str">
            <v>gdp_for_ind</v>
          </cell>
          <cell r="D1694">
            <v>0.6745108962059021</v>
          </cell>
        </row>
        <row r="1695">
          <cell r="A1695" t="str">
            <v>HND</v>
          </cell>
          <cell r="B1695">
            <v>2016</v>
          </cell>
          <cell r="C1695" t="str">
            <v>gdp_for_serv</v>
          </cell>
          <cell r="D1695">
            <v>2.384304285049438</v>
          </cell>
        </row>
        <row r="1696">
          <cell r="A1696" t="str">
            <v>HND</v>
          </cell>
          <cell r="B1696">
            <v>2016</v>
          </cell>
          <cell r="C1696" t="str">
            <v>gdp_inf_agri</v>
          </cell>
          <cell r="D1696">
            <v>-1.3030527830123899</v>
          </cell>
        </row>
        <row r="1697">
          <cell r="A1697" t="str">
            <v>HND</v>
          </cell>
          <cell r="B1697">
            <v>2016</v>
          </cell>
          <cell r="C1697" t="str">
            <v>gdp_inf_ind</v>
          </cell>
          <cell r="D1697">
            <v>-0.18022432923316961</v>
          </cell>
        </row>
        <row r="1698">
          <cell r="A1698" t="str">
            <v>HND</v>
          </cell>
          <cell r="B1698">
            <v>2016</v>
          </cell>
          <cell r="C1698" t="str">
            <v>gdp_inf_serv</v>
          </cell>
          <cell r="D1698">
            <v>0.94447129964828491</v>
          </cell>
        </row>
        <row r="1699">
          <cell r="A1699" t="str">
            <v>HND</v>
          </cell>
          <cell r="B1699">
            <v>2016</v>
          </cell>
          <cell r="C1699" t="str">
            <v>prod_for_agri</v>
          </cell>
          <cell r="D1699">
            <v>-1.263884544372559</v>
          </cell>
        </row>
        <row r="1700">
          <cell r="A1700" t="str">
            <v>HND</v>
          </cell>
          <cell r="B1700">
            <v>2016</v>
          </cell>
          <cell r="C1700" t="str">
            <v>prod_for_ind</v>
          </cell>
          <cell r="D1700">
            <v>-0.21653954684734339</v>
          </cell>
        </row>
        <row r="1701">
          <cell r="A1701" t="str">
            <v>HND</v>
          </cell>
          <cell r="B1701">
            <v>2016</v>
          </cell>
          <cell r="C1701" t="str">
            <v>prod_for_serv</v>
          </cell>
          <cell r="D1701">
            <v>0.15229456126689911</v>
          </cell>
        </row>
        <row r="1702">
          <cell r="A1702" t="str">
            <v>HND</v>
          </cell>
          <cell r="B1702">
            <v>2016</v>
          </cell>
          <cell r="C1702" t="str">
            <v>prod_inf_agri</v>
          </cell>
          <cell r="D1702">
            <v>-7.6316669583320618E-2</v>
          </cell>
        </row>
        <row r="1703">
          <cell r="A1703" t="str">
            <v>HND</v>
          </cell>
          <cell r="B1703">
            <v>2016</v>
          </cell>
          <cell r="C1703" t="str">
            <v>prod_inf_ind</v>
          </cell>
          <cell r="D1703">
            <v>3.4471123218536381</v>
          </cell>
        </row>
        <row r="1704">
          <cell r="A1704" t="str">
            <v>HND</v>
          </cell>
          <cell r="B1704">
            <v>2016</v>
          </cell>
          <cell r="C1704" t="str">
            <v>prod_inf_serv</v>
          </cell>
          <cell r="D1704">
            <v>-6.3800334930419922</v>
          </cell>
        </row>
        <row r="1705">
          <cell r="A1705" t="str">
            <v>HND</v>
          </cell>
          <cell r="B1705">
            <v>2017</v>
          </cell>
          <cell r="C1705" t="str">
            <v>gdp_activity</v>
          </cell>
          <cell r="D1705">
            <v>0.87473374605178833</v>
          </cell>
        </row>
        <row r="1706">
          <cell r="A1706" t="str">
            <v>HND</v>
          </cell>
          <cell r="B1706">
            <v>2017</v>
          </cell>
          <cell r="C1706" t="str">
            <v>gdp_for_agri</v>
          </cell>
          <cell r="D1706">
            <v>1.028110146522522</v>
          </cell>
        </row>
        <row r="1707">
          <cell r="A1707" t="str">
            <v>HND</v>
          </cell>
          <cell r="B1707">
            <v>2017</v>
          </cell>
          <cell r="C1707" t="str">
            <v>gdp_for_ind</v>
          </cell>
          <cell r="D1707">
            <v>-1.716907262802124</v>
          </cell>
        </row>
        <row r="1708">
          <cell r="A1708" t="str">
            <v>HND</v>
          </cell>
          <cell r="B1708">
            <v>2017</v>
          </cell>
          <cell r="C1708" t="str">
            <v>gdp_for_serv</v>
          </cell>
          <cell r="D1708">
            <v>-2.0504426956176758</v>
          </cell>
        </row>
        <row r="1709">
          <cell r="A1709" t="str">
            <v>HND</v>
          </cell>
          <cell r="B1709">
            <v>2017</v>
          </cell>
          <cell r="C1709" t="str">
            <v>gdp_inf_agri</v>
          </cell>
          <cell r="D1709">
            <v>1.0289251804351811</v>
          </cell>
        </row>
        <row r="1710">
          <cell r="A1710" t="str">
            <v>HND</v>
          </cell>
          <cell r="B1710">
            <v>2017</v>
          </cell>
          <cell r="C1710" t="str">
            <v>gdp_inf_ind</v>
          </cell>
          <cell r="D1710">
            <v>2.370597362518311</v>
          </cell>
        </row>
        <row r="1711">
          <cell r="A1711" t="str">
            <v>HND</v>
          </cell>
          <cell r="B1711">
            <v>2017</v>
          </cell>
          <cell r="C1711" t="str">
            <v>gdp_inf_serv</v>
          </cell>
          <cell r="D1711">
            <v>1.292899012565613</v>
          </cell>
        </row>
        <row r="1712">
          <cell r="A1712" t="str">
            <v>HND</v>
          </cell>
          <cell r="B1712">
            <v>2017</v>
          </cell>
          <cell r="C1712" t="str">
            <v>prod_for_agri</v>
          </cell>
          <cell r="D1712">
            <v>-72.881271362304688</v>
          </cell>
        </row>
        <row r="1713">
          <cell r="A1713" t="str">
            <v>HND</v>
          </cell>
          <cell r="B1713">
            <v>2017</v>
          </cell>
          <cell r="C1713" t="str">
            <v>prod_for_ind</v>
          </cell>
          <cell r="D1713">
            <v>-3.5067124366760249</v>
          </cell>
        </row>
        <row r="1714">
          <cell r="A1714" t="str">
            <v>HND</v>
          </cell>
          <cell r="B1714">
            <v>2017</v>
          </cell>
          <cell r="C1714" t="str">
            <v>prod_for_serv</v>
          </cell>
          <cell r="D1714">
            <v>-1.8652787208557129</v>
          </cell>
        </row>
        <row r="1715">
          <cell r="A1715" t="str">
            <v>HND</v>
          </cell>
          <cell r="B1715">
            <v>2017</v>
          </cell>
          <cell r="C1715" t="str">
            <v>prod_inf_agri</v>
          </cell>
          <cell r="D1715">
            <v>51.531509399414063</v>
          </cell>
        </row>
        <row r="1716">
          <cell r="A1716" t="str">
            <v>HND</v>
          </cell>
          <cell r="B1716">
            <v>2017</v>
          </cell>
          <cell r="C1716" t="str">
            <v>prod_inf_ind</v>
          </cell>
          <cell r="D1716">
            <v>0.83215850591659546</v>
          </cell>
        </row>
        <row r="1717">
          <cell r="A1717" t="str">
            <v>HND</v>
          </cell>
          <cell r="B1717">
            <v>2017</v>
          </cell>
          <cell r="C1717" t="str">
            <v>prod_inf_serv</v>
          </cell>
          <cell r="D1717">
            <v>0.82146525382995605</v>
          </cell>
        </row>
        <row r="1718">
          <cell r="A1718" t="str">
            <v>HND</v>
          </cell>
          <cell r="B1718">
            <v>2018</v>
          </cell>
          <cell r="C1718" t="str">
            <v>gdp_activity</v>
          </cell>
          <cell r="D1718">
            <v>1.3651969432830811</v>
          </cell>
        </row>
        <row r="1719">
          <cell r="A1719" t="str">
            <v>HND</v>
          </cell>
          <cell r="B1719">
            <v>2018</v>
          </cell>
          <cell r="C1719" t="str">
            <v>gdp_for_agri</v>
          </cell>
          <cell r="D1719">
            <v>2.0306651592254639</v>
          </cell>
        </row>
        <row r="1720">
          <cell r="A1720" t="str">
            <v>HND</v>
          </cell>
          <cell r="B1720">
            <v>2018</v>
          </cell>
          <cell r="C1720" t="str">
            <v>gdp_for_ind</v>
          </cell>
          <cell r="D1720">
            <v>1.307955384254456</v>
          </cell>
        </row>
        <row r="1721">
          <cell r="A1721" t="str">
            <v>HND</v>
          </cell>
          <cell r="B1721">
            <v>2018</v>
          </cell>
          <cell r="C1721" t="str">
            <v>gdp_for_serv</v>
          </cell>
          <cell r="D1721">
            <v>2.3930330276489258</v>
          </cell>
        </row>
        <row r="1722">
          <cell r="A1722" t="str">
            <v>HND</v>
          </cell>
          <cell r="B1722">
            <v>2018</v>
          </cell>
          <cell r="C1722" t="str">
            <v>gdp_inf_agri</v>
          </cell>
          <cell r="D1722">
            <v>-0.12323151528835299</v>
          </cell>
        </row>
        <row r="1723">
          <cell r="A1723" t="str">
            <v>HND</v>
          </cell>
          <cell r="B1723">
            <v>2018</v>
          </cell>
          <cell r="C1723" t="str">
            <v>gdp_inf_ind</v>
          </cell>
          <cell r="D1723">
            <v>0.90373742580413818</v>
          </cell>
        </row>
        <row r="1724">
          <cell r="A1724" t="str">
            <v>HND</v>
          </cell>
          <cell r="B1724">
            <v>2018</v>
          </cell>
          <cell r="C1724" t="str">
            <v>gdp_inf_serv</v>
          </cell>
          <cell r="D1724">
            <v>2.7101230621337891</v>
          </cell>
        </row>
        <row r="1725">
          <cell r="A1725" t="str">
            <v>HND</v>
          </cell>
          <cell r="B1725">
            <v>2018</v>
          </cell>
          <cell r="C1725" t="str">
            <v>prod_for_agri</v>
          </cell>
          <cell r="D1725">
            <v>-2.107258796691895</v>
          </cell>
        </row>
        <row r="1726">
          <cell r="A1726" t="str">
            <v>HND</v>
          </cell>
          <cell r="B1726">
            <v>2018</v>
          </cell>
          <cell r="C1726" t="str">
            <v>prod_for_ind</v>
          </cell>
          <cell r="D1726">
            <v>-55.075485229492188</v>
          </cell>
        </row>
        <row r="1727">
          <cell r="A1727" t="str">
            <v>HND</v>
          </cell>
          <cell r="B1727">
            <v>2018</v>
          </cell>
          <cell r="C1727" t="str">
            <v>prod_for_serv</v>
          </cell>
          <cell r="D1727">
            <v>0.29821386933326721</v>
          </cell>
        </row>
        <row r="1728">
          <cell r="A1728" t="str">
            <v>HND</v>
          </cell>
          <cell r="B1728">
            <v>2018</v>
          </cell>
          <cell r="C1728" t="str">
            <v>prod_inf_agri</v>
          </cell>
          <cell r="D1728">
            <v>1.146830558776855</v>
          </cell>
        </row>
        <row r="1729">
          <cell r="A1729" t="str">
            <v>HND</v>
          </cell>
          <cell r="B1729">
            <v>2018</v>
          </cell>
          <cell r="C1729" t="str">
            <v>prod_inf_ind</v>
          </cell>
          <cell r="D1729">
            <v>49.882312774658203</v>
          </cell>
        </row>
        <row r="1730">
          <cell r="A1730" t="str">
            <v>HND</v>
          </cell>
          <cell r="B1730">
            <v>2018</v>
          </cell>
          <cell r="C1730" t="str">
            <v>prod_inf_serv</v>
          </cell>
          <cell r="D1730">
            <v>2.3059101104736328</v>
          </cell>
        </row>
        <row r="1731">
          <cell r="A1731" t="str">
            <v>HND</v>
          </cell>
          <cell r="B1731">
            <v>2019</v>
          </cell>
          <cell r="C1731" t="str">
            <v>gdp_activity</v>
          </cell>
          <cell r="D1731">
            <v>-1.254985094070435</v>
          </cell>
        </row>
        <row r="1732">
          <cell r="A1732" t="str">
            <v>HND</v>
          </cell>
          <cell r="B1732">
            <v>2019</v>
          </cell>
          <cell r="C1732" t="str">
            <v>gdp_for_agri</v>
          </cell>
          <cell r="D1732">
            <v>2.5740120410919189</v>
          </cell>
        </row>
        <row r="1733">
          <cell r="A1733" t="str">
            <v>HND</v>
          </cell>
          <cell r="B1733">
            <v>2019</v>
          </cell>
          <cell r="C1733" t="str">
            <v>gdp_for_ind</v>
          </cell>
          <cell r="D1733">
            <v>1.2586591243743901</v>
          </cell>
        </row>
        <row r="1734">
          <cell r="A1734" t="str">
            <v>HND</v>
          </cell>
          <cell r="B1734">
            <v>2019</v>
          </cell>
          <cell r="C1734" t="str">
            <v>gdp_for_serv</v>
          </cell>
          <cell r="D1734">
            <v>1.141375780105591</v>
          </cell>
        </row>
        <row r="1735">
          <cell r="A1735" t="str">
            <v>HND</v>
          </cell>
          <cell r="B1735">
            <v>2019</v>
          </cell>
          <cell r="C1735" t="str">
            <v>gdp_inf_agri</v>
          </cell>
          <cell r="D1735">
            <v>8.8624362945556641</v>
          </cell>
        </row>
        <row r="1736">
          <cell r="A1736" t="str">
            <v>HND</v>
          </cell>
          <cell r="B1736">
            <v>2019</v>
          </cell>
          <cell r="C1736" t="str">
            <v>gdp_inf_ind</v>
          </cell>
          <cell r="D1736">
            <v>0.9120977520942688</v>
          </cell>
        </row>
        <row r="1737">
          <cell r="A1737" t="str">
            <v>HND</v>
          </cell>
          <cell r="B1737">
            <v>2019</v>
          </cell>
          <cell r="C1737" t="str">
            <v>gdp_inf_serv</v>
          </cell>
          <cell r="D1737">
            <v>-1.197726726531982</v>
          </cell>
        </row>
        <row r="1738">
          <cell r="A1738" t="str">
            <v>HND</v>
          </cell>
          <cell r="B1738">
            <v>2019</v>
          </cell>
          <cell r="C1738" t="str">
            <v>prod_for_agri</v>
          </cell>
          <cell r="D1738">
            <v>0.31670543551445007</v>
          </cell>
        </row>
        <row r="1739">
          <cell r="A1739" t="str">
            <v>HND</v>
          </cell>
          <cell r="B1739">
            <v>2019</v>
          </cell>
          <cell r="C1739" t="str">
            <v>prod_for_ind</v>
          </cell>
          <cell r="D1739">
            <v>344.49542236328131</v>
          </cell>
        </row>
        <row r="1740">
          <cell r="A1740" t="str">
            <v>HND</v>
          </cell>
          <cell r="B1740">
            <v>2019</v>
          </cell>
          <cell r="C1740" t="str">
            <v>prod_for_serv</v>
          </cell>
          <cell r="D1740">
            <v>0.43051883578300482</v>
          </cell>
        </row>
        <row r="1741">
          <cell r="A1741" t="str">
            <v>HND</v>
          </cell>
          <cell r="B1741">
            <v>2019</v>
          </cell>
          <cell r="C1741" t="str">
            <v>prod_inf_agri</v>
          </cell>
          <cell r="D1741">
            <v>0.37478494644165039</v>
          </cell>
        </row>
        <row r="1742">
          <cell r="A1742" t="str">
            <v>HND</v>
          </cell>
          <cell r="B1742">
            <v>2019</v>
          </cell>
          <cell r="C1742" t="str">
            <v>prod_inf_ind</v>
          </cell>
          <cell r="D1742">
            <v>-189.7898864746094</v>
          </cell>
        </row>
        <row r="1743">
          <cell r="A1743" t="str">
            <v>HND</v>
          </cell>
          <cell r="B1743">
            <v>2019</v>
          </cell>
          <cell r="C1743" t="str">
            <v>prod_inf_serv</v>
          </cell>
          <cell r="D1743">
            <v>2.1309814453125</v>
          </cell>
        </row>
        <row r="1744">
          <cell r="A1744" t="str">
            <v>MEX</v>
          </cell>
          <cell r="B1744">
            <v>2010</v>
          </cell>
          <cell r="C1744" t="str">
            <v>gdp_activity</v>
          </cell>
          <cell r="D1744">
            <v>-1.206063985824585</v>
          </cell>
        </row>
        <row r="1745">
          <cell r="A1745" t="str">
            <v>MEX</v>
          </cell>
          <cell r="B1745">
            <v>2010</v>
          </cell>
          <cell r="C1745" t="str">
            <v>gdp_for_agri</v>
          </cell>
          <cell r="D1745">
            <v>-16.405380249023441</v>
          </cell>
        </row>
        <row r="1746">
          <cell r="A1746" t="str">
            <v>MEX</v>
          </cell>
          <cell r="B1746">
            <v>2010</v>
          </cell>
          <cell r="C1746" t="str">
            <v>gdp_for_ind</v>
          </cell>
          <cell r="D1746">
            <v>-1.0020591020584111</v>
          </cell>
        </row>
        <row r="1747">
          <cell r="A1747" t="str">
            <v>MEX</v>
          </cell>
          <cell r="B1747">
            <v>2010</v>
          </cell>
          <cell r="C1747" t="str">
            <v>gdp_for_serv</v>
          </cell>
          <cell r="D1747">
            <v>2.6200437545776372</v>
          </cell>
        </row>
        <row r="1748">
          <cell r="A1748" t="str">
            <v>MEX</v>
          </cell>
          <cell r="B1748">
            <v>2010</v>
          </cell>
          <cell r="C1748" t="str">
            <v>gdp_inf_agri</v>
          </cell>
          <cell r="D1748">
            <v>8.4625005722045898</v>
          </cell>
        </row>
        <row r="1749">
          <cell r="A1749" t="str">
            <v>MEX</v>
          </cell>
          <cell r="B1749">
            <v>2010</v>
          </cell>
          <cell r="C1749" t="str">
            <v>gdp_inf_ind</v>
          </cell>
          <cell r="D1749">
            <v>1.367240190505981</v>
          </cell>
        </row>
        <row r="1750">
          <cell r="A1750" t="str">
            <v>MEX</v>
          </cell>
          <cell r="B1750">
            <v>2010</v>
          </cell>
          <cell r="C1750" t="str">
            <v>gdp_inf_serv</v>
          </cell>
          <cell r="D1750">
            <v>2.475948810577393</v>
          </cell>
        </row>
        <row r="1751">
          <cell r="A1751" t="str">
            <v>MEX</v>
          </cell>
          <cell r="B1751">
            <v>2010</v>
          </cell>
          <cell r="C1751" t="str">
            <v>prod_for_agri</v>
          </cell>
          <cell r="D1751">
            <v>-7.2688393592834473</v>
          </cell>
        </row>
        <row r="1752">
          <cell r="A1752" t="str">
            <v>MEX</v>
          </cell>
          <cell r="B1752">
            <v>2010</v>
          </cell>
          <cell r="C1752" t="str">
            <v>prod_for_ind</v>
          </cell>
          <cell r="D1752">
            <v>1.1437938213348391</v>
          </cell>
        </row>
        <row r="1753">
          <cell r="A1753" t="str">
            <v>MEX</v>
          </cell>
          <cell r="B1753">
            <v>2010</v>
          </cell>
          <cell r="C1753" t="str">
            <v>prod_for_serv</v>
          </cell>
          <cell r="D1753">
            <v>3.0127453804016109</v>
          </cell>
        </row>
        <row r="1754">
          <cell r="A1754" t="str">
            <v>MEX</v>
          </cell>
          <cell r="B1754">
            <v>2010</v>
          </cell>
          <cell r="C1754" t="str">
            <v>prod_inf_agri</v>
          </cell>
          <cell r="D1754">
            <v>-10.66638660430908</v>
          </cell>
        </row>
        <row r="1755">
          <cell r="A1755" t="str">
            <v>MEX</v>
          </cell>
          <cell r="B1755">
            <v>2010</v>
          </cell>
          <cell r="C1755" t="str">
            <v>prod_inf_ind</v>
          </cell>
          <cell r="D1755">
            <v>7.9440946578979492</v>
          </cell>
        </row>
        <row r="1756">
          <cell r="A1756" t="str">
            <v>MEX</v>
          </cell>
          <cell r="B1756">
            <v>2010</v>
          </cell>
          <cell r="C1756" t="str">
            <v>prod_inf_serv</v>
          </cell>
          <cell r="D1756">
            <v>8.9432458877563477</v>
          </cell>
        </row>
        <row r="1757">
          <cell r="A1757" t="str">
            <v>MEX</v>
          </cell>
          <cell r="B1757">
            <v>2012</v>
          </cell>
          <cell r="C1757" t="str">
            <v>gdp_activity</v>
          </cell>
          <cell r="D1757">
            <v>1.3214318752288821</v>
          </cell>
        </row>
        <row r="1758">
          <cell r="A1758" t="str">
            <v>MEX</v>
          </cell>
          <cell r="B1758">
            <v>2012</v>
          </cell>
          <cell r="C1758" t="str">
            <v>gdp_for_agri</v>
          </cell>
          <cell r="D1758">
            <v>3.3340659141540532</v>
          </cell>
        </row>
        <row r="1759">
          <cell r="A1759" t="str">
            <v>MEX</v>
          </cell>
          <cell r="B1759">
            <v>2012</v>
          </cell>
          <cell r="C1759" t="str">
            <v>gdp_for_ind</v>
          </cell>
          <cell r="D1759">
            <v>-2.5600887835025791E-2</v>
          </cell>
        </row>
        <row r="1760">
          <cell r="A1760" t="str">
            <v>MEX</v>
          </cell>
          <cell r="B1760">
            <v>2012</v>
          </cell>
          <cell r="C1760" t="str">
            <v>gdp_for_serv</v>
          </cell>
          <cell r="D1760">
            <v>-0.2173256725072861</v>
          </cell>
        </row>
        <row r="1761">
          <cell r="A1761" t="str">
            <v>MEX</v>
          </cell>
          <cell r="B1761">
            <v>2012</v>
          </cell>
          <cell r="C1761" t="str">
            <v>gdp_inf_agri</v>
          </cell>
          <cell r="D1761">
            <v>7.6346120834350586</v>
          </cell>
        </row>
        <row r="1762">
          <cell r="A1762" t="str">
            <v>MEX</v>
          </cell>
          <cell r="B1762">
            <v>2012</v>
          </cell>
          <cell r="C1762" t="str">
            <v>gdp_inf_ind</v>
          </cell>
          <cell r="D1762">
            <v>1.1482571363449099</v>
          </cell>
        </row>
        <row r="1763">
          <cell r="A1763" t="str">
            <v>MEX</v>
          </cell>
          <cell r="B1763">
            <v>2012</v>
          </cell>
          <cell r="C1763" t="str">
            <v>gdp_inf_serv</v>
          </cell>
          <cell r="D1763">
            <v>2.3264422416687012</v>
          </cell>
        </row>
        <row r="1764">
          <cell r="A1764" t="str">
            <v>MEX</v>
          </cell>
          <cell r="B1764">
            <v>2012</v>
          </cell>
          <cell r="C1764" t="str">
            <v>prod_for_agri</v>
          </cell>
          <cell r="D1764">
            <v>-0.69578993320465088</v>
          </cell>
        </row>
        <row r="1765">
          <cell r="A1765" t="str">
            <v>MEX</v>
          </cell>
          <cell r="B1765">
            <v>2012</v>
          </cell>
          <cell r="C1765" t="str">
            <v>prod_for_ind</v>
          </cell>
          <cell r="D1765">
            <v>3.2212173938751221</v>
          </cell>
        </row>
        <row r="1766">
          <cell r="A1766" t="str">
            <v>MEX</v>
          </cell>
          <cell r="B1766">
            <v>2012</v>
          </cell>
          <cell r="C1766" t="str">
            <v>prod_for_serv</v>
          </cell>
          <cell r="D1766">
            <v>-1.984394311904907</v>
          </cell>
        </row>
        <row r="1767">
          <cell r="A1767" t="str">
            <v>MEX</v>
          </cell>
          <cell r="B1767">
            <v>2012</v>
          </cell>
          <cell r="C1767" t="str">
            <v>prod_inf_agri</v>
          </cell>
          <cell r="D1767">
            <v>0.67347878217697144</v>
          </cell>
        </row>
        <row r="1768">
          <cell r="A1768" t="str">
            <v>MEX</v>
          </cell>
          <cell r="B1768">
            <v>2012</v>
          </cell>
          <cell r="C1768" t="str">
            <v>prod_inf_ind</v>
          </cell>
          <cell r="D1768">
            <v>6.3888239860534668</v>
          </cell>
        </row>
        <row r="1769">
          <cell r="A1769" t="str">
            <v>MEX</v>
          </cell>
          <cell r="B1769">
            <v>2012</v>
          </cell>
          <cell r="C1769" t="str">
            <v>prod_inf_serv</v>
          </cell>
          <cell r="D1769">
            <v>1.1636039018630979</v>
          </cell>
        </row>
        <row r="1770">
          <cell r="A1770" t="str">
            <v>MEX</v>
          </cell>
          <cell r="B1770">
            <v>2014</v>
          </cell>
          <cell r="C1770" t="str">
            <v>gdp_activity</v>
          </cell>
          <cell r="D1770">
            <v>-4.9962207674980157E-2</v>
          </cell>
        </row>
        <row r="1771">
          <cell r="A1771" t="str">
            <v>MEX</v>
          </cell>
          <cell r="B1771">
            <v>2014</v>
          </cell>
          <cell r="C1771" t="str">
            <v>gdp_for_agri</v>
          </cell>
          <cell r="D1771">
            <v>3.7126271724700932</v>
          </cell>
        </row>
        <row r="1772">
          <cell r="A1772" t="str">
            <v>MEX</v>
          </cell>
          <cell r="B1772">
            <v>2014</v>
          </cell>
          <cell r="C1772" t="str">
            <v>gdp_for_ind</v>
          </cell>
          <cell r="D1772">
            <v>7.526008129119873</v>
          </cell>
        </row>
        <row r="1773">
          <cell r="A1773" t="str">
            <v>MEX</v>
          </cell>
          <cell r="B1773">
            <v>2014</v>
          </cell>
          <cell r="C1773" t="str">
            <v>gdp_for_serv</v>
          </cell>
          <cell r="D1773">
            <v>2.7062897682189941</v>
          </cell>
        </row>
        <row r="1774">
          <cell r="A1774" t="str">
            <v>MEX</v>
          </cell>
          <cell r="B1774">
            <v>2014</v>
          </cell>
          <cell r="C1774" t="str">
            <v>gdp_inf_agri</v>
          </cell>
          <cell r="D1774">
            <v>-1.021947979927063</v>
          </cell>
        </row>
        <row r="1775">
          <cell r="A1775" t="str">
            <v>MEX</v>
          </cell>
          <cell r="B1775">
            <v>2014</v>
          </cell>
          <cell r="C1775" t="str">
            <v>gdp_inf_ind</v>
          </cell>
          <cell r="D1775">
            <v>-3.8738827705383301</v>
          </cell>
        </row>
        <row r="1776">
          <cell r="A1776" t="str">
            <v>MEX</v>
          </cell>
          <cell r="B1776">
            <v>2014</v>
          </cell>
          <cell r="C1776" t="str">
            <v>gdp_inf_serv</v>
          </cell>
          <cell r="D1776">
            <v>-1.706747174263</v>
          </cell>
        </row>
        <row r="1777">
          <cell r="A1777" t="str">
            <v>MEX</v>
          </cell>
          <cell r="B1777">
            <v>2014</v>
          </cell>
          <cell r="C1777" t="str">
            <v>prod_for_agri</v>
          </cell>
          <cell r="D1777">
            <v>-0.14197349548339841</v>
          </cell>
        </row>
        <row r="1778">
          <cell r="A1778" t="str">
            <v>MEX</v>
          </cell>
          <cell r="B1778">
            <v>2014</v>
          </cell>
          <cell r="C1778" t="str">
            <v>prod_for_ind</v>
          </cell>
          <cell r="D1778">
            <v>-18.859453201293949</v>
          </cell>
        </row>
        <row r="1779">
          <cell r="A1779" t="str">
            <v>MEX</v>
          </cell>
          <cell r="B1779">
            <v>2014</v>
          </cell>
          <cell r="C1779" t="str">
            <v>prod_for_serv</v>
          </cell>
          <cell r="D1779">
            <v>0.26684859395027161</v>
          </cell>
        </row>
        <row r="1780">
          <cell r="A1780" t="str">
            <v>MEX</v>
          </cell>
          <cell r="B1780">
            <v>2014</v>
          </cell>
          <cell r="C1780" t="str">
            <v>prod_inf_agri</v>
          </cell>
          <cell r="D1780">
            <v>-0.30155462026596069</v>
          </cell>
        </row>
        <row r="1781">
          <cell r="A1781" t="str">
            <v>MEX</v>
          </cell>
          <cell r="B1781">
            <v>2014</v>
          </cell>
          <cell r="C1781" t="str">
            <v>prod_inf_ind</v>
          </cell>
          <cell r="D1781">
            <v>-38.185523986816413</v>
          </cell>
        </row>
        <row r="1782">
          <cell r="A1782" t="str">
            <v>MEX</v>
          </cell>
          <cell r="B1782">
            <v>2014</v>
          </cell>
          <cell r="C1782" t="str">
            <v>prod_inf_serv</v>
          </cell>
          <cell r="D1782">
            <v>-1.579139828681946</v>
          </cell>
        </row>
        <row r="1783">
          <cell r="A1783" t="str">
            <v>MEX</v>
          </cell>
          <cell r="B1783">
            <v>2016</v>
          </cell>
          <cell r="C1783" t="str">
            <v>gdp_activity</v>
          </cell>
          <cell r="D1783">
            <v>1.2042311429977419</v>
          </cell>
        </row>
        <row r="1784">
          <cell r="A1784" t="str">
            <v>MEX</v>
          </cell>
          <cell r="B1784">
            <v>2016</v>
          </cell>
          <cell r="C1784" t="str">
            <v>gdp_for_agri</v>
          </cell>
          <cell r="D1784">
            <v>9.1227922439575195</v>
          </cell>
        </row>
        <row r="1785">
          <cell r="A1785" t="str">
            <v>MEX</v>
          </cell>
          <cell r="B1785">
            <v>2016</v>
          </cell>
          <cell r="C1785" t="str">
            <v>gdp_for_ind</v>
          </cell>
          <cell r="D1785">
            <v>10.696681976318359</v>
          </cell>
        </row>
        <row r="1786">
          <cell r="A1786" t="str">
            <v>MEX</v>
          </cell>
          <cell r="B1786">
            <v>2016</v>
          </cell>
          <cell r="C1786" t="str">
            <v>gdp_for_serv</v>
          </cell>
          <cell r="D1786">
            <v>6.6546411514282227</v>
          </cell>
        </row>
        <row r="1787">
          <cell r="A1787" t="str">
            <v>MEX</v>
          </cell>
          <cell r="B1787">
            <v>2016</v>
          </cell>
          <cell r="C1787" t="str">
            <v>gdp_inf_agri</v>
          </cell>
          <cell r="D1787">
            <v>1.012040495872498</v>
          </cell>
        </row>
        <row r="1788">
          <cell r="A1788" t="str">
            <v>MEX</v>
          </cell>
          <cell r="B1788">
            <v>2016</v>
          </cell>
          <cell r="C1788" t="str">
            <v>gdp_inf_ind</v>
          </cell>
          <cell r="D1788">
            <v>0.24868592619895941</v>
          </cell>
        </row>
        <row r="1789">
          <cell r="A1789" t="str">
            <v>MEX</v>
          </cell>
          <cell r="B1789">
            <v>2016</v>
          </cell>
          <cell r="C1789" t="str">
            <v>gdp_inf_serv</v>
          </cell>
          <cell r="D1789">
            <v>-2.646387100219727</v>
          </cell>
        </row>
        <row r="1790">
          <cell r="A1790" t="str">
            <v>MEX</v>
          </cell>
          <cell r="B1790">
            <v>2016</v>
          </cell>
          <cell r="C1790" t="str">
            <v>prod_for_agri</v>
          </cell>
          <cell r="D1790">
            <v>9.2287988662719727</v>
          </cell>
        </row>
        <row r="1791">
          <cell r="A1791" t="str">
            <v>MEX</v>
          </cell>
          <cell r="B1791">
            <v>2016</v>
          </cell>
          <cell r="C1791" t="str">
            <v>prod_for_ind</v>
          </cell>
          <cell r="D1791">
            <v>-0.91638505458831787</v>
          </cell>
        </row>
        <row r="1792">
          <cell r="A1792" t="str">
            <v>MEX</v>
          </cell>
          <cell r="B1792">
            <v>2016</v>
          </cell>
          <cell r="C1792" t="str">
            <v>prod_for_serv</v>
          </cell>
          <cell r="D1792">
            <v>-104.47255706787109</v>
          </cell>
        </row>
        <row r="1793">
          <cell r="A1793" t="str">
            <v>MEX</v>
          </cell>
          <cell r="B1793">
            <v>2016</v>
          </cell>
          <cell r="C1793" t="str">
            <v>prod_inf_agri</v>
          </cell>
          <cell r="D1793">
            <v>-6.5663352012634277</v>
          </cell>
        </row>
        <row r="1794">
          <cell r="A1794" t="str">
            <v>MEX</v>
          </cell>
          <cell r="B1794">
            <v>2016</v>
          </cell>
          <cell r="C1794" t="str">
            <v>prod_inf_ind</v>
          </cell>
          <cell r="D1794">
            <v>-1.8118137121200559</v>
          </cell>
        </row>
        <row r="1795">
          <cell r="A1795" t="str">
            <v>MEX</v>
          </cell>
          <cell r="B1795">
            <v>2016</v>
          </cell>
          <cell r="C1795" t="str">
            <v>prod_inf_serv</v>
          </cell>
          <cell r="D1795">
            <v>51.753391265869141</v>
          </cell>
        </row>
        <row r="1796">
          <cell r="A1796" t="str">
            <v>MEX</v>
          </cell>
          <cell r="B1796">
            <v>2018</v>
          </cell>
          <cell r="C1796" t="str">
            <v>gdp_activity</v>
          </cell>
          <cell r="D1796">
            <v>1.1492069959640501</v>
          </cell>
        </row>
        <row r="1797">
          <cell r="A1797" t="str">
            <v>MEX</v>
          </cell>
          <cell r="B1797">
            <v>2018</v>
          </cell>
          <cell r="C1797" t="str">
            <v>gdp_for_agri</v>
          </cell>
          <cell r="D1797">
            <v>10.55478668212891</v>
          </cell>
        </row>
        <row r="1798">
          <cell r="A1798" t="str">
            <v>MEX</v>
          </cell>
          <cell r="B1798">
            <v>2018</v>
          </cell>
          <cell r="C1798" t="str">
            <v>gdp_for_ind</v>
          </cell>
          <cell r="D1798">
            <v>14.52806568145752</v>
          </cell>
        </row>
        <row r="1799">
          <cell r="A1799" t="str">
            <v>MEX</v>
          </cell>
          <cell r="B1799">
            <v>2018</v>
          </cell>
          <cell r="C1799" t="str">
            <v>gdp_for_serv</v>
          </cell>
          <cell r="D1799">
            <v>2.4574298858642578</v>
          </cell>
        </row>
        <row r="1800">
          <cell r="A1800" t="str">
            <v>MEX</v>
          </cell>
          <cell r="B1800">
            <v>2018</v>
          </cell>
          <cell r="C1800" t="str">
            <v>gdp_inf_agri</v>
          </cell>
          <cell r="D1800">
            <v>0.2042163610458374</v>
          </cell>
        </row>
        <row r="1801">
          <cell r="A1801" t="str">
            <v>MEX</v>
          </cell>
          <cell r="B1801">
            <v>2018</v>
          </cell>
          <cell r="C1801" t="str">
            <v>gdp_inf_ind</v>
          </cell>
          <cell r="D1801">
            <v>-5.785496711730957</v>
          </cell>
        </row>
        <row r="1802">
          <cell r="A1802" t="str">
            <v>MEX</v>
          </cell>
          <cell r="B1802">
            <v>2018</v>
          </cell>
          <cell r="C1802" t="str">
            <v>gdp_inf_serv</v>
          </cell>
          <cell r="D1802">
            <v>-0.81799513101577759</v>
          </cell>
        </row>
        <row r="1803">
          <cell r="A1803" t="str">
            <v>MEX</v>
          </cell>
          <cell r="B1803">
            <v>2018</v>
          </cell>
          <cell r="C1803" t="str">
            <v>prod_for_agri</v>
          </cell>
          <cell r="D1803">
            <v>-6.095466136932373</v>
          </cell>
        </row>
        <row r="1804">
          <cell r="A1804" t="str">
            <v>MEX</v>
          </cell>
          <cell r="B1804">
            <v>2018</v>
          </cell>
          <cell r="C1804" t="str">
            <v>prod_for_ind</v>
          </cell>
          <cell r="D1804">
            <v>2.1010739803314209</v>
          </cell>
        </row>
        <row r="1805">
          <cell r="A1805" t="str">
            <v>MEX</v>
          </cell>
          <cell r="B1805">
            <v>2018</v>
          </cell>
          <cell r="C1805" t="str">
            <v>prod_for_serv</v>
          </cell>
          <cell r="D1805">
            <v>-6.6979751586914063</v>
          </cell>
        </row>
        <row r="1806">
          <cell r="A1806" t="str">
            <v>MEX</v>
          </cell>
          <cell r="B1806">
            <v>2018</v>
          </cell>
          <cell r="C1806" t="str">
            <v>prod_inf_agri</v>
          </cell>
          <cell r="D1806">
            <v>-11.153414726257321</v>
          </cell>
        </row>
        <row r="1807">
          <cell r="A1807" t="str">
            <v>MEX</v>
          </cell>
          <cell r="B1807">
            <v>2018</v>
          </cell>
          <cell r="C1807" t="str">
            <v>prod_inf_ind</v>
          </cell>
          <cell r="D1807">
            <v>-3.9803469181060791</v>
          </cell>
        </row>
        <row r="1808">
          <cell r="A1808" t="str">
            <v>MEX</v>
          </cell>
          <cell r="B1808">
            <v>2018</v>
          </cell>
          <cell r="C1808" t="str">
            <v>prod_inf_serv</v>
          </cell>
          <cell r="D1808">
            <v>2.8347103595733638</v>
          </cell>
        </row>
        <row r="1809">
          <cell r="A1809" t="str">
            <v>MEX</v>
          </cell>
          <cell r="B1809">
            <v>2020</v>
          </cell>
          <cell r="C1809" t="str">
            <v>gdp_activity</v>
          </cell>
          <cell r="D1809">
            <v>-0.30373665690422058</v>
          </cell>
        </row>
        <row r="1810">
          <cell r="A1810" t="str">
            <v>MEX</v>
          </cell>
          <cell r="B1810">
            <v>2020</v>
          </cell>
          <cell r="C1810" t="str">
            <v>gdp_for_agri</v>
          </cell>
          <cell r="D1810">
            <v>4.7081942558288574</v>
          </cell>
        </row>
        <row r="1811">
          <cell r="A1811" t="str">
            <v>MEX</v>
          </cell>
          <cell r="B1811">
            <v>2020</v>
          </cell>
          <cell r="C1811" t="str">
            <v>gdp_for_ind</v>
          </cell>
          <cell r="D1811">
            <v>0.38201019167900091</v>
          </cell>
        </row>
        <row r="1812">
          <cell r="A1812" t="str">
            <v>MEX</v>
          </cell>
          <cell r="B1812">
            <v>2020</v>
          </cell>
          <cell r="C1812" t="str">
            <v>gdp_for_serv</v>
          </cell>
          <cell r="D1812">
            <v>-0.4181288480758667</v>
          </cell>
        </row>
        <row r="1813">
          <cell r="A1813" t="str">
            <v>MEX</v>
          </cell>
          <cell r="B1813">
            <v>2020</v>
          </cell>
          <cell r="C1813" t="str">
            <v>gdp_inf_agri</v>
          </cell>
          <cell r="D1813">
            <v>4.2062655091285713E-2</v>
          </cell>
        </row>
        <row r="1814">
          <cell r="A1814" t="str">
            <v>MEX</v>
          </cell>
          <cell r="B1814">
            <v>2020</v>
          </cell>
          <cell r="C1814" t="str">
            <v>gdp_inf_ind</v>
          </cell>
          <cell r="D1814">
            <v>-0.21053881943225861</v>
          </cell>
        </row>
        <row r="1815">
          <cell r="A1815" t="str">
            <v>MEX</v>
          </cell>
          <cell r="B1815">
            <v>2020</v>
          </cell>
          <cell r="C1815" t="str">
            <v>gdp_inf_serv</v>
          </cell>
          <cell r="D1815">
            <v>0.23675322532653811</v>
          </cell>
        </row>
        <row r="1816">
          <cell r="A1816" t="str">
            <v>MEX</v>
          </cell>
          <cell r="B1816">
            <v>2020</v>
          </cell>
          <cell r="C1816" t="str">
            <v>prod_for_agri</v>
          </cell>
          <cell r="D1816">
            <v>9.7564287185668945</v>
          </cell>
        </row>
        <row r="1817">
          <cell r="A1817" t="str">
            <v>MEX</v>
          </cell>
          <cell r="B1817">
            <v>2020</v>
          </cell>
          <cell r="C1817" t="str">
            <v>prod_for_ind</v>
          </cell>
          <cell r="D1817">
            <v>0.44193467497825623</v>
          </cell>
        </row>
        <row r="1818">
          <cell r="A1818" t="str">
            <v>MEX</v>
          </cell>
          <cell r="B1818">
            <v>2020</v>
          </cell>
          <cell r="C1818" t="str">
            <v>prod_for_serv</v>
          </cell>
          <cell r="D1818">
            <v>0.93612551689147949</v>
          </cell>
        </row>
        <row r="1819">
          <cell r="A1819" t="str">
            <v>MEX</v>
          </cell>
          <cell r="B1819">
            <v>2020</v>
          </cell>
          <cell r="C1819" t="str">
            <v>prod_inf_agri</v>
          </cell>
          <cell r="D1819">
            <v>9.4093780517578125</v>
          </cell>
        </row>
        <row r="1820">
          <cell r="A1820" t="str">
            <v>MEX</v>
          </cell>
          <cell r="B1820">
            <v>2020</v>
          </cell>
          <cell r="C1820" t="str">
            <v>prod_inf_ind</v>
          </cell>
          <cell r="D1820">
            <v>1.69074022769928</v>
          </cell>
        </row>
        <row r="1821">
          <cell r="A1821" t="str">
            <v>MEX</v>
          </cell>
          <cell r="B1821">
            <v>2020</v>
          </cell>
          <cell r="C1821" t="str">
            <v>prod_inf_serv</v>
          </cell>
          <cell r="D1821">
            <v>1.422033309936523</v>
          </cell>
        </row>
        <row r="1822">
          <cell r="A1822" t="str">
            <v>MEX</v>
          </cell>
          <cell r="B1822">
            <v>2022</v>
          </cell>
          <cell r="C1822" t="str">
            <v>gdp_activity</v>
          </cell>
          <cell r="D1822">
            <v>0.32818281650543207</v>
          </cell>
        </row>
        <row r="1823">
          <cell r="A1823" t="str">
            <v>MEX</v>
          </cell>
          <cell r="B1823">
            <v>2022</v>
          </cell>
          <cell r="C1823" t="str">
            <v>gdp_for_agri</v>
          </cell>
          <cell r="D1823">
            <v>-0.31870326399803162</v>
          </cell>
        </row>
        <row r="1824">
          <cell r="A1824" t="str">
            <v>MEX</v>
          </cell>
          <cell r="B1824">
            <v>2022</v>
          </cell>
          <cell r="C1824" t="str">
            <v>gdp_for_ind</v>
          </cell>
          <cell r="D1824">
            <v>0.8126717209815979</v>
          </cell>
        </row>
        <row r="1825">
          <cell r="A1825" t="str">
            <v>MEX</v>
          </cell>
          <cell r="B1825">
            <v>2022</v>
          </cell>
          <cell r="C1825" t="str">
            <v>gdp_for_serv</v>
          </cell>
          <cell r="D1825">
            <v>0.82750314474105835</v>
          </cell>
        </row>
        <row r="1826">
          <cell r="A1826" t="str">
            <v>MEX</v>
          </cell>
          <cell r="B1826">
            <v>2022</v>
          </cell>
          <cell r="C1826" t="str">
            <v>gdp_inf_agri</v>
          </cell>
          <cell r="D1826">
            <v>-1.5453060865402219</v>
          </cell>
        </row>
        <row r="1827">
          <cell r="A1827" t="str">
            <v>MEX</v>
          </cell>
          <cell r="B1827">
            <v>2022</v>
          </cell>
          <cell r="C1827" t="str">
            <v>gdp_inf_ind</v>
          </cell>
          <cell r="D1827">
            <v>8.3575472235679626E-2</v>
          </cell>
        </row>
        <row r="1828">
          <cell r="A1828" t="str">
            <v>MEX</v>
          </cell>
          <cell r="B1828">
            <v>2022</v>
          </cell>
          <cell r="C1828" t="str">
            <v>gdp_inf_serv</v>
          </cell>
          <cell r="D1828">
            <v>1.0981734991073611</v>
          </cell>
        </row>
        <row r="1829">
          <cell r="A1829" t="str">
            <v>MEX</v>
          </cell>
          <cell r="B1829">
            <v>2022</v>
          </cell>
          <cell r="C1829" t="str">
            <v>prod_for_agri</v>
          </cell>
          <cell r="D1829">
            <v>1.0636881589889531</v>
          </cell>
        </row>
        <row r="1830">
          <cell r="A1830" t="str">
            <v>MEX</v>
          </cell>
          <cell r="B1830">
            <v>2022</v>
          </cell>
          <cell r="C1830" t="str">
            <v>prod_for_ind</v>
          </cell>
          <cell r="D1830">
            <v>2.0342507362365718</v>
          </cell>
        </row>
        <row r="1831">
          <cell r="A1831" t="str">
            <v>MEX</v>
          </cell>
          <cell r="B1831">
            <v>2022</v>
          </cell>
          <cell r="C1831" t="str">
            <v>prod_for_serv</v>
          </cell>
          <cell r="D1831">
            <v>20.59563064575195</v>
          </cell>
        </row>
        <row r="1832">
          <cell r="A1832" t="str">
            <v>MEX</v>
          </cell>
          <cell r="B1832">
            <v>2022</v>
          </cell>
          <cell r="C1832" t="str">
            <v>prod_inf_agri</v>
          </cell>
          <cell r="D1832">
            <v>1.52846360206604</v>
          </cell>
        </row>
        <row r="1833">
          <cell r="A1833" t="str">
            <v>MEX</v>
          </cell>
          <cell r="B1833">
            <v>2022</v>
          </cell>
          <cell r="C1833" t="str">
            <v>prod_inf_ind</v>
          </cell>
          <cell r="D1833">
            <v>2.863990306854248</v>
          </cell>
        </row>
        <row r="1834">
          <cell r="A1834" t="str">
            <v>MEX</v>
          </cell>
          <cell r="B1834">
            <v>2022</v>
          </cell>
          <cell r="C1834" t="str">
            <v>prod_inf_serv</v>
          </cell>
          <cell r="D1834">
            <v>45.841598510742188</v>
          </cell>
        </row>
        <row r="1835">
          <cell r="A1835" t="str">
            <v>PAN</v>
          </cell>
          <cell r="B1835">
            <v>2008</v>
          </cell>
          <cell r="C1835" t="str">
            <v>gdp_activity</v>
          </cell>
          <cell r="D1835">
            <v>0.29844781756401062</v>
          </cell>
        </row>
        <row r="1836">
          <cell r="A1836" t="str">
            <v>PAN</v>
          </cell>
          <cell r="B1836">
            <v>2008</v>
          </cell>
          <cell r="C1836" t="str">
            <v>gdp_for_agri</v>
          </cell>
          <cell r="D1836">
            <v>-2.7269964218139648</v>
          </cell>
        </row>
        <row r="1837">
          <cell r="A1837" t="str">
            <v>PAN</v>
          </cell>
          <cell r="B1837">
            <v>2008</v>
          </cell>
          <cell r="C1837" t="str">
            <v>gdp_for_ind</v>
          </cell>
          <cell r="D1837">
            <v>1.250369548797607</v>
          </cell>
        </row>
        <row r="1838">
          <cell r="A1838" t="str">
            <v>PAN</v>
          </cell>
          <cell r="B1838">
            <v>2008</v>
          </cell>
          <cell r="C1838" t="str">
            <v>gdp_for_serv</v>
          </cell>
          <cell r="D1838">
            <v>0.45637741684913641</v>
          </cell>
        </row>
        <row r="1839">
          <cell r="A1839" t="str">
            <v>PAN</v>
          </cell>
          <cell r="B1839">
            <v>2008</v>
          </cell>
          <cell r="C1839" t="str">
            <v>gdp_inf_agri</v>
          </cell>
          <cell r="D1839">
            <v>-0.19737955927848819</v>
          </cell>
        </row>
        <row r="1840">
          <cell r="A1840" t="str">
            <v>PAN</v>
          </cell>
          <cell r="B1840">
            <v>2008</v>
          </cell>
          <cell r="C1840" t="str">
            <v>gdp_inf_ind</v>
          </cell>
          <cell r="D1840">
            <v>-0.40513402223587042</v>
          </cell>
        </row>
        <row r="1841">
          <cell r="A1841" t="str">
            <v>PAN</v>
          </cell>
          <cell r="B1841">
            <v>2008</v>
          </cell>
          <cell r="C1841" t="str">
            <v>gdp_inf_serv</v>
          </cell>
          <cell r="D1841">
            <v>0.42933544516563421</v>
          </cell>
        </row>
        <row r="1842">
          <cell r="A1842" t="str">
            <v>PAN</v>
          </cell>
          <cell r="B1842">
            <v>2008</v>
          </cell>
          <cell r="C1842" t="str">
            <v>prod_for_agri</v>
          </cell>
          <cell r="D1842">
            <v>-1.689612865447998</v>
          </cell>
        </row>
        <row r="1843">
          <cell r="A1843" t="str">
            <v>PAN</v>
          </cell>
          <cell r="B1843">
            <v>2008</v>
          </cell>
          <cell r="C1843" t="str">
            <v>prod_for_ind</v>
          </cell>
          <cell r="D1843">
            <v>-1.305938601493835</v>
          </cell>
        </row>
        <row r="1844">
          <cell r="A1844" t="str">
            <v>PAN</v>
          </cell>
          <cell r="B1844">
            <v>2008</v>
          </cell>
          <cell r="C1844" t="str">
            <v>prod_for_serv</v>
          </cell>
          <cell r="D1844">
            <v>0.2345612645149231</v>
          </cell>
        </row>
        <row r="1845">
          <cell r="A1845" t="str">
            <v>PAN</v>
          </cell>
          <cell r="B1845">
            <v>2008</v>
          </cell>
          <cell r="C1845" t="str">
            <v>prod_inf_agri</v>
          </cell>
          <cell r="D1845">
            <v>5.8819980621337891</v>
          </cell>
        </row>
        <row r="1846">
          <cell r="A1846" t="str">
            <v>PAN</v>
          </cell>
          <cell r="B1846">
            <v>2008</v>
          </cell>
          <cell r="C1846" t="str">
            <v>prod_inf_ind</v>
          </cell>
          <cell r="D1846">
            <v>0.256095290184021</v>
          </cell>
        </row>
        <row r="1847">
          <cell r="A1847" t="str">
            <v>PAN</v>
          </cell>
          <cell r="B1847">
            <v>2008</v>
          </cell>
          <cell r="C1847" t="str">
            <v>prod_inf_serv</v>
          </cell>
          <cell r="D1847">
            <v>1.0309674739837651</v>
          </cell>
        </row>
        <row r="1848">
          <cell r="A1848" t="str">
            <v>PAN</v>
          </cell>
          <cell r="B1848">
            <v>2009</v>
          </cell>
          <cell r="C1848" t="str">
            <v>gdp_activity</v>
          </cell>
          <cell r="D1848">
            <v>0.27719524502754211</v>
          </cell>
        </row>
        <row r="1849">
          <cell r="A1849" t="str">
            <v>PAN</v>
          </cell>
          <cell r="B1849">
            <v>2009</v>
          </cell>
          <cell r="C1849" t="str">
            <v>gdp_for_agri</v>
          </cell>
          <cell r="D1849">
            <v>3.272701501846313</v>
          </cell>
        </row>
        <row r="1850">
          <cell r="A1850" t="str">
            <v>PAN</v>
          </cell>
          <cell r="B1850">
            <v>2009</v>
          </cell>
          <cell r="C1850" t="str">
            <v>gdp_for_ind</v>
          </cell>
          <cell r="D1850">
            <v>8.4669515490531921E-2</v>
          </cell>
        </row>
        <row r="1851">
          <cell r="A1851" t="str">
            <v>PAN</v>
          </cell>
          <cell r="B1851">
            <v>2009</v>
          </cell>
          <cell r="C1851" t="str">
            <v>gdp_for_serv</v>
          </cell>
          <cell r="D1851">
            <v>0.38569822907447809</v>
          </cell>
        </row>
        <row r="1852">
          <cell r="A1852" t="str">
            <v>PAN</v>
          </cell>
          <cell r="B1852">
            <v>2009</v>
          </cell>
          <cell r="C1852" t="str">
            <v>gdp_inf_agri</v>
          </cell>
          <cell r="D1852">
            <v>6.905081681907177E-3</v>
          </cell>
        </row>
        <row r="1853">
          <cell r="A1853" t="str">
            <v>PAN</v>
          </cell>
          <cell r="B1853">
            <v>2009</v>
          </cell>
          <cell r="C1853" t="str">
            <v>gdp_inf_ind</v>
          </cell>
          <cell r="D1853">
            <v>0.32805481553077698</v>
          </cell>
        </row>
        <row r="1854">
          <cell r="A1854" t="str">
            <v>PAN</v>
          </cell>
          <cell r="B1854">
            <v>2009</v>
          </cell>
          <cell r="C1854" t="str">
            <v>gdp_inf_serv</v>
          </cell>
          <cell r="D1854">
            <v>-0.25224873423576349</v>
          </cell>
        </row>
        <row r="1855">
          <cell r="A1855" t="str">
            <v>PAN</v>
          </cell>
          <cell r="B1855">
            <v>2009</v>
          </cell>
          <cell r="C1855" t="str">
            <v>prod_for_agri</v>
          </cell>
          <cell r="D1855">
            <v>-3.1990740299224849</v>
          </cell>
        </row>
        <row r="1856">
          <cell r="A1856" t="str">
            <v>PAN</v>
          </cell>
          <cell r="B1856">
            <v>2009</v>
          </cell>
          <cell r="C1856" t="str">
            <v>prod_for_ind</v>
          </cell>
          <cell r="D1856">
            <v>1.062418460845947</v>
          </cell>
        </row>
        <row r="1857">
          <cell r="A1857" t="str">
            <v>PAN</v>
          </cell>
          <cell r="B1857">
            <v>2009</v>
          </cell>
          <cell r="C1857" t="str">
            <v>prod_for_serv</v>
          </cell>
          <cell r="D1857">
            <v>-9.6253521740436554E-2</v>
          </cell>
        </row>
        <row r="1858">
          <cell r="A1858" t="str">
            <v>PAN</v>
          </cell>
          <cell r="B1858">
            <v>2009</v>
          </cell>
          <cell r="C1858" t="str">
            <v>prod_inf_agri</v>
          </cell>
          <cell r="D1858">
            <v>-7.9849801957607269E-2</v>
          </cell>
        </row>
        <row r="1859">
          <cell r="A1859" t="str">
            <v>PAN</v>
          </cell>
          <cell r="B1859">
            <v>2009</v>
          </cell>
          <cell r="C1859" t="str">
            <v>prod_inf_ind</v>
          </cell>
          <cell r="D1859">
            <v>3.2692600041627877E-2</v>
          </cell>
        </row>
        <row r="1860">
          <cell r="A1860" t="str">
            <v>PAN</v>
          </cell>
          <cell r="B1860">
            <v>2009</v>
          </cell>
          <cell r="C1860" t="str">
            <v>prod_inf_serv</v>
          </cell>
          <cell r="D1860">
            <v>0.57793110609054565</v>
          </cell>
        </row>
        <row r="1861">
          <cell r="A1861" t="str">
            <v>PAN</v>
          </cell>
          <cell r="B1861">
            <v>2010</v>
          </cell>
          <cell r="C1861" t="str">
            <v>gdp_activity</v>
          </cell>
          <cell r="D1861">
            <v>0.81698769330978394</v>
          </cell>
        </row>
        <row r="1862">
          <cell r="A1862" t="str">
            <v>PAN</v>
          </cell>
          <cell r="B1862">
            <v>2010</v>
          </cell>
          <cell r="C1862" t="str">
            <v>gdp_for_agri</v>
          </cell>
          <cell r="D1862">
            <v>-1.1848633177578449E-2</v>
          </cell>
        </row>
        <row r="1863">
          <cell r="A1863" t="str">
            <v>PAN</v>
          </cell>
          <cell r="B1863">
            <v>2010</v>
          </cell>
          <cell r="C1863" t="str">
            <v>gdp_for_ind</v>
          </cell>
          <cell r="D1863">
            <v>-0.88985157012939453</v>
          </cell>
        </row>
        <row r="1864">
          <cell r="A1864" t="str">
            <v>PAN</v>
          </cell>
          <cell r="B1864">
            <v>2010</v>
          </cell>
          <cell r="C1864" t="str">
            <v>gdp_for_serv</v>
          </cell>
          <cell r="D1864">
            <v>2.7098133563995361</v>
          </cell>
        </row>
        <row r="1865">
          <cell r="A1865" t="str">
            <v>PAN</v>
          </cell>
          <cell r="B1865">
            <v>2010</v>
          </cell>
          <cell r="C1865" t="str">
            <v>gdp_inf_agri</v>
          </cell>
          <cell r="D1865">
            <v>0.17541161179542539</v>
          </cell>
        </row>
        <row r="1866">
          <cell r="A1866" t="str">
            <v>PAN</v>
          </cell>
          <cell r="B1866">
            <v>2010</v>
          </cell>
          <cell r="C1866" t="str">
            <v>gdp_inf_ind</v>
          </cell>
          <cell r="D1866">
            <v>-0.44966575503349299</v>
          </cell>
        </row>
        <row r="1867">
          <cell r="A1867" t="str">
            <v>PAN</v>
          </cell>
          <cell r="B1867">
            <v>2010</v>
          </cell>
          <cell r="C1867" t="str">
            <v>gdp_inf_serv</v>
          </cell>
          <cell r="D1867">
            <v>-0.22314366698265081</v>
          </cell>
        </row>
        <row r="1868">
          <cell r="A1868" t="str">
            <v>PAN</v>
          </cell>
          <cell r="B1868">
            <v>2010</v>
          </cell>
          <cell r="C1868" t="str">
            <v>prod_for_agri</v>
          </cell>
          <cell r="D1868">
            <v>-7.1658335626125336E-2</v>
          </cell>
        </row>
        <row r="1869">
          <cell r="A1869" t="str">
            <v>PAN</v>
          </cell>
          <cell r="B1869">
            <v>2010</v>
          </cell>
          <cell r="C1869" t="str">
            <v>prod_for_ind</v>
          </cell>
          <cell r="D1869">
            <v>-0.91868036985397339</v>
          </cell>
        </row>
        <row r="1870">
          <cell r="A1870" t="str">
            <v>PAN</v>
          </cell>
          <cell r="B1870">
            <v>2010</v>
          </cell>
          <cell r="C1870" t="str">
            <v>prod_for_serv</v>
          </cell>
          <cell r="D1870">
            <v>-1.5956704616546631</v>
          </cell>
        </row>
        <row r="1871">
          <cell r="A1871" t="str">
            <v>PAN</v>
          </cell>
          <cell r="B1871">
            <v>2010</v>
          </cell>
          <cell r="C1871" t="str">
            <v>prod_inf_agri</v>
          </cell>
          <cell r="D1871">
            <v>0.2500140368938446</v>
          </cell>
        </row>
        <row r="1872">
          <cell r="A1872" t="str">
            <v>PAN</v>
          </cell>
          <cell r="B1872">
            <v>2010</v>
          </cell>
          <cell r="C1872" t="str">
            <v>prod_inf_ind</v>
          </cell>
          <cell r="D1872">
            <v>1.5384513139724729</v>
          </cell>
        </row>
        <row r="1873">
          <cell r="A1873" t="str">
            <v>PAN</v>
          </cell>
          <cell r="B1873">
            <v>2010</v>
          </cell>
          <cell r="C1873" t="str">
            <v>prod_inf_serv</v>
          </cell>
          <cell r="D1873">
            <v>-4.8559308052062988</v>
          </cell>
        </row>
        <row r="1874">
          <cell r="A1874" t="str">
            <v>PAN</v>
          </cell>
          <cell r="B1874">
            <v>2011</v>
          </cell>
          <cell r="C1874" t="str">
            <v>gdp_activity</v>
          </cell>
          <cell r="D1874">
            <v>0.65246737003326416</v>
          </cell>
        </row>
        <row r="1875">
          <cell r="A1875" t="str">
            <v>PAN</v>
          </cell>
          <cell r="B1875">
            <v>2011</v>
          </cell>
          <cell r="C1875" t="str">
            <v>gdp_for_agri</v>
          </cell>
          <cell r="D1875">
            <v>-0.85442131757736206</v>
          </cell>
        </row>
        <row r="1876">
          <cell r="A1876" t="str">
            <v>PAN</v>
          </cell>
          <cell r="B1876">
            <v>2011</v>
          </cell>
          <cell r="C1876" t="str">
            <v>gdp_for_ind</v>
          </cell>
          <cell r="D1876">
            <v>1.7485048770904541</v>
          </cell>
        </row>
        <row r="1877">
          <cell r="A1877" t="str">
            <v>PAN</v>
          </cell>
          <cell r="B1877">
            <v>2011</v>
          </cell>
          <cell r="C1877" t="str">
            <v>gdp_for_serv</v>
          </cell>
          <cell r="D1877">
            <v>2.4754245281219478</v>
          </cell>
        </row>
        <row r="1878">
          <cell r="A1878" t="str">
            <v>PAN</v>
          </cell>
          <cell r="B1878">
            <v>2011</v>
          </cell>
          <cell r="C1878" t="str">
            <v>gdp_inf_agri</v>
          </cell>
          <cell r="D1878">
            <v>0.17262905836105349</v>
          </cell>
        </row>
        <row r="1879">
          <cell r="A1879" t="str">
            <v>PAN</v>
          </cell>
          <cell r="B1879">
            <v>2011</v>
          </cell>
          <cell r="C1879" t="str">
            <v>gdp_inf_ind</v>
          </cell>
          <cell r="D1879">
            <v>-0.60671466588973999</v>
          </cell>
        </row>
        <row r="1880">
          <cell r="A1880" t="str">
            <v>PAN</v>
          </cell>
          <cell r="B1880">
            <v>2011</v>
          </cell>
          <cell r="C1880" t="str">
            <v>gdp_inf_serv</v>
          </cell>
          <cell r="D1880">
            <v>-0.19334641098976141</v>
          </cell>
        </row>
        <row r="1881">
          <cell r="A1881" t="str">
            <v>PAN</v>
          </cell>
          <cell r="B1881">
            <v>2011</v>
          </cell>
          <cell r="C1881" t="str">
            <v>prod_for_agri</v>
          </cell>
          <cell r="D1881">
            <v>-1.8636404275894169</v>
          </cell>
        </row>
        <row r="1882">
          <cell r="A1882" t="str">
            <v>PAN</v>
          </cell>
          <cell r="B1882">
            <v>2011</v>
          </cell>
          <cell r="C1882" t="str">
            <v>prod_for_ind</v>
          </cell>
          <cell r="D1882">
            <v>4.4653072357177734</v>
          </cell>
        </row>
        <row r="1883">
          <cell r="A1883" t="str">
            <v>PAN</v>
          </cell>
          <cell r="B1883">
            <v>2011</v>
          </cell>
          <cell r="C1883" t="str">
            <v>prod_for_serv</v>
          </cell>
          <cell r="D1883">
            <v>-1.0250207185745239</v>
          </cell>
        </row>
        <row r="1884">
          <cell r="A1884" t="str">
            <v>PAN</v>
          </cell>
          <cell r="B1884">
            <v>2011</v>
          </cell>
          <cell r="C1884" t="str">
            <v>prod_inf_agri</v>
          </cell>
          <cell r="D1884">
            <v>-4.4381752014160156</v>
          </cell>
        </row>
        <row r="1885">
          <cell r="A1885" t="str">
            <v>PAN</v>
          </cell>
          <cell r="B1885">
            <v>2011</v>
          </cell>
          <cell r="C1885" t="str">
            <v>prod_inf_ind</v>
          </cell>
          <cell r="D1885">
            <v>3.9583115577697749</v>
          </cell>
        </row>
        <row r="1886">
          <cell r="A1886" t="str">
            <v>PAN</v>
          </cell>
          <cell r="B1886">
            <v>2011</v>
          </cell>
          <cell r="C1886" t="str">
            <v>prod_inf_serv</v>
          </cell>
          <cell r="D1886">
            <v>-8.5627326965332031</v>
          </cell>
        </row>
        <row r="1887">
          <cell r="A1887" t="str">
            <v>PAN</v>
          </cell>
          <cell r="B1887">
            <v>2012</v>
          </cell>
          <cell r="C1887" t="str">
            <v>gdp_activity</v>
          </cell>
          <cell r="D1887">
            <v>0.39318752288818359</v>
          </cell>
        </row>
        <row r="1888">
          <cell r="A1888" t="str">
            <v>PAN</v>
          </cell>
          <cell r="B1888">
            <v>2012</v>
          </cell>
          <cell r="C1888" t="str">
            <v>gdp_for_agri</v>
          </cell>
          <cell r="D1888">
            <v>1.5370525121688841</v>
          </cell>
        </row>
        <row r="1889">
          <cell r="A1889" t="str">
            <v>PAN</v>
          </cell>
          <cell r="B1889">
            <v>2012</v>
          </cell>
          <cell r="C1889" t="str">
            <v>gdp_for_ind</v>
          </cell>
          <cell r="D1889">
            <v>0.26663240790367132</v>
          </cell>
        </row>
        <row r="1890">
          <cell r="A1890" t="str">
            <v>PAN</v>
          </cell>
          <cell r="B1890">
            <v>2012</v>
          </cell>
          <cell r="C1890" t="str">
            <v>gdp_for_serv</v>
          </cell>
          <cell r="D1890">
            <v>0.50837689638137817</v>
          </cell>
        </row>
        <row r="1891">
          <cell r="A1891" t="str">
            <v>PAN</v>
          </cell>
          <cell r="B1891">
            <v>2012</v>
          </cell>
          <cell r="C1891" t="str">
            <v>gdp_inf_agri</v>
          </cell>
          <cell r="D1891">
            <v>11.273880958557131</v>
          </cell>
        </row>
        <row r="1892">
          <cell r="A1892" t="str">
            <v>PAN</v>
          </cell>
          <cell r="B1892">
            <v>2012</v>
          </cell>
          <cell r="C1892" t="str">
            <v>gdp_inf_ind</v>
          </cell>
          <cell r="D1892">
            <v>-0.10991737991571431</v>
          </cell>
        </row>
        <row r="1893">
          <cell r="A1893" t="str">
            <v>PAN</v>
          </cell>
          <cell r="B1893">
            <v>2012</v>
          </cell>
          <cell r="C1893" t="str">
            <v>gdp_inf_serv</v>
          </cell>
          <cell r="D1893">
            <v>0.5458107590675354</v>
          </cell>
        </row>
        <row r="1894">
          <cell r="A1894" t="str">
            <v>PAN</v>
          </cell>
          <cell r="B1894">
            <v>2012</v>
          </cell>
          <cell r="C1894" t="str">
            <v>prod_for_agri</v>
          </cell>
          <cell r="D1894">
            <v>-9.0926200151443481E-2</v>
          </cell>
        </row>
        <row r="1895">
          <cell r="A1895" t="str">
            <v>PAN</v>
          </cell>
          <cell r="B1895">
            <v>2012</v>
          </cell>
          <cell r="C1895" t="str">
            <v>prod_for_ind</v>
          </cell>
          <cell r="D1895">
            <v>-2.8207266703248021E-2</v>
          </cell>
        </row>
        <row r="1896">
          <cell r="A1896" t="str">
            <v>PAN</v>
          </cell>
          <cell r="B1896">
            <v>2012</v>
          </cell>
          <cell r="C1896" t="str">
            <v>prod_for_serv</v>
          </cell>
          <cell r="D1896">
            <v>0.94419586658477783</v>
          </cell>
        </row>
        <row r="1897">
          <cell r="A1897" t="str">
            <v>PAN</v>
          </cell>
          <cell r="B1897">
            <v>2012</v>
          </cell>
          <cell r="C1897" t="str">
            <v>prod_inf_agri</v>
          </cell>
          <cell r="D1897">
            <v>1.8007436990737919</v>
          </cell>
        </row>
        <row r="1898">
          <cell r="A1898" t="str">
            <v>PAN</v>
          </cell>
          <cell r="B1898">
            <v>2012</v>
          </cell>
          <cell r="C1898" t="str">
            <v>prod_inf_ind</v>
          </cell>
          <cell r="D1898">
            <v>-3.4886494278907783E-2</v>
          </cell>
        </row>
        <row r="1899">
          <cell r="A1899" t="str">
            <v>PAN</v>
          </cell>
          <cell r="B1899">
            <v>2012</v>
          </cell>
          <cell r="C1899" t="str">
            <v>prod_inf_serv</v>
          </cell>
          <cell r="D1899">
            <v>7.7468819916248322E-2</v>
          </cell>
        </row>
        <row r="1900">
          <cell r="A1900" t="str">
            <v>PAN</v>
          </cell>
          <cell r="B1900">
            <v>2013</v>
          </cell>
          <cell r="C1900" t="str">
            <v>gdp_activity</v>
          </cell>
          <cell r="D1900">
            <v>0.28199750185012817</v>
          </cell>
        </row>
        <row r="1901">
          <cell r="A1901" t="str">
            <v>PAN</v>
          </cell>
          <cell r="B1901">
            <v>2013</v>
          </cell>
          <cell r="C1901" t="str">
            <v>gdp_for_agri</v>
          </cell>
          <cell r="D1901">
            <v>-26.330204010009769</v>
          </cell>
        </row>
        <row r="1902">
          <cell r="A1902" t="str">
            <v>PAN</v>
          </cell>
          <cell r="B1902">
            <v>2013</v>
          </cell>
          <cell r="C1902" t="str">
            <v>gdp_for_ind</v>
          </cell>
          <cell r="D1902">
            <v>0.44674456119537348</v>
          </cell>
        </row>
        <row r="1903">
          <cell r="A1903" t="str">
            <v>PAN</v>
          </cell>
          <cell r="B1903">
            <v>2013</v>
          </cell>
          <cell r="C1903" t="str">
            <v>gdp_for_serv</v>
          </cell>
          <cell r="D1903">
            <v>-0.22262752056121829</v>
          </cell>
        </row>
        <row r="1904">
          <cell r="A1904" t="str">
            <v>PAN</v>
          </cell>
          <cell r="B1904">
            <v>2013</v>
          </cell>
          <cell r="C1904" t="str">
            <v>gdp_inf_agri</v>
          </cell>
          <cell r="D1904">
            <v>5.0436654090881348</v>
          </cell>
        </row>
        <row r="1905">
          <cell r="A1905" t="str">
            <v>PAN</v>
          </cell>
          <cell r="B1905">
            <v>2013</v>
          </cell>
          <cell r="C1905" t="str">
            <v>gdp_inf_ind</v>
          </cell>
          <cell r="D1905">
            <v>1.046008229255676</v>
          </cell>
        </row>
        <row r="1906">
          <cell r="A1906" t="str">
            <v>PAN</v>
          </cell>
          <cell r="B1906">
            <v>2013</v>
          </cell>
          <cell r="C1906" t="str">
            <v>gdp_inf_serv</v>
          </cell>
          <cell r="D1906">
            <v>0.42368701100349432</v>
          </cell>
        </row>
        <row r="1907">
          <cell r="A1907" t="str">
            <v>PAN</v>
          </cell>
          <cell r="B1907">
            <v>2013</v>
          </cell>
          <cell r="C1907" t="str">
            <v>prod_for_agri</v>
          </cell>
          <cell r="D1907">
            <v>-11.694404602050779</v>
          </cell>
        </row>
        <row r="1908">
          <cell r="A1908" t="str">
            <v>PAN</v>
          </cell>
          <cell r="B1908">
            <v>2013</v>
          </cell>
          <cell r="C1908" t="str">
            <v>prod_for_ind</v>
          </cell>
          <cell r="D1908">
            <v>1.488399386405945</v>
          </cell>
        </row>
        <row r="1909">
          <cell r="A1909" t="str">
            <v>PAN</v>
          </cell>
          <cell r="B1909">
            <v>2013</v>
          </cell>
          <cell r="C1909" t="str">
            <v>prod_for_serv</v>
          </cell>
          <cell r="D1909">
            <v>0.24731758236885071</v>
          </cell>
        </row>
        <row r="1910">
          <cell r="A1910" t="str">
            <v>PAN</v>
          </cell>
          <cell r="B1910">
            <v>2013</v>
          </cell>
          <cell r="C1910" t="str">
            <v>prod_inf_agri</v>
          </cell>
          <cell r="D1910">
            <v>-7.2293219566345206</v>
          </cell>
        </row>
        <row r="1911">
          <cell r="A1911" t="str">
            <v>PAN</v>
          </cell>
          <cell r="B1911">
            <v>2013</v>
          </cell>
          <cell r="C1911" t="str">
            <v>prod_inf_ind</v>
          </cell>
          <cell r="D1911">
            <v>1.8231339454650879</v>
          </cell>
        </row>
        <row r="1912">
          <cell r="A1912" t="str">
            <v>PAN</v>
          </cell>
          <cell r="B1912">
            <v>2013</v>
          </cell>
          <cell r="C1912" t="str">
            <v>prod_inf_serv</v>
          </cell>
          <cell r="D1912">
            <v>-0.97139263153076172</v>
          </cell>
        </row>
        <row r="1913">
          <cell r="A1913" t="str">
            <v>PAN</v>
          </cell>
          <cell r="B1913">
            <v>2014</v>
          </cell>
          <cell r="C1913" t="str">
            <v>gdp_activity</v>
          </cell>
          <cell r="D1913">
            <v>0.26233804225921631</v>
          </cell>
        </row>
        <row r="1914">
          <cell r="A1914" t="str">
            <v>PAN</v>
          </cell>
          <cell r="B1914">
            <v>2014</v>
          </cell>
          <cell r="C1914" t="str">
            <v>gdp_for_agri</v>
          </cell>
          <cell r="D1914">
            <v>2.5539495944976811</v>
          </cell>
        </row>
        <row r="1915">
          <cell r="A1915" t="str">
            <v>PAN</v>
          </cell>
          <cell r="B1915">
            <v>2014</v>
          </cell>
          <cell r="C1915" t="str">
            <v>gdp_for_ind</v>
          </cell>
          <cell r="D1915">
            <v>-1.8951220437884331E-2</v>
          </cell>
        </row>
        <row r="1916">
          <cell r="A1916" t="str">
            <v>PAN</v>
          </cell>
          <cell r="B1916">
            <v>2014</v>
          </cell>
          <cell r="C1916" t="str">
            <v>gdp_for_serv</v>
          </cell>
          <cell r="D1916">
            <v>0.44891804456710821</v>
          </cell>
        </row>
        <row r="1917">
          <cell r="A1917" t="str">
            <v>PAN</v>
          </cell>
          <cell r="B1917">
            <v>2014</v>
          </cell>
          <cell r="C1917" t="str">
            <v>gdp_inf_agri</v>
          </cell>
          <cell r="D1917">
            <v>-1.275551438331604</v>
          </cell>
        </row>
        <row r="1918">
          <cell r="A1918" t="str">
            <v>PAN</v>
          </cell>
          <cell r="B1918">
            <v>2014</v>
          </cell>
          <cell r="C1918" t="str">
            <v>gdp_inf_ind</v>
          </cell>
          <cell r="D1918">
            <v>0.28302395343780518</v>
          </cell>
        </row>
        <row r="1919">
          <cell r="A1919" t="str">
            <v>PAN</v>
          </cell>
          <cell r="B1919">
            <v>2014</v>
          </cell>
          <cell r="C1919" t="str">
            <v>gdp_inf_serv</v>
          </cell>
          <cell r="D1919">
            <v>0.75878226757049561</v>
          </cell>
        </row>
        <row r="1920">
          <cell r="A1920" t="str">
            <v>PAN</v>
          </cell>
          <cell r="B1920">
            <v>2014</v>
          </cell>
          <cell r="C1920" t="str">
            <v>prod_for_agri</v>
          </cell>
          <cell r="D1920">
            <v>0.92757570743560791</v>
          </cell>
        </row>
        <row r="1921">
          <cell r="A1921" t="str">
            <v>PAN</v>
          </cell>
          <cell r="B1921">
            <v>2014</v>
          </cell>
          <cell r="C1921" t="str">
            <v>prod_for_ind</v>
          </cell>
          <cell r="D1921">
            <v>0.27989953756332397</v>
          </cell>
        </row>
        <row r="1922">
          <cell r="A1922" t="str">
            <v>PAN</v>
          </cell>
          <cell r="B1922">
            <v>2014</v>
          </cell>
          <cell r="C1922" t="str">
            <v>prod_for_serv</v>
          </cell>
          <cell r="D1922">
            <v>-1.2667515277862551</v>
          </cell>
        </row>
        <row r="1923">
          <cell r="A1923" t="str">
            <v>PAN</v>
          </cell>
          <cell r="B1923">
            <v>2014</v>
          </cell>
          <cell r="C1923" t="str">
            <v>prod_inf_agri</v>
          </cell>
          <cell r="D1923">
            <v>5.7734012603759773E-2</v>
          </cell>
        </row>
        <row r="1924">
          <cell r="A1924" t="str">
            <v>PAN</v>
          </cell>
          <cell r="B1924">
            <v>2014</v>
          </cell>
          <cell r="C1924" t="str">
            <v>prod_inf_ind</v>
          </cell>
          <cell r="D1924">
            <v>6.4679957926273346E-2</v>
          </cell>
        </row>
        <row r="1925">
          <cell r="A1925" t="str">
            <v>PAN</v>
          </cell>
          <cell r="B1925">
            <v>2014</v>
          </cell>
          <cell r="C1925" t="str">
            <v>prod_inf_serv</v>
          </cell>
          <cell r="D1925">
            <v>6.3850431442260742</v>
          </cell>
        </row>
        <row r="1926">
          <cell r="A1926" t="str">
            <v>PAN</v>
          </cell>
          <cell r="B1926">
            <v>2015</v>
          </cell>
          <cell r="C1926" t="str">
            <v>gdp_activity</v>
          </cell>
          <cell r="D1926">
            <v>0.58105474710464478</v>
          </cell>
        </row>
        <row r="1927">
          <cell r="A1927" t="str">
            <v>PAN</v>
          </cell>
          <cell r="B1927">
            <v>2015</v>
          </cell>
          <cell r="C1927" t="str">
            <v>gdp_for_agri</v>
          </cell>
          <cell r="D1927">
            <v>-2.5135705471038818</v>
          </cell>
        </row>
        <row r="1928">
          <cell r="A1928" t="str">
            <v>PAN</v>
          </cell>
          <cell r="B1928">
            <v>2015</v>
          </cell>
          <cell r="C1928" t="str">
            <v>gdp_for_ind</v>
          </cell>
          <cell r="D1928">
            <v>-0.97345262765884399</v>
          </cell>
        </row>
        <row r="1929">
          <cell r="A1929" t="str">
            <v>PAN</v>
          </cell>
          <cell r="B1929">
            <v>2015</v>
          </cell>
          <cell r="C1929" t="str">
            <v>gdp_for_serv</v>
          </cell>
          <cell r="D1929">
            <v>1.935903787612915</v>
          </cell>
        </row>
        <row r="1930">
          <cell r="A1930" t="str">
            <v>PAN</v>
          </cell>
          <cell r="B1930">
            <v>2015</v>
          </cell>
          <cell r="C1930" t="str">
            <v>gdp_inf_agri</v>
          </cell>
          <cell r="D1930">
            <v>-2.1529183387756352</v>
          </cell>
        </row>
        <row r="1931">
          <cell r="A1931" t="str">
            <v>PAN</v>
          </cell>
          <cell r="B1931">
            <v>2015</v>
          </cell>
          <cell r="C1931" t="str">
            <v>gdp_inf_ind</v>
          </cell>
          <cell r="D1931">
            <v>0.31895995140075678</v>
          </cell>
        </row>
        <row r="1932">
          <cell r="A1932" t="str">
            <v>PAN</v>
          </cell>
          <cell r="B1932">
            <v>2015</v>
          </cell>
          <cell r="C1932" t="str">
            <v>gdp_inf_serv</v>
          </cell>
          <cell r="D1932">
            <v>2.0468723773956299</v>
          </cell>
        </row>
        <row r="1933">
          <cell r="A1933" t="str">
            <v>PAN</v>
          </cell>
          <cell r="B1933">
            <v>2015</v>
          </cell>
          <cell r="C1933" t="str">
            <v>prod_for_agri</v>
          </cell>
          <cell r="D1933">
            <v>5.6682577133178711</v>
          </cell>
        </row>
        <row r="1934">
          <cell r="A1934" t="str">
            <v>PAN</v>
          </cell>
          <cell r="B1934">
            <v>2015</v>
          </cell>
          <cell r="C1934" t="str">
            <v>prod_for_ind</v>
          </cell>
          <cell r="D1934">
            <v>-0.2474786639213562</v>
          </cell>
        </row>
        <row r="1935">
          <cell r="A1935" t="str">
            <v>PAN</v>
          </cell>
          <cell r="B1935">
            <v>2015</v>
          </cell>
          <cell r="C1935" t="str">
            <v>prod_for_serv</v>
          </cell>
          <cell r="D1935">
            <v>-3.3096299171447749</v>
          </cell>
        </row>
        <row r="1936">
          <cell r="A1936" t="str">
            <v>PAN</v>
          </cell>
          <cell r="B1936">
            <v>2015</v>
          </cell>
          <cell r="C1936" t="str">
            <v>prod_inf_agri</v>
          </cell>
          <cell r="D1936">
            <v>-0.36257174611091608</v>
          </cell>
        </row>
        <row r="1937">
          <cell r="A1937" t="str">
            <v>PAN</v>
          </cell>
          <cell r="B1937">
            <v>2015</v>
          </cell>
          <cell r="C1937" t="str">
            <v>prod_inf_ind</v>
          </cell>
          <cell r="D1937">
            <v>0.42404669523239141</v>
          </cell>
        </row>
        <row r="1938">
          <cell r="A1938" t="str">
            <v>PAN</v>
          </cell>
          <cell r="B1938">
            <v>2015</v>
          </cell>
          <cell r="C1938" t="str">
            <v>prod_inf_serv</v>
          </cell>
          <cell r="D1938">
            <v>-1.3611049652099609</v>
          </cell>
        </row>
        <row r="1939">
          <cell r="A1939" t="str">
            <v>PAN</v>
          </cell>
          <cell r="B1939">
            <v>2016</v>
          </cell>
          <cell r="C1939" t="str">
            <v>gdp_activity</v>
          </cell>
          <cell r="D1939">
            <v>0.39278063178062439</v>
          </cell>
        </row>
        <row r="1940">
          <cell r="A1940" t="str">
            <v>PAN</v>
          </cell>
          <cell r="B1940">
            <v>2016</v>
          </cell>
          <cell r="C1940" t="str">
            <v>gdp_for_agri</v>
          </cell>
          <cell r="D1940">
            <v>-83.360206604003906</v>
          </cell>
        </row>
        <row r="1941">
          <cell r="A1941" t="str">
            <v>PAN</v>
          </cell>
          <cell r="B1941">
            <v>2016</v>
          </cell>
          <cell r="C1941" t="str">
            <v>gdp_for_ind</v>
          </cell>
          <cell r="D1941">
            <v>0.25888767838478088</v>
          </cell>
        </row>
        <row r="1942">
          <cell r="A1942" t="str">
            <v>PAN</v>
          </cell>
          <cell r="B1942">
            <v>2016</v>
          </cell>
          <cell r="C1942" t="str">
            <v>gdp_for_serv</v>
          </cell>
          <cell r="D1942">
            <v>-8.8664799928665161E-2</v>
          </cell>
        </row>
        <row r="1943">
          <cell r="A1943" t="str">
            <v>PAN</v>
          </cell>
          <cell r="B1943">
            <v>2016</v>
          </cell>
          <cell r="C1943" t="str">
            <v>gdp_inf_agri</v>
          </cell>
          <cell r="D1943">
            <v>61.797725677490227</v>
          </cell>
        </row>
        <row r="1944">
          <cell r="A1944" t="str">
            <v>PAN</v>
          </cell>
          <cell r="B1944">
            <v>2016</v>
          </cell>
          <cell r="C1944" t="str">
            <v>gdp_inf_ind</v>
          </cell>
          <cell r="D1944">
            <v>-0.37721782922744751</v>
          </cell>
        </row>
        <row r="1945">
          <cell r="A1945" t="str">
            <v>PAN</v>
          </cell>
          <cell r="B1945">
            <v>2016</v>
          </cell>
          <cell r="C1945" t="str">
            <v>gdp_inf_serv</v>
          </cell>
          <cell r="D1945">
            <v>1.1254804134368901</v>
          </cell>
        </row>
        <row r="1946">
          <cell r="A1946" t="str">
            <v>PAN</v>
          </cell>
          <cell r="B1946">
            <v>2016</v>
          </cell>
          <cell r="C1946" t="str">
            <v>prod_for_agri</v>
          </cell>
          <cell r="D1946">
            <v>0.15830644965171811</v>
          </cell>
        </row>
        <row r="1947">
          <cell r="A1947" t="str">
            <v>PAN</v>
          </cell>
          <cell r="B1947">
            <v>2016</v>
          </cell>
          <cell r="C1947" t="str">
            <v>prod_for_ind</v>
          </cell>
          <cell r="D1947">
            <v>0.62009733915328979</v>
          </cell>
        </row>
        <row r="1948">
          <cell r="A1948" t="str">
            <v>PAN</v>
          </cell>
          <cell r="B1948">
            <v>2016</v>
          </cell>
          <cell r="C1948" t="str">
            <v>prod_for_serv</v>
          </cell>
          <cell r="D1948">
            <v>1.896619439125061</v>
          </cell>
        </row>
        <row r="1949">
          <cell r="A1949" t="str">
            <v>PAN</v>
          </cell>
          <cell r="B1949">
            <v>2016</v>
          </cell>
          <cell r="C1949" t="str">
            <v>prod_inf_agri</v>
          </cell>
          <cell r="D1949">
            <v>0.6454499363899231</v>
          </cell>
        </row>
        <row r="1950">
          <cell r="A1950" t="str">
            <v>PAN</v>
          </cell>
          <cell r="B1950">
            <v>2016</v>
          </cell>
          <cell r="C1950" t="str">
            <v>prod_inf_ind</v>
          </cell>
          <cell r="D1950">
            <v>-8.4396879174164496E-6</v>
          </cell>
        </row>
        <row r="1951">
          <cell r="A1951" t="str">
            <v>PAN</v>
          </cell>
          <cell r="B1951">
            <v>2016</v>
          </cell>
          <cell r="C1951" t="str">
            <v>prod_inf_serv</v>
          </cell>
          <cell r="D1951">
            <v>2.072949886322021</v>
          </cell>
        </row>
        <row r="1952">
          <cell r="A1952" t="str">
            <v>PAN</v>
          </cell>
          <cell r="B1952">
            <v>2017</v>
          </cell>
          <cell r="C1952" t="str">
            <v>gdp_activity</v>
          </cell>
          <cell r="D1952">
            <v>0.2453153729438782</v>
          </cell>
        </row>
        <row r="1953">
          <cell r="A1953" t="str">
            <v>PAN</v>
          </cell>
          <cell r="B1953">
            <v>2017</v>
          </cell>
          <cell r="C1953" t="str">
            <v>gdp_for_agri</v>
          </cell>
          <cell r="D1953">
            <v>11.255563735961911</v>
          </cell>
        </row>
        <row r="1954">
          <cell r="A1954" t="str">
            <v>PAN</v>
          </cell>
          <cell r="B1954">
            <v>2017</v>
          </cell>
          <cell r="C1954" t="str">
            <v>gdp_for_ind</v>
          </cell>
          <cell r="D1954">
            <v>0.39200374484062189</v>
          </cell>
        </row>
        <row r="1955">
          <cell r="A1955" t="str">
            <v>PAN</v>
          </cell>
          <cell r="B1955">
            <v>2017</v>
          </cell>
          <cell r="C1955" t="str">
            <v>gdp_for_serv</v>
          </cell>
          <cell r="D1955">
            <v>-8.510831743478775E-2</v>
          </cell>
        </row>
        <row r="1956">
          <cell r="A1956" t="str">
            <v>PAN</v>
          </cell>
          <cell r="B1956">
            <v>2017</v>
          </cell>
          <cell r="C1956" t="str">
            <v>gdp_inf_agri</v>
          </cell>
          <cell r="D1956">
            <v>-11.72378635406494</v>
          </cell>
        </row>
        <row r="1957">
          <cell r="A1957" t="str">
            <v>PAN</v>
          </cell>
          <cell r="B1957">
            <v>2017</v>
          </cell>
          <cell r="C1957" t="str">
            <v>gdp_inf_ind</v>
          </cell>
          <cell r="D1957">
            <v>7.4424207210540771E-2</v>
          </cell>
        </row>
        <row r="1958">
          <cell r="A1958" t="str">
            <v>PAN</v>
          </cell>
          <cell r="B1958">
            <v>2017</v>
          </cell>
          <cell r="C1958" t="str">
            <v>gdp_inf_serv</v>
          </cell>
          <cell r="D1958">
            <v>1.327057361602783</v>
          </cell>
        </row>
        <row r="1959">
          <cell r="A1959" t="str">
            <v>PAN</v>
          </cell>
          <cell r="B1959">
            <v>2017</v>
          </cell>
          <cell r="C1959" t="str">
            <v>prod_for_agri</v>
          </cell>
          <cell r="D1959">
            <v>-0.95200657844543457</v>
          </cell>
        </row>
        <row r="1960">
          <cell r="A1960" t="str">
            <v>PAN</v>
          </cell>
          <cell r="B1960">
            <v>2017</v>
          </cell>
          <cell r="C1960" t="str">
            <v>prod_for_ind</v>
          </cell>
          <cell r="D1960">
            <v>-0.85849767923355103</v>
          </cell>
        </row>
        <row r="1961">
          <cell r="A1961" t="str">
            <v>PAN</v>
          </cell>
          <cell r="B1961">
            <v>2017</v>
          </cell>
          <cell r="C1961" t="str">
            <v>prod_for_serv</v>
          </cell>
          <cell r="D1961">
            <v>1.5722347497940059</v>
          </cell>
        </row>
        <row r="1962">
          <cell r="A1962" t="str">
            <v>PAN</v>
          </cell>
          <cell r="B1962">
            <v>2017</v>
          </cell>
          <cell r="C1962" t="str">
            <v>prod_inf_agri</v>
          </cell>
          <cell r="D1962">
            <v>2.686735868453979</v>
          </cell>
        </row>
        <row r="1963">
          <cell r="A1963" t="str">
            <v>PAN</v>
          </cell>
          <cell r="B1963">
            <v>2017</v>
          </cell>
          <cell r="C1963" t="str">
            <v>prod_inf_ind</v>
          </cell>
          <cell r="D1963">
            <v>0.59657973051071167</v>
          </cell>
        </row>
        <row r="1964">
          <cell r="A1964" t="str">
            <v>PAN</v>
          </cell>
          <cell r="B1964">
            <v>2017</v>
          </cell>
          <cell r="C1964" t="str">
            <v>prod_inf_serv</v>
          </cell>
          <cell r="D1964">
            <v>-3.62254810333252</v>
          </cell>
        </row>
        <row r="1965">
          <cell r="A1965" t="str">
            <v>PAN</v>
          </cell>
          <cell r="B1965">
            <v>2018</v>
          </cell>
          <cell r="C1965" t="str">
            <v>gdp_activity</v>
          </cell>
          <cell r="D1965">
            <v>0.72280317544937134</v>
          </cell>
        </row>
        <row r="1966">
          <cell r="A1966" t="str">
            <v>PAN</v>
          </cell>
          <cell r="B1966">
            <v>2018</v>
          </cell>
          <cell r="C1966" t="str">
            <v>gdp_for_agri</v>
          </cell>
          <cell r="D1966">
            <v>-3.6229953765869141</v>
          </cell>
        </row>
        <row r="1967">
          <cell r="A1967" t="str">
            <v>PAN</v>
          </cell>
          <cell r="B1967">
            <v>2018</v>
          </cell>
          <cell r="C1967" t="str">
            <v>gdp_for_ind</v>
          </cell>
          <cell r="D1967">
            <v>-0.37735772132873541</v>
          </cell>
        </row>
        <row r="1968">
          <cell r="A1968" t="str">
            <v>PAN</v>
          </cell>
          <cell r="B1968">
            <v>2018</v>
          </cell>
          <cell r="C1968" t="str">
            <v>gdp_for_serv</v>
          </cell>
          <cell r="D1968">
            <v>0.1062822416424751</v>
          </cell>
        </row>
        <row r="1969">
          <cell r="A1969" t="str">
            <v>PAN</v>
          </cell>
          <cell r="B1969">
            <v>2018</v>
          </cell>
          <cell r="C1969" t="str">
            <v>gdp_inf_agri</v>
          </cell>
          <cell r="D1969">
            <v>3.6503922939300542</v>
          </cell>
        </row>
        <row r="1970">
          <cell r="A1970" t="str">
            <v>PAN</v>
          </cell>
          <cell r="B1970">
            <v>2018</v>
          </cell>
          <cell r="C1970" t="str">
            <v>gdp_inf_ind</v>
          </cell>
          <cell r="D1970">
            <v>1.985491037368774</v>
          </cell>
        </row>
        <row r="1971">
          <cell r="A1971" t="str">
            <v>PAN</v>
          </cell>
          <cell r="B1971">
            <v>2018</v>
          </cell>
          <cell r="C1971" t="str">
            <v>gdp_inf_serv</v>
          </cell>
          <cell r="D1971">
            <v>1.9095274209976201</v>
          </cell>
        </row>
        <row r="1972">
          <cell r="A1972" t="str">
            <v>PAN</v>
          </cell>
          <cell r="B1972">
            <v>2018</v>
          </cell>
          <cell r="C1972" t="str">
            <v>prod_for_agri</v>
          </cell>
          <cell r="D1972">
            <v>2.391913890838623</v>
          </cell>
        </row>
        <row r="1973">
          <cell r="A1973" t="str">
            <v>PAN</v>
          </cell>
          <cell r="B1973">
            <v>2018</v>
          </cell>
          <cell r="C1973" t="str">
            <v>prod_for_ind</v>
          </cell>
          <cell r="D1973">
            <v>4.4172463417053223</v>
          </cell>
        </row>
        <row r="1974">
          <cell r="A1974" t="str">
            <v>PAN</v>
          </cell>
          <cell r="B1974">
            <v>2018</v>
          </cell>
          <cell r="C1974" t="str">
            <v>prod_for_serv</v>
          </cell>
          <cell r="D1974">
            <v>3.763139963150024</v>
          </cell>
        </row>
        <row r="1975">
          <cell r="A1975" t="str">
            <v>PAN</v>
          </cell>
          <cell r="B1975">
            <v>2018</v>
          </cell>
          <cell r="C1975" t="str">
            <v>prod_inf_agri</v>
          </cell>
          <cell r="D1975">
            <v>-10.371512413024901</v>
          </cell>
        </row>
        <row r="1976">
          <cell r="A1976" t="str">
            <v>PAN</v>
          </cell>
          <cell r="B1976">
            <v>2018</v>
          </cell>
          <cell r="C1976" t="str">
            <v>prod_inf_ind</v>
          </cell>
          <cell r="D1976">
            <v>-1.9305121898651121</v>
          </cell>
        </row>
        <row r="1977">
          <cell r="A1977" t="str">
            <v>PAN</v>
          </cell>
          <cell r="B1977">
            <v>2018</v>
          </cell>
          <cell r="C1977" t="str">
            <v>prod_inf_serv</v>
          </cell>
          <cell r="D1977">
            <v>2.1348202228546138</v>
          </cell>
        </row>
        <row r="1978">
          <cell r="A1978" t="str">
            <v>PAN</v>
          </cell>
          <cell r="B1978">
            <v>2019</v>
          </cell>
          <cell r="C1978" t="str">
            <v>gdp_activity</v>
          </cell>
          <cell r="D1978">
            <v>1.1111007928848271</v>
          </cell>
        </row>
        <row r="1979">
          <cell r="A1979" t="str">
            <v>PAN</v>
          </cell>
          <cell r="B1979">
            <v>2019</v>
          </cell>
          <cell r="C1979" t="str">
            <v>gdp_for_agri</v>
          </cell>
          <cell r="D1979">
            <v>-1.4086124897003169</v>
          </cell>
        </row>
        <row r="1980">
          <cell r="A1980" t="str">
            <v>PAN</v>
          </cell>
          <cell r="B1980">
            <v>2019</v>
          </cell>
          <cell r="C1980" t="str">
            <v>gdp_for_ind</v>
          </cell>
          <cell r="D1980">
            <v>-6.0922207832336426</v>
          </cell>
        </row>
        <row r="1981">
          <cell r="A1981" t="str">
            <v>PAN</v>
          </cell>
          <cell r="B1981">
            <v>2019</v>
          </cell>
          <cell r="C1981" t="str">
            <v>gdp_for_serv</v>
          </cell>
          <cell r="D1981">
            <v>0.27930727601051331</v>
          </cell>
        </row>
        <row r="1982">
          <cell r="A1982" t="str">
            <v>PAN</v>
          </cell>
          <cell r="B1982">
            <v>2019</v>
          </cell>
          <cell r="C1982" t="str">
            <v>gdp_inf_agri</v>
          </cell>
          <cell r="D1982">
            <v>1.155373692512512</v>
          </cell>
        </row>
        <row r="1983">
          <cell r="A1983" t="str">
            <v>PAN</v>
          </cell>
          <cell r="B1983">
            <v>2019</v>
          </cell>
          <cell r="C1983" t="str">
            <v>gdp_inf_ind</v>
          </cell>
          <cell r="D1983">
            <v>2.571760892868042</v>
          </cell>
        </row>
        <row r="1984">
          <cell r="A1984" t="str">
            <v>PAN</v>
          </cell>
          <cell r="B1984">
            <v>2019</v>
          </cell>
          <cell r="C1984" t="str">
            <v>gdp_inf_serv</v>
          </cell>
          <cell r="D1984">
            <v>1.431243896484375</v>
          </cell>
        </row>
        <row r="1985">
          <cell r="A1985" t="str">
            <v>PAN</v>
          </cell>
          <cell r="B1985">
            <v>2019</v>
          </cell>
          <cell r="C1985" t="str">
            <v>prod_for_agri</v>
          </cell>
          <cell r="D1985">
            <v>6.7937436103820801</v>
          </cell>
        </row>
        <row r="1986">
          <cell r="A1986" t="str">
            <v>PAN</v>
          </cell>
          <cell r="B1986">
            <v>2019</v>
          </cell>
          <cell r="C1986" t="str">
            <v>prod_for_ind</v>
          </cell>
          <cell r="D1986">
            <v>1.3644721508026121</v>
          </cell>
        </row>
        <row r="1987">
          <cell r="A1987" t="str">
            <v>PAN</v>
          </cell>
          <cell r="B1987">
            <v>2019</v>
          </cell>
          <cell r="C1987" t="str">
            <v>prod_for_serv</v>
          </cell>
          <cell r="D1987">
            <v>3.6868469715118408</v>
          </cell>
        </row>
        <row r="1988">
          <cell r="A1988" t="str">
            <v>PAN</v>
          </cell>
          <cell r="B1988">
            <v>2019</v>
          </cell>
          <cell r="C1988" t="str">
            <v>prod_inf_agri</v>
          </cell>
          <cell r="D1988">
            <v>-11.853024482727051</v>
          </cell>
        </row>
        <row r="1989">
          <cell r="A1989" t="str">
            <v>PAN</v>
          </cell>
          <cell r="B1989">
            <v>2019</v>
          </cell>
          <cell r="C1989" t="str">
            <v>prod_inf_ind</v>
          </cell>
          <cell r="D1989">
            <v>-1.196532607078552</v>
          </cell>
        </row>
        <row r="1990">
          <cell r="A1990" t="str">
            <v>PAN</v>
          </cell>
          <cell r="B1990">
            <v>2019</v>
          </cell>
          <cell r="C1990" t="str">
            <v>prod_inf_serv</v>
          </cell>
          <cell r="D1990">
            <v>0.85706204175949097</v>
          </cell>
        </row>
        <row r="1991">
          <cell r="A1991" t="str">
            <v>PAN</v>
          </cell>
          <cell r="B1991">
            <v>2021</v>
          </cell>
          <cell r="C1991" t="str">
            <v>gdp_activity</v>
          </cell>
          <cell r="D1991">
            <v>1.2887547016143801</v>
          </cell>
        </row>
        <row r="1992">
          <cell r="A1992" t="str">
            <v>PAN</v>
          </cell>
          <cell r="B1992">
            <v>2021</v>
          </cell>
          <cell r="C1992" t="str">
            <v>gdp_for_agri</v>
          </cell>
          <cell r="D1992">
            <v>-0.97976267337799072</v>
          </cell>
        </row>
        <row r="1993">
          <cell r="A1993" t="str">
            <v>PAN</v>
          </cell>
          <cell r="B1993">
            <v>2021</v>
          </cell>
          <cell r="C1993" t="str">
            <v>gdp_for_ind</v>
          </cell>
          <cell r="D1993">
            <v>2.031569242477417</v>
          </cell>
        </row>
        <row r="1994">
          <cell r="A1994" t="str">
            <v>PAN</v>
          </cell>
          <cell r="B1994">
            <v>2021</v>
          </cell>
          <cell r="C1994" t="str">
            <v>gdp_for_serv</v>
          </cell>
          <cell r="D1994">
            <v>73.583976745605469</v>
          </cell>
        </row>
        <row r="1995">
          <cell r="A1995" t="str">
            <v>PAN</v>
          </cell>
          <cell r="B1995">
            <v>2021</v>
          </cell>
          <cell r="C1995" t="str">
            <v>gdp_inf_agri</v>
          </cell>
          <cell r="D1995">
            <v>-5.0906144315376878E-4</v>
          </cell>
        </row>
        <row r="1996">
          <cell r="A1996" t="str">
            <v>PAN</v>
          </cell>
          <cell r="B1996">
            <v>2021</v>
          </cell>
          <cell r="C1996" t="str">
            <v>gdp_inf_ind</v>
          </cell>
          <cell r="D1996">
            <v>8.5461195558309555E-3</v>
          </cell>
        </row>
        <row r="1997">
          <cell r="A1997" t="str">
            <v>PAN</v>
          </cell>
          <cell r="B1997">
            <v>2021</v>
          </cell>
          <cell r="C1997" t="str">
            <v>gdp_inf_serv</v>
          </cell>
          <cell r="D1997">
            <v>29.095504760742191</v>
          </cell>
        </row>
        <row r="1998">
          <cell r="A1998" t="str">
            <v>PAN</v>
          </cell>
          <cell r="B1998">
            <v>2021</v>
          </cell>
          <cell r="C1998" t="str">
            <v>prod_for_agri</v>
          </cell>
          <cell r="D1998">
            <v>0.48325040936470032</v>
          </cell>
        </row>
        <row r="1999">
          <cell r="A1999" t="str">
            <v>PAN</v>
          </cell>
          <cell r="B1999">
            <v>2021</v>
          </cell>
          <cell r="C1999" t="str">
            <v>prod_for_ind</v>
          </cell>
          <cell r="D1999">
            <v>-2.9960870742797852</v>
          </cell>
        </row>
        <row r="2000">
          <cell r="A2000" t="str">
            <v>PAN</v>
          </cell>
          <cell r="B2000">
            <v>2021</v>
          </cell>
          <cell r="C2000" t="str">
            <v>prod_for_serv</v>
          </cell>
          <cell r="D2000">
            <v>6.2445003539323807E-2</v>
          </cell>
        </row>
        <row r="2001">
          <cell r="A2001" t="str">
            <v>PAN</v>
          </cell>
          <cell r="B2001">
            <v>2021</v>
          </cell>
          <cell r="C2001" t="str">
            <v>prod_inf_agri</v>
          </cell>
          <cell r="D2001">
            <v>0.55433452129364014</v>
          </cell>
        </row>
        <row r="2002">
          <cell r="A2002" t="str">
            <v>PAN</v>
          </cell>
          <cell r="B2002">
            <v>2021</v>
          </cell>
          <cell r="C2002" t="str">
            <v>prod_inf_ind</v>
          </cell>
          <cell r="D2002">
            <v>12.367894172668461</v>
          </cell>
        </row>
        <row r="2003">
          <cell r="A2003" t="str">
            <v>PAN</v>
          </cell>
          <cell r="B2003">
            <v>2021</v>
          </cell>
          <cell r="C2003" t="str">
            <v>prod_inf_serv</v>
          </cell>
          <cell r="D2003">
            <v>-0.48948243260383612</v>
          </cell>
        </row>
        <row r="2004">
          <cell r="A2004" t="str">
            <v>PAN</v>
          </cell>
          <cell r="B2004">
            <v>2023</v>
          </cell>
          <cell r="C2004" t="str">
            <v>gdp_activity</v>
          </cell>
          <cell r="D2004">
            <v>0.37760725617408752</v>
          </cell>
        </row>
        <row r="2005">
          <cell r="A2005" t="str">
            <v>PAN</v>
          </cell>
          <cell r="B2005">
            <v>2023</v>
          </cell>
          <cell r="C2005" t="str">
            <v>gdp_for_agri</v>
          </cell>
          <cell r="D2005">
            <v>-0.34423980116844177</v>
          </cell>
        </row>
        <row r="2006">
          <cell r="A2006" t="str">
            <v>PAN</v>
          </cell>
          <cell r="B2006">
            <v>2023</v>
          </cell>
          <cell r="C2006" t="str">
            <v>gdp_for_ind</v>
          </cell>
          <cell r="D2006">
            <v>0.95645809173583984</v>
          </cell>
        </row>
        <row r="2007">
          <cell r="A2007" t="str">
            <v>PAN</v>
          </cell>
          <cell r="B2007">
            <v>2023</v>
          </cell>
          <cell r="C2007" t="str">
            <v>gdp_for_serv</v>
          </cell>
          <cell r="D2007">
            <v>0.78517818450927734</v>
          </cell>
        </row>
        <row r="2008">
          <cell r="A2008" t="str">
            <v>PAN</v>
          </cell>
          <cell r="B2008">
            <v>2023</v>
          </cell>
          <cell r="C2008" t="str">
            <v>gdp_inf_agri</v>
          </cell>
          <cell r="D2008">
            <v>0.48617923259735107</v>
          </cell>
        </row>
        <row r="2009">
          <cell r="A2009" t="str">
            <v>PAN</v>
          </cell>
          <cell r="B2009">
            <v>2023</v>
          </cell>
          <cell r="C2009" t="str">
            <v>gdp_inf_ind</v>
          </cell>
          <cell r="D2009">
            <v>0.35981574654579163</v>
          </cell>
        </row>
        <row r="2010">
          <cell r="A2010" t="str">
            <v>PAN</v>
          </cell>
          <cell r="B2010">
            <v>2023</v>
          </cell>
          <cell r="C2010" t="str">
            <v>gdp_inf_serv</v>
          </cell>
          <cell r="D2010">
            <v>0.72768545150756836</v>
          </cell>
        </row>
        <row r="2011">
          <cell r="A2011" t="str">
            <v>PAN</v>
          </cell>
          <cell r="B2011">
            <v>2023</v>
          </cell>
          <cell r="C2011" t="str">
            <v>prod_for_agri</v>
          </cell>
          <cell r="D2011">
            <v>-1.976360082626343</v>
          </cell>
        </row>
        <row r="2012">
          <cell r="A2012" t="str">
            <v>PAN</v>
          </cell>
          <cell r="B2012">
            <v>2023</v>
          </cell>
          <cell r="C2012" t="str">
            <v>prod_for_ind</v>
          </cell>
          <cell r="D2012">
            <v>-0.72364974021911621</v>
          </cell>
        </row>
        <row r="2013">
          <cell r="A2013" t="str">
            <v>PAN</v>
          </cell>
          <cell r="B2013">
            <v>2023</v>
          </cell>
          <cell r="C2013" t="str">
            <v>prod_for_serv</v>
          </cell>
          <cell r="D2013">
            <v>-1.1325539350509639</v>
          </cell>
        </row>
        <row r="2014">
          <cell r="A2014" t="str">
            <v>PAN</v>
          </cell>
          <cell r="B2014">
            <v>2023</v>
          </cell>
          <cell r="C2014" t="str">
            <v>prod_inf_agri</v>
          </cell>
          <cell r="D2014">
            <v>-3.406173944473267</v>
          </cell>
        </row>
        <row r="2015">
          <cell r="A2015" t="str">
            <v>PAN</v>
          </cell>
          <cell r="B2015">
            <v>2023</v>
          </cell>
          <cell r="C2015" t="str">
            <v>prod_inf_ind</v>
          </cell>
          <cell r="D2015">
            <v>-0.21226626634597781</v>
          </cell>
        </row>
        <row r="2016">
          <cell r="A2016" t="str">
            <v>PAN</v>
          </cell>
          <cell r="B2016">
            <v>2023</v>
          </cell>
          <cell r="C2016" t="str">
            <v>prod_inf_serv</v>
          </cell>
          <cell r="D2016">
            <v>-1.004996061325073</v>
          </cell>
        </row>
        <row r="2017">
          <cell r="A2017" t="str">
            <v>PER</v>
          </cell>
          <cell r="B2017">
            <v>2008</v>
          </cell>
          <cell r="C2017" t="str">
            <v>gdp_activity</v>
          </cell>
          <cell r="D2017">
            <v>0.34705853462219238</v>
          </cell>
        </row>
        <row r="2018">
          <cell r="A2018" t="str">
            <v>PER</v>
          </cell>
          <cell r="B2018">
            <v>2008</v>
          </cell>
          <cell r="C2018" t="str">
            <v>gdp_for_agri</v>
          </cell>
          <cell r="D2018">
            <v>-0.11755224317312241</v>
          </cell>
        </row>
        <row r="2019">
          <cell r="A2019" t="str">
            <v>PER</v>
          </cell>
          <cell r="B2019">
            <v>2008</v>
          </cell>
          <cell r="C2019" t="str">
            <v>gdp_for_ind</v>
          </cell>
          <cell r="D2019">
            <v>0.92649942636489868</v>
          </cell>
        </row>
        <row r="2020">
          <cell r="A2020" t="str">
            <v>PER</v>
          </cell>
          <cell r="B2020">
            <v>2008</v>
          </cell>
          <cell r="C2020" t="str">
            <v>gdp_for_serv</v>
          </cell>
          <cell r="D2020">
            <v>0.83425265550613403</v>
          </cell>
        </row>
        <row r="2021">
          <cell r="A2021" t="str">
            <v>PER</v>
          </cell>
          <cell r="B2021">
            <v>2008</v>
          </cell>
          <cell r="C2021" t="str">
            <v>gdp_inf_agri</v>
          </cell>
          <cell r="D2021">
            <v>0.12027020752429959</v>
          </cell>
        </row>
        <row r="2022">
          <cell r="A2022" t="str">
            <v>PER</v>
          </cell>
          <cell r="B2022">
            <v>2008</v>
          </cell>
          <cell r="C2022" t="str">
            <v>gdp_inf_ind</v>
          </cell>
          <cell r="D2022">
            <v>0.36203524470329279</v>
          </cell>
        </row>
        <row r="2023">
          <cell r="A2023" t="str">
            <v>PER</v>
          </cell>
          <cell r="B2023">
            <v>2008</v>
          </cell>
          <cell r="C2023" t="str">
            <v>gdp_inf_serv</v>
          </cell>
          <cell r="D2023">
            <v>0.40224447846412659</v>
          </cell>
        </row>
        <row r="2024">
          <cell r="A2024" t="str">
            <v>PER</v>
          </cell>
          <cell r="B2024">
            <v>2008</v>
          </cell>
          <cell r="C2024" t="str">
            <v>prod_for_agri</v>
          </cell>
          <cell r="D2024">
            <v>1.2146487236022949</v>
          </cell>
        </row>
        <row r="2025">
          <cell r="A2025" t="str">
            <v>PER</v>
          </cell>
          <cell r="B2025">
            <v>2008</v>
          </cell>
          <cell r="C2025" t="str">
            <v>prod_for_ind</v>
          </cell>
          <cell r="D2025">
            <v>-0.2397017776966095</v>
          </cell>
        </row>
        <row r="2026">
          <cell r="A2026" t="str">
            <v>PER</v>
          </cell>
          <cell r="B2026">
            <v>2008</v>
          </cell>
          <cell r="C2026" t="str">
            <v>prod_for_serv</v>
          </cell>
          <cell r="D2026">
            <v>-1.816444396972656</v>
          </cell>
        </row>
        <row r="2027">
          <cell r="A2027" t="str">
            <v>PER</v>
          </cell>
          <cell r="B2027">
            <v>2008</v>
          </cell>
          <cell r="C2027" t="str">
            <v>prod_inf_agri</v>
          </cell>
          <cell r="D2027">
            <v>1.9927306175231929</v>
          </cell>
        </row>
        <row r="2028">
          <cell r="A2028" t="str">
            <v>PER</v>
          </cell>
          <cell r="B2028">
            <v>2008</v>
          </cell>
          <cell r="C2028" t="str">
            <v>prod_inf_ind</v>
          </cell>
          <cell r="D2028">
            <v>0.96039080619812012</v>
          </cell>
        </row>
        <row r="2029">
          <cell r="A2029" t="str">
            <v>PER</v>
          </cell>
          <cell r="B2029">
            <v>2008</v>
          </cell>
          <cell r="C2029" t="str">
            <v>prod_inf_serv</v>
          </cell>
          <cell r="D2029">
            <v>1.70264744758606</v>
          </cell>
        </row>
        <row r="2030">
          <cell r="A2030" t="str">
            <v>PER</v>
          </cell>
          <cell r="B2030">
            <v>2009</v>
          </cell>
          <cell r="C2030" t="str">
            <v>gdp_activity</v>
          </cell>
          <cell r="D2030">
            <v>2.1098208427429199</v>
          </cell>
        </row>
        <row r="2031">
          <cell r="A2031" t="str">
            <v>PER</v>
          </cell>
          <cell r="B2031">
            <v>2009</v>
          </cell>
          <cell r="C2031" t="str">
            <v>gdp_for_agri</v>
          </cell>
          <cell r="D2031">
            <v>132.7472839355469</v>
          </cell>
        </row>
        <row r="2032">
          <cell r="A2032" t="str">
            <v>PER</v>
          </cell>
          <cell r="B2032">
            <v>2009</v>
          </cell>
          <cell r="C2032" t="str">
            <v>gdp_for_ind</v>
          </cell>
          <cell r="D2032">
            <v>-5.5658636093139648</v>
          </cell>
        </row>
        <row r="2033">
          <cell r="A2033" t="str">
            <v>PER</v>
          </cell>
          <cell r="B2033">
            <v>2009</v>
          </cell>
          <cell r="C2033" t="str">
            <v>gdp_for_serv</v>
          </cell>
          <cell r="D2033">
            <v>3.981486558914185</v>
          </cell>
        </row>
        <row r="2034">
          <cell r="A2034" t="str">
            <v>PER</v>
          </cell>
          <cell r="B2034">
            <v>2009</v>
          </cell>
          <cell r="C2034" t="str">
            <v>gdp_inf_agri</v>
          </cell>
          <cell r="D2034">
            <v>-3.0353715419769292</v>
          </cell>
        </row>
        <row r="2035">
          <cell r="A2035" t="str">
            <v>PER</v>
          </cell>
          <cell r="B2035">
            <v>2009</v>
          </cell>
          <cell r="C2035" t="str">
            <v>gdp_inf_ind</v>
          </cell>
          <cell r="D2035">
            <v>0.34311997890472412</v>
          </cell>
        </row>
        <row r="2036">
          <cell r="A2036" t="str">
            <v>PER</v>
          </cell>
          <cell r="B2036">
            <v>2009</v>
          </cell>
          <cell r="C2036" t="str">
            <v>gdp_inf_serv</v>
          </cell>
          <cell r="D2036">
            <v>8.5074141621589661E-2</v>
          </cell>
        </row>
        <row r="2037">
          <cell r="A2037" t="str">
            <v>PER</v>
          </cell>
          <cell r="B2037">
            <v>2009</v>
          </cell>
          <cell r="C2037" t="str">
            <v>prod_for_agri</v>
          </cell>
          <cell r="D2037">
            <v>3206.15869140625</v>
          </cell>
        </row>
        <row r="2038">
          <cell r="A2038" t="str">
            <v>PER</v>
          </cell>
          <cell r="B2038">
            <v>2009</v>
          </cell>
          <cell r="C2038" t="str">
            <v>prod_for_ind</v>
          </cell>
          <cell r="D2038">
            <v>2.5259723663330078</v>
          </cell>
        </row>
        <row r="2039">
          <cell r="A2039" t="str">
            <v>PER</v>
          </cell>
          <cell r="B2039">
            <v>2009</v>
          </cell>
          <cell r="C2039" t="str">
            <v>prod_for_serv</v>
          </cell>
          <cell r="D2039">
            <v>-62.424259185791023</v>
          </cell>
        </row>
        <row r="2040">
          <cell r="A2040" t="str">
            <v>PER</v>
          </cell>
          <cell r="B2040">
            <v>2009</v>
          </cell>
          <cell r="C2040" t="str">
            <v>prod_inf_agri</v>
          </cell>
          <cell r="D2040">
            <v>2911.040283203125</v>
          </cell>
        </row>
        <row r="2041">
          <cell r="A2041" t="str">
            <v>PER</v>
          </cell>
          <cell r="B2041">
            <v>2009</v>
          </cell>
          <cell r="C2041" t="str">
            <v>prod_inf_ind</v>
          </cell>
          <cell r="D2041">
            <v>-2.6535003185272221</v>
          </cell>
        </row>
        <row r="2042">
          <cell r="A2042" t="str">
            <v>PER</v>
          </cell>
          <cell r="B2042">
            <v>2009</v>
          </cell>
          <cell r="C2042" t="str">
            <v>prod_inf_serv</v>
          </cell>
          <cell r="D2042">
            <v>10.397196769714361</v>
          </cell>
        </row>
        <row r="2043">
          <cell r="A2043" t="str">
            <v>PER</v>
          </cell>
          <cell r="B2043">
            <v>2010</v>
          </cell>
          <cell r="C2043" t="str">
            <v>gdp_activity</v>
          </cell>
          <cell r="D2043">
            <v>0.2718375027179718</v>
          </cell>
        </row>
        <row r="2044">
          <cell r="A2044" t="str">
            <v>PER</v>
          </cell>
          <cell r="B2044">
            <v>2010</v>
          </cell>
          <cell r="C2044" t="str">
            <v>gdp_for_agri</v>
          </cell>
          <cell r="D2044">
            <v>-4.8410143852233887</v>
          </cell>
        </row>
        <row r="2045">
          <cell r="A2045" t="str">
            <v>PER</v>
          </cell>
          <cell r="B2045">
            <v>2010</v>
          </cell>
          <cell r="C2045" t="str">
            <v>gdp_for_ind</v>
          </cell>
          <cell r="D2045">
            <v>0.88992613554000854</v>
          </cell>
        </row>
        <row r="2046">
          <cell r="A2046" t="str">
            <v>PER</v>
          </cell>
          <cell r="B2046">
            <v>2010</v>
          </cell>
          <cell r="C2046" t="str">
            <v>gdp_for_serv</v>
          </cell>
          <cell r="D2046">
            <v>0.28665274381637568</v>
          </cell>
        </row>
        <row r="2047">
          <cell r="A2047" t="str">
            <v>PER</v>
          </cell>
          <cell r="B2047">
            <v>2010</v>
          </cell>
          <cell r="C2047" t="str">
            <v>gdp_inf_agri</v>
          </cell>
          <cell r="D2047">
            <v>-1.20047914981842</v>
          </cell>
        </row>
        <row r="2048">
          <cell r="A2048" t="str">
            <v>PER</v>
          </cell>
          <cell r="B2048">
            <v>2010</v>
          </cell>
          <cell r="C2048" t="str">
            <v>gdp_inf_ind</v>
          </cell>
          <cell r="D2048">
            <v>0.63798820972442627</v>
          </cell>
        </row>
        <row r="2049">
          <cell r="A2049" t="str">
            <v>PER</v>
          </cell>
          <cell r="B2049">
            <v>2010</v>
          </cell>
          <cell r="C2049" t="str">
            <v>gdp_inf_serv</v>
          </cell>
          <cell r="D2049">
            <v>0.49296802282333368</v>
          </cell>
        </row>
        <row r="2050">
          <cell r="A2050" t="str">
            <v>PER</v>
          </cell>
          <cell r="B2050">
            <v>2010</v>
          </cell>
          <cell r="C2050" t="str">
            <v>prod_for_agri</v>
          </cell>
          <cell r="D2050">
            <v>-5.2177762985229492</v>
          </cell>
        </row>
        <row r="2051">
          <cell r="A2051" t="str">
            <v>PER</v>
          </cell>
          <cell r="B2051">
            <v>2010</v>
          </cell>
          <cell r="C2051" t="str">
            <v>prod_for_ind</v>
          </cell>
          <cell r="D2051">
            <v>2.3756988048553471</v>
          </cell>
        </row>
        <row r="2052">
          <cell r="A2052" t="str">
            <v>PER</v>
          </cell>
          <cell r="B2052">
            <v>2010</v>
          </cell>
          <cell r="C2052" t="str">
            <v>prod_for_serv</v>
          </cell>
          <cell r="D2052">
            <v>-0.2179764807224274</v>
          </cell>
        </row>
        <row r="2053">
          <cell r="A2053" t="str">
            <v>PER</v>
          </cell>
          <cell r="B2053">
            <v>2010</v>
          </cell>
          <cell r="C2053" t="str">
            <v>prod_inf_agri</v>
          </cell>
          <cell r="D2053">
            <v>2.5299322605133061</v>
          </cell>
        </row>
        <row r="2054">
          <cell r="A2054" t="str">
            <v>PER</v>
          </cell>
          <cell r="B2054">
            <v>2010</v>
          </cell>
          <cell r="C2054" t="str">
            <v>prod_inf_ind</v>
          </cell>
          <cell r="D2054">
            <v>0.73125731945037842</v>
          </cell>
        </row>
        <row r="2055">
          <cell r="A2055" t="str">
            <v>PER</v>
          </cell>
          <cell r="B2055">
            <v>2010</v>
          </cell>
          <cell r="C2055" t="str">
            <v>prod_inf_serv</v>
          </cell>
          <cell r="D2055">
            <v>0.32473233342170721</v>
          </cell>
        </row>
        <row r="2056">
          <cell r="A2056" t="str">
            <v>PER</v>
          </cell>
          <cell r="B2056">
            <v>2011</v>
          </cell>
          <cell r="C2056" t="str">
            <v>gdp_activity</v>
          </cell>
          <cell r="D2056">
            <v>0.12319179624319079</v>
          </cell>
        </row>
        <row r="2057">
          <cell r="A2057" t="str">
            <v>PER</v>
          </cell>
          <cell r="B2057">
            <v>2011</v>
          </cell>
          <cell r="C2057" t="str">
            <v>gdp_for_agri</v>
          </cell>
          <cell r="D2057">
            <v>2.5400238037109379</v>
          </cell>
        </row>
        <row r="2058">
          <cell r="A2058" t="str">
            <v>PER</v>
          </cell>
          <cell r="B2058">
            <v>2011</v>
          </cell>
          <cell r="C2058" t="str">
            <v>gdp_for_ind</v>
          </cell>
          <cell r="D2058">
            <v>-3.9589505642652512E-2</v>
          </cell>
        </row>
        <row r="2059">
          <cell r="A2059" t="str">
            <v>PER</v>
          </cell>
          <cell r="B2059">
            <v>2011</v>
          </cell>
          <cell r="C2059" t="str">
            <v>gdp_for_serv</v>
          </cell>
          <cell r="D2059">
            <v>1.120125889778137</v>
          </cell>
        </row>
        <row r="2060">
          <cell r="A2060" t="str">
            <v>PER</v>
          </cell>
          <cell r="B2060">
            <v>2011</v>
          </cell>
          <cell r="C2060" t="str">
            <v>gdp_inf_agri</v>
          </cell>
          <cell r="D2060">
            <v>0.25627440214157099</v>
          </cell>
        </row>
        <row r="2061">
          <cell r="A2061" t="str">
            <v>PER</v>
          </cell>
          <cell r="B2061">
            <v>2011</v>
          </cell>
          <cell r="C2061" t="str">
            <v>gdp_inf_ind</v>
          </cell>
          <cell r="D2061">
            <v>-0.3557325005531311</v>
          </cell>
        </row>
        <row r="2062">
          <cell r="A2062" t="str">
            <v>PER</v>
          </cell>
          <cell r="B2062">
            <v>2011</v>
          </cell>
          <cell r="C2062" t="str">
            <v>gdp_inf_serv</v>
          </cell>
          <cell r="D2062">
            <v>-0.2794816792011261</v>
          </cell>
        </row>
        <row r="2063">
          <cell r="A2063" t="str">
            <v>PER</v>
          </cell>
          <cell r="B2063">
            <v>2011</v>
          </cell>
          <cell r="C2063" t="str">
            <v>prod_for_agri</v>
          </cell>
          <cell r="D2063">
            <v>1.9829032421112061</v>
          </cell>
        </row>
        <row r="2064">
          <cell r="A2064" t="str">
            <v>PER</v>
          </cell>
          <cell r="B2064">
            <v>2011</v>
          </cell>
          <cell r="C2064" t="str">
            <v>prod_for_ind</v>
          </cell>
          <cell r="D2064">
            <v>-0.13378182053565979</v>
          </cell>
        </row>
        <row r="2065">
          <cell r="A2065" t="str">
            <v>PER</v>
          </cell>
          <cell r="B2065">
            <v>2011</v>
          </cell>
          <cell r="C2065" t="str">
            <v>prod_for_serv</v>
          </cell>
          <cell r="D2065">
            <v>1.9026245921850201E-2</v>
          </cell>
        </row>
        <row r="2066">
          <cell r="A2066" t="str">
            <v>PER</v>
          </cell>
          <cell r="B2066">
            <v>2011</v>
          </cell>
          <cell r="C2066" t="str">
            <v>prod_inf_agri</v>
          </cell>
          <cell r="D2066">
            <v>1.228743195533752</v>
          </cell>
        </row>
        <row r="2067">
          <cell r="A2067" t="str">
            <v>PER</v>
          </cell>
          <cell r="B2067">
            <v>2011</v>
          </cell>
          <cell r="C2067" t="str">
            <v>prod_inf_ind</v>
          </cell>
          <cell r="D2067">
            <v>0.98588776588439941</v>
          </cell>
        </row>
        <row r="2068">
          <cell r="A2068" t="str">
            <v>PER</v>
          </cell>
          <cell r="B2068">
            <v>2011</v>
          </cell>
          <cell r="C2068" t="str">
            <v>prod_inf_serv</v>
          </cell>
          <cell r="D2068">
            <v>0.76204174757003784</v>
          </cell>
        </row>
        <row r="2069">
          <cell r="A2069" t="str">
            <v>PER</v>
          </cell>
          <cell r="B2069">
            <v>2012</v>
          </cell>
          <cell r="C2069" t="str">
            <v>gdp_activity</v>
          </cell>
          <cell r="D2069">
            <v>0.41996768116950989</v>
          </cell>
        </row>
        <row r="2070">
          <cell r="A2070" t="str">
            <v>PER</v>
          </cell>
          <cell r="B2070">
            <v>2012</v>
          </cell>
          <cell r="C2070" t="str">
            <v>gdp_for_agri</v>
          </cell>
          <cell r="D2070">
            <v>4.092526912689209</v>
          </cell>
        </row>
        <row r="2071">
          <cell r="A2071" t="str">
            <v>PER</v>
          </cell>
          <cell r="B2071">
            <v>2012</v>
          </cell>
          <cell r="C2071" t="str">
            <v>gdp_for_ind</v>
          </cell>
          <cell r="D2071">
            <v>4.0529694557189941</v>
          </cell>
        </row>
        <row r="2072">
          <cell r="A2072" t="str">
            <v>PER</v>
          </cell>
          <cell r="B2072">
            <v>2012</v>
          </cell>
          <cell r="C2072" t="str">
            <v>gdp_for_serv</v>
          </cell>
          <cell r="D2072">
            <v>1.549561142921448</v>
          </cell>
        </row>
        <row r="2073">
          <cell r="A2073" t="str">
            <v>PER</v>
          </cell>
          <cell r="B2073">
            <v>2012</v>
          </cell>
          <cell r="C2073" t="str">
            <v>gdp_inf_agri</v>
          </cell>
          <cell r="D2073">
            <v>-0.2718532383441925</v>
          </cell>
        </row>
        <row r="2074">
          <cell r="A2074" t="str">
            <v>PER</v>
          </cell>
          <cell r="B2074">
            <v>2012</v>
          </cell>
          <cell r="C2074" t="str">
            <v>gdp_inf_ind</v>
          </cell>
          <cell r="D2074">
            <v>0.59193700551986694</v>
          </cell>
        </row>
        <row r="2075">
          <cell r="A2075" t="str">
            <v>PER</v>
          </cell>
          <cell r="B2075">
            <v>2012</v>
          </cell>
          <cell r="C2075" t="str">
            <v>gdp_inf_serv</v>
          </cell>
          <cell r="D2075">
            <v>-2.9098028317093849E-2</v>
          </cell>
        </row>
        <row r="2076">
          <cell r="A2076" t="str">
            <v>PER</v>
          </cell>
          <cell r="B2076">
            <v>2012</v>
          </cell>
          <cell r="C2076" t="str">
            <v>prod_for_agri</v>
          </cell>
          <cell r="D2076">
            <v>-0.30411806702613831</v>
          </cell>
        </row>
        <row r="2077">
          <cell r="A2077" t="str">
            <v>PER</v>
          </cell>
          <cell r="B2077">
            <v>2012</v>
          </cell>
          <cell r="C2077" t="str">
            <v>prod_for_ind</v>
          </cell>
          <cell r="D2077">
            <v>-1.19201135635376</v>
          </cell>
        </row>
        <row r="2078">
          <cell r="A2078" t="str">
            <v>PER</v>
          </cell>
          <cell r="B2078">
            <v>2012</v>
          </cell>
          <cell r="C2078" t="str">
            <v>prod_for_serv</v>
          </cell>
          <cell r="D2078">
            <v>0.50955289602279663</v>
          </cell>
        </row>
        <row r="2079">
          <cell r="A2079" t="str">
            <v>PER</v>
          </cell>
          <cell r="B2079">
            <v>2012</v>
          </cell>
          <cell r="C2079" t="str">
            <v>prod_inf_agri</v>
          </cell>
          <cell r="D2079">
            <v>0.44854095578193659</v>
          </cell>
        </row>
        <row r="2080">
          <cell r="A2080" t="str">
            <v>PER</v>
          </cell>
          <cell r="B2080">
            <v>2012</v>
          </cell>
          <cell r="C2080" t="str">
            <v>prod_inf_ind</v>
          </cell>
          <cell r="D2080">
            <v>-0.39991199970245361</v>
          </cell>
        </row>
        <row r="2081">
          <cell r="A2081" t="str">
            <v>PER</v>
          </cell>
          <cell r="B2081">
            <v>2012</v>
          </cell>
          <cell r="C2081" t="str">
            <v>prod_inf_serv</v>
          </cell>
          <cell r="D2081">
            <v>1.2397491931915281</v>
          </cell>
        </row>
        <row r="2082">
          <cell r="A2082" t="str">
            <v>PER</v>
          </cell>
          <cell r="B2082">
            <v>2013</v>
          </cell>
          <cell r="C2082" t="str">
            <v>gdp_activity</v>
          </cell>
          <cell r="D2082">
            <v>0.20934037864208219</v>
          </cell>
        </row>
        <row r="2083">
          <cell r="A2083" t="str">
            <v>PER</v>
          </cell>
          <cell r="B2083">
            <v>2013</v>
          </cell>
          <cell r="C2083" t="str">
            <v>gdp_for_agri</v>
          </cell>
          <cell r="D2083">
            <v>3.357707262039185</v>
          </cell>
        </row>
        <row r="2084">
          <cell r="A2084" t="str">
            <v>PER</v>
          </cell>
          <cell r="B2084">
            <v>2013</v>
          </cell>
          <cell r="C2084" t="str">
            <v>gdp_for_ind</v>
          </cell>
          <cell r="D2084">
            <v>0.4395330548286438</v>
          </cell>
        </row>
        <row r="2085">
          <cell r="A2085" t="str">
            <v>PER</v>
          </cell>
          <cell r="B2085">
            <v>2013</v>
          </cell>
          <cell r="C2085" t="str">
            <v>gdp_for_serv</v>
          </cell>
          <cell r="D2085">
            <v>0.79481947422027588</v>
          </cell>
        </row>
        <row r="2086">
          <cell r="A2086" t="str">
            <v>PER</v>
          </cell>
          <cell r="B2086">
            <v>2013</v>
          </cell>
          <cell r="C2086" t="str">
            <v>gdp_inf_agri</v>
          </cell>
          <cell r="D2086">
            <v>-0.11052922159433359</v>
          </cell>
        </row>
        <row r="2087">
          <cell r="A2087" t="str">
            <v>PER</v>
          </cell>
          <cell r="B2087">
            <v>2013</v>
          </cell>
          <cell r="C2087" t="str">
            <v>gdp_inf_ind</v>
          </cell>
          <cell r="D2087">
            <v>1.5676636248826981E-2</v>
          </cell>
        </row>
        <row r="2088">
          <cell r="A2088" t="str">
            <v>PER</v>
          </cell>
          <cell r="B2088">
            <v>2013</v>
          </cell>
          <cell r="C2088" t="str">
            <v>gdp_inf_serv</v>
          </cell>
          <cell r="D2088">
            <v>5.2476488053798682E-2</v>
          </cell>
        </row>
        <row r="2089">
          <cell r="A2089" t="str">
            <v>PER</v>
          </cell>
          <cell r="B2089">
            <v>2013</v>
          </cell>
          <cell r="C2089" t="str">
            <v>prod_for_agri</v>
          </cell>
          <cell r="D2089">
            <v>2.46330714225769</v>
          </cell>
        </row>
        <row r="2090">
          <cell r="A2090" t="str">
            <v>PER</v>
          </cell>
          <cell r="B2090">
            <v>2013</v>
          </cell>
          <cell r="C2090" t="str">
            <v>prod_for_ind</v>
          </cell>
          <cell r="D2090">
            <v>0.52983999252319336</v>
          </cell>
        </row>
        <row r="2091">
          <cell r="A2091" t="str">
            <v>PER</v>
          </cell>
          <cell r="B2091">
            <v>2013</v>
          </cell>
          <cell r="C2091" t="str">
            <v>prod_for_serv</v>
          </cell>
          <cell r="D2091">
            <v>-0.1009717583656311</v>
          </cell>
        </row>
        <row r="2092">
          <cell r="A2092" t="str">
            <v>PER</v>
          </cell>
          <cell r="B2092">
            <v>2013</v>
          </cell>
          <cell r="C2092" t="str">
            <v>prod_inf_agri</v>
          </cell>
          <cell r="D2092">
            <v>-0.94708579778671265</v>
          </cell>
        </row>
        <row r="2093">
          <cell r="A2093" t="str">
            <v>PER</v>
          </cell>
          <cell r="B2093">
            <v>2013</v>
          </cell>
          <cell r="C2093" t="str">
            <v>prod_inf_ind</v>
          </cell>
          <cell r="D2093">
            <v>0.93831241130828857</v>
          </cell>
        </row>
        <row r="2094">
          <cell r="A2094" t="str">
            <v>PER</v>
          </cell>
          <cell r="B2094">
            <v>2013</v>
          </cell>
          <cell r="C2094" t="str">
            <v>prod_inf_serv</v>
          </cell>
          <cell r="D2094">
            <v>0.25575253367424011</v>
          </cell>
        </row>
        <row r="2095">
          <cell r="A2095" t="str">
            <v>PER</v>
          </cell>
          <cell r="B2095">
            <v>2014</v>
          </cell>
          <cell r="C2095" t="str">
            <v>gdp_activity</v>
          </cell>
          <cell r="D2095">
            <v>6.3962429761886597E-2</v>
          </cell>
        </row>
        <row r="2096">
          <cell r="A2096" t="str">
            <v>PER</v>
          </cell>
          <cell r="B2096">
            <v>2014</v>
          </cell>
          <cell r="C2096" t="str">
            <v>gdp_for_agri</v>
          </cell>
          <cell r="D2096">
            <v>-6.4257025718688956</v>
          </cell>
        </row>
        <row r="2097">
          <cell r="A2097" t="str">
            <v>PER</v>
          </cell>
          <cell r="B2097">
            <v>2014</v>
          </cell>
          <cell r="C2097" t="str">
            <v>gdp_for_ind</v>
          </cell>
          <cell r="D2097">
            <v>-4.279118537902832</v>
          </cell>
        </row>
        <row r="2098">
          <cell r="A2098" t="str">
            <v>PER</v>
          </cell>
          <cell r="B2098">
            <v>2014</v>
          </cell>
          <cell r="C2098" t="str">
            <v>gdp_for_serv</v>
          </cell>
          <cell r="D2098">
            <v>0.96177148818969727</v>
          </cell>
        </row>
        <row r="2099">
          <cell r="A2099" t="str">
            <v>PER</v>
          </cell>
          <cell r="B2099">
            <v>2014</v>
          </cell>
          <cell r="C2099" t="str">
            <v>gdp_inf_agri</v>
          </cell>
          <cell r="D2099">
            <v>-2.2690098285675049</v>
          </cell>
        </row>
        <row r="2100">
          <cell r="A2100" t="str">
            <v>PER</v>
          </cell>
          <cell r="B2100">
            <v>2014</v>
          </cell>
          <cell r="C2100" t="str">
            <v>gdp_inf_ind</v>
          </cell>
          <cell r="D2100">
            <v>11.260966300964361</v>
          </cell>
        </row>
        <row r="2101">
          <cell r="A2101" t="str">
            <v>PER</v>
          </cell>
          <cell r="B2101">
            <v>2014</v>
          </cell>
          <cell r="C2101" t="str">
            <v>gdp_inf_serv</v>
          </cell>
          <cell r="D2101">
            <v>-0.32600584626197809</v>
          </cell>
        </row>
        <row r="2102">
          <cell r="A2102" t="str">
            <v>PER</v>
          </cell>
          <cell r="B2102">
            <v>2014</v>
          </cell>
          <cell r="C2102" t="str">
            <v>prod_for_agri</v>
          </cell>
          <cell r="D2102">
            <v>-0.63291412591934204</v>
          </cell>
        </row>
        <row r="2103">
          <cell r="A2103" t="str">
            <v>PER</v>
          </cell>
          <cell r="B2103">
            <v>2014</v>
          </cell>
          <cell r="C2103" t="str">
            <v>prod_for_ind</v>
          </cell>
          <cell r="D2103">
            <v>-2.4068868160247798</v>
          </cell>
        </row>
        <row r="2104">
          <cell r="A2104" t="str">
            <v>PER</v>
          </cell>
          <cell r="B2104">
            <v>2014</v>
          </cell>
          <cell r="C2104" t="str">
            <v>prod_for_serv</v>
          </cell>
          <cell r="D2104">
            <v>0.59922647476196289</v>
          </cell>
        </row>
        <row r="2105">
          <cell r="A2105" t="str">
            <v>PER</v>
          </cell>
          <cell r="B2105">
            <v>2014</v>
          </cell>
          <cell r="C2105" t="str">
            <v>prod_inf_agri</v>
          </cell>
          <cell r="D2105">
            <v>0.75998145341873169</v>
          </cell>
        </row>
        <row r="2106">
          <cell r="A2106" t="str">
            <v>PER</v>
          </cell>
          <cell r="B2106">
            <v>2014</v>
          </cell>
          <cell r="C2106" t="str">
            <v>prod_inf_ind</v>
          </cell>
          <cell r="D2106">
            <v>2.1582145690917969</v>
          </cell>
        </row>
        <row r="2107">
          <cell r="A2107" t="str">
            <v>PER</v>
          </cell>
          <cell r="B2107">
            <v>2014</v>
          </cell>
          <cell r="C2107" t="str">
            <v>prod_inf_serv</v>
          </cell>
          <cell r="D2107">
            <v>-0.84486496448516846</v>
          </cell>
        </row>
        <row r="2108">
          <cell r="A2108" t="str">
            <v>PER</v>
          </cell>
          <cell r="B2108">
            <v>2015</v>
          </cell>
          <cell r="C2108" t="str">
            <v>gdp_activity</v>
          </cell>
          <cell r="D2108">
            <v>-0.43213373422622681</v>
          </cell>
        </row>
        <row r="2109">
          <cell r="A2109" t="str">
            <v>PER</v>
          </cell>
          <cell r="B2109">
            <v>2015</v>
          </cell>
          <cell r="C2109" t="str">
            <v>gdp_for_agri</v>
          </cell>
          <cell r="D2109">
            <v>0.98869055509567261</v>
          </cell>
        </row>
        <row r="2110">
          <cell r="A2110" t="str">
            <v>PER</v>
          </cell>
          <cell r="B2110">
            <v>2015</v>
          </cell>
          <cell r="C2110" t="str">
            <v>gdp_for_ind</v>
          </cell>
          <cell r="D2110">
            <v>-1.555771946907043</v>
          </cell>
        </row>
        <row r="2111">
          <cell r="A2111" t="str">
            <v>PER</v>
          </cell>
          <cell r="B2111">
            <v>2015</v>
          </cell>
          <cell r="C2111" t="str">
            <v>gdp_for_serv</v>
          </cell>
          <cell r="D2111">
            <v>-0.6103813648223877</v>
          </cell>
        </row>
        <row r="2112">
          <cell r="A2112" t="str">
            <v>PER</v>
          </cell>
          <cell r="B2112">
            <v>2015</v>
          </cell>
          <cell r="C2112" t="str">
            <v>gdp_inf_agri</v>
          </cell>
          <cell r="D2112">
            <v>8.9080028235912323E-2</v>
          </cell>
        </row>
        <row r="2113">
          <cell r="A2113" t="str">
            <v>PER</v>
          </cell>
          <cell r="B2113">
            <v>2015</v>
          </cell>
          <cell r="C2113" t="str">
            <v>gdp_inf_ind</v>
          </cell>
          <cell r="D2113">
            <v>-0.18963873386383059</v>
          </cell>
        </row>
        <row r="2114">
          <cell r="A2114" t="str">
            <v>PER</v>
          </cell>
          <cell r="B2114">
            <v>2015</v>
          </cell>
          <cell r="C2114" t="str">
            <v>gdp_inf_serv</v>
          </cell>
          <cell r="D2114">
            <v>-0.44002336263656622</v>
          </cell>
        </row>
        <row r="2115">
          <cell r="A2115" t="str">
            <v>PER</v>
          </cell>
          <cell r="B2115">
            <v>2015</v>
          </cell>
          <cell r="C2115" t="str">
            <v>prod_for_agri</v>
          </cell>
          <cell r="D2115">
            <v>-2.6403777599334721</v>
          </cell>
        </row>
        <row r="2116">
          <cell r="A2116" t="str">
            <v>PER</v>
          </cell>
          <cell r="B2116">
            <v>2015</v>
          </cell>
          <cell r="C2116" t="str">
            <v>prod_for_ind</v>
          </cell>
          <cell r="D2116">
            <v>2.782835721969604</v>
          </cell>
        </row>
        <row r="2117">
          <cell r="A2117" t="str">
            <v>PER</v>
          </cell>
          <cell r="B2117">
            <v>2015</v>
          </cell>
          <cell r="C2117" t="str">
            <v>prod_for_serv</v>
          </cell>
          <cell r="D2117">
            <v>-5.564768984913826E-2</v>
          </cell>
        </row>
        <row r="2118">
          <cell r="A2118" t="str">
            <v>PER</v>
          </cell>
          <cell r="B2118">
            <v>2015</v>
          </cell>
          <cell r="C2118" t="str">
            <v>prod_inf_agri</v>
          </cell>
          <cell r="D2118">
            <v>1.964554071426392</v>
          </cell>
        </row>
        <row r="2119">
          <cell r="A2119" t="str">
            <v>PER</v>
          </cell>
          <cell r="B2119">
            <v>2015</v>
          </cell>
          <cell r="C2119" t="str">
            <v>prod_inf_ind</v>
          </cell>
          <cell r="D2119">
            <v>1.6219712495803831</v>
          </cell>
        </row>
        <row r="2120">
          <cell r="A2120" t="str">
            <v>PER</v>
          </cell>
          <cell r="B2120">
            <v>2015</v>
          </cell>
          <cell r="C2120" t="str">
            <v>prod_inf_serv</v>
          </cell>
          <cell r="D2120">
            <v>1.138078927993774</v>
          </cell>
        </row>
        <row r="2121">
          <cell r="A2121" t="str">
            <v>PER</v>
          </cell>
          <cell r="B2121">
            <v>2016</v>
          </cell>
          <cell r="C2121" t="str">
            <v>gdp_activity</v>
          </cell>
          <cell r="D2121">
            <v>0.67117387056350708</v>
          </cell>
        </row>
        <row r="2122">
          <cell r="A2122" t="str">
            <v>PER</v>
          </cell>
          <cell r="B2122">
            <v>2016</v>
          </cell>
          <cell r="C2122" t="str">
            <v>gdp_for_agri</v>
          </cell>
          <cell r="D2122">
            <v>4.5911016464233398</v>
          </cell>
        </row>
        <row r="2123">
          <cell r="A2123" t="str">
            <v>PER</v>
          </cell>
          <cell r="B2123">
            <v>2016</v>
          </cell>
          <cell r="C2123" t="str">
            <v>gdp_for_ind</v>
          </cell>
          <cell r="D2123">
            <v>-0.83999109268188477</v>
          </cell>
        </row>
        <row r="2124">
          <cell r="A2124" t="str">
            <v>PER</v>
          </cell>
          <cell r="B2124">
            <v>2016</v>
          </cell>
          <cell r="C2124" t="str">
            <v>gdp_for_serv</v>
          </cell>
          <cell r="D2124">
            <v>0.68706423044204712</v>
          </cell>
        </row>
        <row r="2125">
          <cell r="A2125" t="str">
            <v>PER</v>
          </cell>
          <cell r="B2125">
            <v>2016</v>
          </cell>
          <cell r="C2125" t="str">
            <v>gdp_inf_agri</v>
          </cell>
          <cell r="D2125">
            <v>1.042372584342957</v>
          </cell>
        </row>
        <row r="2126">
          <cell r="A2126" t="str">
            <v>PER</v>
          </cell>
          <cell r="B2126">
            <v>2016</v>
          </cell>
          <cell r="C2126" t="str">
            <v>gdp_inf_ind</v>
          </cell>
          <cell r="D2126">
            <v>0.25239184498786932</v>
          </cell>
        </row>
        <row r="2127">
          <cell r="A2127" t="str">
            <v>PER</v>
          </cell>
          <cell r="B2127">
            <v>2016</v>
          </cell>
          <cell r="C2127" t="str">
            <v>gdp_inf_serv</v>
          </cell>
          <cell r="D2127">
            <v>0.64495950937271118</v>
          </cell>
        </row>
        <row r="2128">
          <cell r="A2128" t="str">
            <v>PER</v>
          </cell>
          <cell r="B2128">
            <v>2016</v>
          </cell>
          <cell r="C2128" t="str">
            <v>prod_for_agri</v>
          </cell>
          <cell r="D2128">
            <v>-14.84474086761475</v>
          </cell>
        </row>
        <row r="2129">
          <cell r="A2129" t="str">
            <v>PER</v>
          </cell>
          <cell r="B2129">
            <v>2016</v>
          </cell>
          <cell r="C2129" t="str">
            <v>prod_for_ind</v>
          </cell>
          <cell r="D2129">
            <v>-0.63585865497589111</v>
          </cell>
        </row>
        <row r="2130">
          <cell r="A2130" t="str">
            <v>PER</v>
          </cell>
          <cell r="B2130">
            <v>2016</v>
          </cell>
          <cell r="C2130" t="str">
            <v>prod_for_serv</v>
          </cell>
          <cell r="D2130">
            <v>5.034635066986084</v>
          </cell>
        </row>
        <row r="2131">
          <cell r="A2131" t="str">
            <v>PER</v>
          </cell>
          <cell r="B2131">
            <v>2016</v>
          </cell>
          <cell r="C2131" t="str">
            <v>prod_inf_agri</v>
          </cell>
          <cell r="D2131">
            <v>-0.51195645332336426</v>
          </cell>
        </row>
        <row r="2132">
          <cell r="A2132" t="str">
            <v>PER</v>
          </cell>
          <cell r="B2132">
            <v>2016</v>
          </cell>
          <cell r="C2132" t="str">
            <v>prod_inf_ind</v>
          </cell>
          <cell r="D2132">
            <v>-2.0786993205547329E-2</v>
          </cell>
        </row>
        <row r="2133">
          <cell r="A2133" t="str">
            <v>PER</v>
          </cell>
          <cell r="B2133">
            <v>2016</v>
          </cell>
          <cell r="C2133" t="str">
            <v>prod_inf_serv</v>
          </cell>
          <cell r="D2133">
            <v>0.43375328183174128</v>
          </cell>
        </row>
        <row r="2134">
          <cell r="A2134" t="str">
            <v>PER</v>
          </cell>
          <cell r="B2134">
            <v>2017</v>
          </cell>
          <cell r="C2134" t="str">
            <v>gdp_activity</v>
          </cell>
          <cell r="D2134">
            <v>0.30406254529952997</v>
          </cell>
        </row>
        <row r="2135">
          <cell r="A2135" t="str">
            <v>PER</v>
          </cell>
          <cell r="B2135">
            <v>2017</v>
          </cell>
          <cell r="C2135" t="str">
            <v>gdp_for_agri</v>
          </cell>
          <cell r="D2135">
            <v>-1.5056755542755129</v>
          </cell>
        </row>
        <row r="2136">
          <cell r="A2136" t="str">
            <v>PER</v>
          </cell>
          <cell r="B2136">
            <v>2017</v>
          </cell>
          <cell r="C2136" t="str">
            <v>gdp_for_ind</v>
          </cell>
          <cell r="D2136">
            <v>-0.4088192880153656</v>
          </cell>
        </row>
        <row r="2137">
          <cell r="A2137" t="str">
            <v>PER</v>
          </cell>
          <cell r="B2137">
            <v>2017</v>
          </cell>
          <cell r="C2137" t="str">
            <v>gdp_for_serv</v>
          </cell>
          <cell r="D2137">
            <v>0.1660223454236984</v>
          </cell>
        </row>
        <row r="2138">
          <cell r="A2138" t="str">
            <v>PER</v>
          </cell>
          <cell r="B2138">
            <v>2017</v>
          </cell>
          <cell r="C2138" t="str">
            <v>gdp_inf_agri</v>
          </cell>
          <cell r="D2138">
            <v>-0.53512769937515259</v>
          </cell>
        </row>
        <row r="2139">
          <cell r="A2139" t="str">
            <v>PER</v>
          </cell>
          <cell r="B2139">
            <v>2017</v>
          </cell>
          <cell r="C2139" t="str">
            <v>gdp_inf_ind</v>
          </cell>
          <cell r="D2139">
            <v>-1.485346674919128</v>
          </cell>
        </row>
        <row r="2140">
          <cell r="A2140" t="str">
            <v>PER</v>
          </cell>
          <cell r="B2140">
            <v>2017</v>
          </cell>
          <cell r="C2140" t="str">
            <v>gdp_inf_serv</v>
          </cell>
          <cell r="D2140">
            <v>1.4095913171768191</v>
          </cell>
        </row>
        <row r="2141">
          <cell r="A2141" t="str">
            <v>PER</v>
          </cell>
          <cell r="B2141">
            <v>2017</v>
          </cell>
          <cell r="C2141" t="str">
            <v>prod_for_agri</v>
          </cell>
          <cell r="D2141">
            <v>-4.2650911957025528E-2</v>
          </cell>
        </row>
        <row r="2142">
          <cell r="A2142" t="str">
            <v>PER</v>
          </cell>
          <cell r="B2142">
            <v>2017</v>
          </cell>
          <cell r="C2142" t="str">
            <v>prod_for_ind</v>
          </cell>
          <cell r="D2142">
            <v>-9.2772699892520905E-2</v>
          </cell>
        </row>
        <row r="2143">
          <cell r="A2143" t="str">
            <v>PER</v>
          </cell>
          <cell r="B2143">
            <v>2017</v>
          </cell>
          <cell r="C2143" t="str">
            <v>prod_for_serv</v>
          </cell>
          <cell r="D2143">
            <v>220.71156311035159</v>
          </cell>
        </row>
        <row r="2144">
          <cell r="A2144" t="str">
            <v>PER</v>
          </cell>
          <cell r="B2144">
            <v>2017</v>
          </cell>
          <cell r="C2144" t="str">
            <v>prod_inf_agri</v>
          </cell>
          <cell r="D2144">
            <v>-0.61738508939743042</v>
          </cell>
        </row>
        <row r="2145">
          <cell r="A2145" t="str">
            <v>PER</v>
          </cell>
          <cell r="B2145">
            <v>2017</v>
          </cell>
          <cell r="C2145" t="str">
            <v>prod_inf_ind</v>
          </cell>
          <cell r="D2145">
            <v>-1.2654737234115601</v>
          </cell>
        </row>
        <row r="2146">
          <cell r="A2146" t="str">
            <v>PER</v>
          </cell>
          <cell r="B2146">
            <v>2017</v>
          </cell>
          <cell r="C2146" t="str">
            <v>prod_inf_serv</v>
          </cell>
          <cell r="D2146">
            <v>166.8595275878906</v>
          </cell>
        </row>
        <row r="2147">
          <cell r="A2147" t="str">
            <v>PER</v>
          </cell>
          <cell r="B2147">
            <v>2018</v>
          </cell>
          <cell r="C2147" t="str">
            <v>gdp_activity</v>
          </cell>
          <cell r="D2147">
            <v>0.20609532296657559</v>
          </cell>
        </row>
        <row r="2148">
          <cell r="A2148" t="str">
            <v>PER</v>
          </cell>
          <cell r="B2148">
            <v>2018</v>
          </cell>
          <cell r="C2148" t="str">
            <v>gdp_for_agri</v>
          </cell>
          <cell r="D2148">
            <v>0.51410001516342163</v>
          </cell>
        </row>
        <row r="2149">
          <cell r="A2149" t="str">
            <v>PER</v>
          </cell>
          <cell r="B2149">
            <v>2018</v>
          </cell>
          <cell r="C2149" t="str">
            <v>gdp_for_ind</v>
          </cell>
          <cell r="D2149">
            <v>0.1322750449180603</v>
          </cell>
        </row>
        <row r="2150">
          <cell r="A2150" t="str">
            <v>PER</v>
          </cell>
          <cell r="B2150">
            <v>2018</v>
          </cell>
          <cell r="C2150" t="str">
            <v>gdp_for_serv</v>
          </cell>
          <cell r="D2150">
            <v>-8.3810597658157349E-2</v>
          </cell>
        </row>
        <row r="2151">
          <cell r="A2151" t="str">
            <v>PER</v>
          </cell>
          <cell r="B2151">
            <v>2018</v>
          </cell>
          <cell r="C2151" t="str">
            <v>gdp_inf_agri</v>
          </cell>
          <cell r="D2151">
            <v>3.7041284143924713E-2</v>
          </cell>
        </row>
        <row r="2152">
          <cell r="A2152" t="str">
            <v>PER</v>
          </cell>
          <cell r="B2152">
            <v>2018</v>
          </cell>
          <cell r="C2152" t="str">
            <v>gdp_inf_ind</v>
          </cell>
          <cell r="D2152">
            <v>-0.27128806710243231</v>
          </cell>
        </row>
        <row r="2153">
          <cell r="A2153" t="str">
            <v>PER</v>
          </cell>
          <cell r="B2153">
            <v>2018</v>
          </cell>
          <cell r="C2153" t="str">
            <v>gdp_inf_serv</v>
          </cell>
          <cell r="D2153">
            <v>0.60987025499343872</v>
          </cell>
        </row>
        <row r="2154">
          <cell r="A2154" t="str">
            <v>PER</v>
          </cell>
          <cell r="B2154">
            <v>2018</v>
          </cell>
          <cell r="C2154" t="str">
            <v>prod_for_agri</v>
          </cell>
          <cell r="D2154">
            <v>0.79234713315963745</v>
          </cell>
        </row>
        <row r="2155">
          <cell r="A2155" t="str">
            <v>PER</v>
          </cell>
          <cell r="B2155">
            <v>2018</v>
          </cell>
          <cell r="C2155" t="str">
            <v>prod_for_ind</v>
          </cell>
          <cell r="D2155">
            <v>0.1228786930441856</v>
          </cell>
        </row>
        <row r="2156">
          <cell r="A2156" t="str">
            <v>PER</v>
          </cell>
          <cell r="B2156">
            <v>2018</v>
          </cell>
          <cell r="C2156" t="str">
            <v>prod_for_serv</v>
          </cell>
          <cell r="D2156">
            <v>0.40872302651405329</v>
          </cell>
        </row>
        <row r="2157">
          <cell r="A2157" t="str">
            <v>PER</v>
          </cell>
          <cell r="B2157">
            <v>2018</v>
          </cell>
          <cell r="C2157" t="str">
            <v>prod_inf_agri</v>
          </cell>
          <cell r="D2157">
            <v>1.091278672218323</v>
          </cell>
        </row>
        <row r="2158">
          <cell r="A2158" t="str">
            <v>PER</v>
          </cell>
          <cell r="B2158">
            <v>2018</v>
          </cell>
          <cell r="C2158" t="str">
            <v>prod_inf_ind</v>
          </cell>
          <cell r="D2158">
            <v>-8.11939537525177E-2</v>
          </cell>
        </row>
        <row r="2159">
          <cell r="A2159" t="str">
            <v>PER</v>
          </cell>
          <cell r="B2159">
            <v>2018</v>
          </cell>
          <cell r="C2159" t="str">
            <v>prod_inf_serv</v>
          </cell>
          <cell r="D2159">
            <v>0.82971668243408203</v>
          </cell>
        </row>
        <row r="2160">
          <cell r="A2160" t="str">
            <v>PER</v>
          </cell>
          <cell r="B2160">
            <v>2019</v>
          </cell>
          <cell r="C2160" t="str">
            <v>gdp_activity</v>
          </cell>
          <cell r="D2160">
            <v>0.51080787181854248</v>
          </cell>
        </row>
        <row r="2161">
          <cell r="A2161" t="str">
            <v>PER</v>
          </cell>
          <cell r="B2161">
            <v>2019</v>
          </cell>
          <cell r="C2161" t="str">
            <v>gdp_for_agri</v>
          </cell>
          <cell r="D2161">
            <v>7.3624873161315918</v>
          </cell>
        </row>
        <row r="2162">
          <cell r="A2162" t="str">
            <v>PER</v>
          </cell>
          <cell r="B2162">
            <v>2019</v>
          </cell>
          <cell r="C2162" t="str">
            <v>gdp_for_ind</v>
          </cell>
          <cell r="D2162">
            <v>65.915451049804688</v>
          </cell>
        </row>
        <row r="2163">
          <cell r="A2163" t="str">
            <v>PER</v>
          </cell>
          <cell r="B2163">
            <v>2019</v>
          </cell>
          <cell r="C2163" t="str">
            <v>gdp_for_serv</v>
          </cell>
          <cell r="D2163">
            <v>0.72600442171096802</v>
          </cell>
        </row>
        <row r="2164">
          <cell r="A2164" t="str">
            <v>PER</v>
          </cell>
          <cell r="B2164">
            <v>2019</v>
          </cell>
          <cell r="C2164" t="str">
            <v>gdp_inf_agri</v>
          </cell>
          <cell r="D2164">
            <v>-0.74387860298156738</v>
          </cell>
        </row>
        <row r="2165">
          <cell r="A2165" t="str">
            <v>PER</v>
          </cell>
          <cell r="B2165">
            <v>2019</v>
          </cell>
          <cell r="C2165" t="str">
            <v>gdp_inf_ind</v>
          </cell>
          <cell r="D2165">
            <v>-44.073219299316413</v>
          </cell>
        </row>
        <row r="2166">
          <cell r="A2166" t="str">
            <v>PER</v>
          </cell>
          <cell r="B2166">
            <v>2019</v>
          </cell>
          <cell r="C2166" t="str">
            <v>gdp_inf_serv</v>
          </cell>
          <cell r="D2166">
            <v>0.49134191870689392</v>
          </cell>
        </row>
        <row r="2167">
          <cell r="A2167" t="str">
            <v>PER</v>
          </cell>
          <cell r="B2167">
            <v>2019</v>
          </cell>
          <cell r="C2167" t="str">
            <v>prod_for_agri</v>
          </cell>
          <cell r="D2167">
            <v>-1.861349821090698</v>
          </cell>
        </row>
        <row r="2168">
          <cell r="A2168" t="str">
            <v>PER</v>
          </cell>
          <cell r="B2168">
            <v>2019</v>
          </cell>
          <cell r="C2168" t="str">
            <v>prod_for_ind</v>
          </cell>
          <cell r="D2168">
            <v>5.8583197593688956</v>
          </cell>
        </row>
        <row r="2169">
          <cell r="A2169" t="str">
            <v>PER</v>
          </cell>
          <cell r="B2169">
            <v>2019</v>
          </cell>
          <cell r="C2169" t="str">
            <v>prod_for_serv</v>
          </cell>
          <cell r="D2169">
            <v>1.6200892925262449</v>
          </cell>
        </row>
        <row r="2170">
          <cell r="A2170" t="str">
            <v>PER</v>
          </cell>
          <cell r="B2170">
            <v>2019</v>
          </cell>
          <cell r="C2170" t="str">
            <v>prod_inf_agri</v>
          </cell>
          <cell r="D2170">
            <v>-0.53021550178527832</v>
          </cell>
        </row>
        <row r="2171">
          <cell r="A2171" t="str">
            <v>PER</v>
          </cell>
          <cell r="B2171">
            <v>2019</v>
          </cell>
          <cell r="C2171" t="str">
            <v>prod_inf_ind</v>
          </cell>
          <cell r="D2171">
            <v>-3.511469841003418</v>
          </cell>
        </row>
        <row r="2172">
          <cell r="A2172" t="str">
            <v>PER</v>
          </cell>
          <cell r="B2172">
            <v>2019</v>
          </cell>
          <cell r="C2172" t="str">
            <v>prod_inf_serv</v>
          </cell>
          <cell r="D2172">
            <v>-0.83684271574020386</v>
          </cell>
        </row>
        <row r="2173">
          <cell r="A2173" t="str">
            <v>PER</v>
          </cell>
          <cell r="B2173">
            <v>2020</v>
          </cell>
          <cell r="C2173" t="str">
            <v>gdp_activity</v>
          </cell>
          <cell r="D2173">
            <v>0.86759263277053833</v>
          </cell>
        </row>
        <row r="2174">
          <cell r="A2174" t="str">
            <v>PER</v>
          </cell>
          <cell r="B2174">
            <v>2020</v>
          </cell>
          <cell r="C2174" t="str">
            <v>gdp_for_agri</v>
          </cell>
          <cell r="D2174">
            <v>-36.977245330810547</v>
          </cell>
        </row>
        <row r="2175">
          <cell r="A2175" t="str">
            <v>PER</v>
          </cell>
          <cell r="B2175">
            <v>2020</v>
          </cell>
          <cell r="C2175" t="str">
            <v>gdp_for_ind</v>
          </cell>
          <cell r="D2175">
            <v>3.5468177795410161</v>
          </cell>
        </row>
        <row r="2176">
          <cell r="A2176" t="str">
            <v>PER</v>
          </cell>
          <cell r="B2176">
            <v>2020</v>
          </cell>
          <cell r="C2176" t="str">
            <v>gdp_for_serv</v>
          </cell>
          <cell r="D2176">
            <v>4.6905460357666016</v>
          </cell>
        </row>
        <row r="2177">
          <cell r="A2177" t="str">
            <v>PER</v>
          </cell>
          <cell r="B2177">
            <v>2020</v>
          </cell>
          <cell r="C2177" t="str">
            <v>gdp_inf_agri</v>
          </cell>
          <cell r="D2177">
            <v>-47.9229736328125</v>
          </cell>
        </row>
        <row r="2178">
          <cell r="A2178" t="str">
            <v>PER</v>
          </cell>
          <cell r="B2178">
            <v>2020</v>
          </cell>
          <cell r="C2178" t="str">
            <v>gdp_inf_ind</v>
          </cell>
          <cell r="D2178">
            <v>3.4112176895141602</v>
          </cell>
        </row>
        <row r="2179">
          <cell r="A2179" t="str">
            <v>PER</v>
          </cell>
          <cell r="B2179">
            <v>2020</v>
          </cell>
          <cell r="C2179" t="str">
            <v>gdp_inf_serv</v>
          </cell>
          <cell r="D2179">
            <v>4.5815834999084473</v>
          </cell>
        </row>
        <row r="2180">
          <cell r="A2180" t="str">
            <v>PER</v>
          </cell>
          <cell r="B2180">
            <v>2020</v>
          </cell>
          <cell r="C2180" t="str">
            <v>prod_for_agri</v>
          </cell>
          <cell r="D2180">
            <v>-2.4654051288962361E-2</v>
          </cell>
        </row>
        <row r="2181">
          <cell r="A2181" t="str">
            <v>PER</v>
          </cell>
          <cell r="B2181">
            <v>2020</v>
          </cell>
          <cell r="C2181" t="str">
            <v>prod_for_ind</v>
          </cell>
          <cell r="D2181">
            <v>-6.6043466329574585E-2</v>
          </cell>
        </row>
        <row r="2182">
          <cell r="A2182" t="str">
            <v>PER</v>
          </cell>
          <cell r="B2182">
            <v>2020</v>
          </cell>
          <cell r="C2182" t="str">
            <v>prod_for_serv</v>
          </cell>
          <cell r="D2182">
            <v>-0.10784087330102921</v>
          </cell>
        </row>
        <row r="2183">
          <cell r="A2183" t="str">
            <v>PER</v>
          </cell>
          <cell r="B2183">
            <v>2020</v>
          </cell>
          <cell r="C2183" t="str">
            <v>prod_inf_agri</v>
          </cell>
          <cell r="D2183">
            <v>5.6909536942839622E-3</v>
          </cell>
        </row>
        <row r="2184">
          <cell r="A2184" t="str">
            <v>PER</v>
          </cell>
          <cell r="B2184">
            <v>2020</v>
          </cell>
          <cell r="C2184" t="str">
            <v>prod_inf_ind</v>
          </cell>
          <cell r="D2184">
            <v>-0.14198069274425509</v>
          </cell>
        </row>
        <row r="2185">
          <cell r="A2185" t="str">
            <v>PER</v>
          </cell>
          <cell r="B2185">
            <v>2020</v>
          </cell>
          <cell r="C2185" t="str">
            <v>prod_inf_serv</v>
          </cell>
          <cell r="D2185">
            <v>-6.3668929040431976E-2</v>
          </cell>
        </row>
        <row r="2186">
          <cell r="A2186" t="str">
            <v>PER</v>
          </cell>
          <cell r="B2186">
            <v>2021</v>
          </cell>
          <cell r="C2186" t="str">
            <v>gdp_activity</v>
          </cell>
          <cell r="D2186">
            <v>0.84234505891799927</v>
          </cell>
        </row>
        <row r="2187">
          <cell r="A2187" t="str">
            <v>PER</v>
          </cell>
          <cell r="B2187">
            <v>2021</v>
          </cell>
          <cell r="C2187" t="str">
            <v>gdp_for_agri</v>
          </cell>
          <cell r="D2187">
            <v>15.99006175994873</v>
          </cell>
        </row>
        <row r="2188">
          <cell r="A2188" t="str">
            <v>PER</v>
          </cell>
          <cell r="B2188">
            <v>2021</v>
          </cell>
          <cell r="C2188" t="str">
            <v>gdp_for_ind</v>
          </cell>
          <cell r="D2188">
            <v>4.1276097297668457</v>
          </cell>
        </row>
        <row r="2189">
          <cell r="A2189" t="str">
            <v>PER</v>
          </cell>
          <cell r="B2189">
            <v>2021</v>
          </cell>
          <cell r="C2189" t="str">
            <v>gdp_for_serv</v>
          </cell>
          <cell r="D2189">
            <v>5.6553492546081543</v>
          </cell>
        </row>
        <row r="2190">
          <cell r="A2190" t="str">
            <v>PER</v>
          </cell>
          <cell r="B2190">
            <v>2021</v>
          </cell>
          <cell r="C2190" t="str">
            <v>gdp_inf_agri</v>
          </cell>
          <cell r="D2190">
            <v>19.497171401977539</v>
          </cell>
        </row>
        <row r="2191">
          <cell r="A2191" t="str">
            <v>PER</v>
          </cell>
          <cell r="B2191">
            <v>2021</v>
          </cell>
          <cell r="C2191" t="str">
            <v>gdp_inf_ind</v>
          </cell>
          <cell r="D2191">
            <v>4.9770503044128418</v>
          </cell>
        </row>
        <row r="2192">
          <cell r="A2192" t="str">
            <v>PER</v>
          </cell>
          <cell r="B2192">
            <v>2021</v>
          </cell>
          <cell r="C2192" t="str">
            <v>gdp_inf_serv</v>
          </cell>
          <cell r="D2192">
            <v>6.7439994812011719</v>
          </cell>
        </row>
        <row r="2193">
          <cell r="A2193" t="str">
            <v>PER</v>
          </cell>
          <cell r="B2193">
            <v>2021</v>
          </cell>
          <cell r="C2193" t="str">
            <v>prod_for_agri</v>
          </cell>
          <cell r="D2193">
            <v>-9.6238143742084503E-2</v>
          </cell>
        </row>
        <row r="2194">
          <cell r="A2194" t="str">
            <v>PER</v>
          </cell>
          <cell r="B2194">
            <v>2021</v>
          </cell>
          <cell r="C2194" t="str">
            <v>prod_for_ind</v>
          </cell>
          <cell r="D2194">
            <v>0.22694745659828189</v>
          </cell>
        </row>
        <row r="2195">
          <cell r="A2195" t="str">
            <v>PER</v>
          </cell>
          <cell r="B2195">
            <v>2021</v>
          </cell>
          <cell r="C2195" t="str">
            <v>prod_for_serv</v>
          </cell>
          <cell r="D2195">
            <v>4.6074997633695602E-2</v>
          </cell>
        </row>
        <row r="2196">
          <cell r="A2196" t="str">
            <v>PER</v>
          </cell>
          <cell r="B2196">
            <v>2021</v>
          </cell>
          <cell r="C2196" t="str">
            <v>prod_inf_agri</v>
          </cell>
          <cell r="D2196">
            <v>-7.6983503997325897E-2</v>
          </cell>
        </row>
        <row r="2197">
          <cell r="A2197" t="str">
            <v>PER</v>
          </cell>
          <cell r="B2197">
            <v>2021</v>
          </cell>
          <cell r="C2197" t="str">
            <v>prod_inf_ind</v>
          </cell>
          <cell r="D2197">
            <v>6.7038170993328094E-2</v>
          </cell>
        </row>
        <row r="2198">
          <cell r="A2198" t="str">
            <v>PER</v>
          </cell>
          <cell r="B2198">
            <v>2021</v>
          </cell>
          <cell r="C2198" t="str">
            <v>prod_inf_serv</v>
          </cell>
          <cell r="D2198">
            <v>0.27051010727882391</v>
          </cell>
        </row>
        <row r="2199">
          <cell r="A2199" t="str">
            <v>PER</v>
          </cell>
          <cell r="B2199">
            <v>2022</v>
          </cell>
          <cell r="C2199" t="str">
            <v>gdp_activity</v>
          </cell>
          <cell r="D2199">
            <v>0.70576059818267822</v>
          </cell>
        </row>
        <row r="2200">
          <cell r="A2200" t="str">
            <v>PER</v>
          </cell>
          <cell r="B2200">
            <v>2022</v>
          </cell>
          <cell r="C2200" t="str">
            <v>gdp_for_agri</v>
          </cell>
          <cell r="D2200">
            <v>-1.5040603876113889</v>
          </cell>
        </row>
        <row r="2201">
          <cell r="A2201" t="str">
            <v>PER</v>
          </cell>
          <cell r="B2201">
            <v>2022</v>
          </cell>
          <cell r="C2201" t="str">
            <v>gdp_for_ind</v>
          </cell>
          <cell r="D2201">
            <v>4.0564875602722168</v>
          </cell>
        </row>
        <row r="2202">
          <cell r="A2202" t="str">
            <v>PER</v>
          </cell>
          <cell r="B2202">
            <v>2022</v>
          </cell>
          <cell r="C2202" t="str">
            <v>gdp_for_serv</v>
          </cell>
          <cell r="D2202">
            <v>2.3493137359619141</v>
          </cell>
        </row>
        <row r="2203">
          <cell r="A2203" t="str">
            <v>PER</v>
          </cell>
          <cell r="B2203">
            <v>2022</v>
          </cell>
          <cell r="C2203" t="str">
            <v>gdp_inf_agri</v>
          </cell>
          <cell r="D2203">
            <v>-0.9047853946685791</v>
          </cell>
        </row>
        <row r="2204">
          <cell r="A2204" t="str">
            <v>PER</v>
          </cell>
          <cell r="B2204">
            <v>2022</v>
          </cell>
          <cell r="C2204" t="str">
            <v>gdp_inf_ind</v>
          </cell>
          <cell r="D2204">
            <v>8.7345428466796875</v>
          </cell>
        </row>
        <row r="2205">
          <cell r="A2205" t="str">
            <v>PER</v>
          </cell>
          <cell r="B2205">
            <v>2022</v>
          </cell>
          <cell r="C2205" t="str">
            <v>gdp_inf_serv</v>
          </cell>
          <cell r="D2205">
            <v>4.1842584609985352</v>
          </cell>
        </row>
        <row r="2206">
          <cell r="A2206" t="str">
            <v>PER</v>
          </cell>
          <cell r="B2206">
            <v>2022</v>
          </cell>
          <cell r="C2206" t="str">
            <v>prod_for_agri</v>
          </cell>
          <cell r="D2206">
            <v>1.465332508087158</v>
          </cell>
        </row>
        <row r="2207">
          <cell r="A2207" t="str">
            <v>PER</v>
          </cell>
          <cell r="B2207">
            <v>2022</v>
          </cell>
          <cell r="C2207" t="str">
            <v>prod_for_ind</v>
          </cell>
          <cell r="D2207">
            <v>-0.59590625762939453</v>
          </cell>
        </row>
        <row r="2208">
          <cell r="A2208" t="str">
            <v>PER</v>
          </cell>
          <cell r="B2208">
            <v>2022</v>
          </cell>
          <cell r="C2208" t="str">
            <v>prod_for_serv</v>
          </cell>
          <cell r="D2208">
            <v>0.43181228637695313</v>
          </cell>
        </row>
        <row r="2209">
          <cell r="A2209" t="str">
            <v>PER</v>
          </cell>
          <cell r="B2209">
            <v>2022</v>
          </cell>
          <cell r="C2209" t="str">
            <v>prod_inf_agri</v>
          </cell>
          <cell r="D2209">
            <v>0.11812380701303481</v>
          </cell>
        </row>
        <row r="2210">
          <cell r="A2210" t="str">
            <v>PER</v>
          </cell>
          <cell r="B2210">
            <v>2022</v>
          </cell>
          <cell r="C2210" t="str">
            <v>prod_inf_ind</v>
          </cell>
          <cell r="D2210">
            <v>-0.86968904733657837</v>
          </cell>
        </row>
        <row r="2211">
          <cell r="A2211" t="str">
            <v>PER</v>
          </cell>
          <cell r="B2211">
            <v>2022</v>
          </cell>
          <cell r="C2211" t="str">
            <v>prod_inf_serv</v>
          </cell>
          <cell r="D2211">
            <v>-0.83228713274002075</v>
          </cell>
        </row>
        <row r="2212">
          <cell r="A2212" t="str">
            <v>PER</v>
          </cell>
          <cell r="B2212">
            <v>2023</v>
          </cell>
          <cell r="C2212" t="str">
            <v>gdp_activity</v>
          </cell>
          <cell r="D2212">
            <v>-2.2623107433319092</v>
          </cell>
        </row>
        <row r="2213">
          <cell r="A2213" t="str">
            <v>PER</v>
          </cell>
          <cell r="B2213">
            <v>2023</v>
          </cell>
          <cell r="C2213" t="str">
            <v>gdp_for_agri</v>
          </cell>
          <cell r="D2213">
            <v>-1.055652260780334</v>
          </cell>
        </row>
        <row r="2214">
          <cell r="A2214" t="str">
            <v>PER</v>
          </cell>
          <cell r="B2214">
            <v>2023</v>
          </cell>
          <cell r="C2214" t="str">
            <v>gdp_for_ind</v>
          </cell>
          <cell r="D2214">
            <v>-7.3831558227539063</v>
          </cell>
        </row>
        <row r="2215">
          <cell r="A2215" t="str">
            <v>PER</v>
          </cell>
          <cell r="B2215">
            <v>2023</v>
          </cell>
          <cell r="C2215" t="str">
            <v>gdp_for_serv</v>
          </cell>
          <cell r="D2215">
            <v>12.460379600524901</v>
          </cell>
        </row>
        <row r="2216">
          <cell r="A2216" t="str">
            <v>PER</v>
          </cell>
          <cell r="B2216">
            <v>2023</v>
          </cell>
          <cell r="C2216" t="str">
            <v>gdp_inf_agri</v>
          </cell>
          <cell r="D2216">
            <v>0.31848937273025513</v>
          </cell>
        </row>
        <row r="2217">
          <cell r="A2217" t="str">
            <v>PER</v>
          </cell>
          <cell r="B2217">
            <v>2023</v>
          </cell>
          <cell r="C2217" t="str">
            <v>gdp_inf_ind</v>
          </cell>
          <cell r="D2217">
            <v>4.8852357864379883</v>
          </cell>
        </row>
        <row r="2218">
          <cell r="A2218" t="str">
            <v>PER</v>
          </cell>
          <cell r="B2218">
            <v>2023</v>
          </cell>
          <cell r="C2218" t="str">
            <v>gdp_inf_serv</v>
          </cell>
          <cell r="D2218">
            <v>1.1549369096755979</v>
          </cell>
        </row>
        <row r="2219">
          <cell r="A2219" t="str">
            <v>PER</v>
          </cell>
          <cell r="B2219">
            <v>2023</v>
          </cell>
          <cell r="C2219" t="str">
            <v>prod_for_agri</v>
          </cell>
          <cell r="D2219">
            <v>2.2747750282287602</v>
          </cell>
        </row>
        <row r="2220">
          <cell r="A2220" t="str">
            <v>PER</v>
          </cell>
          <cell r="B2220">
            <v>2023</v>
          </cell>
          <cell r="C2220" t="str">
            <v>prod_for_ind</v>
          </cell>
          <cell r="D2220">
            <v>-4.6752657890319824</v>
          </cell>
        </row>
        <row r="2221">
          <cell r="A2221" t="str">
            <v>PER</v>
          </cell>
          <cell r="B2221">
            <v>2023</v>
          </cell>
          <cell r="C2221" t="str">
            <v>prod_for_serv</v>
          </cell>
          <cell r="D2221">
            <v>-0.41333320736885071</v>
          </cell>
        </row>
        <row r="2222">
          <cell r="A2222" t="str">
            <v>PER</v>
          </cell>
          <cell r="B2222">
            <v>2023</v>
          </cell>
          <cell r="C2222" t="str">
            <v>prod_inf_agri</v>
          </cell>
          <cell r="D2222">
            <v>-0.48453035950660711</v>
          </cell>
        </row>
        <row r="2223">
          <cell r="A2223" t="str">
            <v>PER</v>
          </cell>
          <cell r="B2223">
            <v>2023</v>
          </cell>
          <cell r="C2223" t="str">
            <v>prod_inf_ind</v>
          </cell>
          <cell r="D2223">
            <v>-4.4662423133850098</v>
          </cell>
        </row>
        <row r="2224">
          <cell r="A2224" t="str">
            <v>PER</v>
          </cell>
          <cell r="B2224">
            <v>2023</v>
          </cell>
          <cell r="C2224" t="str">
            <v>prod_inf_serv</v>
          </cell>
          <cell r="D2224">
            <v>-0.120112769305706</v>
          </cell>
        </row>
        <row r="2225">
          <cell r="A2225" t="str">
            <v>PRY</v>
          </cell>
          <cell r="B2225">
            <v>2008</v>
          </cell>
          <cell r="C2225" t="str">
            <v>gdp_activity</v>
          </cell>
          <cell r="D2225">
            <v>0.31215411424636841</v>
          </cell>
        </row>
        <row r="2226">
          <cell r="A2226" t="str">
            <v>PRY</v>
          </cell>
          <cell r="B2226">
            <v>2008</v>
          </cell>
          <cell r="C2226" t="str">
            <v>gdp_for_agri</v>
          </cell>
          <cell r="D2226">
            <v>-0.17294952273368841</v>
          </cell>
        </row>
        <row r="2227">
          <cell r="A2227" t="str">
            <v>PRY</v>
          </cell>
          <cell r="B2227">
            <v>2008</v>
          </cell>
          <cell r="C2227" t="str">
            <v>gdp_for_ind</v>
          </cell>
          <cell r="D2227">
            <v>2.7450850009918208</v>
          </cell>
        </row>
        <row r="2228">
          <cell r="A2228" t="str">
            <v>PRY</v>
          </cell>
          <cell r="B2228">
            <v>2008</v>
          </cell>
          <cell r="C2228" t="str">
            <v>gdp_for_serv</v>
          </cell>
          <cell r="D2228">
            <v>2.4419882297515869</v>
          </cell>
        </row>
        <row r="2229">
          <cell r="A2229" t="str">
            <v>PRY</v>
          </cell>
          <cell r="B2229">
            <v>2008</v>
          </cell>
          <cell r="C2229" t="str">
            <v>gdp_inf_agri</v>
          </cell>
          <cell r="D2229">
            <v>-1.099028348922729</v>
          </cell>
        </row>
        <row r="2230">
          <cell r="A2230" t="str">
            <v>PRY</v>
          </cell>
          <cell r="B2230">
            <v>2008</v>
          </cell>
          <cell r="C2230" t="str">
            <v>gdp_inf_ind</v>
          </cell>
          <cell r="D2230">
            <v>0.52577418088912964</v>
          </cell>
        </row>
        <row r="2231">
          <cell r="A2231" t="str">
            <v>PRY</v>
          </cell>
          <cell r="B2231">
            <v>2008</v>
          </cell>
          <cell r="C2231" t="str">
            <v>gdp_inf_serv</v>
          </cell>
          <cell r="D2231">
            <v>1.3288097381591799</v>
          </cell>
        </row>
        <row r="2232">
          <cell r="A2232" t="str">
            <v>PRY</v>
          </cell>
          <cell r="B2232">
            <v>2008</v>
          </cell>
          <cell r="C2232" t="str">
            <v>prod_for_agri</v>
          </cell>
          <cell r="D2232">
            <v>-2.984603643417358</v>
          </cell>
        </row>
        <row r="2233">
          <cell r="A2233" t="str">
            <v>PRY</v>
          </cell>
          <cell r="B2233">
            <v>2008</v>
          </cell>
          <cell r="C2233" t="str">
            <v>prod_for_ind</v>
          </cell>
          <cell r="D2233">
            <v>3.8192958831787109</v>
          </cell>
        </row>
        <row r="2234">
          <cell r="A2234" t="str">
            <v>PRY</v>
          </cell>
          <cell r="B2234">
            <v>2008</v>
          </cell>
          <cell r="C2234" t="str">
            <v>prod_for_serv</v>
          </cell>
          <cell r="D2234">
            <v>-0.96127223968505859</v>
          </cell>
        </row>
        <row r="2235">
          <cell r="A2235" t="str">
            <v>PRY</v>
          </cell>
          <cell r="B2235">
            <v>2008</v>
          </cell>
          <cell r="C2235" t="str">
            <v>prod_inf_agri</v>
          </cell>
          <cell r="D2235">
            <v>0.19324551522731781</v>
          </cell>
        </row>
        <row r="2236">
          <cell r="A2236" t="str">
            <v>PRY</v>
          </cell>
          <cell r="B2236">
            <v>2008</v>
          </cell>
          <cell r="C2236" t="str">
            <v>prod_inf_ind</v>
          </cell>
          <cell r="D2236">
            <v>-0.84863942861557007</v>
          </cell>
        </row>
        <row r="2237">
          <cell r="A2237" t="str">
            <v>PRY</v>
          </cell>
          <cell r="B2237">
            <v>2008</v>
          </cell>
          <cell r="C2237" t="str">
            <v>prod_inf_serv</v>
          </cell>
          <cell r="D2237">
            <v>1.752825140953064</v>
          </cell>
        </row>
        <row r="2238">
          <cell r="A2238" t="str">
            <v>PRY</v>
          </cell>
          <cell r="B2238">
            <v>2009</v>
          </cell>
          <cell r="C2238" t="str">
            <v>gdp_activity</v>
          </cell>
          <cell r="D2238">
            <v>-16.682559967041019</v>
          </cell>
        </row>
        <row r="2239">
          <cell r="A2239" t="str">
            <v>PRY</v>
          </cell>
          <cell r="B2239">
            <v>2009</v>
          </cell>
          <cell r="C2239" t="str">
            <v>gdp_for_agri</v>
          </cell>
          <cell r="D2239">
            <v>1.9160163402557371</v>
          </cell>
        </row>
        <row r="2240">
          <cell r="A2240" t="str">
            <v>PRY</v>
          </cell>
          <cell r="B2240">
            <v>2009</v>
          </cell>
          <cell r="C2240" t="str">
            <v>gdp_for_ind</v>
          </cell>
          <cell r="D2240">
            <v>5.6943612098693848</v>
          </cell>
        </row>
        <row r="2241">
          <cell r="A2241" t="str">
            <v>PRY</v>
          </cell>
          <cell r="B2241">
            <v>2009</v>
          </cell>
          <cell r="C2241" t="str">
            <v>gdp_for_serv</v>
          </cell>
          <cell r="D2241">
            <v>0.51538056135177612</v>
          </cell>
        </row>
        <row r="2242">
          <cell r="A2242" t="str">
            <v>PRY</v>
          </cell>
          <cell r="B2242">
            <v>2009</v>
          </cell>
          <cell r="C2242" t="str">
            <v>gdp_inf_agri</v>
          </cell>
          <cell r="D2242">
            <v>-1.3111637830734251</v>
          </cell>
        </row>
        <row r="2243">
          <cell r="A2243" t="str">
            <v>PRY</v>
          </cell>
          <cell r="B2243">
            <v>2009</v>
          </cell>
          <cell r="C2243" t="str">
            <v>gdp_inf_ind</v>
          </cell>
          <cell r="D2243">
            <v>1.845601439476013</v>
          </cell>
        </row>
        <row r="2244">
          <cell r="A2244" t="str">
            <v>PRY</v>
          </cell>
          <cell r="B2244">
            <v>2009</v>
          </cell>
          <cell r="C2244" t="str">
            <v>gdp_inf_serv</v>
          </cell>
          <cell r="D2244">
            <v>-0.1033709347248077</v>
          </cell>
        </row>
        <row r="2245">
          <cell r="A2245" t="str">
            <v>PRY</v>
          </cell>
          <cell r="B2245">
            <v>2009</v>
          </cell>
          <cell r="C2245" t="str">
            <v>prod_for_agri</v>
          </cell>
          <cell r="D2245">
            <v>-1.788627982139587</v>
          </cell>
        </row>
        <row r="2246">
          <cell r="A2246" t="str">
            <v>PRY</v>
          </cell>
          <cell r="B2246">
            <v>2009</v>
          </cell>
          <cell r="C2246" t="str">
            <v>prod_for_ind</v>
          </cell>
          <cell r="D2246">
            <v>2.6282732486724849</v>
          </cell>
        </row>
        <row r="2247">
          <cell r="A2247" t="str">
            <v>PRY</v>
          </cell>
          <cell r="B2247">
            <v>2009</v>
          </cell>
          <cell r="C2247" t="str">
            <v>prod_for_serv</v>
          </cell>
          <cell r="D2247">
            <v>0.51223242282867432</v>
          </cell>
        </row>
        <row r="2248">
          <cell r="A2248" t="str">
            <v>PRY</v>
          </cell>
          <cell r="B2248">
            <v>2009</v>
          </cell>
          <cell r="C2248" t="str">
            <v>prod_inf_agri</v>
          </cell>
          <cell r="D2248">
            <v>1.4830290079116819</v>
          </cell>
        </row>
        <row r="2249">
          <cell r="A2249" t="str">
            <v>PRY</v>
          </cell>
          <cell r="B2249">
            <v>2009</v>
          </cell>
          <cell r="C2249" t="str">
            <v>prod_inf_ind</v>
          </cell>
          <cell r="D2249">
            <v>7.530756950378418</v>
          </cell>
        </row>
        <row r="2250">
          <cell r="A2250" t="str">
            <v>PRY</v>
          </cell>
          <cell r="B2250">
            <v>2009</v>
          </cell>
          <cell r="C2250" t="str">
            <v>prod_inf_serv</v>
          </cell>
          <cell r="D2250">
            <v>-1.0681565999984739</v>
          </cell>
        </row>
        <row r="2251">
          <cell r="A2251" t="str">
            <v>PRY</v>
          </cell>
          <cell r="B2251">
            <v>2010</v>
          </cell>
          <cell r="C2251" t="str">
            <v>gdp_activity</v>
          </cell>
          <cell r="D2251">
            <v>-0.12782374024391169</v>
          </cell>
        </row>
        <row r="2252">
          <cell r="A2252" t="str">
            <v>PRY</v>
          </cell>
          <cell r="B2252">
            <v>2010</v>
          </cell>
          <cell r="C2252" t="str">
            <v>gdp_for_agri</v>
          </cell>
          <cell r="D2252">
            <v>-0.21785362064838409</v>
          </cell>
        </row>
        <row r="2253">
          <cell r="A2253" t="str">
            <v>PRY</v>
          </cell>
          <cell r="B2253">
            <v>2010</v>
          </cell>
          <cell r="C2253" t="str">
            <v>gdp_for_ind</v>
          </cell>
          <cell r="D2253">
            <v>2.6571998596191411</v>
          </cell>
        </row>
        <row r="2254">
          <cell r="A2254" t="str">
            <v>PRY</v>
          </cell>
          <cell r="B2254">
            <v>2010</v>
          </cell>
          <cell r="C2254" t="str">
            <v>gdp_for_serv</v>
          </cell>
          <cell r="D2254">
            <v>0.6629101037979126</v>
          </cell>
        </row>
        <row r="2255">
          <cell r="A2255" t="str">
            <v>PRY</v>
          </cell>
          <cell r="B2255">
            <v>2010</v>
          </cell>
          <cell r="C2255" t="str">
            <v>gdp_inf_agri</v>
          </cell>
          <cell r="D2255">
            <v>-2.1618273258209229</v>
          </cell>
        </row>
        <row r="2256">
          <cell r="A2256" t="str">
            <v>PRY</v>
          </cell>
          <cell r="B2256">
            <v>2010</v>
          </cell>
          <cell r="C2256" t="str">
            <v>gdp_inf_ind</v>
          </cell>
          <cell r="D2256">
            <v>-9.1079235076904297</v>
          </cell>
        </row>
        <row r="2257">
          <cell r="A2257" t="str">
            <v>PRY</v>
          </cell>
          <cell r="B2257">
            <v>2010</v>
          </cell>
          <cell r="C2257" t="str">
            <v>gdp_inf_serv</v>
          </cell>
          <cell r="D2257">
            <v>-5.2059226036071777</v>
          </cell>
        </row>
        <row r="2258">
          <cell r="A2258" t="str">
            <v>PRY</v>
          </cell>
          <cell r="B2258">
            <v>2010</v>
          </cell>
          <cell r="C2258" t="str">
            <v>prod_for_agri</v>
          </cell>
          <cell r="D2258">
            <v>1.4554823748767379E-2</v>
          </cell>
        </row>
        <row r="2259">
          <cell r="A2259" t="str">
            <v>PRY</v>
          </cell>
          <cell r="B2259">
            <v>2010</v>
          </cell>
          <cell r="C2259" t="str">
            <v>prod_for_ind</v>
          </cell>
          <cell r="D2259">
            <v>-0.22227486968040469</v>
          </cell>
        </row>
        <row r="2260">
          <cell r="A2260" t="str">
            <v>PRY</v>
          </cell>
          <cell r="B2260">
            <v>2010</v>
          </cell>
          <cell r="C2260" t="str">
            <v>prod_for_serv</v>
          </cell>
          <cell r="D2260">
            <v>1.4544182457029819E-2</v>
          </cell>
        </row>
        <row r="2261">
          <cell r="A2261" t="str">
            <v>PRY</v>
          </cell>
          <cell r="B2261">
            <v>2010</v>
          </cell>
          <cell r="C2261" t="str">
            <v>prod_inf_agri</v>
          </cell>
          <cell r="D2261">
            <v>6.1354316771030433E-2</v>
          </cell>
        </row>
        <row r="2262">
          <cell r="A2262" t="str">
            <v>PRY</v>
          </cell>
          <cell r="B2262">
            <v>2010</v>
          </cell>
          <cell r="C2262" t="str">
            <v>prod_inf_ind</v>
          </cell>
          <cell r="D2262">
            <v>-9.2505484819412231E-2</v>
          </cell>
        </row>
        <row r="2263">
          <cell r="A2263" t="str">
            <v>PRY</v>
          </cell>
          <cell r="B2263">
            <v>2010</v>
          </cell>
          <cell r="C2263" t="str">
            <v>prod_inf_serv</v>
          </cell>
          <cell r="D2263">
            <v>-1.949466206133366E-2</v>
          </cell>
        </row>
        <row r="2264">
          <cell r="A2264" t="str">
            <v>PRY</v>
          </cell>
          <cell r="B2264">
            <v>2011</v>
          </cell>
          <cell r="C2264" t="str">
            <v>gdp_activity</v>
          </cell>
          <cell r="D2264">
            <v>0.97448474168777466</v>
          </cell>
        </row>
        <row r="2265">
          <cell r="A2265" t="str">
            <v>PRY</v>
          </cell>
          <cell r="B2265">
            <v>2011</v>
          </cell>
          <cell r="C2265" t="str">
            <v>gdp_for_agri</v>
          </cell>
          <cell r="D2265">
            <v>3.050287008285522</v>
          </cell>
        </row>
        <row r="2266">
          <cell r="A2266" t="str">
            <v>PRY</v>
          </cell>
          <cell r="B2266">
            <v>2011</v>
          </cell>
          <cell r="C2266" t="str">
            <v>gdp_for_ind</v>
          </cell>
          <cell r="D2266">
            <v>5.861966609954834</v>
          </cell>
        </row>
        <row r="2267">
          <cell r="A2267" t="str">
            <v>PRY</v>
          </cell>
          <cell r="B2267">
            <v>2011</v>
          </cell>
          <cell r="C2267" t="str">
            <v>gdp_for_serv</v>
          </cell>
          <cell r="D2267">
            <v>3.7681093215942378</v>
          </cell>
        </row>
        <row r="2268">
          <cell r="A2268" t="str">
            <v>PRY</v>
          </cell>
          <cell r="B2268">
            <v>2011</v>
          </cell>
          <cell r="C2268" t="str">
            <v>gdp_inf_agri</v>
          </cell>
          <cell r="D2268">
            <v>118.7980194091797</v>
          </cell>
        </row>
        <row r="2269">
          <cell r="A2269" t="str">
            <v>PRY</v>
          </cell>
          <cell r="B2269">
            <v>2011</v>
          </cell>
          <cell r="C2269" t="str">
            <v>gdp_inf_ind</v>
          </cell>
          <cell r="D2269">
            <v>9.3381061553955078</v>
          </cell>
        </row>
        <row r="2270">
          <cell r="A2270" t="str">
            <v>PRY</v>
          </cell>
          <cell r="B2270">
            <v>2011</v>
          </cell>
          <cell r="C2270" t="str">
            <v>gdp_inf_serv</v>
          </cell>
          <cell r="D2270">
            <v>27.34367561340332</v>
          </cell>
        </row>
        <row r="2271">
          <cell r="A2271" t="str">
            <v>PRY</v>
          </cell>
          <cell r="B2271">
            <v>2011</v>
          </cell>
          <cell r="C2271" t="str">
            <v>prod_for_agri</v>
          </cell>
          <cell r="D2271">
            <v>-1.2653490304946899</v>
          </cell>
        </row>
        <row r="2272">
          <cell r="A2272" t="str">
            <v>PRY</v>
          </cell>
          <cell r="B2272">
            <v>2011</v>
          </cell>
          <cell r="C2272" t="str">
            <v>prod_for_ind</v>
          </cell>
          <cell r="D2272">
            <v>-1.3402296304702761</v>
          </cell>
        </row>
        <row r="2273">
          <cell r="A2273" t="str">
            <v>PRY</v>
          </cell>
          <cell r="B2273">
            <v>2011</v>
          </cell>
          <cell r="C2273" t="str">
            <v>prod_for_serv</v>
          </cell>
          <cell r="D2273">
            <v>-9.6972078084945679E-2</v>
          </cell>
        </row>
        <row r="2274">
          <cell r="A2274" t="str">
            <v>PRY</v>
          </cell>
          <cell r="B2274">
            <v>2011</v>
          </cell>
          <cell r="C2274" t="str">
            <v>prod_inf_agri</v>
          </cell>
          <cell r="D2274">
            <v>0.1126108765602112</v>
          </cell>
        </row>
        <row r="2275">
          <cell r="A2275" t="str">
            <v>PRY</v>
          </cell>
          <cell r="B2275">
            <v>2011</v>
          </cell>
          <cell r="C2275" t="str">
            <v>prod_inf_ind</v>
          </cell>
          <cell r="D2275">
            <v>-0.89885890483856201</v>
          </cell>
        </row>
        <row r="2276">
          <cell r="A2276" t="str">
            <v>PRY</v>
          </cell>
          <cell r="B2276">
            <v>2011</v>
          </cell>
          <cell r="C2276" t="str">
            <v>prod_inf_serv</v>
          </cell>
          <cell r="D2276">
            <v>-1.120341300964355</v>
          </cell>
        </row>
        <row r="2277">
          <cell r="A2277" t="str">
            <v>PRY</v>
          </cell>
          <cell r="B2277">
            <v>2012</v>
          </cell>
          <cell r="C2277" t="str">
            <v>gdp_activity</v>
          </cell>
          <cell r="D2277">
            <v>-9.2882232666015625</v>
          </cell>
        </row>
        <row r="2278">
          <cell r="A2278" t="str">
            <v>PRY</v>
          </cell>
          <cell r="B2278">
            <v>2012</v>
          </cell>
          <cell r="C2278" t="str">
            <v>gdp_for_agri</v>
          </cell>
          <cell r="D2278">
            <v>-0.44948238134384161</v>
          </cell>
        </row>
        <row r="2279">
          <cell r="A2279" t="str">
            <v>PRY</v>
          </cell>
          <cell r="B2279">
            <v>2012</v>
          </cell>
          <cell r="C2279" t="str">
            <v>gdp_for_ind</v>
          </cell>
          <cell r="D2279">
            <v>0.18204474449157709</v>
          </cell>
        </row>
        <row r="2280">
          <cell r="A2280" t="str">
            <v>PRY</v>
          </cell>
          <cell r="B2280">
            <v>2012</v>
          </cell>
          <cell r="C2280" t="str">
            <v>gdp_for_serv</v>
          </cell>
          <cell r="D2280">
            <v>2.7605869770050049</v>
          </cell>
        </row>
        <row r="2281">
          <cell r="A2281" t="str">
            <v>PRY</v>
          </cell>
          <cell r="B2281">
            <v>2012</v>
          </cell>
          <cell r="C2281" t="str">
            <v>gdp_inf_agri</v>
          </cell>
          <cell r="D2281">
            <v>-0.3856365978717804</v>
          </cell>
        </row>
        <row r="2282">
          <cell r="A2282" t="str">
            <v>PRY</v>
          </cell>
          <cell r="B2282">
            <v>2012</v>
          </cell>
          <cell r="C2282" t="str">
            <v>gdp_inf_ind</v>
          </cell>
          <cell r="D2282">
            <v>0.34866347908973688</v>
          </cell>
        </row>
        <row r="2283">
          <cell r="A2283" t="str">
            <v>PRY</v>
          </cell>
          <cell r="B2283">
            <v>2012</v>
          </cell>
          <cell r="C2283" t="str">
            <v>gdp_inf_serv</v>
          </cell>
          <cell r="D2283">
            <v>1.6752181053161621</v>
          </cell>
        </row>
        <row r="2284">
          <cell r="A2284" t="str">
            <v>PRY</v>
          </cell>
          <cell r="B2284">
            <v>2012</v>
          </cell>
          <cell r="C2284" t="str">
            <v>prod_for_agri</v>
          </cell>
          <cell r="D2284">
            <v>1.5584026575088501</v>
          </cell>
        </row>
        <row r="2285">
          <cell r="A2285" t="str">
            <v>PRY</v>
          </cell>
          <cell r="B2285">
            <v>2012</v>
          </cell>
          <cell r="C2285" t="str">
            <v>prod_for_ind</v>
          </cell>
          <cell r="D2285">
            <v>-12.210659980773929</v>
          </cell>
        </row>
        <row r="2286">
          <cell r="A2286" t="str">
            <v>PRY</v>
          </cell>
          <cell r="B2286">
            <v>2012</v>
          </cell>
          <cell r="C2286" t="str">
            <v>prod_for_serv</v>
          </cell>
          <cell r="D2286">
            <v>-2.065461397171021</v>
          </cell>
        </row>
        <row r="2287">
          <cell r="A2287" t="str">
            <v>PRY</v>
          </cell>
          <cell r="B2287">
            <v>2012</v>
          </cell>
          <cell r="C2287" t="str">
            <v>prod_inf_agri</v>
          </cell>
          <cell r="D2287">
            <v>0.70704513788223267</v>
          </cell>
        </row>
        <row r="2288">
          <cell r="A2288" t="str">
            <v>PRY</v>
          </cell>
          <cell r="B2288">
            <v>2012</v>
          </cell>
          <cell r="C2288" t="str">
            <v>prod_inf_ind</v>
          </cell>
          <cell r="D2288">
            <v>-0.31701195240020752</v>
          </cell>
        </row>
        <row r="2289">
          <cell r="A2289" t="str">
            <v>PRY</v>
          </cell>
          <cell r="B2289">
            <v>2012</v>
          </cell>
          <cell r="C2289" t="str">
            <v>prod_inf_serv</v>
          </cell>
          <cell r="D2289">
            <v>5.1699447631835938</v>
          </cell>
        </row>
        <row r="2290">
          <cell r="A2290" t="str">
            <v>PRY</v>
          </cell>
          <cell r="B2290">
            <v>2013</v>
          </cell>
          <cell r="C2290" t="str">
            <v>gdp_activity</v>
          </cell>
          <cell r="D2290">
            <v>0.11823272705078131</v>
          </cell>
        </row>
        <row r="2291">
          <cell r="A2291" t="str">
            <v>PRY</v>
          </cell>
          <cell r="B2291">
            <v>2013</v>
          </cell>
          <cell r="C2291" t="str">
            <v>gdp_for_agri</v>
          </cell>
          <cell r="D2291">
            <v>-7.4132233858108521E-2</v>
          </cell>
        </row>
        <row r="2292">
          <cell r="A2292" t="str">
            <v>PRY</v>
          </cell>
          <cell r="B2292">
            <v>2013</v>
          </cell>
          <cell r="C2292" t="str">
            <v>gdp_for_ind</v>
          </cell>
          <cell r="D2292">
            <v>-0.30698347091674799</v>
          </cell>
        </row>
        <row r="2293">
          <cell r="A2293" t="str">
            <v>PRY</v>
          </cell>
          <cell r="B2293">
            <v>2013</v>
          </cell>
          <cell r="C2293" t="str">
            <v>gdp_for_serv</v>
          </cell>
          <cell r="D2293">
            <v>3.7309601306915279</v>
          </cell>
        </row>
        <row r="2294">
          <cell r="A2294" t="str">
            <v>PRY</v>
          </cell>
          <cell r="B2294">
            <v>2013</v>
          </cell>
          <cell r="C2294" t="str">
            <v>gdp_inf_agri</v>
          </cell>
          <cell r="D2294">
            <v>-0.40447121858596802</v>
          </cell>
        </row>
        <row r="2295">
          <cell r="A2295" t="str">
            <v>PRY</v>
          </cell>
          <cell r="B2295">
            <v>2013</v>
          </cell>
          <cell r="C2295" t="str">
            <v>gdp_inf_ind</v>
          </cell>
          <cell r="D2295">
            <v>0.90660184621810913</v>
          </cell>
        </row>
        <row r="2296">
          <cell r="A2296" t="str">
            <v>PRY</v>
          </cell>
          <cell r="B2296">
            <v>2013</v>
          </cell>
          <cell r="C2296" t="str">
            <v>gdp_inf_serv</v>
          </cell>
          <cell r="D2296">
            <v>0.85333681106567383</v>
          </cell>
        </row>
        <row r="2297">
          <cell r="A2297" t="str">
            <v>PRY</v>
          </cell>
          <cell r="B2297">
            <v>2013</v>
          </cell>
          <cell r="C2297" t="str">
            <v>prod_for_agri</v>
          </cell>
          <cell r="D2297">
            <v>0.27584809064865112</v>
          </cell>
        </row>
        <row r="2298">
          <cell r="A2298" t="str">
            <v>PRY</v>
          </cell>
          <cell r="B2298">
            <v>2013</v>
          </cell>
          <cell r="C2298" t="str">
            <v>prod_for_ind</v>
          </cell>
          <cell r="D2298">
            <v>2.337152242660522</v>
          </cell>
        </row>
        <row r="2299">
          <cell r="A2299" t="str">
            <v>PRY</v>
          </cell>
          <cell r="B2299">
            <v>2013</v>
          </cell>
          <cell r="C2299" t="str">
            <v>prod_for_serv</v>
          </cell>
          <cell r="D2299">
            <v>-5.1846656799316406</v>
          </cell>
        </row>
        <row r="2300">
          <cell r="A2300" t="str">
            <v>PRY</v>
          </cell>
          <cell r="B2300">
            <v>2013</v>
          </cell>
          <cell r="C2300" t="str">
            <v>prod_inf_agri</v>
          </cell>
          <cell r="D2300">
            <v>0.24532459676265719</v>
          </cell>
        </row>
        <row r="2301">
          <cell r="A2301" t="str">
            <v>PRY</v>
          </cell>
          <cell r="B2301">
            <v>2013</v>
          </cell>
          <cell r="C2301" t="str">
            <v>prod_inf_ind</v>
          </cell>
          <cell r="D2301">
            <v>-0.4191080629825592</v>
          </cell>
        </row>
        <row r="2302">
          <cell r="A2302" t="str">
            <v>PRY</v>
          </cell>
          <cell r="B2302">
            <v>2013</v>
          </cell>
          <cell r="C2302" t="str">
            <v>prod_inf_serv</v>
          </cell>
          <cell r="D2302">
            <v>-3.5850026607513432</v>
          </cell>
        </row>
        <row r="2303">
          <cell r="A2303" t="str">
            <v>PRY</v>
          </cell>
          <cell r="B2303">
            <v>2014</v>
          </cell>
          <cell r="C2303" t="str">
            <v>gdp_activity</v>
          </cell>
          <cell r="D2303">
            <v>3.2718423753976822E-2</v>
          </cell>
        </row>
        <row r="2304">
          <cell r="A2304" t="str">
            <v>PRY</v>
          </cell>
          <cell r="B2304">
            <v>2014</v>
          </cell>
          <cell r="C2304" t="str">
            <v>gdp_for_agri</v>
          </cell>
          <cell r="D2304">
            <v>26.024177551269531</v>
          </cell>
        </row>
        <row r="2305">
          <cell r="A2305" t="str">
            <v>PRY</v>
          </cell>
          <cell r="B2305">
            <v>2014</v>
          </cell>
          <cell r="C2305" t="str">
            <v>gdp_for_ind</v>
          </cell>
          <cell r="D2305">
            <v>3.1615982055664058</v>
          </cell>
        </row>
        <row r="2306">
          <cell r="A2306" t="str">
            <v>PRY</v>
          </cell>
          <cell r="B2306">
            <v>2014</v>
          </cell>
          <cell r="C2306" t="str">
            <v>gdp_for_serv</v>
          </cell>
          <cell r="D2306">
            <v>-0.9521784782409668</v>
          </cell>
        </row>
        <row r="2307">
          <cell r="A2307" t="str">
            <v>PRY</v>
          </cell>
          <cell r="B2307">
            <v>2014</v>
          </cell>
          <cell r="C2307" t="str">
            <v>gdp_inf_agri</v>
          </cell>
          <cell r="D2307">
            <v>-0.52527868747711182</v>
          </cell>
        </row>
        <row r="2308">
          <cell r="A2308" t="str">
            <v>PRY</v>
          </cell>
          <cell r="B2308">
            <v>2014</v>
          </cell>
          <cell r="C2308" t="str">
            <v>gdp_inf_ind</v>
          </cell>
          <cell r="D2308">
            <v>2.7465307712554932</v>
          </cell>
        </row>
        <row r="2309">
          <cell r="A2309" t="str">
            <v>PRY</v>
          </cell>
          <cell r="B2309">
            <v>2014</v>
          </cell>
          <cell r="C2309" t="str">
            <v>gdp_inf_serv</v>
          </cell>
          <cell r="D2309">
            <v>-0.54545456171035767</v>
          </cell>
        </row>
        <row r="2310">
          <cell r="A2310" t="str">
            <v>PRY</v>
          </cell>
          <cell r="B2310">
            <v>2014</v>
          </cell>
          <cell r="C2310" t="str">
            <v>prod_for_agri</v>
          </cell>
          <cell r="D2310">
            <v>-0.38080912828445429</v>
          </cell>
        </row>
        <row r="2311">
          <cell r="A2311" t="str">
            <v>PRY</v>
          </cell>
          <cell r="B2311">
            <v>2014</v>
          </cell>
          <cell r="C2311" t="str">
            <v>prod_for_ind</v>
          </cell>
          <cell r="D2311">
            <v>-2.72979736328125</v>
          </cell>
        </row>
        <row r="2312">
          <cell r="A2312" t="str">
            <v>PRY</v>
          </cell>
          <cell r="B2312">
            <v>2014</v>
          </cell>
          <cell r="C2312" t="str">
            <v>prod_for_serv</v>
          </cell>
          <cell r="D2312">
            <v>-0.80687183141708374</v>
          </cell>
        </row>
        <row r="2313">
          <cell r="A2313" t="str">
            <v>PRY</v>
          </cell>
          <cell r="B2313">
            <v>2014</v>
          </cell>
          <cell r="C2313" t="str">
            <v>prod_inf_agri</v>
          </cell>
          <cell r="D2313">
            <v>7.7573843002319336</v>
          </cell>
        </row>
        <row r="2314">
          <cell r="A2314" t="str">
            <v>PRY</v>
          </cell>
          <cell r="B2314">
            <v>2014</v>
          </cell>
          <cell r="C2314" t="str">
            <v>prod_inf_ind</v>
          </cell>
          <cell r="D2314">
            <v>-0.53778380155563354</v>
          </cell>
        </row>
        <row r="2315">
          <cell r="A2315" t="str">
            <v>PRY</v>
          </cell>
          <cell r="B2315">
            <v>2014</v>
          </cell>
          <cell r="C2315" t="str">
            <v>prod_inf_serv</v>
          </cell>
          <cell r="D2315">
            <v>0.89126569032669067</v>
          </cell>
        </row>
        <row r="2316">
          <cell r="A2316" t="str">
            <v>PRY</v>
          </cell>
          <cell r="B2316">
            <v>2015</v>
          </cell>
          <cell r="C2316" t="str">
            <v>gdp_activity</v>
          </cell>
          <cell r="D2316">
            <v>0.98640769720077515</v>
          </cell>
        </row>
        <row r="2317">
          <cell r="A2317" t="str">
            <v>PRY</v>
          </cell>
          <cell r="B2317">
            <v>2015</v>
          </cell>
          <cell r="C2317" t="str">
            <v>gdp_for_agri</v>
          </cell>
          <cell r="D2317">
            <v>41.41021728515625</v>
          </cell>
        </row>
        <row r="2318">
          <cell r="A2318" t="str">
            <v>PRY</v>
          </cell>
          <cell r="B2318">
            <v>2015</v>
          </cell>
          <cell r="C2318" t="str">
            <v>gdp_for_ind</v>
          </cell>
          <cell r="D2318">
            <v>3.4163727760314941</v>
          </cell>
        </row>
        <row r="2319">
          <cell r="A2319" t="str">
            <v>PRY</v>
          </cell>
          <cell r="B2319">
            <v>2015</v>
          </cell>
          <cell r="C2319" t="str">
            <v>gdp_for_serv</v>
          </cell>
          <cell r="D2319">
            <v>1.4737600088119509</v>
          </cell>
        </row>
        <row r="2320">
          <cell r="A2320" t="str">
            <v>PRY</v>
          </cell>
          <cell r="B2320">
            <v>2015</v>
          </cell>
          <cell r="C2320" t="str">
            <v>gdp_inf_agri</v>
          </cell>
          <cell r="D2320">
            <v>4.4054341316223136</v>
          </cell>
        </row>
        <row r="2321">
          <cell r="A2321" t="str">
            <v>PRY</v>
          </cell>
          <cell r="B2321">
            <v>2015</v>
          </cell>
          <cell r="C2321" t="str">
            <v>gdp_inf_ind</v>
          </cell>
          <cell r="D2321">
            <v>1.2072044610977171</v>
          </cell>
        </row>
        <row r="2322">
          <cell r="A2322" t="str">
            <v>PRY</v>
          </cell>
          <cell r="B2322">
            <v>2015</v>
          </cell>
          <cell r="C2322" t="str">
            <v>gdp_inf_serv</v>
          </cell>
          <cell r="D2322">
            <v>1.8285617828369141</v>
          </cell>
        </row>
        <row r="2323">
          <cell r="A2323" t="str">
            <v>PRY</v>
          </cell>
          <cell r="B2323">
            <v>2015</v>
          </cell>
          <cell r="C2323" t="str">
            <v>prod_for_agri</v>
          </cell>
          <cell r="D2323">
            <v>-0.40682435035705572</v>
          </cell>
        </row>
        <row r="2324">
          <cell r="A2324" t="str">
            <v>PRY</v>
          </cell>
          <cell r="B2324">
            <v>2015</v>
          </cell>
          <cell r="C2324" t="str">
            <v>prod_for_ind</v>
          </cell>
          <cell r="D2324">
            <v>4.1871662139892578</v>
          </cell>
        </row>
        <row r="2325">
          <cell r="A2325" t="str">
            <v>PRY</v>
          </cell>
          <cell r="B2325">
            <v>2015</v>
          </cell>
          <cell r="C2325" t="str">
            <v>prod_for_serv</v>
          </cell>
          <cell r="D2325">
            <v>-1.476279020309448</v>
          </cell>
        </row>
        <row r="2326">
          <cell r="A2326" t="str">
            <v>PRY</v>
          </cell>
          <cell r="B2326">
            <v>2015</v>
          </cell>
          <cell r="C2326" t="str">
            <v>prod_inf_agri</v>
          </cell>
          <cell r="D2326">
            <v>-5.6993827819824219</v>
          </cell>
        </row>
        <row r="2327">
          <cell r="A2327" t="str">
            <v>PRY</v>
          </cell>
          <cell r="B2327">
            <v>2015</v>
          </cell>
          <cell r="C2327" t="str">
            <v>prod_inf_ind</v>
          </cell>
          <cell r="D2327">
            <v>1.8442326784133909</v>
          </cell>
        </row>
        <row r="2328">
          <cell r="A2328" t="str">
            <v>PRY</v>
          </cell>
          <cell r="B2328">
            <v>2015</v>
          </cell>
          <cell r="C2328" t="str">
            <v>prod_inf_serv</v>
          </cell>
          <cell r="D2328">
            <v>0.85186123847961426</v>
          </cell>
        </row>
        <row r="2329">
          <cell r="A2329" t="str">
            <v>PRY</v>
          </cell>
          <cell r="B2329">
            <v>2016</v>
          </cell>
          <cell r="C2329" t="str">
            <v>gdp_activity</v>
          </cell>
          <cell r="D2329">
            <v>0.67389655113220215</v>
          </cell>
        </row>
        <row r="2330">
          <cell r="A2330" t="str">
            <v>PRY</v>
          </cell>
          <cell r="B2330">
            <v>2016</v>
          </cell>
          <cell r="C2330" t="str">
            <v>gdp_for_agri</v>
          </cell>
          <cell r="D2330">
            <v>14.253591537475589</v>
          </cell>
        </row>
        <row r="2331">
          <cell r="A2331" t="str">
            <v>PRY</v>
          </cell>
          <cell r="B2331">
            <v>2016</v>
          </cell>
          <cell r="C2331" t="str">
            <v>gdp_for_ind</v>
          </cell>
          <cell r="D2331">
            <v>-0.64126819372177124</v>
          </cell>
        </row>
        <row r="2332">
          <cell r="A2332" t="str">
            <v>PRY</v>
          </cell>
          <cell r="B2332">
            <v>2016</v>
          </cell>
          <cell r="C2332" t="str">
            <v>gdp_for_serv</v>
          </cell>
          <cell r="D2332">
            <v>-0.90621352195739746</v>
          </cell>
        </row>
        <row r="2333">
          <cell r="A2333" t="str">
            <v>PRY</v>
          </cell>
          <cell r="B2333">
            <v>2016</v>
          </cell>
          <cell r="C2333" t="str">
            <v>gdp_inf_agri</v>
          </cell>
          <cell r="D2333">
            <v>3.167534351348877</v>
          </cell>
        </row>
        <row r="2334">
          <cell r="A2334" t="str">
            <v>PRY</v>
          </cell>
          <cell r="B2334">
            <v>2016</v>
          </cell>
          <cell r="C2334" t="str">
            <v>gdp_inf_ind</v>
          </cell>
          <cell r="D2334">
            <v>0.2232994735240936</v>
          </cell>
        </row>
        <row r="2335">
          <cell r="A2335" t="str">
            <v>PRY</v>
          </cell>
          <cell r="B2335">
            <v>2016</v>
          </cell>
          <cell r="C2335" t="str">
            <v>gdp_inf_serv</v>
          </cell>
          <cell r="D2335">
            <v>0.51132911443710327</v>
          </cell>
        </row>
        <row r="2336">
          <cell r="A2336" t="str">
            <v>PRY</v>
          </cell>
          <cell r="B2336">
            <v>2016</v>
          </cell>
          <cell r="C2336" t="str">
            <v>prod_for_agri</v>
          </cell>
          <cell r="D2336">
            <v>-1.674172520637512</v>
          </cell>
        </row>
        <row r="2337">
          <cell r="A2337" t="str">
            <v>PRY</v>
          </cell>
          <cell r="B2337">
            <v>2016</v>
          </cell>
          <cell r="C2337" t="str">
            <v>prod_for_ind</v>
          </cell>
          <cell r="D2337">
            <v>-0.35715070366859442</v>
          </cell>
        </row>
        <row r="2338">
          <cell r="A2338" t="str">
            <v>PRY</v>
          </cell>
          <cell r="B2338">
            <v>2016</v>
          </cell>
          <cell r="C2338" t="str">
            <v>prod_for_serv</v>
          </cell>
          <cell r="D2338">
            <v>-2.6229569911956792</v>
          </cell>
        </row>
        <row r="2339">
          <cell r="A2339" t="str">
            <v>PRY</v>
          </cell>
          <cell r="B2339">
            <v>2016</v>
          </cell>
          <cell r="C2339" t="str">
            <v>prod_inf_agri</v>
          </cell>
          <cell r="D2339">
            <v>0.48269996047019958</v>
          </cell>
        </row>
        <row r="2340">
          <cell r="A2340" t="str">
            <v>PRY</v>
          </cell>
          <cell r="B2340">
            <v>2016</v>
          </cell>
          <cell r="C2340" t="str">
            <v>prod_inf_ind</v>
          </cell>
          <cell r="D2340">
            <v>-0.7487378716468811</v>
          </cell>
        </row>
        <row r="2341">
          <cell r="A2341" t="str">
            <v>PRY</v>
          </cell>
          <cell r="B2341">
            <v>2016</v>
          </cell>
          <cell r="C2341" t="str">
            <v>prod_inf_serv</v>
          </cell>
          <cell r="D2341">
            <v>-1.4915826320648189</v>
          </cell>
        </row>
        <row r="2342">
          <cell r="A2342" t="str">
            <v>PRY</v>
          </cell>
          <cell r="B2342">
            <v>2017</v>
          </cell>
          <cell r="C2342" t="str">
            <v>gdp_activity</v>
          </cell>
          <cell r="D2342">
            <v>0.41357913613319403</v>
          </cell>
        </row>
        <row r="2343">
          <cell r="A2343" t="str">
            <v>PRY</v>
          </cell>
          <cell r="B2343">
            <v>2017</v>
          </cell>
          <cell r="C2343" t="str">
            <v>gdp_for_agri</v>
          </cell>
          <cell r="D2343">
            <v>4.9855856895446777</v>
          </cell>
        </row>
        <row r="2344">
          <cell r="A2344" t="str">
            <v>PRY</v>
          </cell>
          <cell r="B2344">
            <v>2017</v>
          </cell>
          <cell r="C2344" t="str">
            <v>gdp_for_ind</v>
          </cell>
          <cell r="D2344">
            <v>3.0278177261352539</v>
          </cell>
        </row>
        <row r="2345">
          <cell r="A2345" t="str">
            <v>PRY</v>
          </cell>
          <cell r="B2345">
            <v>2017</v>
          </cell>
          <cell r="C2345" t="str">
            <v>gdp_for_serv</v>
          </cell>
          <cell r="D2345">
            <v>0.87929588556289673</v>
          </cell>
        </row>
        <row r="2346">
          <cell r="A2346" t="str">
            <v>PRY</v>
          </cell>
          <cell r="B2346">
            <v>2017</v>
          </cell>
          <cell r="C2346" t="str">
            <v>gdp_inf_agri</v>
          </cell>
          <cell r="D2346">
            <v>-1.039350748062134</v>
          </cell>
        </row>
        <row r="2347">
          <cell r="A2347" t="str">
            <v>PRY</v>
          </cell>
          <cell r="B2347">
            <v>2017</v>
          </cell>
          <cell r="C2347" t="str">
            <v>gdp_inf_ind</v>
          </cell>
          <cell r="D2347">
            <v>1.569578170776367</v>
          </cell>
        </row>
        <row r="2348">
          <cell r="A2348" t="str">
            <v>PRY</v>
          </cell>
          <cell r="B2348">
            <v>2017</v>
          </cell>
          <cell r="C2348" t="str">
            <v>gdp_inf_serv</v>
          </cell>
          <cell r="D2348">
            <v>0.63587629795074463</v>
          </cell>
        </row>
        <row r="2349">
          <cell r="A2349" t="str">
            <v>PRY</v>
          </cell>
          <cell r="B2349">
            <v>2017</v>
          </cell>
          <cell r="C2349" t="str">
            <v>prod_for_agri</v>
          </cell>
          <cell r="D2349">
            <v>-1.4404698610305791</v>
          </cell>
        </row>
        <row r="2350">
          <cell r="A2350" t="str">
            <v>PRY</v>
          </cell>
          <cell r="B2350">
            <v>2017</v>
          </cell>
          <cell r="C2350" t="str">
            <v>prod_for_ind</v>
          </cell>
          <cell r="D2350">
            <v>2.647546768188477</v>
          </cell>
        </row>
        <row r="2351">
          <cell r="A2351" t="str">
            <v>PRY</v>
          </cell>
          <cell r="B2351">
            <v>2017</v>
          </cell>
          <cell r="C2351" t="str">
            <v>prod_for_serv</v>
          </cell>
          <cell r="D2351">
            <v>3.0282950401306148</v>
          </cell>
        </row>
        <row r="2352">
          <cell r="A2352" t="str">
            <v>PRY</v>
          </cell>
          <cell r="B2352">
            <v>2017</v>
          </cell>
          <cell r="C2352" t="str">
            <v>prod_inf_agri</v>
          </cell>
          <cell r="D2352">
            <v>1.5300148725509639</v>
          </cell>
        </row>
        <row r="2353">
          <cell r="A2353" t="str">
            <v>PRY</v>
          </cell>
          <cell r="B2353">
            <v>2017</v>
          </cell>
          <cell r="C2353" t="str">
            <v>prod_inf_ind</v>
          </cell>
          <cell r="D2353">
            <v>-2.882965087890625</v>
          </cell>
        </row>
        <row r="2354">
          <cell r="A2354" t="str">
            <v>PRY</v>
          </cell>
          <cell r="B2354">
            <v>2017</v>
          </cell>
          <cell r="C2354" t="str">
            <v>prod_inf_serv</v>
          </cell>
          <cell r="D2354">
            <v>-3.9304249286651611</v>
          </cell>
        </row>
        <row r="2355">
          <cell r="A2355" t="str">
            <v>PRY</v>
          </cell>
          <cell r="B2355">
            <v>2018</v>
          </cell>
          <cell r="C2355" t="str">
            <v>gdp_activity</v>
          </cell>
          <cell r="D2355">
            <v>0.71707165241241455</v>
          </cell>
        </row>
        <row r="2356">
          <cell r="A2356" t="str">
            <v>PRY</v>
          </cell>
          <cell r="B2356">
            <v>2018</v>
          </cell>
          <cell r="C2356" t="str">
            <v>gdp_for_agri</v>
          </cell>
          <cell r="D2356">
            <v>11.128140449523929</v>
          </cell>
        </row>
        <row r="2357">
          <cell r="A2357" t="str">
            <v>PRY</v>
          </cell>
          <cell r="B2357">
            <v>2018</v>
          </cell>
          <cell r="C2357" t="str">
            <v>gdp_for_ind</v>
          </cell>
          <cell r="D2357">
            <v>4.7135963439941406</v>
          </cell>
        </row>
        <row r="2358">
          <cell r="A2358" t="str">
            <v>PRY</v>
          </cell>
          <cell r="B2358">
            <v>2018</v>
          </cell>
          <cell r="C2358" t="str">
            <v>gdp_for_serv</v>
          </cell>
          <cell r="D2358">
            <v>1.401108503341675</v>
          </cell>
        </row>
        <row r="2359">
          <cell r="A2359" t="str">
            <v>PRY</v>
          </cell>
          <cell r="B2359">
            <v>2018</v>
          </cell>
          <cell r="C2359" t="str">
            <v>gdp_inf_agri</v>
          </cell>
          <cell r="D2359">
            <v>0.4073660671710968</v>
          </cell>
        </row>
        <row r="2360">
          <cell r="A2360" t="str">
            <v>PRY</v>
          </cell>
          <cell r="B2360">
            <v>2018</v>
          </cell>
          <cell r="C2360" t="str">
            <v>gdp_inf_ind</v>
          </cell>
          <cell r="D2360">
            <v>-2.7933492660522461</v>
          </cell>
        </row>
        <row r="2361">
          <cell r="A2361" t="str">
            <v>PRY</v>
          </cell>
          <cell r="B2361">
            <v>2018</v>
          </cell>
          <cell r="C2361" t="str">
            <v>gdp_inf_serv</v>
          </cell>
          <cell r="D2361">
            <v>0.48273879289627081</v>
          </cell>
        </row>
        <row r="2362">
          <cell r="A2362" t="str">
            <v>PRY</v>
          </cell>
          <cell r="B2362">
            <v>2018</v>
          </cell>
          <cell r="C2362" t="str">
            <v>prod_for_agri</v>
          </cell>
          <cell r="D2362">
            <v>-22.45345306396484</v>
          </cell>
        </row>
        <row r="2363">
          <cell r="A2363" t="str">
            <v>PRY</v>
          </cell>
          <cell r="B2363">
            <v>2018</v>
          </cell>
          <cell r="C2363" t="str">
            <v>prod_for_ind</v>
          </cell>
          <cell r="D2363">
            <v>1.666772842407227</v>
          </cell>
        </row>
        <row r="2364">
          <cell r="A2364" t="str">
            <v>PRY</v>
          </cell>
          <cell r="B2364">
            <v>2018</v>
          </cell>
          <cell r="C2364" t="str">
            <v>prod_for_serv</v>
          </cell>
          <cell r="D2364">
            <v>2.887423992156982</v>
          </cell>
        </row>
        <row r="2365">
          <cell r="A2365" t="str">
            <v>PRY</v>
          </cell>
          <cell r="B2365">
            <v>2018</v>
          </cell>
          <cell r="C2365" t="str">
            <v>prod_inf_agri</v>
          </cell>
          <cell r="D2365">
            <v>-45.511379241943359</v>
          </cell>
        </row>
        <row r="2366">
          <cell r="A2366" t="str">
            <v>PRY</v>
          </cell>
          <cell r="B2366">
            <v>2018</v>
          </cell>
          <cell r="C2366" t="str">
            <v>prod_inf_ind</v>
          </cell>
          <cell r="D2366">
            <v>-0.22163666784763339</v>
          </cell>
        </row>
        <row r="2367">
          <cell r="A2367" t="str">
            <v>PRY</v>
          </cell>
          <cell r="B2367">
            <v>2018</v>
          </cell>
          <cell r="C2367" t="str">
            <v>prod_inf_serv</v>
          </cell>
          <cell r="D2367">
            <v>-2.8176403045654301</v>
          </cell>
        </row>
        <row r="2368">
          <cell r="A2368" t="str">
            <v>PRY</v>
          </cell>
          <cell r="B2368">
            <v>2019</v>
          </cell>
          <cell r="C2368" t="str">
            <v>gdp_activity</v>
          </cell>
          <cell r="D2368">
            <v>-8.5144071578979492</v>
          </cell>
        </row>
        <row r="2369">
          <cell r="A2369" t="str">
            <v>PRY</v>
          </cell>
          <cell r="B2369">
            <v>2019</v>
          </cell>
          <cell r="C2369" t="str">
            <v>gdp_for_agri</v>
          </cell>
          <cell r="D2369">
            <v>-9.7200489044189453</v>
          </cell>
        </row>
        <row r="2370">
          <cell r="A2370" t="str">
            <v>PRY</v>
          </cell>
          <cell r="B2370">
            <v>2019</v>
          </cell>
          <cell r="C2370" t="str">
            <v>gdp_for_ind</v>
          </cell>
          <cell r="D2370">
            <v>0.24219633638858801</v>
          </cell>
        </row>
        <row r="2371">
          <cell r="A2371" t="str">
            <v>PRY</v>
          </cell>
          <cell r="B2371">
            <v>2019</v>
          </cell>
          <cell r="C2371" t="str">
            <v>gdp_for_serv</v>
          </cell>
          <cell r="D2371">
            <v>2.8376319408416748</v>
          </cell>
        </row>
        <row r="2372">
          <cell r="A2372" t="str">
            <v>PRY</v>
          </cell>
          <cell r="B2372">
            <v>2019</v>
          </cell>
          <cell r="C2372" t="str">
            <v>gdp_inf_agri</v>
          </cell>
          <cell r="D2372">
            <v>-0.25222796201705933</v>
          </cell>
        </row>
        <row r="2373">
          <cell r="A2373" t="str">
            <v>PRY</v>
          </cell>
          <cell r="B2373">
            <v>2019</v>
          </cell>
          <cell r="C2373" t="str">
            <v>gdp_inf_ind</v>
          </cell>
          <cell r="D2373">
            <v>-1.8211847543716431</v>
          </cell>
        </row>
        <row r="2374">
          <cell r="A2374" t="str">
            <v>PRY</v>
          </cell>
          <cell r="B2374">
            <v>2019</v>
          </cell>
          <cell r="C2374" t="str">
            <v>gdp_inf_serv</v>
          </cell>
          <cell r="D2374">
            <v>1.27091383934021</v>
          </cell>
        </row>
        <row r="2375">
          <cell r="A2375" t="str">
            <v>PRY</v>
          </cell>
          <cell r="B2375">
            <v>2019</v>
          </cell>
          <cell r="C2375" t="str">
            <v>prod_for_agri</v>
          </cell>
          <cell r="D2375">
            <v>-0.94508856534957886</v>
          </cell>
        </row>
        <row r="2376">
          <cell r="A2376" t="str">
            <v>PRY</v>
          </cell>
          <cell r="B2376">
            <v>2019</v>
          </cell>
          <cell r="C2376" t="str">
            <v>prod_for_ind</v>
          </cell>
          <cell r="D2376">
            <v>0.43896132707595831</v>
          </cell>
        </row>
        <row r="2377">
          <cell r="A2377" t="str">
            <v>PRY</v>
          </cell>
          <cell r="B2377">
            <v>2019</v>
          </cell>
          <cell r="C2377" t="str">
            <v>prod_for_serv</v>
          </cell>
          <cell r="D2377">
            <v>3.0748717784881592</v>
          </cell>
        </row>
        <row r="2378">
          <cell r="A2378" t="str">
            <v>PRY</v>
          </cell>
          <cell r="B2378">
            <v>2019</v>
          </cell>
          <cell r="C2378" t="str">
            <v>prod_inf_agri</v>
          </cell>
          <cell r="D2378">
            <v>-3.9002807140350342</v>
          </cell>
        </row>
        <row r="2379">
          <cell r="A2379" t="str">
            <v>PRY</v>
          </cell>
          <cell r="B2379">
            <v>2019</v>
          </cell>
          <cell r="C2379" t="str">
            <v>prod_inf_ind</v>
          </cell>
          <cell r="D2379">
            <v>1.2052174806594851</v>
          </cell>
        </row>
        <row r="2380">
          <cell r="A2380" t="str">
            <v>PRY</v>
          </cell>
          <cell r="B2380">
            <v>2019</v>
          </cell>
          <cell r="C2380" t="str">
            <v>prod_inf_serv</v>
          </cell>
          <cell r="D2380">
            <v>0.62092608213424683</v>
          </cell>
        </row>
        <row r="2381">
          <cell r="A2381" t="str">
            <v>PRY</v>
          </cell>
          <cell r="B2381">
            <v>2020</v>
          </cell>
          <cell r="C2381" t="str">
            <v>gdp_activity</v>
          </cell>
          <cell r="D2381">
            <v>-2.8497171401977539</v>
          </cell>
        </row>
        <row r="2382">
          <cell r="A2382" t="str">
            <v>PRY</v>
          </cell>
          <cell r="B2382">
            <v>2020</v>
          </cell>
          <cell r="C2382" t="str">
            <v>gdp_for_agri</v>
          </cell>
          <cell r="D2382">
            <v>-3.8428504467010498</v>
          </cell>
        </row>
        <row r="2383">
          <cell r="A2383" t="str">
            <v>PRY</v>
          </cell>
          <cell r="B2383">
            <v>2020</v>
          </cell>
          <cell r="C2383" t="str">
            <v>gdp_for_ind</v>
          </cell>
          <cell r="D2383">
            <v>-10.88147068023682</v>
          </cell>
        </row>
        <row r="2384">
          <cell r="A2384" t="str">
            <v>PRY</v>
          </cell>
          <cell r="B2384">
            <v>2020</v>
          </cell>
          <cell r="C2384" t="str">
            <v>gdp_for_serv</v>
          </cell>
          <cell r="D2384">
            <v>1.4033288955688481</v>
          </cell>
        </row>
        <row r="2385">
          <cell r="A2385" t="str">
            <v>PRY</v>
          </cell>
          <cell r="B2385">
            <v>2020</v>
          </cell>
          <cell r="C2385" t="str">
            <v>gdp_inf_agri</v>
          </cell>
          <cell r="D2385">
            <v>0.92293304204940796</v>
          </cell>
        </row>
        <row r="2386">
          <cell r="A2386" t="str">
            <v>PRY</v>
          </cell>
          <cell r="B2386">
            <v>2020</v>
          </cell>
          <cell r="C2386" t="str">
            <v>gdp_inf_ind</v>
          </cell>
          <cell r="D2386">
            <v>3.8096449375152588</v>
          </cell>
        </row>
        <row r="2387">
          <cell r="A2387" t="str">
            <v>PRY</v>
          </cell>
          <cell r="B2387">
            <v>2020</v>
          </cell>
          <cell r="C2387" t="str">
            <v>gdp_inf_serv</v>
          </cell>
          <cell r="D2387">
            <v>-0.29886347055435181</v>
          </cell>
        </row>
        <row r="2388">
          <cell r="A2388" t="str">
            <v>PRY</v>
          </cell>
          <cell r="B2388">
            <v>2020</v>
          </cell>
          <cell r="C2388" t="str">
            <v>prod_for_agri</v>
          </cell>
          <cell r="D2388">
            <v>-5.7918086051940918</v>
          </cell>
        </row>
        <row r="2389">
          <cell r="A2389" t="str">
            <v>PRY</v>
          </cell>
          <cell r="B2389">
            <v>2020</v>
          </cell>
          <cell r="C2389" t="str">
            <v>prod_for_ind</v>
          </cell>
          <cell r="D2389">
            <v>8.6815319061279297</v>
          </cell>
        </row>
        <row r="2390">
          <cell r="A2390" t="str">
            <v>PRY</v>
          </cell>
          <cell r="B2390">
            <v>2020</v>
          </cell>
          <cell r="C2390" t="str">
            <v>prod_for_serv</v>
          </cell>
          <cell r="D2390">
            <v>1.7927496433258061</v>
          </cell>
        </row>
        <row r="2391">
          <cell r="A2391" t="str">
            <v>PRY</v>
          </cell>
          <cell r="B2391">
            <v>2020</v>
          </cell>
          <cell r="C2391" t="str">
            <v>prod_inf_agri</v>
          </cell>
          <cell r="D2391">
            <v>-15.276105880737299</v>
          </cell>
        </row>
        <row r="2392">
          <cell r="A2392" t="str">
            <v>PRY</v>
          </cell>
          <cell r="B2392">
            <v>2020</v>
          </cell>
          <cell r="C2392" t="str">
            <v>prod_inf_ind</v>
          </cell>
          <cell r="D2392">
            <v>-7.243889331817627</v>
          </cell>
        </row>
        <row r="2393">
          <cell r="A2393" t="str">
            <v>PRY</v>
          </cell>
          <cell r="B2393">
            <v>2020</v>
          </cell>
          <cell r="C2393" t="str">
            <v>prod_inf_serv</v>
          </cell>
          <cell r="D2393">
            <v>4.9067659378051758</v>
          </cell>
        </row>
        <row r="2394">
          <cell r="A2394" t="str">
            <v>PRY</v>
          </cell>
          <cell r="B2394">
            <v>2021</v>
          </cell>
          <cell r="C2394" t="str">
            <v>gdp_activity</v>
          </cell>
          <cell r="D2394">
            <v>0.22029601037502289</v>
          </cell>
        </row>
        <row r="2395">
          <cell r="A2395" t="str">
            <v>PRY</v>
          </cell>
          <cell r="B2395">
            <v>2021</v>
          </cell>
          <cell r="C2395" t="str">
            <v>gdp_for_agri</v>
          </cell>
          <cell r="D2395">
            <v>1.1898518800735469</v>
          </cell>
        </row>
        <row r="2396">
          <cell r="A2396" t="str">
            <v>PRY</v>
          </cell>
          <cell r="B2396">
            <v>2021</v>
          </cell>
          <cell r="C2396" t="str">
            <v>gdp_for_ind</v>
          </cell>
          <cell r="D2396">
            <v>1.809600710868835</v>
          </cell>
        </row>
        <row r="2397">
          <cell r="A2397" t="str">
            <v>PRY</v>
          </cell>
          <cell r="B2397">
            <v>2021</v>
          </cell>
          <cell r="C2397" t="str">
            <v>gdp_for_serv</v>
          </cell>
          <cell r="D2397">
            <v>-0.10305524617433549</v>
          </cell>
        </row>
        <row r="2398">
          <cell r="A2398" t="str">
            <v>PRY</v>
          </cell>
          <cell r="B2398">
            <v>2021</v>
          </cell>
          <cell r="C2398" t="str">
            <v>gdp_inf_agri</v>
          </cell>
          <cell r="D2398">
            <v>0.34406539797782898</v>
          </cell>
        </row>
        <row r="2399">
          <cell r="A2399" t="str">
            <v>PRY</v>
          </cell>
          <cell r="B2399">
            <v>2021</v>
          </cell>
          <cell r="C2399" t="str">
            <v>gdp_inf_ind</v>
          </cell>
          <cell r="D2399">
            <v>0.63242119550704956</v>
          </cell>
        </row>
        <row r="2400">
          <cell r="A2400" t="str">
            <v>PRY</v>
          </cell>
          <cell r="B2400">
            <v>2021</v>
          </cell>
          <cell r="C2400" t="str">
            <v>gdp_inf_serv</v>
          </cell>
          <cell r="D2400">
            <v>0.55523532629013062</v>
          </cell>
        </row>
        <row r="2401">
          <cell r="A2401" t="str">
            <v>PRY</v>
          </cell>
          <cell r="B2401">
            <v>2021</v>
          </cell>
          <cell r="C2401" t="str">
            <v>prod_for_agri</v>
          </cell>
          <cell r="D2401">
            <v>-1.96608567237854</v>
          </cell>
        </row>
        <row r="2402">
          <cell r="A2402" t="str">
            <v>PRY</v>
          </cell>
          <cell r="B2402">
            <v>2021</v>
          </cell>
          <cell r="C2402" t="str">
            <v>prod_for_ind</v>
          </cell>
          <cell r="D2402">
            <v>-12.900949478149411</v>
          </cell>
        </row>
        <row r="2403">
          <cell r="A2403" t="str">
            <v>PRY</v>
          </cell>
          <cell r="B2403">
            <v>2021</v>
          </cell>
          <cell r="C2403" t="str">
            <v>prod_for_serv</v>
          </cell>
          <cell r="D2403">
            <v>-0.54736042022705078</v>
          </cell>
        </row>
        <row r="2404">
          <cell r="A2404" t="str">
            <v>PRY</v>
          </cell>
          <cell r="B2404">
            <v>2021</v>
          </cell>
          <cell r="C2404" t="str">
            <v>prod_inf_agri</v>
          </cell>
          <cell r="D2404">
            <v>-2.207047700881958</v>
          </cell>
        </row>
        <row r="2405">
          <cell r="A2405" t="str">
            <v>PRY</v>
          </cell>
          <cell r="B2405">
            <v>2021</v>
          </cell>
          <cell r="C2405" t="str">
            <v>prod_inf_ind</v>
          </cell>
          <cell r="D2405">
            <v>0.2139343470335007</v>
          </cell>
        </row>
        <row r="2406">
          <cell r="A2406" t="str">
            <v>PRY</v>
          </cell>
          <cell r="B2406">
            <v>2021</v>
          </cell>
          <cell r="C2406" t="str">
            <v>prod_inf_serv</v>
          </cell>
          <cell r="D2406">
            <v>0.62544363737106323</v>
          </cell>
        </row>
        <row r="2407">
          <cell r="A2407" t="str">
            <v>PRY</v>
          </cell>
          <cell r="B2407">
            <v>2022</v>
          </cell>
          <cell r="C2407" t="str">
            <v>gdp_activity</v>
          </cell>
          <cell r="D2407">
            <v>1.464556217193604</v>
          </cell>
        </row>
        <row r="2408">
          <cell r="A2408" t="str">
            <v>PRY</v>
          </cell>
          <cell r="B2408">
            <v>2022</v>
          </cell>
          <cell r="C2408" t="str">
            <v>gdp_for_agri</v>
          </cell>
          <cell r="D2408">
            <v>-3.3520627021789551</v>
          </cell>
        </row>
        <row r="2409">
          <cell r="A2409" t="str">
            <v>PRY</v>
          </cell>
          <cell r="B2409">
            <v>2022</v>
          </cell>
          <cell r="C2409" t="str">
            <v>gdp_for_ind</v>
          </cell>
          <cell r="D2409">
            <v>23.958196640014648</v>
          </cell>
        </row>
        <row r="2410">
          <cell r="A2410" t="str">
            <v>PRY</v>
          </cell>
          <cell r="B2410">
            <v>2022</v>
          </cell>
          <cell r="C2410" t="str">
            <v>gdp_for_serv</v>
          </cell>
          <cell r="D2410">
            <v>4.0309734344482422</v>
          </cell>
        </row>
        <row r="2411">
          <cell r="A2411" t="str">
            <v>PRY</v>
          </cell>
          <cell r="B2411">
            <v>2022</v>
          </cell>
          <cell r="C2411" t="str">
            <v>gdp_inf_agri</v>
          </cell>
          <cell r="D2411">
            <v>1.91767418384552</v>
          </cell>
        </row>
        <row r="2412">
          <cell r="A2412" t="str">
            <v>PRY</v>
          </cell>
          <cell r="B2412">
            <v>2022</v>
          </cell>
          <cell r="C2412" t="str">
            <v>gdp_inf_ind</v>
          </cell>
          <cell r="D2412">
            <v>-12.946780204772949</v>
          </cell>
        </row>
        <row r="2413">
          <cell r="A2413" t="str">
            <v>PRY</v>
          </cell>
          <cell r="B2413">
            <v>2022</v>
          </cell>
          <cell r="C2413" t="str">
            <v>gdp_inf_serv</v>
          </cell>
          <cell r="D2413">
            <v>5.5494365692138672</v>
          </cell>
        </row>
        <row r="2414">
          <cell r="A2414" t="str">
            <v>PRY</v>
          </cell>
          <cell r="B2414">
            <v>2022</v>
          </cell>
          <cell r="C2414" t="str">
            <v>prod_for_agri</v>
          </cell>
          <cell r="D2414">
            <v>3.4515070915222168</v>
          </cell>
        </row>
        <row r="2415">
          <cell r="A2415" t="str">
            <v>PRY</v>
          </cell>
          <cell r="B2415">
            <v>2022</v>
          </cell>
          <cell r="C2415" t="str">
            <v>prod_for_ind</v>
          </cell>
          <cell r="D2415">
            <v>-1.1730999946594241</v>
          </cell>
        </row>
        <row r="2416">
          <cell r="A2416" t="str">
            <v>PRY</v>
          </cell>
          <cell r="B2416">
            <v>2022</v>
          </cell>
          <cell r="C2416" t="str">
            <v>prod_for_serv</v>
          </cell>
          <cell r="D2416">
            <v>0.5253521203994751</v>
          </cell>
        </row>
        <row r="2417">
          <cell r="A2417" t="str">
            <v>PRY</v>
          </cell>
          <cell r="B2417">
            <v>2022</v>
          </cell>
          <cell r="C2417" t="str">
            <v>prod_inf_agri</v>
          </cell>
          <cell r="D2417">
            <v>6.0083303451538086</v>
          </cell>
        </row>
        <row r="2418">
          <cell r="A2418" t="str">
            <v>PRY</v>
          </cell>
          <cell r="B2418">
            <v>2022</v>
          </cell>
          <cell r="C2418" t="str">
            <v>prod_inf_ind</v>
          </cell>
          <cell r="D2418">
            <v>-0.74346733093261719</v>
          </cell>
        </row>
        <row r="2419">
          <cell r="A2419" t="str">
            <v>PRY</v>
          </cell>
          <cell r="B2419">
            <v>2022</v>
          </cell>
          <cell r="C2419" t="str">
            <v>prod_inf_serv</v>
          </cell>
          <cell r="D2419">
            <v>-1.260159373283386</v>
          </cell>
        </row>
        <row r="2420">
          <cell r="A2420" t="str">
            <v>SLV</v>
          </cell>
          <cell r="B2420">
            <v>2008</v>
          </cell>
          <cell r="C2420" t="str">
            <v>gdp_activity</v>
          </cell>
          <cell r="D2420">
            <v>3.727213859558105</v>
          </cell>
        </row>
        <row r="2421">
          <cell r="A2421" t="str">
            <v>SLV</v>
          </cell>
          <cell r="B2421">
            <v>2008</v>
          </cell>
          <cell r="C2421" t="str">
            <v>gdp_for_agri</v>
          </cell>
          <cell r="D2421">
            <v>-305.4757080078125</v>
          </cell>
        </row>
        <row r="2422">
          <cell r="A2422" t="str">
            <v>SLV</v>
          </cell>
          <cell r="B2422">
            <v>2008</v>
          </cell>
          <cell r="C2422" t="str">
            <v>gdp_for_ind</v>
          </cell>
          <cell r="D2422">
            <v>3.764649391174316</v>
          </cell>
        </row>
        <row r="2423">
          <cell r="A2423" t="str">
            <v>SLV</v>
          </cell>
          <cell r="B2423">
            <v>2008</v>
          </cell>
          <cell r="C2423" t="str">
            <v>gdp_for_serv</v>
          </cell>
          <cell r="D2423">
            <v>-45.283554077148438</v>
          </cell>
        </row>
        <row r="2424">
          <cell r="A2424" t="str">
            <v>SLV</v>
          </cell>
          <cell r="B2424">
            <v>2008</v>
          </cell>
          <cell r="C2424" t="str">
            <v>gdp_inf_agri</v>
          </cell>
          <cell r="D2424">
            <v>-110.2460250854492</v>
          </cell>
        </row>
        <row r="2425">
          <cell r="A2425" t="str">
            <v>SLV</v>
          </cell>
          <cell r="B2425">
            <v>2008</v>
          </cell>
          <cell r="C2425" t="str">
            <v>gdp_inf_ind</v>
          </cell>
          <cell r="D2425">
            <v>-0.55713242292404175</v>
          </cell>
        </row>
        <row r="2426">
          <cell r="A2426" t="str">
            <v>SLV</v>
          </cell>
          <cell r="B2426">
            <v>2008</v>
          </cell>
          <cell r="C2426" t="str">
            <v>gdp_inf_serv</v>
          </cell>
          <cell r="D2426">
            <v>-44.071498870849609</v>
          </cell>
        </row>
        <row r="2427">
          <cell r="A2427" t="str">
            <v>SLV</v>
          </cell>
          <cell r="B2427">
            <v>2008</v>
          </cell>
          <cell r="C2427" t="str">
            <v>prod_for_agri</v>
          </cell>
          <cell r="D2427">
            <v>1.0186197757720949</v>
          </cell>
        </row>
        <row r="2428">
          <cell r="A2428" t="str">
            <v>SLV</v>
          </cell>
          <cell r="B2428">
            <v>2008</v>
          </cell>
          <cell r="C2428" t="str">
            <v>prod_for_ind</v>
          </cell>
          <cell r="D2428">
            <v>31.059511184692379</v>
          </cell>
        </row>
        <row r="2429">
          <cell r="A2429" t="str">
            <v>SLV</v>
          </cell>
          <cell r="B2429">
            <v>2008</v>
          </cell>
          <cell r="C2429" t="str">
            <v>prod_for_serv</v>
          </cell>
          <cell r="D2429">
            <v>0.85365593433380127</v>
          </cell>
        </row>
        <row r="2430">
          <cell r="A2430" t="str">
            <v>SLV</v>
          </cell>
          <cell r="B2430">
            <v>2008</v>
          </cell>
          <cell r="C2430" t="str">
            <v>prod_inf_agri</v>
          </cell>
          <cell r="D2430">
            <v>0.65674680471420288</v>
          </cell>
        </row>
        <row r="2431">
          <cell r="A2431" t="str">
            <v>SLV</v>
          </cell>
          <cell r="B2431">
            <v>2008</v>
          </cell>
          <cell r="C2431" t="str">
            <v>prod_inf_ind</v>
          </cell>
          <cell r="D2431">
            <v>9.9821243286132813</v>
          </cell>
        </row>
        <row r="2432">
          <cell r="A2432" t="str">
            <v>SLV</v>
          </cell>
          <cell r="B2432">
            <v>2008</v>
          </cell>
          <cell r="C2432" t="str">
            <v>prod_inf_serv</v>
          </cell>
          <cell r="D2432">
            <v>0.30455780029296881</v>
          </cell>
        </row>
        <row r="2433">
          <cell r="A2433" t="str">
            <v>SLV</v>
          </cell>
          <cell r="B2433">
            <v>2009</v>
          </cell>
          <cell r="C2433" t="str">
            <v>gdp_activity</v>
          </cell>
          <cell r="D2433">
            <v>-0.64006346464157104</v>
          </cell>
        </row>
        <row r="2434">
          <cell r="A2434" t="str">
            <v>SLV</v>
          </cell>
          <cell r="B2434">
            <v>2009</v>
          </cell>
          <cell r="C2434" t="str">
            <v>gdp_for_agri</v>
          </cell>
          <cell r="D2434">
            <v>-6.6477680206298828</v>
          </cell>
        </row>
        <row r="2435">
          <cell r="A2435" t="str">
            <v>SLV</v>
          </cell>
          <cell r="B2435">
            <v>2009</v>
          </cell>
          <cell r="C2435" t="str">
            <v>gdp_for_ind</v>
          </cell>
          <cell r="D2435">
            <v>3.031629085540771</v>
          </cell>
        </row>
        <row r="2436">
          <cell r="A2436" t="str">
            <v>SLV</v>
          </cell>
          <cell r="B2436">
            <v>2009</v>
          </cell>
          <cell r="C2436" t="str">
            <v>gdp_for_serv</v>
          </cell>
          <cell r="D2436">
            <v>4.1514406204223633</v>
          </cell>
        </row>
        <row r="2437">
          <cell r="A2437" t="str">
            <v>SLV</v>
          </cell>
          <cell r="B2437">
            <v>2009</v>
          </cell>
          <cell r="C2437" t="str">
            <v>gdp_inf_agri</v>
          </cell>
          <cell r="D2437">
            <v>-2.4122135639190669</v>
          </cell>
        </row>
        <row r="2438">
          <cell r="A2438" t="str">
            <v>SLV</v>
          </cell>
          <cell r="B2438">
            <v>2009</v>
          </cell>
          <cell r="C2438" t="str">
            <v>gdp_inf_ind</v>
          </cell>
          <cell r="D2438">
            <v>1.225742101669312</v>
          </cell>
        </row>
        <row r="2439">
          <cell r="A2439" t="str">
            <v>SLV</v>
          </cell>
          <cell r="B2439">
            <v>2009</v>
          </cell>
          <cell r="C2439" t="str">
            <v>gdp_inf_serv</v>
          </cell>
          <cell r="D2439">
            <v>-5.2576742172241211</v>
          </cell>
        </row>
        <row r="2440">
          <cell r="A2440" t="str">
            <v>SLV</v>
          </cell>
          <cell r="B2440">
            <v>2009</v>
          </cell>
          <cell r="C2440" t="str">
            <v>prod_for_agri</v>
          </cell>
          <cell r="D2440">
            <v>-0.39440807700157171</v>
          </cell>
        </row>
        <row r="2441">
          <cell r="A2441" t="str">
            <v>SLV</v>
          </cell>
          <cell r="B2441">
            <v>2009</v>
          </cell>
          <cell r="C2441" t="str">
            <v>prod_for_ind</v>
          </cell>
          <cell r="D2441">
            <v>-0.59777873754501343</v>
          </cell>
        </row>
        <row r="2442">
          <cell r="A2442" t="str">
            <v>SLV</v>
          </cell>
          <cell r="B2442">
            <v>2009</v>
          </cell>
          <cell r="C2442" t="str">
            <v>prod_for_serv</v>
          </cell>
          <cell r="D2442">
            <v>-2.2055008411407471</v>
          </cell>
        </row>
        <row r="2443">
          <cell r="A2443" t="str">
            <v>SLV</v>
          </cell>
          <cell r="B2443">
            <v>2009</v>
          </cell>
          <cell r="C2443" t="str">
            <v>prod_inf_agri</v>
          </cell>
          <cell r="D2443">
            <v>-0.15020494163036349</v>
          </cell>
        </row>
        <row r="2444">
          <cell r="A2444" t="str">
            <v>SLV</v>
          </cell>
          <cell r="B2444">
            <v>2009</v>
          </cell>
          <cell r="C2444" t="str">
            <v>prod_inf_ind</v>
          </cell>
          <cell r="D2444">
            <v>-0.20381490886211401</v>
          </cell>
        </row>
        <row r="2445">
          <cell r="A2445" t="str">
            <v>SLV</v>
          </cell>
          <cell r="B2445">
            <v>2009</v>
          </cell>
          <cell r="C2445" t="str">
            <v>prod_inf_serv</v>
          </cell>
          <cell r="D2445">
            <v>3.480461597442627</v>
          </cell>
        </row>
        <row r="2446">
          <cell r="A2446" t="str">
            <v>SLV</v>
          </cell>
          <cell r="B2446">
            <v>2010</v>
          </cell>
          <cell r="C2446" t="str">
            <v>gdp_activity</v>
          </cell>
          <cell r="D2446">
            <v>0.94086992740631104</v>
          </cell>
        </row>
        <row r="2447">
          <cell r="A2447" t="str">
            <v>SLV</v>
          </cell>
          <cell r="B2447">
            <v>2010</v>
          </cell>
          <cell r="C2447" t="str">
            <v>gdp_for_agri</v>
          </cell>
          <cell r="D2447">
            <v>-7.3178305625915527</v>
          </cell>
        </row>
        <row r="2448">
          <cell r="A2448" t="str">
            <v>SLV</v>
          </cell>
          <cell r="B2448">
            <v>2010</v>
          </cell>
          <cell r="C2448" t="str">
            <v>gdp_for_ind</v>
          </cell>
          <cell r="D2448">
            <v>0.34785372018814092</v>
          </cell>
        </row>
        <row r="2449">
          <cell r="A2449" t="str">
            <v>SLV</v>
          </cell>
          <cell r="B2449">
            <v>2010</v>
          </cell>
          <cell r="C2449" t="str">
            <v>gdp_for_serv</v>
          </cell>
          <cell r="D2449">
            <v>9.2336125671863556E-2</v>
          </cell>
        </row>
        <row r="2450">
          <cell r="A2450" t="str">
            <v>SLV</v>
          </cell>
          <cell r="B2450">
            <v>2010</v>
          </cell>
          <cell r="C2450" t="str">
            <v>gdp_inf_agri</v>
          </cell>
          <cell r="D2450">
            <v>0.5954890251159668</v>
          </cell>
        </row>
        <row r="2451">
          <cell r="A2451" t="str">
            <v>SLV</v>
          </cell>
          <cell r="B2451">
            <v>2010</v>
          </cell>
          <cell r="C2451" t="str">
            <v>gdp_inf_ind</v>
          </cell>
          <cell r="D2451">
            <v>3.428816556930542</v>
          </cell>
        </row>
        <row r="2452">
          <cell r="A2452" t="str">
            <v>SLV</v>
          </cell>
          <cell r="B2452">
            <v>2010</v>
          </cell>
          <cell r="C2452" t="str">
            <v>gdp_inf_serv</v>
          </cell>
          <cell r="D2452">
            <v>0.33646214008331299</v>
          </cell>
        </row>
        <row r="2453">
          <cell r="A2453" t="str">
            <v>SLV</v>
          </cell>
          <cell r="B2453">
            <v>2010</v>
          </cell>
          <cell r="C2453" t="str">
            <v>prod_for_agri</v>
          </cell>
          <cell r="D2453">
            <v>4.5794434547424316</v>
          </cell>
        </row>
        <row r="2454">
          <cell r="A2454" t="str">
            <v>SLV</v>
          </cell>
          <cell r="B2454">
            <v>2010</v>
          </cell>
          <cell r="C2454" t="str">
            <v>prod_for_ind</v>
          </cell>
          <cell r="D2454">
            <v>1.6469118595123291</v>
          </cell>
        </row>
        <row r="2455">
          <cell r="A2455" t="str">
            <v>SLV</v>
          </cell>
          <cell r="B2455">
            <v>2010</v>
          </cell>
          <cell r="C2455" t="str">
            <v>prod_for_serv</v>
          </cell>
          <cell r="D2455">
            <v>-6.1254086494445801</v>
          </cell>
        </row>
        <row r="2456">
          <cell r="A2456" t="str">
            <v>SLV</v>
          </cell>
          <cell r="B2456">
            <v>2010</v>
          </cell>
          <cell r="C2456" t="str">
            <v>prod_inf_agri</v>
          </cell>
          <cell r="D2456">
            <v>0.22780351340770719</v>
          </cell>
        </row>
        <row r="2457">
          <cell r="A2457" t="str">
            <v>SLV</v>
          </cell>
          <cell r="B2457">
            <v>2010</v>
          </cell>
          <cell r="C2457" t="str">
            <v>prod_inf_ind</v>
          </cell>
          <cell r="D2457">
            <v>-1.435863733291626</v>
          </cell>
        </row>
        <row r="2458">
          <cell r="A2458" t="str">
            <v>SLV</v>
          </cell>
          <cell r="B2458">
            <v>2010</v>
          </cell>
          <cell r="C2458" t="str">
            <v>prod_inf_serv</v>
          </cell>
          <cell r="D2458">
            <v>2.52055811882019</v>
          </cell>
        </row>
        <row r="2459">
          <cell r="A2459" t="str">
            <v>SLV</v>
          </cell>
          <cell r="B2459">
            <v>2011</v>
          </cell>
          <cell r="C2459" t="str">
            <v>gdp_activity</v>
          </cell>
          <cell r="D2459">
            <v>0.58729755878448486</v>
          </cell>
        </row>
        <row r="2460">
          <cell r="A2460" t="str">
            <v>SLV</v>
          </cell>
          <cell r="B2460">
            <v>2011</v>
          </cell>
          <cell r="C2460" t="str">
            <v>gdp_for_agri</v>
          </cell>
          <cell r="D2460">
            <v>-2.06151270866394</v>
          </cell>
        </row>
        <row r="2461">
          <cell r="A2461" t="str">
            <v>SLV</v>
          </cell>
          <cell r="B2461">
            <v>2011</v>
          </cell>
          <cell r="C2461" t="str">
            <v>gdp_for_ind</v>
          </cell>
          <cell r="D2461">
            <v>0.94459950923919678</v>
          </cell>
        </row>
        <row r="2462">
          <cell r="A2462" t="str">
            <v>SLV</v>
          </cell>
          <cell r="B2462">
            <v>2011</v>
          </cell>
          <cell r="C2462" t="str">
            <v>gdp_for_serv</v>
          </cell>
          <cell r="D2462">
            <v>0.33518123626708979</v>
          </cell>
        </row>
        <row r="2463">
          <cell r="A2463" t="str">
            <v>SLV</v>
          </cell>
          <cell r="B2463">
            <v>2011</v>
          </cell>
          <cell r="C2463" t="str">
            <v>gdp_inf_agri</v>
          </cell>
          <cell r="D2463">
            <v>-1.5481986999511721</v>
          </cell>
        </row>
        <row r="2464">
          <cell r="A2464" t="str">
            <v>SLV</v>
          </cell>
          <cell r="B2464">
            <v>2011</v>
          </cell>
          <cell r="C2464" t="str">
            <v>gdp_inf_ind</v>
          </cell>
          <cell r="D2464">
            <v>-0.1636471301317215</v>
          </cell>
        </row>
        <row r="2465">
          <cell r="A2465" t="str">
            <v>SLV</v>
          </cell>
          <cell r="B2465">
            <v>2011</v>
          </cell>
          <cell r="C2465" t="str">
            <v>gdp_inf_serv</v>
          </cell>
          <cell r="D2465">
            <v>0.58342897891998291</v>
          </cell>
        </row>
        <row r="2466">
          <cell r="A2466" t="str">
            <v>SLV</v>
          </cell>
          <cell r="B2466">
            <v>2011</v>
          </cell>
          <cell r="C2466" t="str">
            <v>prod_for_agri</v>
          </cell>
          <cell r="D2466">
            <v>2.483568668365479</v>
          </cell>
        </row>
        <row r="2467">
          <cell r="A2467" t="str">
            <v>SLV</v>
          </cell>
          <cell r="B2467">
            <v>2011</v>
          </cell>
          <cell r="C2467" t="str">
            <v>prod_for_ind</v>
          </cell>
          <cell r="D2467">
            <v>-0.44726905226707458</v>
          </cell>
        </row>
        <row r="2468">
          <cell r="A2468" t="str">
            <v>SLV</v>
          </cell>
          <cell r="B2468">
            <v>2011</v>
          </cell>
          <cell r="C2468" t="str">
            <v>prod_for_serv</v>
          </cell>
          <cell r="D2468">
            <v>-2.1746504306793208</v>
          </cell>
        </row>
        <row r="2469">
          <cell r="A2469" t="str">
            <v>SLV</v>
          </cell>
          <cell r="B2469">
            <v>2011</v>
          </cell>
          <cell r="C2469" t="str">
            <v>prod_inf_agri</v>
          </cell>
          <cell r="D2469">
            <v>-7.1759335696697235E-2</v>
          </cell>
        </row>
        <row r="2470">
          <cell r="A2470" t="str">
            <v>SLV</v>
          </cell>
          <cell r="B2470">
            <v>2011</v>
          </cell>
          <cell r="C2470" t="str">
            <v>prod_inf_ind</v>
          </cell>
          <cell r="D2470">
            <v>-0.83415472507476807</v>
          </cell>
        </row>
        <row r="2471">
          <cell r="A2471" t="str">
            <v>SLV</v>
          </cell>
          <cell r="B2471">
            <v>2011</v>
          </cell>
          <cell r="C2471" t="str">
            <v>prod_inf_serv</v>
          </cell>
          <cell r="D2471">
            <v>-3.1369419097900391</v>
          </cell>
        </row>
        <row r="2472">
          <cell r="A2472" t="str">
            <v>SLV</v>
          </cell>
          <cell r="B2472">
            <v>2012</v>
          </cell>
          <cell r="C2472" t="str">
            <v>gdp_activity</v>
          </cell>
          <cell r="D2472">
            <v>0.99585193395614624</v>
          </cell>
        </row>
        <row r="2473">
          <cell r="A2473" t="str">
            <v>SLV</v>
          </cell>
          <cell r="B2473">
            <v>2012</v>
          </cell>
          <cell r="C2473" t="str">
            <v>gdp_for_agri</v>
          </cell>
          <cell r="D2473">
            <v>4.3971176147460938</v>
          </cell>
        </row>
        <row r="2474">
          <cell r="A2474" t="str">
            <v>SLV</v>
          </cell>
          <cell r="B2474">
            <v>2012</v>
          </cell>
          <cell r="C2474" t="str">
            <v>gdp_for_ind</v>
          </cell>
          <cell r="D2474">
            <v>-1.14477550983429</v>
          </cell>
        </row>
        <row r="2475">
          <cell r="A2475" t="str">
            <v>SLV</v>
          </cell>
          <cell r="B2475">
            <v>2012</v>
          </cell>
          <cell r="C2475" t="str">
            <v>gdp_for_serv</v>
          </cell>
          <cell r="D2475">
            <v>1.271032452583313</v>
          </cell>
        </row>
        <row r="2476">
          <cell r="A2476" t="str">
            <v>SLV</v>
          </cell>
          <cell r="B2476">
            <v>2012</v>
          </cell>
          <cell r="C2476" t="str">
            <v>gdp_inf_agri</v>
          </cell>
          <cell r="D2476">
            <v>0.11113185435533519</v>
          </cell>
        </row>
        <row r="2477">
          <cell r="A2477" t="str">
            <v>SLV</v>
          </cell>
          <cell r="B2477">
            <v>2012</v>
          </cell>
          <cell r="C2477" t="str">
            <v>gdp_inf_ind</v>
          </cell>
          <cell r="D2477">
            <v>3.4350366592407231</v>
          </cell>
        </row>
        <row r="2478">
          <cell r="A2478" t="str">
            <v>SLV</v>
          </cell>
          <cell r="B2478">
            <v>2012</v>
          </cell>
          <cell r="C2478" t="str">
            <v>gdp_inf_serv</v>
          </cell>
          <cell r="D2478">
            <v>1.4263038635253911</v>
          </cell>
        </row>
        <row r="2479">
          <cell r="A2479" t="str">
            <v>SLV</v>
          </cell>
          <cell r="B2479">
            <v>2012</v>
          </cell>
          <cell r="C2479" t="str">
            <v>prod_for_agri</v>
          </cell>
          <cell r="D2479">
            <v>1.4796056747436519</v>
          </cell>
        </row>
        <row r="2480">
          <cell r="A2480" t="str">
            <v>SLV</v>
          </cell>
          <cell r="B2480">
            <v>2012</v>
          </cell>
          <cell r="C2480" t="str">
            <v>prod_for_ind</v>
          </cell>
          <cell r="D2480">
            <v>-5.0683484077453613</v>
          </cell>
        </row>
        <row r="2481">
          <cell r="A2481" t="str">
            <v>SLV</v>
          </cell>
          <cell r="B2481">
            <v>2012</v>
          </cell>
          <cell r="C2481" t="str">
            <v>prod_for_serv</v>
          </cell>
          <cell r="D2481">
            <v>-1.6089696884155269</v>
          </cell>
        </row>
        <row r="2482">
          <cell r="A2482" t="str">
            <v>SLV</v>
          </cell>
          <cell r="B2482">
            <v>2012</v>
          </cell>
          <cell r="C2482" t="str">
            <v>prod_inf_agri</v>
          </cell>
          <cell r="D2482">
            <v>-0.78060030937194824</v>
          </cell>
        </row>
        <row r="2483">
          <cell r="A2483" t="str">
            <v>SLV</v>
          </cell>
          <cell r="B2483">
            <v>2012</v>
          </cell>
          <cell r="C2483" t="str">
            <v>prod_inf_ind</v>
          </cell>
          <cell r="D2483">
            <v>0.13064245879650119</v>
          </cell>
        </row>
        <row r="2484">
          <cell r="A2484" t="str">
            <v>SLV</v>
          </cell>
          <cell r="B2484">
            <v>2012</v>
          </cell>
          <cell r="C2484" t="str">
            <v>prod_inf_serv</v>
          </cell>
          <cell r="D2484">
            <v>1.4936777353286741</v>
          </cell>
        </row>
        <row r="2485">
          <cell r="A2485" t="str">
            <v>SLV</v>
          </cell>
          <cell r="B2485">
            <v>2013</v>
          </cell>
          <cell r="C2485" t="str">
            <v>gdp_activity</v>
          </cell>
          <cell r="D2485">
            <v>1.0886280536651609</v>
          </cell>
        </row>
        <row r="2486">
          <cell r="A2486" t="str">
            <v>SLV</v>
          </cell>
          <cell r="B2486">
            <v>2013</v>
          </cell>
          <cell r="C2486" t="str">
            <v>gdp_for_agri</v>
          </cell>
          <cell r="D2486">
            <v>-1.480085134506226</v>
          </cell>
        </row>
        <row r="2487">
          <cell r="A2487" t="str">
            <v>SLV</v>
          </cell>
          <cell r="B2487">
            <v>2013</v>
          </cell>
          <cell r="C2487" t="str">
            <v>gdp_for_ind</v>
          </cell>
          <cell r="D2487">
            <v>4.2225260734558114</v>
          </cell>
        </row>
        <row r="2488">
          <cell r="A2488" t="str">
            <v>SLV</v>
          </cell>
          <cell r="B2488">
            <v>2013</v>
          </cell>
          <cell r="C2488" t="str">
            <v>gdp_for_serv</v>
          </cell>
          <cell r="D2488">
            <v>3.0853719711303711</v>
          </cell>
        </row>
        <row r="2489">
          <cell r="A2489" t="str">
            <v>SLV</v>
          </cell>
          <cell r="B2489">
            <v>2013</v>
          </cell>
          <cell r="C2489" t="str">
            <v>gdp_inf_agri</v>
          </cell>
          <cell r="D2489">
            <v>0.65310013294219971</v>
          </cell>
        </row>
        <row r="2490">
          <cell r="A2490" t="str">
            <v>SLV</v>
          </cell>
          <cell r="B2490">
            <v>2013</v>
          </cell>
          <cell r="C2490" t="str">
            <v>gdp_inf_ind</v>
          </cell>
          <cell r="D2490">
            <v>-3.5260410308837891</v>
          </cell>
        </row>
        <row r="2491">
          <cell r="A2491" t="str">
            <v>SLV</v>
          </cell>
          <cell r="B2491">
            <v>2013</v>
          </cell>
          <cell r="C2491" t="str">
            <v>gdp_inf_serv</v>
          </cell>
          <cell r="D2491">
            <v>1.4494903087615969</v>
          </cell>
        </row>
        <row r="2492">
          <cell r="A2492" t="str">
            <v>SLV</v>
          </cell>
          <cell r="B2492">
            <v>2013</v>
          </cell>
          <cell r="C2492" t="str">
            <v>prod_for_agri</v>
          </cell>
          <cell r="D2492">
            <v>-6.3432960510253906</v>
          </cell>
        </row>
        <row r="2493">
          <cell r="A2493" t="str">
            <v>SLV</v>
          </cell>
          <cell r="B2493">
            <v>2013</v>
          </cell>
          <cell r="C2493" t="str">
            <v>prod_for_ind</v>
          </cell>
          <cell r="D2493">
            <v>-0.73564529418945313</v>
          </cell>
        </row>
        <row r="2494">
          <cell r="A2494" t="str">
            <v>SLV</v>
          </cell>
          <cell r="B2494">
            <v>2013</v>
          </cell>
          <cell r="C2494" t="str">
            <v>prod_for_serv</v>
          </cell>
          <cell r="D2494">
            <v>-3.0703094005584721</v>
          </cell>
        </row>
        <row r="2495">
          <cell r="A2495" t="str">
            <v>SLV</v>
          </cell>
          <cell r="B2495">
            <v>2013</v>
          </cell>
          <cell r="C2495" t="str">
            <v>prod_inf_agri</v>
          </cell>
          <cell r="D2495">
            <v>-1.7938065528869629</v>
          </cell>
        </row>
        <row r="2496">
          <cell r="A2496" t="str">
            <v>SLV</v>
          </cell>
          <cell r="B2496">
            <v>2013</v>
          </cell>
          <cell r="C2496" t="str">
            <v>prod_inf_ind</v>
          </cell>
          <cell r="D2496">
            <v>-0.65013259649276733</v>
          </cell>
        </row>
        <row r="2497">
          <cell r="A2497" t="str">
            <v>SLV</v>
          </cell>
          <cell r="B2497">
            <v>2013</v>
          </cell>
          <cell r="C2497" t="str">
            <v>prod_inf_serv</v>
          </cell>
          <cell r="D2497">
            <v>-1.4300578832626341</v>
          </cell>
        </row>
        <row r="2498">
          <cell r="A2498" t="str">
            <v>SLV</v>
          </cell>
          <cell r="B2498">
            <v>2014</v>
          </cell>
          <cell r="C2498" t="str">
            <v>gdp_activity</v>
          </cell>
          <cell r="D2498">
            <v>0.53207772970199585</v>
          </cell>
        </row>
        <row r="2499">
          <cell r="A2499" t="str">
            <v>SLV</v>
          </cell>
          <cell r="B2499">
            <v>2014</v>
          </cell>
          <cell r="C2499" t="str">
            <v>gdp_for_agri</v>
          </cell>
          <cell r="D2499">
            <v>-14.42792987823486</v>
          </cell>
        </row>
        <row r="2500">
          <cell r="A2500" t="str">
            <v>SLV</v>
          </cell>
          <cell r="B2500">
            <v>2014</v>
          </cell>
          <cell r="C2500" t="str">
            <v>gdp_for_ind</v>
          </cell>
          <cell r="D2500">
            <v>1.682971715927124</v>
          </cell>
        </row>
        <row r="2501">
          <cell r="A2501" t="str">
            <v>SLV</v>
          </cell>
          <cell r="B2501">
            <v>2014</v>
          </cell>
          <cell r="C2501" t="str">
            <v>gdp_for_serv</v>
          </cell>
          <cell r="D2501">
            <v>2.6867372989654541</v>
          </cell>
        </row>
        <row r="2502">
          <cell r="A2502" t="str">
            <v>SLV</v>
          </cell>
          <cell r="B2502">
            <v>2014</v>
          </cell>
          <cell r="C2502" t="str">
            <v>gdp_inf_agri</v>
          </cell>
          <cell r="D2502">
            <v>-4.4880814552307129</v>
          </cell>
        </row>
        <row r="2503">
          <cell r="A2503" t="str">
            <v>SLV</v>
          </cell>
          <cell r="B2503">
            <v>2014</v>
          </cell>
          <cell r="C2503" t="str">
            <v>gdp_inf_ind</v>
          </cell>
          <cell r="D2503">
            <v>1.4637042284011841</v>
          </cell>
        </row>
        <row r="2504">
          <cell r="A2504" t="str">
            <v>SLV</v>
          </cell>
          <cell r="B2504">
            <v>2014</v>
          </cell>
          <cell r="C2504" t="str">
            <v>gdp_inf_serv</v>
          </cell>
          <cell r="D2504">
            <v>-0.50336694717407227</v>
          </cell>
        </row>
        <row r="2505">
          <cell r="A2505" t="str">
            <v>SLV</v>
          </cell>
          <cell r="B2505">
            <v>2014</v>
          </cell>
          <cell r="C2505" t="str">
            <v>prod_for_agri</v>
          </cell>
          <cell r="D2505">
            <v>-2.4583621025085449</v>
          </cell>
        </row>
        <row r="2506">
          <cell r="A2506" t="str">
            <v>SLV</v>
          </cell>
          <cell r="B2506">
            <v>2014</v>
          </cell>
          <cell r="C2506" t="str">
            <v>prod_for_ind</v>
          </cell>
          <cell r="D2506">
            <v>1.9846147298812871</v>
          </cell>
        </row>
        <row r="2507">
          <cell r="A2507" t="str">
            <v>SLV</v>
          </cell>
          <cell r="B2507">
            <v>2014</v>
          </cell>
          <cell r="C2507" t="str">
            <v>prod_for_serv</v>
          </cell>
          <cell r="D2507">
            <v>-13.143362045288089</v>
          </cell>
        </row>
        <row r="2508">
          <cell r="A2508" t="str">
            <v>SLV</v>
          </cell>
          <cell r="B2508">
            <v>2014</v>
          </cell>
          <cell r="C2508" t="str">
            <v>prod_inf_agri</v>
          </cell>
          <cell r="D2508">
            <v>-0.62534946203231812</v>
          </cell>
        </row>
        <row r="2509">
          <cell r="A2509" t="str">
            <v>SLV</v>
          </cell>
          <cell r="B2509">
            <v>2014</v>
          </cell>
          <cell r="C2509" t="str">
            <v>prod_inf_ind</v>
          </cell>
          <cell r="D2509">
            <v>-8.2904348373413086</v>
          </cell>
        </row>
        <row r="2510">
          <cell r="A2510" t="str">
            <v>SLV</v>
          </cell>
          <cell r="B2510">
            <v>2014</v>
          </cell>
          <cell r="C2510" t="str">
            <v>prod_inf_serv</v>
          </cell>
          <cell r="D2510">
            <v>2.6005218029022221</v>
          </cell>
        </row>
        <row r="2511">
          <cell r="A2511" t="str">
            <v>SLV</v>
          </cell>
          <cell r="B2511">
            <v>2015</v>
          </cell>
          <cell r="C2511" t="str">
            <v>gdp_activity</v>
          </cell>
          <cell r="D2511">
            <v>0.1176733896136284</v>
          </cell>
        </row>
        <row r="2512">
          <cell r="A2512" t="str">
            <v>SLV</v>
          </cell>
          <cell r="B2512">
            <v>2015</v>
          </cell>
          <cell r="C2512" t="str">
            <v>gdp_for_agri</v>
          </cell>
          <cell r="D2512">
            <v>-0.51456314325332642</v>
          </cell>
        </row>
        <row r="2513">
          <cell r="A2513" t="str">
            <v>SLV</v>
          </cell>
          <cell r="B2513">
            <v>2015</v>
          </cell>
          <cell r="C2513" t="str">
            <v>gdp_for_ind</v>
          </cell>
          <cell r="D2513">
            <v>3.356238842010498</v>
          </cell>
        </row>
        <row r="2514">
          <cell r="A2514" t="str">
            <v>SLV</v>
          </cell>
          <cell r="B2514">
            <v>2015</v>
          </cell>
          <cell r="C2514" t="str">
            <v>gdp_for_serv</v>
          </cell>
          <cell r="D2514">
            <v>-0.1687193959951401</v>
          </cell>
        </row>
        <row r="2515">
          <cell r="A2515" t="str">
            <v>SLV</v>
          </cell>
          <cell r="B2515">
            <v>2015</v>
          </cell>
          <cell r="C2515" t="str">
            <v>gdp_inf_agri</v>
          </cell>
          <cell r="D2515">
            <v>0.57825362682342529</v>
          </cell>
        </row>
        <row r="2516">
          <cell r="A2516" t="str">
            <v>SLV</v>
          </cell>
          <cell r="B2516">
            <v>2015</v>
          </cell>
          <cell r="C2516" t="str">
            <v>gdp_inf_ind</v>
          </cell>
          <cell r="D2516">
            <v>4.886176586151123</v>
          </cell>
        </row>
        <row r="2517">
          <cell r="A2517" t="str">
            <v>SLV</v>
          </cell>
          <cell r="B2517">
            <v>2015</v>
          </cell>
          <cell r="C2517" t="str">
            <v>gdp_inf_serv</v>
          </cell>
          <cell r="D2517">
            <v>-0.2462603747844696</v>
          </cell>
        </row>
        <row r="2518">
          <cell r="A2518" t="str">
            <v>SLV</v>
          </cell>
          <cell r="B2518">
            <v>2015</v>
          </cell>
          <cell r="C2518" t="str">
            <v>prod_for_agri</v>
          </cell>
          <cell r="D2518">
            <v>-8.7713136672973633</v>
          </cell>
        </row>
        <row r="2519">
          <cell r="A2519" t="str">
            <v>SLV</v>
          </cell>
          <cell r="B2519">
            <v>2015</v>
          </cell>
          <cell r="C2519" t="str">
            <v>prod_for_ind</v>
          </cell>
          <cell r="D2519">
            <v>-2.8929424285888672</v>
          </cell>
        </row>
        <row r="2520">
          <cell r="A2520" t="str">
            <v>SLV</v>
          </cell>
          <cell r="B2520">
            <v>2015</v>
          </cell>
          <cell r="C2520" t="str">
            <v>prod_for_serv</v>
          </cell>
          <cell r="D2520">
            <v>-0.5219954252243042</v>
          </cell>
        </row>
        <row r="2521">
          <cell r="A2521" t="str">
            <v>SLV</v>
          </cell>
          <cell r="B2521">
            <v>2015</v>
          </cell>
          <cell r="C2521" t="str">
            <v>prod_inf_agri</v>
          </cell>
          <cell r="D2521">
            <v>-3.3858933448791499</v>
          </cell>
        </row>
        <row r="2522">
          <cell r="A2522" t="str">
            <v>SLV</v>
          </cell>
          <cell r="B2522">
            <v>2015</v>
          </cell>
          <cell r="C2522" t="str">
            <v>prod_inf_ind</v>
          </cell>
          <cell r="D2522">
            <v>0.62329977750778198</v>
          </cell>
        </row>
        <row r="2523">
          <cell r="A2523" t="str">
            <v>SLV</v>
          </cell>
          <cell r="B2523">
            <v>2015</v>
          </cell>
          <cell r="C2523" t="str">
            <v>prod_inf_serv</v>
          </cell>
          <cell r="D2523">
            <v>0.65736258029937744</v>
          </cell>
        </row>
        <row r="2524">
          <cell r="A2524" t="str">
            <v>SLV</v>
          </cell>
          <cell r="B2524">
            <v>2016</v>
          </cell>
          <cell r="C2524" t="str">
            <v>gdp_activity</v>
          </cell>
          <cell r="D2524">
            <v>1.097753047943115</v>
          </cell>
        </row>
        <row r="2525">
          <cell r="A2525" t="str">
            <v>SLV</v>
          </cell>
          <cell r="B2525">
            <v>2016</v>
          </cell>
          <cell r="C2525" t="str">
            <v>gdp_for_agri</v>
          </cell>
          <cell r="D2525">
            <v>1.898926258087158</v>
          </cell>
        </row>
        <row r="2526">
          <cell r="A2526" t="str">
            <v>SLV</v>
          </cell>
          <cell r="B2526">
            <v>2016</v>
          </cell>
          <cell r="C2526" t="str">
            <v>gdp_for_ind</v>
          </cell>
          <cell r="D2526">
            <v>1.671461820602417</v>
          </cell>
        </row>
        <row r="2527">
          <cell r="A2527" t="str">
            <v>SLV</v>
          </cell>
          <cell r="B2527">
            <v>2016</v>
          </cell>
          <cell r="C2527" t="str">
            <v>gdp_for_serv</v>
          </cell>
          <cell r="D2527">
            <v>0.34920698404312128</v>
          </cell>
        </row>
        <row r="2528">
          <cell r="A2528" t="str">
            <v>SLV</v>
          </cell>
          <cell r="B2528">
            <v>2016</v>
          </cell>
          <cell r="C2528" t="str">
            <v>gdp_inf_agri</v>
          </cell>
          <cell r="D2528">
            <v>0.69633245468139648</v>
          </cell>
        </row>
        <row r="2529">
          <cell r="A2529" t="str">
            <v>SLV</v>
          </cell>
          <cell r="B2529">
            <v>2016</v>
          </cell>
          <cell r="C2529" t="str">
            <v>gdp_inf_ind</v>
          </cell>
          <cell r="D2529">
            <v>-4.7037034034729004</v>
          </cell>
        </row>
        <row r="2530">
          <cell r="A2530" t="str">
            <v>SLV</v>
          </cell>
          <cell r="B2530">
            <v>2016</v>
          </cell>
          <cell r="C2530" t="str">
            <v>gdp_inf_serv</v>
          </cell>
          <cell r="D2530">
            <v>1.494004368782043</v>
          </cell>
        </row>
        <row r="2531">
          <cell r="A2531" t="str">
            <v>SLV</v>
          </cell>
          <cell r="B2531">
            <v>2016</v>
          </cell>
          <cell r="C2531" t="str">
            <v>prod_for_agri</v>
          </cell>
          <cell r="D2531">
            <v>-7.508610725402832</v>
          </cell>
        </row>
        <row r="2532">
          <cell r="A2532" t="str">
            <v>SLV</v>
          </cell>
          <cell r="B2532">
            <v>2016</v>
          </cell>
          <cell r="C2532" t="str">
            <v>prod_for_ind</v>
          </cell>
          <cell r="D2532">
            <v>-1.8007286787033081</v>
          </cell>
        </row>
        <row r="2533">
          <cell r="A2533" t="str">
            <v>SLV</v>
          </cell>
          <cell r="B2533">
            <v>2016</v>
          </cell>
          <cell r="C2533" t="str">
            <v>prod_for_serv</v>
          </cell>
          <cell r="D2533">
            <v>-3.755588054656982</v>
          </cell>
        </row>
        <row r="2534">
          <cell r="A2534" t="str">
            <v>SLV</v>
          </cell>
          <cell r="B2534">
            <v>2016</v>
          </cell>
          <cell r="C2534" t="str">
            <v>prod_inf_agri</v>
          </cell>
          <cell r="D2534">
            <v>-2.364568948745728</v>
          </cell>
        </row>
        <row r="2535">
          <cell r="A2535" t="str">
            <v>SLV</v>
          </cell>
          <cell r="B2535">
            <v>2016</v>
          </cell>
          <cell r="C2535" t="str">
            <v>prod_inf_ind</v>
          </cell>
          <cell r="D2535">
            <v>0.12594996392726901</v>
          </cell>
        </row>
        <row r="2536">
          <cell r="A2536" t="str">
            <v>SLV</v>
          </cell>
          <cell r="B2536">
            <v>2016</v>
          </cell>
          <cell r="C2536" t="str">
            <v>prod_inf_serv</v>
          </cell>
          <cell r="D2536">
            <v>-11.012656211853029</v>
          </cell>
        </row>
        <row r="2537">
          <cell r="A2537" t="str">
            <v>SLV</v>
          </cell>
          <cell r="B2537">
            <v>2017</v>
          </cell>
          <cell r="C2537" t="str">
            <v>gdp_activity</v>
          </cell>
          <cell r="D2537">
            <v>0.49405765533447271</v>
          </cell>
        </row>
        <row r="2538">
          <cell r="A2538" t="str">
            <v>SLV</v>
          </cell>
          <cell r="B2538">
            <v>2017</v>
          </cell>
          <cell r="C2538" t="str">
            <v>gdp_for_agri</v>
          </cell>
          <cell r="D2538">
            <v>24.715749740600589</v>
          </cell>
        </row>
        <row r="2539">
          <cell r="A2539" t="str">
            <v>SLV</v>
          </cell>
          <cell r="B2539">
            <v>2017</v>
          </cell>
          <cell r="C2539" t="str">
            <v>gdp_for_ind</v>
          </cell>
          <cell r="D2539">
            <v>1.3013180494308469</v>
          </cell>
        </row>
        <row r="2540">
          <cell r="A2540" t="str">
            <v>SLV</v>
          </cell>
          <cell r="B2540">
            <v>2017</v>
          </cell>
          <cell r="C2540" t="str">
            <v>gdp_for_serv</v>
          </cell>
          <cell r="D2540">
            <v>-1.415838956832886</v>
          </cell>
        </row>
        <row r="2541">
          <cell r="A2541" t="str">
            <v>SLV</v>
          </cell>
          <cell r="B2541">
            <v>2017</v>
          </cell>
          <cell r="C2541" t="str">
            <v>gdp_inf_agri</v>
          </cell>
          <cell r="D2541">
            <v>-0.93867272138595581</v>
          </cell>
        </row>
        <row r="2542">
          <cell r="A2542" t="str">
            <v>SLV</v>
          </cell>
          <cell r="B2542">
            <v>2017</v>
          </cell>
          <cell r="C2542" t="str">
            <v>gdp_inf_ind</v>
          </cell>
          <cell r="D2542">
            <v>3.0703010559082031</v>
          </cell>
        </row>
        <row r="2543">
          <cell r="A2543" t="str">
            <v>SLV</v>
          </cell>
          <cell r="B2543">
            <v>2017</v>
          </cell>
          <cell r="C2543" t="str">
            <v>gdp_inf_serv</v>
          </cell>
          <cell r="D2543">
            <v>0.84845811128616333</v>
          </cell>
        </row>
        <row r="2544">
          <cell r="A2544" t="str">
            <v>SLV</v>
          </cell>
          <cell r="B2544">
            <v>2017</v>
          </cell>
          <cell r="C2544" t="str">
            <v>prod_for_agri</v>
          </cell>
          <cell r="D2544">
            <v>13.578622817993161</v>
          </cell>
        </row>
        <row r="2545">
          <cell r="A2545" t="str">
            <v>SLV</v>
          </cell>
          <cell r="B2545">
            <v>2017</v>
          </cell>
          <cell r="C2545" t="str">
            <v>prod_for_ind</v>
          </cell>
          <cell r="D2545">
            <v>-2.284422636032104</v>
          </cell>
        </row>
        <row r="2546">
          <cell r="A2546" t="str">
            <v>SLV</v>
          </cell>
          <cell r="B2546">
            <v>2017</v>
          </cell>
          <cell r="C2546" t="str">
            <v>prod_for_serv</v>
          </cell>
          <cell r="D2546">
            <v>2.6195285320281978</v>
          </cell>
        </row>
        <row r="2547">
          <cell r="A2547" t="str">
            <v>SLV</v>
          </cell>
          <cell r="B2547">
            <v>2017</v>
          </cell>
          <cell r="C2547" t="str">
            <v>prod_inf_agri</v>
          </cell>
          <cell r="D2547">
            <v>5.0802707672119141</v>
          </cell>
        </row>
        <row r="2548">
          <cell r="A2548" t="str">
            <v>SLV</v>
          </cell>
          <cell r="B2548">
            <v>2017</v>
          </cell>
          <cell r="C2548" t="str">
            <v>prod_inf_ind</v>
          </cell>
          <cell r="D2548">
            <v>-0.17914663255214691</v>
          </cell>
        </row>
        <row r="2549">
          <cell r="A2549" t="str">
            <v>SLV</v>
          </cell>
          <cell r="B2549">
            <v>2017</v>
          </cell>
          <cell r="C2549" t="str">
            <v>prod_inf_serv</v>
          </cell>
          <cell r="D2549">
            <v>-1.961592316627502</v>
          </cell>
        </row>
        <row r="2550">
          <cell r="A2550" t="str">
            <v>SLV</v>
          </cell>
          <cell r="B2550">
            <v>2018</v>
          </cell>
          <cell r="C2550" t="str">
            <v>gdp_activity</v>
          </cell>
          <cell r="D2550">
            <v>0.53150343894958496</v>
          </cell>
        </row>
        <row r="2551">
          <cell r="A2551" t="str">
            <v>SLV</v>
          </cell>
          <cell r="B2551">
            <v>2018</v>
          </cell>
          <cell r="C2551" t="str">
            <v>gdp_for_agri</v>
          </cell>
          <cell r="D2551">
            <v>7.1281948089599609</v>
          </cell>
        </row>
        <row r="2552">
          <cell r="A2552" t="str">
            <v>SLV</v>
          </cell>
          <cell r="B2552">
            <v>2018</v>
          </cell>
          <cell r="C2552" t="str">
            <v>gdp_for_ind</v>
          </cell>
          <cell r="D2552">
            <v>-1.4526053667068479</v>
          </cell>
        </row>
        <row r="2553">
          <cell r="A2553" t="str">
            <v>SLV</v>
          </cell>
          <cell r="B2553">
            <v>2018</v>
          </cell>
          <cell r="C2553" t="str">
            <v>gdp_for_serv</v>
          </cell>
          <cell r="D2553">
            <v>2.8363397121429439</v>
          </cell>
        </row>
        <row r="2554">
          <cell r="A2554" t="str">
            <v>SLV</v>
          </cell>
          <cell r="B2554">
            <v>2018</v>
          </cell>
          <cell r="C2554" t="str">
            <v>gdp_inf_agri</v>
          </cell>
          <cell r="D2554">
            <v>3.2705750465393071</v>
          </cell>
        </row>
        <row r="2555">
          <cell r="A2555" t="str">
            <v>SLV</v>
          </cell>
          <cell r="B2555">
            <v>2018</v>
          </cell>
          <cell r="C2555" t="str">
            <v>gdp_inf_ind</v>
          </cell>
          <cell r="D2555">
            <v>4.2431817054748544</v>
          </cell>
        </row>
        <row r="2556">
          <cell r="A2556" t="str">
            <v>SLV</v>
          </cell>
          <cell r="B2556">
            <v>2018</v>
          </cell>
          <cell r="C2556" t="str">
            <v>gdp_inf_serv</v>
          </cell>
          <cell r="D2556">
            <v>0.5915607213973999</v>
          </cell>
        </row>
        <row r="2557">
          <cell r="A2557" t="str">
            <v>SLV</v>
          </cell>
          <cell r="B2557">
            <v>2018</v>
          </cell>
          <cell r="C2557" t="str">
            <v>prod_for_agri</v>
          </cell>
          <cell r="D2557">
            <v>-1.2495337724685669</v>
          </cell>
        </row>
        <row r="2558">
          <cell r="A2558" t="str">
            <v>SLV</v>
          </cell>
          <cell r="B2558">
            <v>2018</v>
          </cell>
          <cell r="C2558" t="str">
            <v>prod_for_ind</v>
          </cell>
          <cell r="D2558">
            <v>-6.1115169525146484</v>
          </cell>
        </row>
        <row r="2559">
          <cell r="A2559" t="str">
            <v>SLV</v>
          </cell>
          <cell r="B2559">
            <v>2018</v>
          </cell>
          <cell r="C2559" t="str">
            <v>prod_for_serv</v>
          </cell>
          <cell r="D2559">
            <v>1.33645236492157</v>
          </cell>
        </row>
        <row r="2560">
          <cell r="A2560" t="str">
            <v>SLV</v>
          </cell>
          <cell r="B2560">
            <v>2018</v>
          </cell>
          <cell r="C2560" t="str">
            <v>prod_inf_agri</v>
          </cell>
          <cell r="D2560">
            <v>1.6932791471481321</v>
          </cell>
        </row>
        <row r="2561">
          <cell r="A2561" t="str">
            <v>SLV</v>
          </cell>
          <cell r="B2561">
            <v>2018</v>
          </cell>
          <cell r="C2561" t="str">
            <v>prod_inf_ind</v>
          </cell>
          <cell r="D2561">
            <v>-6.3944911956787109</v>
          </cell>
        </row>
        <row r="2562">
          <cell r="A2562" t="str">
            <v>SLV</v>
          </cell>
          <cell r="B2562">
            <v>2018</v>
          </cell>
          <cell r="C2562" t="str">
            <v>prod_inf_serv</v>
          </cell>
          <cell r="D2562">
            <v>-6.6675190925598136</v>
          </cell>
        </row>
        <row r="2563">
          <cell r="A2563" t="str">
            <v>SLV</v>
          </cell>
          <cell r="B2563">
            <v>2019</v>
          </cell>
          <cell r="C2563" t="str">
            <v>gdp_activity</v>
          </cell>
          <cell r="D2563">
            <v>1.439182043075562</v>
          </cell>
        </row>
        <row r="2564">
          <cell r="A2564" t="str">
            <v>SLV</v>
          </cell>
          <cell r="B2564">
            <v>2019</v>
          </cell>
          <cell r="C2564" t="str">
            <v>gdp_for_agri</v>
          </cell>
          <cell r="D2564">
            <v>-1.891669392585754</v>
          </cell>
        </row>
        <row r="2565">
          <cell r="A2565" t="str">
            <v>SLV</v>
          </cell>
          <cell r="B2565">
            <v>2019</v>
          </cell>
          <cell r="C2565" t="str">
            <v>gdp_for_ind</v>
          </cell>
          <cell r="D2565">
            <v>8.4805600345134735E-2</v>
          </cell>
        </row>
        <row r="2566">
          <cell r="A2566" t="str">
            <v>SLV</v>
          </cell>
          <cell r="B2566">
            <v>2019</v>
          </cell>
          <cell r="C2566" t="str">
            <v>gdp_for_serv</v>
          </cell>
          <cell r="D2566">
            <v>1.8187886476516719</v>
          </cell>
        </row>
        <row r="2567">
          <cell r="A2567" t="str">
            <v>SLV</v>
          </cell>
          <cell r="B2567">
            <v>2019</v>
          </cell>
          <cell r="C2567" t="str">
            <v>gdp_inf_agri</v>
          </cell>
          <cell r="D2567">
            <v>-0.66772311925888062</v>
          </cell>
        </row>
        <row r="2568">
          <cell r="A2568" t="str">
            <v>SLV</v>
          </cell>
          <cell r="B2568">
            <v>2019</v>
          </cell>
          <cell r="C2568" t="str">
            <v>gdp_inf_ind</v>
          </cell>
          <cell r="D2568">
            <v>1.5731416940689089</v>
          </cell>
        </row>
        <row r="2569">
          <cell r="A2569" t="str">
            <v>SLV</v>
          </cell>
          <cell r="B2569">
            <v>2019</v>
          </cell>
          <cell r="C2569" t="str">
            <v>gdp_inf_serv</v>
          </cell>
          <cell r="D2569">
            <v>2.0832700729370122</v>
          </cell>
        </row>
        <row r="2570">
          <cell r="A2570" t="str">
            <v>SLV</v>
          </cell>
          <cell r="B2570">
            <v>2019</v>
          </cell>
          <cell r="C2570" t="str">
            <v>prod_for_agri</v>
          </cell>
          <cell r="D2570">
            <v>19.3396110534668</v>
          </cell>
        </row>
        <row r="2571">
          <cell r="A2571" t="str">
            <v>SLV</v>
          </cell>
          <cell r="B2571">
            <v>2019</v>
          </cell>
          <cell r="C2571" t="str">
            <v>prod_for_ind</v>
          </cell>
          <cell r="D2571">
            <v>-15.125697135925289</v>
          </cell>
        </row>
        <row r="2572">
          <cell r="A2572" t="str">
            <v>SLV</v>
          </cell>
          <cell r="B2572">
            <v>2019</v>
          </cell>
          <cell r="C2572" t="str">
            <v>prod_for_serv</v>
          </cell>
          <cell r="D2572">
            <v>-4.5287790298461914</v>
          </cell>
        </row>
        <row r="2573">
          <cell r="A2573" t="str">
            <v>SLV</v>
          </cell>
          <cell r="B2573">
            <v>2019</v>
          </cell>
          <cell r="C2573" t="str">
            <v>prod_inf_agri</v>
          </cell>
          <cell r="D2573">
            <v>2.004369735717773</v>
          </cell>
        </row>
        <row r="2574">
          <cell r="A2574" t="str">
            <v>SLV</v>
          </cell>
          <cell r="B2574">
            <v>2019</v>
          </cell>
          <cell r="C2574" t="str">
            <v>prod_inf_ind</v>
          </cell>
          <cell r="D2574">
            <v>-73.468269348144531</v>
          </cell>
        </row>
        <row r="2575">
          <cell r="A2575" t="str">
            <v>SLV</v>
          </cell>
          <cell r="B2575">
            <v>2019</v>
          </cell>
          <cell r="C2575" t="str">
            <v>prod_inf_serv</v>
          </cell>
          <cell r="D2575">
            <v>-3.7783467769622798</v>
          </cell>
        </row>
        <row r="2576">
          <cell r="A2576" t="str">
            <v>SLV</v>
          </cell>
          <cell r="B2576">
            <v>2021</v>
          </cell>
          <cell r="C2576" t="str">
            <v>gdp_activity</v>
          </cell>
          <cell r="D2576">
            <v>-2.2240574359893799</v>
          </cell>
        </row>
        <row r="2577">
          <cell r="A2577" t="str">
            <v>SLV</v>
          </cell>
          <cell r="B2577">
            <v>2021</v>
          </cell>
          <cell r="C2577" t="str">
            <v>gdp_for_agri</v>
          </cell>
          <cell r="D2577">
            <v>56.065433502197273</v>
          </cell>
        </row>
        <row r="2578">
          <cell r="A2578" t="str">
            <v>SLV</v>
          </cell>
          <cell r="B2578">
            <v>2021</v>
          </cell>
          <cell r="C2578" t="str">
            <v>gdp_for_ind</v>
          </cell>
          <cell r="D2578">
            <v>2.823409795761108</v>
          </cell>
        </row>
        <row r="2579">
          <cell r="A2579" t="str">
            <v>SLV</v>
          </cell>
          <cell r="B2579">
            <v>2021</v>
          </cell>
          <cell r="C2579" t="str">
            <v>gdp_for_serv</v>
          </cell>
          <cell r="D2579">
            <v>-1.7940658330917361</v>
          </cell>
        </row>
        <row r="2580">
          <cell r="A2580" t="str">
            <v>SLV</v>
          </cell>
          <cell r="B2580">
            <v>2021</v>
          </cell>
          <cell r="C2580" t="str">
            <v>gdp_inf_agri</v>
          </cell>
          <cell r="D2580">
            <v>26.794954299926761</v>
          </cell>
        </row>
        <row r="2581">
          <cell r="A2581" t="str">
            <v>SLV</v>
          </cell>
          <cell r="B2581">
            <v>2021</v>
          </cell>
          <cell r="C2581" t="str">
            <v>gdp_inf_ind</v>
          </cell>
          <cell r="D2581">
            <v>-1.974079489707947</v>
          </cell>
        </row>
        <row r="2582">
          <cell r="A2582" t="str">
            <v>SLV</v>
          </cell>
          <cell r="B2582">
            <v>2021</v>
          </cell>
          <cell r="C2582" t="str">
            <v>gdp_inf_serv</v>
          </cell>
          <cell r="D2582">
            <v>-1.8373274803161621</v>
          </cell>
        </row>
        <row r="2583">
          <cell r="A2583" t="str">
            <v>SLV</v>
          </cell>
          <cell r="B2583">
            <v>2021</v>
          </cell>
          <cell r="C2583" t="str">
            <v>prod_for_agri</v>
          </cell>
          <cell r="D2583">
            <v>-1.0099889039993291</v>
          </cell>
        </row>
        <row r="2584">
          <cell r="A2584" t="str">
            <v>SLV</v>
          </cell>
          <cell r="B2584">
            <v>2021</v>
          </cell>
          <cell r="C2584" t="str">
            <v>prod_for_ind</v>
          </cell>
          <cell r="D2584">
            <v>1.97318434715271</v>
          </cell>
        </row>
        <row r="2585">
          <cell r="A2585" t="str">
            <v>SLV</v>
          </cell>
          <cell r="B2585">
            <v>2021</v>
          </cell>
          <cell r="C2585" t="str">
            <v>prod_for_serv</v>
          </cell>
          <cell r="D2585">
            <v>-0.14371325075626371</v>
          </cell>
        </row>
        <row r="2586">
          <cell r="A2586" t="str">
            <v>SLV</v>
          </cell>
          <cell r="B2586">
            <v>2021</v>
          </cell>
          <cell r="C2586" t="str">
            <v>prod_inf_agri</v>
          </cell>
          <cell r="D2586">
            <v>0.1661020815372467</v>
          </cell>
        </row>
        <row r="2587">
          <cell r="A2587" t="str">
            <v>SLV</v>
          </cell>
          <cell r="B2587">
            <v>2021</v>
          </cell>
          <cell r="C2587" t="str">
            <v>prod_inf_ind</v>
          </cell>
          <cell r="D2587">
            <v>-3.7183759212493901</v>
          </cell>
        </row>
        <row r="2588">
          <cell r="A2588" t="str">
            <v>SLV</v>
          </cell>
          <cell r="B2588">
            <v>2021</v>
          </cell>
          <cell r="C2588" t="str">
            <v>prod_inf_serv</v>
          </cell>
          <cell r="D2588">
            <v>0.28232574462890631</v>
          </cell>
        </row>
        <row r="2589">
          <cell r="A2589" t="str">
            <v>SLV</v>
          </cell>
          <cell r="B2589">
            <v>2022</v>
          </cell>
          <cell r="C2589" t="str">
            <v>gdp_activity</v>
          </cell>
          <cell r="D2589">
            <v>0.85555732250213623</v>
          </cell>
        </row>
        <row r="2590">
          <cell r="A2590" t="str">
            <v>SLV</v>
          </cell>
          <cell r="B2590">
            <v>2022</v>
          </cell>
          <cell r="C2590" t="str">
            <v>gdp_for_agri</v>
          </cell>
          <cell r="D2590">
            <v>87.924156188964844</v>
          </cell>
        </row>
        <row r="2591">
          <cell r="A2591" t="str">
            <v>SLV</v>
          </cell>
          <cell r="B2591">
            <v>2022</v>
          </cell>
          <cell r="C2591" t="str">
            <v>gdp_for_ind</v>
          </cell>
          <cell r="D2591">
            <v>2.0644288063049321</v>
          </cell>
        </row>
        <row r="2592">
          <cell r="A2592" t="str">
            <v>SLV</v>
          </cell>
          <cell r="B2592">
            <v>2022</v>
          </cell>
          <cell r="C2592" t="str">
            <v>gdp_for_serv</v>
          </cell>
          <cell r="D2592">
            <v>2.533166885375977</v>
          </cell>
        </row>
        <row r="2593">
          <cell r="A2593" t="str">
            <v>SLV</v>
          </cell>
          <cell r="B2593">
            <v>2022</v>
          </cell>
          <cell r="C2593" t="str">
            <v>gdp_inf_agri</v>
          </cell>
          <cell r="D2593">
            <v>5.0342164039611816</v>
          </cell>
        </row>
        <row r="2594">
          <cell r="A2594" t="str">
            <v>SLV</v>
          </cell>
          <cell r="B2594">
            <v>2022</v>
          </cell>
          <cell r="C2594" t="str">
            <v>gdp_inf_ind</v>
          </cell>
          <cell r="D2594">
            <v>-0.3129081130027771</v>
          </cell>
        </row>
        <row r="2595">
          <cell r="A2595" t="str">
            <v>SLV</v>
          </cell>
          <cell r="B2595">
            <v>2022</v>
          </cell>
          <cell r="C2595" t="str">
            <v>gdp_inf_serv</v>
          </cell>
          <cell r="D2595">
            <v>0.71365070343017578</v>
          </cell>
        </row>
        <row r="2596">
          <cell r="A2596" t="str">
            <v>SLV</v>
          </cell>
          <cell r="B2596">
            <v>2022</v>
          </cell>
          <cell r="C2596" t="str">
            <v>prod_for_agri</v>
          </cell>
          <cell r="D2596">
            <v>-1.7954093217849729</v>
          </cell>
        </row>
        <row r="2597">
          <cell r="A2597" t="str">
            <v>SLV</v>
          </cell>
          <cell r="B2597">
            <v>2022</v>
          </cell>
          <cell r="C2597" t="str">
            <v>prod_for_ind</v>
          </cell>
          <cell r="D2597">
            <v>-1.0319627523422239</v>
          </cell>
        </row>
        <row r="2598">
          <cell r="A2598" t="str">
            <v>SLV</v>
          </cell>
          <cell r="B2598">
            <v>2022</v>
          </cell>
          <cell r="C2598" t="str">
            <v>prod_for_serv</v>
          </cell>
          <cell r="D2598">
            <v>3.546456098556519</v>
          </cell>
        </row>
        <row r="2599">
          <cell r="A2599" t="str">
            <v>SLV</v>
          </cell>
          <cell r="B2599">
            <v>2022</v>
          </cell>
          <cell r="C2599" t="str">
            <v>prod_inf_agri</v>
          </cell>
          <cell r="D2599">
            <v>0.92949414253234863</v>
          </cell>
        </row>
        <row r="2600">
          <cell r="A2600" t="str">
            <v>SLV</v>
          </cell>
          <cell r="B2600">
            <v>2022</v>
          </cell>
          <cell r="C2600" t="str">
            <v>prod_inf_ind</v>
          </cell>
          <cell r="D2600">
            <v>-0.61169767379760742</v>
          </cell>
        </row>
        <row r="2601">
          <cell r="A2601" t="str">
            <v>SLV</v>
          </cell>
          <cell r="B2601">
            <v>2022</v>
          </cell>
          <cell r="C2601" t="str">
            <v>prod_inf_serv</v>
          </cell>
          <cell r="D2601">
            <v>0.40652370452880859</v>
          </cell>
        </row>
        <row r="2602">
          <cell r="A2602" t="str">
            <v>SLV</v>
          </cell>
          <cell r="B2602">
            <v>2023</v>
          </cell>
          <cell r="C2602" t="str">
            <v>gdp_activity</v>
          </cell>
          <cell r="D2602">
            <v>0.78933078050613403</v>
          </cell>
        </row>
        <row r="2603">
          <cell r="A2603" t="str">
            <v>SLV</v>
          </cell>
          <cell r="B2603">
            <v>2023</v>
          </cell>
          <cell r="C2603" t="str">
            <v>gdp_for_agri</v>
          </cell>
          <cell r="D2603">
            <v>2.5283722877502441</v>
          </cell>
        </row>
        <row r="2604">
          <cell r="A2604" t="str">
            <v>SLV</v>
          </cell>
          <cell r="B2604">
            <v>2023</v>
          </cell>
          <cell r="C2604" t="str">
            <v>gdp_for_ind</v>
          </cell>
          <cell r="D2604">
            <v>-2.6286942958831792</v>
          </cell>
        </row>
        <row r="2605">
          <cell r="A2605" t="str">
            <v>SLV</v>
          </cell>
          <cell r="B2605">
            <v>2023</v>
          </cell>
          <cell r="C2605" t="str">
            <v>gdp_for_serv</v>
          </cell>
          <cell r="D2605">
            <v>2.0971624851226811</v>
          </cell>
        </row>
        <row r="2606">
          <cell r="A2606" t="str">
            <v>SLV</v>
          </cell>
          <cell r="B2606">
            <v>2023</v>
          </cell>
          <cell r="C2606" t="str">
            <v>gdp_inf_agri</v>
          </cell>
          <cell r="D2606">
            <v>2.2151422500610352</v>
          </cell>
        </row>
        <row r="2607">
          <cell r="A2607" t="str">
            <v>SLV</v>
          </cell>
          <cell r="B2607">
            <v>2023</v>
          </cell>
          <cell r="C2607" t="str">
            <v>gdp_inf_ind</v>
          </cell>
          <cell r="D2607">
            <v>2.6062722206115718</v>
          </cell>
        </row>
        <row r="2608">
          <cell r="A2608" t="str">
            <v>SLV</v>
          </cell>
          <cell r="B2608">
            <v>2023</v>
          </cell>
          <cell r="C2608" t="str">
            <v>gdp_inf_serv</v>
          </cell>
          <cell r="D2608">
            <v>0.49574080109596252</v>
          </cell>
        </row>
        <row r="2609">
          <cell r="A2609" t="str">
            <v>SLV</v>
          </cell>
          <cell r="B2609">
            <v>2023</v>
          </cell>
          <cell r="C2609" t="str">
            <v>prod_for_agri</v>
          </cell>
          <cell r="D2609">
            <v>-0.54326927661895752</v>
          </cell>
        </row>
        <row r="2610">
          <cell r="A2610" t="str">
            <v>SLV</v>
          </cell>
          <cell r="B2610">
            <v>2023</v>
          </cell>
          <cell r="C2610" t="str">
            <v>prod_for_ind</v>
          </cell>
          <cell r="D2610">
            <v>16.69188117980957</v>
          </cell>
        </row>
        <row r="2611">
          <cell r="A2611" t="str">
            <v>SLV</v>
          </cell>
          <cell r="B2611">
            <v>2023</v>
          </cell>
          <cell r="C2611" t="str">
            <v>prod_for_serv</v>
          </cell>
          <cell r="D2611">
            <v>-5.3139266967773438</v>
          </cell>
        </row>
        <row r="2612">
          <cell r="A2612" t="str">
            <v>SLV</v>
          </cell>
          <cell r="B2612">
            <v>2023</v>
          </cell>
          <cell r="C2612" t="str">
            <v>prod_inf_agri</v>
          </cell>
          <cell r="D2612">
            <v>3.7665116786956792</v>
          </cell>
        </row>
        <row r="2613">
          <cell r="A2613" t="str">
            <v>SLV</v>
          </cell>
          <cell r="B2613">
            <v>2023</v>
          </cell>
          <cell r="C2613" t="str">
            <v>prod_inf_ind</v>
          </cell>
          <cell r="D2613">
            <v>18.888772964477539</v>
          </cell>
        </row>
        <row r="2614">
          <cell r="A2614" t="str">
            <v>SLV</v>
          </cell>
          <cell r="B2614">
            <v>2023</v>
          </cell>
          <cell r="C2614" t="str">
            <v>prod_inf_serv</v>
          </cell>
          <cell r="D2614">
            <v>-1.6100472211837771</v>
          </cell>
        </row>
        <row r="2615">
          <cell r="A2615" t="str">
            <v>URY</v>
          </cell>
          <cell r="B2615">
            <v>2008</v>
          </cell>
          <cell r="C2615" t="str">
            <v>gdp_activity</v>
          </cell>
          <cell r="D2615">
            <v>0.13015589118003851</v>
          </cell>
        </row>
        <row r="2616">
          <cell r="A2616" t="str">
            <v>URY</v>
          </cell>
          <cell r="B2616">
            <v>2008</v>
          </cell>
          <cell r="C2616" t="str">
            <v>gdp_for_agri</v>
          </cell>
          <cell r="D2616">
            <v>1.3572301864624019</v>
          </cell>
        </row>
        <row r="2617">
          <cell r="A2617" t="str">
            <v>URY</v>
          </cell>
          <cell r="B2617">
            <v>2008</v>
          </cell>
          <cell r="C2617" t="str">
            <v>gdp_for_ind</v>
          </cell>
          <cell r="D2617">
            <v>-5.9984407424926758</v>
          </cell>
        </row>
        <row r="2618">
          <cell r="A2618" t="str">
            <v>URY</v>
          </cell>
          <cell r="B2618">
            <v>2008</v>
          </cell>
          <cell r="C2618" t="str">
            <v>gdp_for_serv</v>
          </cell>
          <cell r="D2618">
            <v>0.47830086946487432</v>
          </cell>
        </row>
        <row r="2619">
          <cell r="A2619" t="str">
            <v>URY</v>
          </cell>
          <cell r="B2619">
            <v>2008</v>
          </cell>
          <cell r="C2619" t="str">
            <v>gdp_inf_agri</v>
          </cell>
          <cell r="D2619">
            <v>-0.73682922124862671</v>
          </cell>
        </row>
        <row r="2620">
          <cell r="A2620" t="str">
            <v>URY</v>
          </cell>
          <cell r="B2620">
            <v>2008</v>
          </cell>
          <cell r="C2620" t="str">
            <v>gdp_inf_ind</v>
          </cell>
          <cell r="D2620">
            <v>4.0735750198364258</v>
          </cell>
        </row>
        <row r="2621">
          <cell r="A2621" t="str">
            <v>URY</v>
          </cell>
          <cell r="B2621">
            <v>2008</v>
          </cell>
          <cell r="C2621" t="str">
            <v>gdp_inf_serv</v>
          </cell>
          <cell r="D2621">
            <v>-0.22894486784935</v>
          </cell>
        </row>
        <row r="2622">
          <cell r="A2622" t="str">
            <v>URY</v>
          </cell>
          <cell r="B2622">
            <v>2008</v>
          </cell>
          <cell r="C2622" t="str">
            <v>prod_for_agri</v>
          </cell>
          <cell r="D2622">
            <v>25.380966186523441</v>
          </cell>
        </row>
        <row r="2623">
          <cell r="A2623" t="str">
            <v>URY</v>
          </cell>
          <cell r="B2623">
            <v>2008</v>
          </cell>
          <cell r="C2623" t="str">
            <v>prod_for_ind</v>
          </cell>
          <cell r="D2623">
            <v>-1.7919465303421021</v>
          </cell>
        </row>
        <row r="2624">
          <cell r="A2624" t="str">
            <v>URY</v>
          </cell>
          <cell r="B2624">
            <v>2008</v>
          </cell>
          <cell r="C2624" t="str">
            <v>prod_for_serv</v>
          </cell>
          <cell r="D2624">
            <v>0.70814424753189087</v>
          </cell>
        </row>
        <row r="2625">
          <cell r="A2625" t="str">
            <v>URY</v>
          </cell>
          <cell r="B2625">
            <v>2008</v>
          </cell>
          <cell r="C2625" t="str">
            <v>prod_inf_agri</v>
          </cell>
          <cell r="D2625">
            <v>27.498369216918949</v>
          </cell>
        </row>
        <row r="2626">
          <cell r="A2626" t="str">
            <v>URY</v>
          </cell>
          <cell r="B2626">
            <v>2008</v>
          </cell>
          <cell r="C2626" t="str">
            <v>prod_inf_ind</v>
          </cell>
          <cell r="D2626">
            <v>-5.3421816825866699</v>
          </cell>
        </row>
        <row r="2627">
          <cell r="A2627" t="str">
            <v>URY</v>
          </cell>
          <cell r="B2627">
            <v>2008</v>
          </cell>
          <cell r="C2627" t="str">
            <v>prod_inf_serv</v>
          </cell>
          <cell r="D2627">
            <v>1.144428968429565</v>
          </cell>
        </row>
        <row r="2628">
          <cell r="A2628" t="str">
            <v>URY</v>
          </cell>
          <cell r="B2628">
            <v>2009</v>
          </cell>
          <cell r="C2628" t="str">
            <v>gdp_activity</v>
          </cell>
          <cell r="D2628">
            <v>0.54866677522659302</v>
          </cell>
        </row>
        <row r="2629">
          <cell r="A2629" t="str">
            <v>URY</v>
          </cell>
          <cell r="B2629">
            <v>2009</v>
          </cell>
          <cell r="C2629" t="str">
            <v>gdp_for_agri</v>
          </cell>
          <cell r="D2629">
            <v>2.1805942058563228</v>
          </cell>
        </row>
        <row r="2630">
          <cell r="A2630" t="str">
            <v>URY</v>
          </cell>
          <cell r="B2630">
            <v>2009</v>
          </cell>
          <cell r="C2630" t="str">
            <v>gdp_for_ind</v>
          </cell>
          <cell r="D2630">
            <v>0.1841607540845871</v>
          </cell>
        </row>
        <row r="2631">
          <cell r="A2631" t="str">
            <v>URY</v>
          </cell>
          <cell r="B2631">
            <v>2009</v>
          </cell>
          <cell r="C2631" t="str">
            <v>gdp_for_serv</v>
          </cell>
          <cell r="D2631">
            <v>1.037839293479919</v>
          </cell>
        </row>
        <row r="2632">
          <cell r="A2632" t="str">
            <v>URY</v>
          </cell>
          <cell r="B2632">
            <v>2009</v>
          </cell>
          <cell r="C2632" t="str">
            <v>gdp_inf_agri</v>
          </cell>
          <cell r="D2632">
            <v>1.849769115447998</v>
          </cell>
        </row>
        <row r="2633">
          <cell r="A2633" t="str">
            <v>URY</v>
          </cell>
          <cell r="B2633">
            <v>2009</v>
          </cell>
          <cell r="C2633" t="str">
            <v>gdp_inf_ind</v>
          </cell>
          <cell r="D2633">
            <v>-0.44397568702697748</v>
          </cell>
        </row>
        <row r="2634">
          <cell r="A2634" t="str">
            <v>URY</v>
          </cell>
          <cell r="B2634">
            <v>2009</v>
          </cell>
          <cell r="C2634" t="str">
            <v>gdp_inf_serv</v>
          </cell>
          <cell r="D2634">
            <v>-0.36928403377532959</v>
          </cell>
        </row>
        <row r="2635">
          <cell r="A2635" t="str">
            <v>URY</v>
          </cell>
          <cell r="B2635">
            <v>2009</v>
          </cell>
          <cell r="C2635" t="str">
            <v>prod_for_agri</v>
          </cell>
          <cell r="D2635">
            <v>0.6584896445274353</v>
          </cell>
        </row>
        <row r="2636">
          <cell r="A2636" t="str">
            <v>URY</v>
          </cell>
          <cell r="B2636">
            <v>2009</v>
          </cell>
          <cell r="C2636" t="str">
            <v>prod_for_ind</v>
          </cell>
          <cell r="D2636">
            <v>1.255714416503906</v>
          </cell>
        </row>
        <row r="2637">
          <cell r="A2637" t="str">
            <v>URY</v>
          </cell>
          <cell r="B2637">
            <v>2009</v>
          </cell>
          <cell r="C2637" t="str">
            <v>prod_for_serv</v>
          </cell>
          <cell r="D2637">
            <v>3.9241020679473881</v>
          </cell>
        </row>
        <row r="2638">
          <cell r="A2638" t="str">
            <v>URY</v>
          </cell>
          <cell r="B2638">
            <v>2009</v>
          </cell>
          <cell r="C2638" t="str">
            <v>prod_inf_agri</v>
          </cell>
          <cell r="D2638">
            <v>1.3386737108230591</v>
          </cell>
        </row>
        <row r="2639">
          <cell r="A2639" t="str">
            <v>URY</v>
          </cell>
          <cell r="B2639">
            <v>2009</v>
          </cell>
          <cell r="C2639" t="str">
            <v>prod_inf_ind</v>
          </cell>
          <cell r="D2639">
            <v>1.434684038162231</v>
          </cell>
        </row>
        <row r="2640">
          <cell r="A2640" t="str">
            <v>URY</v>
          </cell>
          <cell r="B2640">
            <v>2009</v>
          </cell>
          <cell r="C2640" t="str">
            <v>prod_inf_serv</v>
          </cell>
          <cell r="D2640">
            <v>-0.13550321757793429</v>
          </cell>
        </row>
        <row r="2641">
          <cell r="A2641" t="str">
            <v>URY</v>
          </cell>
          <cell r="B2641">
            <v>2010</v>
          </cell>
          <cell r="C2641" t="str">
            <v>gdp_activity</v>
          </cell>
          <cell r="D2641">
            <v>1.3931818008422849</v>
          </cell>
        </row>
        <row r="2642">
          <cell r="A2642" t="str">
            <v>URY</v>
          </cell>
          <cell r="B2642">
            <v>2010</v>
          </cell>
          <cell r="C2642" t="str">
            <v>gdp_for_agri</v>
          </cell>
          <cell r="D2642">
            <v>-11.991451263427731</v>
          </cell>
        </row>
        <row r="2643">
          <cell r="A2643" t="str">
            <v>URY</v>
          </cell>
          <cell r="B2643">
            <v>2010</v>
          </cell>
          <cell r="C2643" t="str">
            <v>gdp_for_ind</v>
          </cell>
          <cell r="D2643">
            <v>1.850926518440247</v>
          </cell>
        </row>
        <row r="2644">
          <cell r="A2644" t="str">
            <v>URY</v>
          </cell>
          <cell r="B2644">
            <v>2010</v>
          </cell>
          <cell r="C2644" t="str">
            <v>gdp_for_serv</v>
          </cell>
          <cell r="D2644">
            <v>1.39641797542572</v>
          </cell>
        </row>
        <row r="2645">
          <cell r="A2645" t="str">
            <v>URY</v>
          </cell>
          <cell r="B2645">
            <v>2010</v>
          </cell>
          <cell r="C2645" t="str">
            <v>gdp_inf_agri</v>
          </cell>
          <cell r="D2645">
            <v>-12.579299926757811</v>
          </cell>
        </row>
        <row r="2646">
          <cell r="A2646" t="str">
            <v>URY</v>
          </cell>
          <cell r="B2646">
            <v>2010</v>
          </cell>
          <cell r="C2646" t="str">
            <v>gdp_inf_ind</v>
          </cell>
          <cell r="D2646">
            <v>1.1607263088226321</v>
          </cell>
        </row>
        <row r="2647">
          <cell r="A2647" t="str">
            <v>URY</v>
          </cell>
          <cell r="B2647">
            <v>2010</v>
          </cell>
          <cell r="C2647" t="str">
            <v>gdp_inf_serv</v>
          </cell>
          <cell r="D2647">
            <v>1.0677875280380249</v>
          </cell>
        </row>
        <row r="2648">
          <cell r="A2648" t="str">
            <v>URY</v>
          </cell>
          <cell r="B2648">
            <v>2010</v>
          </cell>
          <cell r="C2648" t="str">
            <v>prod_for_agri</v>
          </cell>
          <cell r="D2648">
            <v>-0.1460469663143158</v>
          </cell>
        </row>
        <row r="2649">
          <cell r="A2649" t="str">
            <v>URY</v>
          </cell>
          <cell r="B2649">
            <v>2010</v>
          </cell>
          <cell r="C2649" t="str">
            <v>prod_for_ind</v>
          </cell>
          <cell r="D2649">
            <v>0.4930935800075531</v>
          </cell>
        </row>
        <row r="2650">
          <cell r="A2650" t="str">
            <v>URY</v>
          </cell>
          <cell r="B2650">
            <v>2010</v>
          </cell>
          <cell r="C2650" t="str">
            <v>prod_for_serv</v>
          </cell>
          <cell r="D2650">
            <v>0.96534013748168945</v>
          </cell>
        </row>
        <row r="2651">
          <cell r="A2651" t="str">
            <v>URY</v>
          </cell>
          <cell r="B2651">
            <v>2010</v>
          </cell>
          <cell r="C2651" t="str">
            <v>prod_inf_agri</v>
          </cell>
          <cell r="D2651">
            <v>-0.35579049587249761</v>
          </cell>
        </row>
        <row r="2652">
          <cell r="A2652" t="str">
            <v>URY</v>
          </cell>
          <cell r="B2652">
            <v>2010</v>
          </cell>
          <cell r="C2652" t="str">
            <v>prod_inf_ind</v>
          </cell>
          <cell r="D2652">
            <v>-0.18066813051700589</v>
          </cell>
        </row>
        <row r="2653">
          <cell r="A2653" t="str">
            <v>URY</v>
          </cell>
          <cell r="B2653">
            <v>2010</v>
          </cell>
          <cell r="C2653" t="str">
            <v>prod_inf_serv</v>
          </cell>
          <cell r="D2653">
            <v>-1.225966215133667</v>
          </cell>
        </row>
        <row r="2654">
          <cell r="A2654" t="str">
            <v>URY</v>
          </cell>
          <cell r="B2654">
            <v>2011</v>
          </cell>
          <cell r="C2654" t="str">
            <v>gdp_activity</v>
          </cell>
          <cell r="D2654">
            <v>0.90955418348312378</v>
          </cell>
        </row>
        <row r="2655">
          <cell r="A2655" t="str">
            <v>URY</v>
          </cell>
          <cell r="B2655">
            <v>2011</v>
          </cell>
          <cell r="C2655" t="str">
            <v>gdp_for_agri</v>
          </cell>
          <cell r="D2655">
            <v>-0.1658783555030823</v>
          </cell>
        </row>
        <row r="2656">
          <cell r="A2656" t="str">
            <v>URY</v>
          </cell>
          <cell r="B2656">
            <v>2011</v>
          </cell>
          <cell r="C2656" t="str">
            <v>gdp_for_ind</v>
          </cell>
          <cell r="D2656">
            <v>-8.5011081695556641</v>
          </cell>
        </row>
        <row r="2657">
          <cell r="A2657" t="str">
            <v>URY</v>
          </cell>
          <cell r="B2657">
            <v>2011</v>
          </cell>
          <cell r="C2657" t="str">
            <v>gdp_for_serv</v>
          </cell>
          <cell r="D2657">
            <v>1.8532999753952031</v>
          </cell>
        </row>
        <row r="2658">
          <cell r="A2658" t="str">
            <v>URY</v>
          </cell>
          <cell r="B2658">
            <v>2011</v>
          </cell>
          <cell r="C2658" t="str">
            <v>gdp_inf_agri</v>
          </cell>
          <cell r="D2658">
            <v>-0.69843018054962158</v>
          </cell>
        </row>
        <row r="2659">
          <cell r="A2659" t="str">
            <v>URY</v>
          </cell>
          <cell r="B2659">
            <v>2011</v>
          </cell>
          <cell r="C2659" t="str">
            <v>gdp_inf_ind</v>
          </cell>
          <cell r="D2659">
            <v>4.4445714950561523</v>
          </cell>
        </row>
        <row r="2660">
          <cell r="A2660" t="str">
            <v>URY</v>
          </cell>
          <cell r="B2660">
            <v>2011</v>
          </cell>
          <cell r="C2660" t="str">
            <v>gdp_inf_serv</v>
          </cell>
          <cell r="D2660">
            <v>-0.7955394983291626</v>
          </cell>
        </row>
        <row r="2661">
          <cell r="A2661" t="str">
            <v>URY</v>
          </cell>
          <cell r="B2661">
            <v>2011</v>
          </cell>
          <cell r="C2661" t="str">
            <v>prod_for_agri</v>
          </cell>
          <cell r="D2661">
            <v>9.8170973360538483E-2</v>
          </cell>
        </row>
        <row r="2662">
          <cell r="A2662" t="str">
            <v>URY</v>
          </cell>
          <cell r="B2662">
            <v>2011</v>
          </cell>
          <cell r="C2662" t="str">
            <v>prod_for_ind</v>
          </cell>
          <cell r="D2662">
            <v>-0.45267513394355768</v>
          </cell>
        </row>
        <row r="2663">
          <cell r="A2663" t="str">
            <v>URY</v>
          </cell>
          <cell r="B2663">
            <v>2011</v>
          </cell>
          <cell r="C2663" t="str">
            <v>prod_for_serv</v>
          </cell>
          <cell r="D2663">
            <v>-3.77068018913269</v>
          </cell>
        </row>
        <row r="2664">
          <cell r="A2664" t="str">
            <v>URY</v>
          </cell>
          <cell r="B2664">
            <v>2011</v>
          </cell>
          <cell r="C2664" t="str">
            <v>prod_inf_agri</v>
          </cell>
          <cell r="D2664">
            <v>0.67519497871398926</v>
          </cell>
        </row>
        <row r="2665">
          <cell r="A2665" t="str">
            <v>URY</v>
          </cell>
          <cell r="B2665">
            <v>2011</v>
          </cell>
          <cell r="C2665" t="str">
            <v>prod_inf_ind</v>
          </cell>
          <cell r="D2665">
            <v>-1.745831251144409</v>
          </cell>
        </row>
        <row r="2666">
          <cell r="A2666" t="str">
            <v>URY</v>
          </cell>
          <cell r="B2666">
            <v>2011</v>
          </cell>
          <cell r="C2666" t="str">
            <v>prod_inf_serv</v>
          </cell>
          <cell r="D2666">
            <v>-15.216044425964361</v>
          </cell>
        </row>
        <row r="2667">
          <cell r="A2667" t="str">
            <v>URY</v>
          </cell>
          <cell r="B2667">
            <v>2012</v>
          </cell>
          <cell r="C2667" t="str">
            <v>gdp_activity</v>
          </cell>
          <cell r="D2667">
            <v>-1.278764009475708</v>
          </cell>
        </row>
        <row r="2668">
          <cell r="A2668" t="str">
            <v>URY</v>
          </cell>
          <cell r="B2668">
            <v>2012</v>
          </cell>
          <cell r="C2668" t="str">
            <v>gdp_for_agri</v>
          </cell>
          <cell r="D2668">
            <v>26.455244064331051</v>
          </cell>
        </row>
        <row r="2669">
          <cell r="A2669" t="str">
            <v>URY</v>
          </cell>
          <cell r="B2669">
            <v>2012</v>
          </cell>
          <cell r="C2669" t="str">
            <v>gdp_for_ind</v>
          </cell>
          <cell r="D2669">
            <v>13.3481388092041</v>
          </cell>
        </row>
        <row r="2670">
          <cell r="A2670" t="str">
            <v>URY</v>
          </cell>
          <cell r="B2670">
            <v>2012</v>
          </cell>
          <cell r="C2670" t="str">
            <v>gdp_for_serv</v>
          </cell>
          <cell r="D2670">
            <v>0.1484568119049072</v>
          </cell>
        </row>
        <row r="2671">
          <cell r="A2671" t="str">
            <v>URY</v>
          </cell>
          <cell r="B2671">
            <v>2012</v>
          </cell>
          <cell r="C2671" t="str">
            <v>gdp_inf_agri</v>
          </cell>
          <cell r="D2671">
            <v>33.748874664306641</v>
          </cell>
        </row>
        <row r="2672">
          <cell r="A2672" t="str">
            <v>URY</v>
          </cell>
          <cell r="B2672">
            <v>2012</v>
          </cell>
          <cell r="C2672" t="str">
            <v>gdp_inf_ind</v>
          </cell>
          <cell r="D2672">
            <v>30.021331787109379</v>
          </cell>
        </row>
        <row r="2673">
          <cell r="A2673" t="str">
            <v>URY</v>
          </cell>
          <cell r="B2673">
            <v>2012</v>
          </cell>
          <cell r="C2673" t="str">
            <v>gdp_inf_serv</v>
          </cell>
          <cell r="D2673">
            <v>-1.5637722015380859</v>
          </cell>
        </row>
        <row r="2674">
          <cell r="A2674" t="str">
            <v>URY</v>
          </cell>
          <cell r="B2674">
            <v>2012</v>
          </cell>
          <cell r="C2674" t="str">
            <v>prod_for_agri</v>
          </cell>
          <cell r="D2674">
            <v>-0.14092239737510681</v>
          </cell>
        </row>
        <row r="2675">
          <cell r="A2675" t="str">
            <v>URY</v>
          </cell>
          <cell r="B2675">
            <v>2012</v>
          </cell>
          <cell r="C2675" t="str">
            <v>prod_for_ind</v>
          </cell>
          <cell r="D2675">
            <v>0.1095171496272087</v>
          </cell>
        </row>
        <row r="2676">
          <cell r="A2676" t="str">
            <v>URY</v>
          </cell>
          <cell r="B2676">
            <v>2012</v>
          </cell>
          <cell r="C2676" t="str">
            <v>prod_for_serv</v>
          </cell>
          <cell r="D2676">
            <v>-0.20143717527389529</v>
          </cell>
        </row>
        <row r="2677">
          <cell r="A2677" t="str">
            <v>URY</v>
          </cell>
          <cell r="B2677">
            <v>2012</v>
          </cell>
          <cell r="C2677" t="str">
            <v>prod_inf_agri</v>
          </cell>
          <cell r="D2677">
            <v>-0.35524833202362061</v>
          </cell>
        </row>
        <row r="2678">
          <cell r="A2678" t="str">
            <v>URY</v>
          </cell>
          <cell r="B2678">
            <v>2012</v>
          </cell>
          <cell r="C2678" t="str">
            <v>prod_inf_ind</v>
          </cell>
          <cell r="D2678">
            <v>0.16846148669719699</v>
          </cell>
        </row>
        <row r="2679">
          <cell r="A2679" t="str">
            <v>URY</v>
          </cell>
          <cell r="B2679">
            <v>2012</v>
          </cell>
          <cell r="C2679" t="str">
            <v>prod_inf_serv</v>
          </cell>
          <cell r="D2679">
            <v>-0.50321853160858154</v>
          </cell>
        </row>
        <row r="2680">
          <cell r="A2680" t="str">
            <v>URY</v>
          </cell>
          <cell r="B2680">
            <v>2013</v>
          </cell>
          <cell r="C2680" t="str">
            <v>gdp_activity</v>
          </cell>
          <cell r="D2680">
            <v>0.80068850517272949</v>
          </cell>
        </row>
        <row r="2681">
          <cell r="A2681" t="str">
            <v>URY</v>
          </cell>
          <cell r="B2681">
            <v>2013</v>
          </cell>
          <cell r="C2681" t="str">
            <v>gdp_for_agri</v>
          </cell>
          <cell r="D2681">
            <v>5.8904118537902832</v>
          </cell>
        </row>
        <row r="2682">
          <cell r="A2682" t="str">
            <v>URY</v>
          </cell>
          <cell r="B2682">
            <v>2013</v>
          </cell>
          <cell r="C2682" t="str">
            <v>gdp_for_ind</v>
          </cell>
          <cell r="D2682">
            <v>1.4631321430206301</v>
          </cell>
        </row>
        <row r="2683">
          <cell r="A2683" t="str">
            <v>URY</v>
          </cell>
          <cell r="B2683">
            <v>2013</v>
          </cell>
          <cell r="C2683" t="str">
            <v>gdp_for_serv</v>
          </cell>
          <cell r="D2683">
            <v>0.63843947649002075</v>
          </cell>
        </row>
        <row r="2684">
          <cell r="A2684" t="str">
            <v>URY</v>
          </cell>
          <cell r="B2684">
            <v>2013</v>
          </cell>
          <cell r="C2684" t="str">
            <v>gdp_inf_agri</v>
          </cell>
          <cell r="D2684">
            <v>8.0300979614257813</v>
          </cell>
        </row>
        <row r="2685">
          <cell r="A2685" t="str">
            <v>URY</v>
          </cell>
          <cell r="B2685">
            <v>2013</v>
          </cell>
          <cell r="C2685" t="str">
            <v>gdp_inf_ind</v>
          </cell>
          <cell r="D2685">
            <v>0.94577515125274658</v>
          </cell>
        </row>
        <row r="2686">
          <cell r="A2686" t="str">
            <v>URY</v>
          </cell>
          <cell r="B2686">
            <v>2013</v>
          </cell>
          <cell r="C2686" t="str">
            <v>gdp_inf_serv</v>
          </cell>
          <cell r="D2686">
            <v>-0.59773004055023193</v>
          </cell>
        </row>
        <row r="2687">
          <cell r="A2687" t="str">
            <v>URY</v>
          </cell>
          <cell r="B2687">
            <v>2013</v>
          </cell>
          <cell r="C2687" t="str">
            <v>prod_for_agri</v>
          </cell>
          <cell r="D2687">
            <v>-0.42687135934829712</v>
          </cell>
        </row>
        <row r="2688">
          <cell r="A2688" t="str">
            <v>URY</v>
          </cell>
          <cell r="B2688">
            <v>2013</v>
          </cell>
          <cell r="C2688" t="str">
            <v>prod_for_ind</v>
          </cell>
          <cell r="D2688">
            <v>-4.5305843353271484</v>
          </cell>
        </row>
        <row r="2689">
          <cell r="A2689" t="str">
            <v>URY</v>
          </cell>
          <cell r="B2689">
            <v>2013</v>
          </cell>
          <cell r="C2689" t="str">
            <v>prod_for_serv</v>
          </cell>
          <cell r="D2689">
            <v>0.89368009567260742</v>
          </cell>
        </row>
        <row r="2690">
          <cell r="A2690" t="str">
            <v>URY</v>
          </cell>
          <cell r="B2690">
            <v>2013</v>
          </cell>
          <cell r="C2690" t="str">
            <v>prod_inf_agri</v>
          </cell>
          <cell r="D2690">
            <v>-0.82219535112380981</v>
          </cell>
        </row>
        <row r="2691">
          <cell r="A2691" t="str">
            <v>URY</v>
          </cell>
          <cell r="B2691">
            <v>2013</v>
          </cell>
          <cell r="C2691" t="str">
            <v>prod_inf_ind</v>
          </cell>
          <cell r="D2691">
            <v>-4.2272768020629883</v>
          </cell>
        </row>
        <row r="2692">
          <cell r="A2692" t="str">
            <v>URY</v>
          </cell>
          <cell r="B2692">
            <v>2013</v>
          </cell>
          <cell r="C2692" t="str">
            <v>prod_inf_serv</v>
          </cell>
          <cell r="D2692">
            <v>0.71000349521636963</v>
          </cell>
        </row>
        <row r="2693">
          <cell r="A2693" t="str">
            <v>URY</v>
          </cell>
          <cell r="B2693">
            <v>2014</v>
          </cell>
          <cell r="C2693" t="str">
            <v>gdp_activity</v>
          </cell>
          <cell r="D2693">
            <v>0.71873980760574341</v>
          </cell>
        </row>
        <row r="2694">
          <cell r="A2694" t="str">
            <v>URY</v>
          </cell>
          <cell r="B2694">
            <v>2014</v>
          </cell>
          <cell r="C2694" t="str">
            <v>gdp_for_agri</v>
          </cell>
          <cell r="D2694">
            <v>7.6450591087341309</v>
          </cell>
        </row>
        <row r="2695">
          <cell r="A2695" t="str">
            <v>URY</v>
          </cell>
          <cell r="B2695">
            <v>2014</v>
          </cell>
          <cell r="C2695" t="str">
            <v>gdp_for_ind</v>
          </cell>
          <cell r="D2695">
            <v>-0.47519844770431519</v>
          </cell>
        </row>
        <row r="2696">
          <cell r="A2696" t="str">
            <v>URY</v>
          </cell>
          <cell r="B2696">
            <v>2014</v>
          </cell>
          <cell r="C2696" t="str">
            <v>gdp_for_serv</v>
          </cell>
          <cell r="D2696">
            <v>1.3323016166687009</v>
          </cell>
        </row>
        <row r="2697">
          <cell r="A2697" t="str">
            <v>URY</v>
          </cell>
          <cell r="B2697">
            <v>2014</v>
          </cell>
          <cell r="C2697" t="str">
            <v>gdp_inf_agri</v>
          </cell>
          <cell r="D2697">
            <v>-8.0350465774536133</v>
          </cell>
        </row>
        <row r="2698">
          <cell r="A2698" t="str">
            <v>URY</v>
          </cell>
          <cell r="B2698">
            <v>2014</v>
          </cell>
          <cell r="C2698" t="str">
            <v>gdp_inf_ind</v>
          </cell>
          <cell r="D2698">
            <v>-0.31677526235580439</v>
          </cell>
        </row>
        <row r="2699">
          <cell r="A2699" t="str">
            <v>URY</v>
          </cell>
          <cell r="B2699">
            <v>2014</v>
          </cell>
          <cell r="C2699" t="str">
            <v>gdp_inf_serv</v>
          </cell>
          <cell r="D2699">
            <v>-0.44528454542160029</v>
          </cell>
        </row>
        <row r="2700">
          <cell r="A2700" t="str">
            <v>URY</v>
          </cell>
          <cell r="B2700">
            <v>2014</v>
          </cell>
          <cell r="C2700" t="str">
            <v>prod_for_agri</v>
          </cell>
          <cell r="D2700">
            <v>-4.2792634963989258</v>
          </cell>
        </row>
        <row r="2701">
          <cell r="A2701" t="str">
            <v>URY</v>
          </cell>
          <cell r="B2701">
            <v>2014</v>
          </cell>
          <cell r="C2701" t="str">
            <v>prod_for_ind</v>
          </cell>
          <cell r="D2701">
            <v>0.94184774160385132</v>
          </cell>
        </row>
        <row r="2702">
          <cell r="A2702" t="str">
            <v>URY</v>
          </cell>
          <cell r="B2702">
            <v>2014</v>
          </cell>
          <cell r="C2702" t="str">
            <v>prod_for_serv</v>
          </cell>
          <cell r="D2702">
            <v>23.26053619384766</v>
          </cell>
        </row>
        <row r="2703">
          <cell r="A2703" t="str">
            <v>URY</v>
          </cell>
          <cell r="B2703">
            <v>2014</v>
          </cell>
          <cell r="C2703" t="str">
            <v>prod_inf_agri</v>
          </cell>
          <cell r="D2703">
            <v>-2.3525335788726811</v>
          </cell>
        </row>
        <row r="2704">
          <cell r="A2704" t="str">
            <v>URY</v>
          </cell>
          <cell r="B2704">
            <v>2014</v>
          </cell>
          <cell r="C2704" t="str">
            <v>prod_inf_ind</v>
          </cell>
          <cell r="D2704">
            <v>0.64883756637573242</v>
          </cell>
        </row>
        <row r="2705">
          <cell r="A2705" t="str">
            <v>URY</v>
          </cell>
          <cell r="B2705">
            <v>2014</v>
          </cell>
          <cell r="C2705" t="str">
            <v>prod_inf_serv</v>
          </cell>
          <cell r="D2705">
            <v>7.3106765747070313</v>
          </cell>
        </row>
        <row r="2706">
          <cell r="A2706" t="str">
            <v>URY</v>
          </cell>
          <cell r="B2706">
            <v>2015</v>
          </cell>
          <cell r="C2706" t="str">
            <v>gdp_activity</v>
          </cell>
          <cell r="D2706">
            <v>1.799609422683716</v>
          </cell>
        </row>
        <row r="2707">
          <cell r="A2707" t="str">
            <v>URY</v>
          </cell>
          <cell r="B2707">
            <v>2015</v>
          </cell>
          <cell r="C2707" t="str">
            <v>gdp_for_agri</v>
          </cell>
          <cell r="D2707">
            <v>1.029376149177551</v>
          </cell>
        </row>
        <row r="2708">
          <cell r="A2708" t="str">
            <v>URY</v>
          </cell>
          <cell r="B2708">
            <v>2015</v>
          </cell>
          <cell r="C2708" t="str">
            <v>gdp_for_ind</v>
          </cell>
          <cell r="D2708">
            <v>-12.40291595458984</v>
          </cell>
        </row>
        <row r="2709">
          <cell r="A2709" t="str">
            <v>URY</v>
          </cell>
          <cell r="B2709">
            <v>2015</v>
          </cell>
          <cell r="C2709" t="str">
            <v>gdp_for_serv</v>
          </cell>
          <cell r="D2709">
            <v>1.1476444005966191</v>
          </cell>
        </row>
        <row r="2710">
          <cell r="A2710" t="str">
            <v>URY</v>
          </cell>
          <cell r="B2710">
            <v>2015</v>
          </cell>
          <cell r="C2710" t="str">
            <v>gdp_inf_agri</v>
          </cell>
          <cell r="D2710">
            <v>10.91576099395752</v>
          </cell>
        </row>
        <row r="2711">
          <cell r="A2711" t="str">
            <v>URY</v>
          </cell>
          <cell r="B2711">
            <v>2015</v>
          </cell>
          <cell r="C2711" t="str">
            <v>gdp_inf_ind</v>
          </cell>
          <cell r="D2711">
            <v>3.4617781639099121</v>
          </cell>
        </row>
        <row r="2712">
          <cell r="A2712" t="str">
            <v>URY</v>
          </cell>
          <cell r="B2712">
            <v>2015</v>
          </cell>
          <cell r="C2712" t="str">
            <v>gdp_inf_serv</v>
          </cell>
          <cell r="D2712">
            <v>-0.18393343687057501</v>
          </cell>
        </row>
        <row r="2713">
          <cell r="A2713" t="str">
            <v>URY</v>
          </cell>
          <cell r="B2713">
            <v>2015</v>
          </cell>
          <cell r="C2713" t="str">
            <v>prod_for_agri</v>
          </cell>
          <cell r="D2713">
            <v>0.54775536060333252</v>
          </cell>
        </row>
        <row r="2714">
          <cell r="A2714" t="str">
            <v>URY</v>
          </cell>
          <cell r="B2714">
            <v>2015</v>
          </cell>
          <cell r="C2714" t="str">
            <v>prod_for_ind</v>
          </cell>
          <cell r="D2714">
            <v>0.40429973602294922</v>
          </cell>
        </row>
        <row r="2715">
          <cell r="A2715" t="str">
            <v>URY</v>
          </cell>
          <cell r="B2715">
            <v>2015</v>
          </cell>
          <cell r="C2715" t="str">
            <v>prod_for_serv</v>
          </cell>
          <cell r="D2715">
            <v>10.35627365112305</v>
          </cell>
        </row>
        <row r="2716">
          <cell r="A2716" t="str">
            <v>URY</v>
          </cell>
          <cell r="B2716">
            <v>2015</v>
          </cell>
          <cell r="C2716" t="str">
            <v>prod_inf_agri</v>
          </cell>
          <cell r="D2716">
            <v>1.962198734283447</v>
          </cell>
        </row>
        <row r="2717">
          <cell r="A2717" t="str">
            <v>URY</v>
          </cell>
          <cell r="B2717">
            <v>2015</v>
          </cell>
          <cell r="C2717" t="str">
            <v>prod_inf_ind</v>
          </cell>
          <cell r="D2717">
            <v>0.51105880737304688</v>
          </cell>
        </row>
        <row r="2718">
          <cell r="A2718" t="str">
            <v>URY</v>
          </cell>
          <cell r="B2718">
            <v>2015</v>
          </cell>
          <cell r="C2718" t="str">
            <v>prod_inf_serv</v>
          </cell>
          <cell r="D2718">
            <v>6.7757267951965332</v>
          </cell>
        </row>
        <row r="2719">
          <cell r="A2719" t="str">
            <v>URY</v>
          </cell>
          <cell r="B2719">
            <v>2016</v>
          </cell>
          <cell r="C2719" t="str">
            <v>gdp_activity</v>
          </cell>
          <cell r="D2719">
            <v>0.1616519242525101</v>
          </cell>
        </row>
        <row r="2720">
          <cell r="A2720" t="str">
            <v>URY</v>
          </cell>
          <cell r="B2720">
            <v>2016</v>
          </cell>
          <cell r="C2720" t="str">
            <v>gdp_for_agri</v>
          </cell>
          <cell r="D2720">
            <v>-4.0075321197509766</v>
          </cell>
        </row>
        <row r="2721">
          <cell r="A2721" t="str">
            <v>URY</v>
          </cell>
          <cell r="B2721">
            <v>2016</v>
          </cell>
          <cell r="C2721" t="str">
            <v>gdp_for_ind</v>
          </cell>
          <cell r="D2721">
            <v>-2.607492208480835</v>
          </cell>
        </row>
        <row r="2722">
          <cell r="A2722" t="str">
            <v>URY</v>
          </cell>
          <cell r="B2722">
            <v>2016</v>
          </cell>
          <cell r="C2722" t="str">
            <v>gdp_for_serv</v>
          </cell>
          <cell r="D2722">
            <v>0.39405104517936712</v>
          </cell>
        </row>
        <row r="2723">
          <cell r="A2723" t="str">
            <v>URY</v>
          </cell>
          <cell r="B2723">
            <v>2016</v>
          </cell>
          <cell r="C2723" t="str">
            <v>gdp_inf_agri</v>
          </cell>
          <cell r="D2723">
            <v>1.0655195713043211</v>
          </cell>
        </row>
        <row r="2724">
          <cell r="A2724" t="str">
            <v>URY</v>
          </cell>
          <cell r="B2724">
            <v>2016</v>
          </cell>
          <cell r="C2724" t="str">
            <v>gdp_inf_ind</v>
          </cell>
          <cell r="D2724">
            <v>1.107203006744385</v>
          </cell>
        </row>
        <row r="2725">
          <cell r="A2725" t="str">
            <v>URY</v>
          </cell>
          <cell r="B2725">
            <v>2016</v>
          </cell>
          <cell r="C2725" t="str">
            <v>gdp_inf_serv</v>
          </cell>
          <cell r="D2725">
            <v>1.8311775922775271</v>
          </cell>
        </row>
        <row r="2726">
          <cell r="A2726" t="str">
            <v>URY</v>
          </cell>
          <cell r="B2726">
            <v>2016</v>
          </cell>
          <cell r="C2726" t="str">
            <v>prod_for_agri</v>
          </cell>
          <cell r="D2726">
            <v>-0.18111427128314969</v>
          </cell>
        </row>
        <row r="2727">
          <cell r="A2727" t="str">
            <v>URY</v>
          </cell>
          <cell r="B2727">
            <v>2016</v>
          </cell>
          <cell r="C2727" t="str">
            <v>prod_for_ind</v>
          </cell>
          <cell r="D2727">
            <v>-0.88558787107467651</v>
          </cell>
        </row>
        <row r="2728">
          <cell r="A2728" t="str">
            <v>URY</v>
          </cell>
          <cell r="B2728">
            <v>2016</v>
          </cell>
          <cell r="C2728" t="str">
            <v>prod_for_serv</v>
          </cell>
          <cell r="D2728">
            <v>0.98934876918792725</v>
          </cell>
        </row>
        <row r="2729">
          <cell r="A2729" t="str">
            <v>URY</v>
          </cell>
          <cell r="B2729">
            <v>2016</v>
          </cell>
          <cell r="C2729" t="str">
            <v>prod_inf_agri</v>
          </cell>
          <cell r="D2729">
            <v>-0.86013221740722656</v>
          </cell>
        </row>
        <row r="2730">
          <cell r="A2730" t="str">
            <v>URY</v>
          </cell>
          <cell r="B2730">
            <v>2016</v>
          </cell>
          <cell r="C2730" t="str">
            <v>prod_inf_ind</v>
          </cell>
          <cell r="D2730">
            <v>-1.6142628192901609</v>
          </cell>
        </row>
        <row r="2731">
          <cell r="A2731" t="str">
            <v>URY</v>
          </cell>
          <cell r="B2731">
            <v>2016</v>
          </cell>
          <cell r="C2731" t="str">
            <v>prod_inf_serv</v>
          </cell>
          <cell r="D2731">
            <v>5.0393285751342773</v>
          </cell>
        </row>
        <row r="2732">
          <cell r="A2732" t="str">
            <v>URY</v>
          </cell>
          <cell r="B2732">
            <v>2017</v>
          </cell>
          <cell r="C2732" t="str">
            <v>gdp_activity</v>
          </cell>
          <cell r="D2732">
            <v>7.6951555907726288E-2</v>
          </cell>
        </row>
        <row r="2733">
          <cell r="A2733" t="str">
            <v>URY</v>
          </cell>
          <cell r="B2733">
            <v>2017</v>
          </cell>
          <cell r="C2733" t="str">
            <v>gdp_for_agri</v>
          </cell>
          <cell r="D2733">
            <v>-0.81229537725448608</v>
          </cell>
        </row>
        <row r="2734">
          <cell r="A2734" t="str">
            <v>URY</v>
          </cell>
          <cell r="B2734">
            <v>2017</v>
          </cell>
          <cell r="C2734" t="str">
            <v>gdp_for_ind</v>
          </cell>
          <cell r="D2734">
            <v>0.92317432165145874</v>
          </cell>
        </row>
        <row r="2735">
          <cell r="A2735" t="str">
            <v>URY</v>
          </cell>
          <cell r="B2735">
            <v>2017</v>
          </cell>
          <cell r="C2735" t="str">
            <v>gdp_for_serv</v>
          </cell>
          <cell r="D2735">
            <v>0.20926825702190399</v>
          </cell>
        </row>
        <row r="2736">
          <cell r="A2736" t="str">
            <v>URY</v>
          </cell>
          <cell r="B2736">
            <v>2017</v>
          </cell>
          <cell r="C2736" t="str">
            <v>gdp_inf_agri</v>
          </cell>
          <cell r="D2736">
            <v>-9.080050140619278E-2</v>
          </cell>
        </row>
        <row r="2737">
          <cell r="A2737" t="str">
            <v>URY</v>
          </cell>
          <cell r="B2737">
            <v>2017</v>
          </cell>
          <cell r="C2737" t="str">
            <v>gdp_inf_ind</v>
          </cell>
          <cell r="D2737">
            <v>0.42349579930305481</v>
          </cell>
        </row>
        <row r="2738">
          <cell r="A2738" t="str">
            <v>URY</v>
          </cell>
          <cell r="B2738">
            <v>2017</v>
          </cell>
          <cell r="C2738" t="str">
            <v>gdp_inf_serv</v>
          </cell>
          <cell r="D2738">
            <v>-1.002792119979858</v>
          </cell>
        </row>
        <row r="2739">
          <cell r="A2739" t="str">
            <v>URY</v>
          </cell>
          <cell r="B2739">
            <v>2017</v>
          </cell>
          <cell r="C2739" t="str">
            <v>prod_for_agri</v>
          </cell>
          <cell r="D2739">
            <v>8.2217128947377205E-3</v>
          </cell>
        </row>
        <row r="2740">
          <cell r="A2740" t="str">
            <v>URY</v>
          </cell>
          <cell r="B2740">
            <v>2017</v>
          </cell>
          <cell r="C2740" t="str">
            <v>prod_for_ind</v>
          </cell>
          <cell r="D2740">
            <v>-8.4128408432006836</v>
          </cell>
        </row>
        <row r="2741">
          <cell r="A2741" t="str">
            <v>URY</v>
          </cell>
          <cell r="B2741">
            <v>2017</v>
          </cell>
          <cell r="C2741" t="str">
            <v>prod_for_serv</v>
          </cell>
          <cell r="D2741">
            <v>0.90025949478149414</v>
          </cell>
        </row>
        <row r="2742">
          <cell r="A2742" t="str">
            <v>URY</v>
          </cell>
          <cell r="B2742">
            <v>2017</v>
          </cell>
          <cell r="C2742" t="str">
            <v>prod_inf_agri</v>
          </cell>
          <cell r="D2742">
            <v>-0.2249364107847214</v>
          </cell>
        </row>
        <row r="2743">
          <cell r="A2743" t="str">
            <v>URY</v>
          </cell>
          <cell r="B2743">
            <v>2017</v>
          </cell>
          <cell r="C2743" t="str">
            <v>prod_inf_ind</v>
          </cell>
          <cell r="D2743">
            <v>-1.977060914039612</v>
          </cell>
        </row>
        <row r="2744">
          <cell r="A2744" t="str">
            <v>URY</v>
          </cell>
          <cell r="B2744">
            <v>2017</v>
          </cell>
          <cell r="C2744" t="str">
            <v>prod_inf_serv</v>
          </cell>
          <cell r="D2744">
            <v>0.77239608764648438</v>
          </cell>
        </row>
        <row r="2745">
          <cell r="A2745" t="str">
            <v>URY</v>
          </cell>
          <cell r="B2745">
            <v>2018</v>
          </cell>
          <cell r="C2745" t="str">
            <v>gdp_activity</v>
          </cell>
          <cell r="D2745">
            <v>-0.44911530613899231</v>
          </cell>
        </row>
        <row r="2746">
          <cell r="A2746" t="str">
            <v>URY</v>
          </cell>
          <cell r="B2746">
            <v>2018</v>
          </cell>
          <cell r="C2746" t="str">
            <v>gdp_for_agri</v>
          </cell>
          <cell r="D2746">
            <v>-1.2252833843231199</v>
          </cell>
        </row>
        <row r="2747">
          <cell r="A2747" t="str">
            <v>URY</v>
          </cell>
          <cell r="B2747">
            <v>2018</v>
          </cell>
          <cell r="C2747" t="str">
            <v>gdp_for_ind</v>
          </cell>
          <cell r="D2747">
            <v>-1.716428756713867</v>
          </cell>
        </row>
        <row r="2748">
          <cell r="A2748" t="str">
            <v>URY</v>
          </cell>
          <cell r="B2748">
            <v>2018</v>
          </cell>
          <cell r="C2748" t="str">
            <v>gdp_for_serv</v>
          </cell>
          <cell r="D2748">
            <v>-1.674101591110229</v>
          </cell>
        </row>
        <row r="2749">
          <cell r="A2749" t="str">
            <v>URY</v>
          </cell>
          <cell r="B2749">
            <v>2018</v>
          </cell>
          <cell r="C2749" t="str">
            <v>gdp_inf_agri</v>
          </cell>
          <cell r="D2749">
            <v>-0.1022478938102722</v>
          </cell>
        </row>
        <row r="2750">
          <cell r="A2750" t="str">
            <v>URY</v>
          </cell>
          <cell r="B2750">
            <v>2018</v>
          </cell>
          <cell r="C2750" t="str">
            <v>gdp_inf_ind</v>
          </cell>
          <cell r="D2750">
            <v>0.48559603095054632</v>
          </cell>
        </row>
        <row r="2751">
          <cell r="A2751" t="str">
            <v>URY</v>
          </cell>
          <cell r="B2751">
            <v>2018</v>
          </cell>
          <cell r="C2751" t="str">
            <v>gdp_inf_serv</v>
          </cell>
          <cell r="D2751">
            <v>0.17963455617427829</v>
          </cell>
        </row>
        <row r="2752">
          <cell r="A2752" t="str">
            <v>URY</v>
          </cell>
          <cell r="B2752">
            <v>2018</v>
          </cell>
          <cell r="C2752" t="str">
            <v>prod_for_agri</v>
          </cell>
          <cell r="D2752">
            <v>-0.30884939432144171</v>
          </cell>
        </row>
        <row r="2753">
          <cell r="A2753" t="str">
            <v>URY</v>
          </cell>
          <cell r="B2753">
            <v>2018</v>
          </cell>
          <cell r="C2753" t="str">
            <v>prod_for_ind</v>
          </cell>
          <cell r="D2753">
            <v>-0.32824492454528809</v>
          </cell>
        </row>
        <row r="2754">
          <cell r="A2754" t="str">
            <v>URY</v>
          </cell>
          <cell r="B2754">
            <v>2018</v>
          </cell>
          <cell r="C2754" t="str">
            <v>prod_for_serv</v>
          </cell>
          <cell r="D2754">
            <v>0.88429468870162964</v>
          </cell>
        </row>
        <row r="2755">
          <cell r="A2755" t="str">
            <v>URY</v>
          </cell>
          <cell r="B2755">
            <v>2018</v>
          </cell>
          <cell r="C2755" t="str">
            <v>prod_inf_agri</v>
          </cell>
          <cell r="D2755">
            <v>-7.1629665791988373E-2</v>
          </cell>
        </row>
        <row r="2756">
          <cell r="A2756" t="str">
            <v>URY</v>
          </cell>
          <cell r="B2756">
            <v>2018</v>
          </cell>
          <cell r="C2756" t="str">
            <v>prod_inf_ind</v>
          </cell>
          <cell r="D2756">
            <v>-0.89168190956115723</v>
          </cell>
        </row>
        <row r="2757">
          <cell r="A2757" t="str">
            <v>URY</v>
          </cell>
          <cell r="B2757">
            <v>2018</v>
          </cell>
          <cell r="C2757" t="str">
            <v>prod_inf_serv</v>
          </cell>
          <cell r="D2757">
            <v>4.691892147064209</v>
          </cell>
        </row>
        <row r="2758">
          <cell r="A2758" t="str">
            <v>URY</v>
          </cell>
          <cell r="B2758">
            <v>2019</v>
          </cell>
          <cell r="C2758" t="str">
            <v>gdp_activity</v>
          </cell>
          <cell r="D2758">
            <v>0.48987659811973572</v>
          </cell>
        </row>
        <row r="2759">
          <cell r="A2759" t="str">
            <v>URY</v>
          </cell>
          <cell r="B2759">
            <v>2019</v>
          </cell>
          <cell r="C2759" t="str">
            <v>gdp_for_agri</v>
          </cell>
          <cell r="D2759">
            <v>0.26849904656410217</v>
          </cell>
        </row>
        <row r="2760">
          <cell r="A2760" t="str">
            <v>URY</v>
          </cell>
          <cell r="B2760">
            <v>2019</v>
          </cell>
          <cell r="C2760" t="str">
            <v>gdp_for_ind</v>
          </cell>
          <cell r="D2760">
            <v>2.9828999042510991</v>
          </cell>
        </row>
        <row r="2761">
          <cell r="A2761" t="str">
            <v>URY</v>
          </cell>
          <cell r="B2761">
            <v>2019</v>
          </cell>
          <cell r="C2761" t="str">
            <v>gdp_for_serv</v>
          </cell>
          <cell r="D2761">
            <v>-0.27217826247215271</v>
          </cell>
        </row>
        <row r="2762">
          <cell r="A2762" t="str">
            <v>URY</v>
          </cell>
          <cell r="B2762">
            <v>2019</v>
          </cell>
          <cell r="C2762" t="str">
            <v>gdp_inf_agri</v>
          </cell>
          <cell r="D2762">
            <v>-1.962387681007385</v>
          </cell>
        </row>
        <row r="2763">
          <cell r="A2763" t="str">
            <v>URY</v>
          </cell>
          <cell r="B2763">
            <v>2019</v>
          </cell>
          <cell r="C2763" t="str">
            <v>gdp_inf_ind</v>
          </cell>
          <cell r="D2763">
            <v>1.584998607635498</v>
          </cell>
        </row>
        <row r="2764">
          <cell r="A2764" t="str">
            <v>URY</v>
          </cell>
          <cell r="B2764">
            <v>2019</v>
          </cell>
          <cell r="C2764" t="str">
            <v>gdp_inf_serv</v>
          </cell>
          <cell r="D2764">
            <v>2.2618389129638672</v>
          </cell>
        </row>
        <row r="2765">
          <cell r="A2765" t="str">
            <v>URY</v>
          </cell>
          <cell r="B2765">
            <v>2019</v>
          </cell>
          <cell r="C2765" t="str">
            <v>prod_for_agri</v>
          </cell>
          <cell r="D2765">
            <v>0.58392429351806641</v>
          </cell>
        </row>
        <row r="2766">
          <cell r="A2766" t="str">
            <v>URY</v>
          </cell>
          <cell r="B2766">
            <v>2019</v>
          </cell>
          <cell r="C2766" t="str">
            <v>prod_for_ind</v>
          </cell>
          <cell r="D2766">
            <v>0.27715218067169189</v>
          </cell>
        </row>
        <row r="2767">
          <cell r="A2767" t="str">
            <v>URY</v>
          </cell>
          <cell r="B2767">
            <v>2019</v>
          </cell>
          <cell r="C2767" t="str">
            <v>prod_for_serv</v>
          </cell>
          <cell r="D2767">
            <v>-0.52743226289749146</v>
          </cell>
        </row>
        <row r="2768">
          <cell r="A2768" t="str">
            <v>URY</v>
          </cell>
          <cell r="B2768">
            <v>2019</v>
          </cell>
          <cell r="C2768" t="str">
            <v>prod_inf_agri</v>
          </cell>
          <cell r="D2768">
            <v>-1.5545942783355711</v>
          </cell>
        </row>
        <row r="2769">
          <cell r="A2769" t="str">
            <v>URY</v>
          </cell>
          <cell r="B2769">
            <v>2019</v>
          </cell>
          <cell r="C2769" t="str">
            <v>prod_inf_ind</v>
          </cell>
          <cell r="D2769">
            <v>0.15979088842868799</v>
          </cell>
        </row>
        <row r="2770">
          <cell r="A2770" t="str">
            <v>URY</v>
          </cell>
          <cell r="B2770">
            <v>2019</v>
          </cell>
          <cell r="C2770" t="str">
            <v>prod_inf_serv</v>
          </cell>
          <cell r="D2770">
            <v>-6.4136881828308114</v>
          </cell>
        </row>
        <row r="2771">
          <cell r="A2771" t="str">
            <v>URY</v>
          </cell>
          <cell r="B2771">
            <v>2020</v>
          </cell>
          <cell r="C2771" t="str">
            <v>gdp_activity</v>
          </cell>
          <cell r="D2771">
            <v>0.22231042385101321</v>
          </cell>
        </row>
        <row r="2772">
          <cell r="A2772" t="str">
            <v>URY</v>
          </cell>
          <cell r="B2772">
            <v>2020</v>
          </cell>
          <cell r="C2772" t="str">
            <v>gdp_for_agri</v>
          </cell>
          <cell r="D2772">
            <v>0.72272652387619019</v>
          </cell>
        </row>
        <row r="2773">
          <cell r="A2773" t="str">
            <v>URY</v>
          </cell>
          <cell r="B2773">
            <v>2020</v>
          </cell>
          <cell r="C2773" t="str">
            <v>gdp_for_ind</v>
          </cell>
          <cell r="D2773">
            <v>0.6017875075340271</v>
          </cell>
        </row>
        <row r="2774">
          <cell r="A2774" t="str">
            <v>URY</v>
          </cell>
          <cell r="B2774">
            <v>2020</v>
          </cell>
          <cell r="C2774" t="str">
            <v>gdp_for_serv</v>
          </cell>
          <cell r="D2774">
            <v>-0.1862033158540726</v>
          </cell>
        </row>
        <row r="2775">
          <cell r="A2775" t="str">
            <v>URY</v>
          </cell>
          <cell r="B2775">
            <v>2020</v>
          </cell>
          <cell r="C2775" t="str">
            <v>gdp_inf_agri</v>
          </cell>
          <cell r="D2775">
            <v>1.248387217521667</v>
          </cell>
        </row>
        <row r="2776">
          <cell r="A2776" t="str">
            <v>URY</v>
          </cell>
          <cell r="B2776">
            <v>2020</v>
          </cell>
          <cell r="C2776" t="str">
            <v>gdp_inf_ind</v>
          </cell>
          <cell r="D2776">
            <v>1.066098213195801</v>
          </cell>
        </row>
        <row r="2777">
          <cell r="A2777" t="str">
            <v>URY</v>
          </cell>
          <cell r="B2777">
            <v>2020</v>
          </cell>
          <cell r="C2777" t="str">
            <v>gdp_inf_serv</v>
          </cell>
          <cell r="D2777">
            <v>2.0376813411712651</v>
          </cell>
        </row>
        <row r="2778">
          <cell r="A2778" t="str">
            <v>URY</v>
          </cell>
          <cell r="B2778">
            <v>2020</v>
          </cell>
          <cell r="C2778" t="str">
            <v>prod_for_agri</v>
          </cell>
          <cell r="D2778">
            <v>7.9112777709960938</v>
          </cell>
        </row>
        <row r="2779">
          <cell r="A2779" t="str">
            <v>URY</v>
          </cell>
          <cell r="B2779">
            <v>2020</v>
          </cell>
          <cell r="C2779" t="str">
            <v>prod_for_ind</v>
          </cell>
          <cell r="D2779">
            <v>4.261540412902832</v>
          </cell>
        </row>
        <row r="2780">
          <cell r="A2780" t="str">
            <v>URY</v>
          </cell>
          <cell r="B2780">
            <v>2020</v>
          </cell>
          <cell r="C2780" t="str">
            <v>prod_for_serv</v>
          </cell>
          <cell r="D2780">
            <v>1.3258486986160281</v>
          </cell>
        </row>
        <row r="2781">
          <cell r="A2781" t="str">
            <v>URY</v>
          </cell>
          <cell r="B2781">
            <v>2020</v>
          </cell>
          <cell r="C2781" t="str">
            <v>prod_inf_agri</v>
          </cell>
          <cell r="D2781">
            <v>13.7692928314209</v>
          </cell>
        </row>
        <row r="2782">
          <cell r="A2782" t="str">
            <v>URY</v>
          </cell>
          <cell r="B2782">
            <v>2020</v>
          </cell>
          <cell r="C2782" t="str">
            <v>prod_inf_ind</v>
          </cell>
          <cell r="D2782">
            <v>7.8873043060302734</v>
          </cell>
        </row>
        <row r="2783">
          <cell r="A2783" t="str">
            <v>URY</v>
          </cell>
          <cell r="B2783">
            <v>2020</v>
          </cell>
          <cell r="C2783" t="str">
            <v>prod_inf_serv</v>
          </cell>
          <cell r="D2783">
            <v>1.9754461050033569</v>
          </cell>
        </row>
        <row r="2784">
          <cell r="A2784" t="str">
            <v>URY</v>
          </cell>
          <cell r="B2784">
            <v>2021</v>
          </cell>
          <cell r="C2784" t="str">
            <v>gdp_activity</v>
          </cell>
          <cell r="D2784">
            <v>0.16580262780189511</v>
          </cell>
        </row>
        <row r="2785">
          <cell r="A2785" t="str">
            <v>URY</v>
          </cell>
          <cell r="B2785">
            <v>2021</v>
          </cell>
          <cell r="C2785" t="str">
            <v>gdp_for_agri</v>
          </cell>
          <cell r="D2785">
            <v>0.30888250470161438</v>
          </cell>
        </row>
        <row r="2786">
          <cell r="A2786" t="str">
            <v>URY</v>
          </cell>
          <cell r="B2786">
            <v>2021</v>
          </cell>
          <cell r="C2786" t="str">
            <v>gdp_for_ind</v>
          </cell>
          <cell r="D2786">
            <v>-2.7945362031459808E-2</v>
          </cell>
        </row>
        <row r="2787">
          <cell r="A2787" t="str">
            <v>URY</v>
          </cell>
          <cell r="B2787">
            <v>2021</v>
          </cell>
          <cell r="C2787" t="str">
            <v>gdp_for_serv</v>
          </cell>
          <cell r="D2787">
            <v>-8.9334107935428619E-2</v>
          </cell>
        </row>
        <row r="2788">
          <cell r="A2788" t="str">
            <v>URY</v>
          </cell>
          <cell r="B2788">
            <v>2021</v>
          </cell>
          <cell r="C2788" t="str">
            <v>gdp_inf_agri</v>
          </cell>
          <cell r="D2788">
            <v>-0.101756788790226</v>
          </cell>
        </row>
        <row r="2789">
          <cell r="A2789" t="str">
            <v>URY</v>
          </cell>
          <cell r="B2789">
            <v>2021</v>
          </cell>
          <cell r="C2789" t="str">
            <v>gdp_inf_ind</v>
          </cell>
          <cell r="D2789">
            <v>0.94295471906661987</v>
          </cell>
        </row>
        <row r="2790">
          <cell r="A2790" t="str">
            <v>URY</v>
          </cell>
          <cell r="B2790">
            <v>2021</v>
          </cell>
          <cell r="C2790" t="str">
            <v>gdp_inf_serv</v>
          </cell>
          <cell r="D2790">
            <v>4.335381031036377</v>
          </cell>
        </row>
        <row r="2791">
          <cell r="A2791" t="str">
            <v>URY</v>
          </cell>
          <cell r="B2791">
            <v>2021</v>
          </cell>
          <cell r="C2791" t="str">
            <v>prod_for_agri</v>
          </cell>
          <cell r="D2791">
            <v>-0.42897239327430731</v>
          </cell>
        </row>
        <row r="2792">
          <cell r="A2792" t="str">
            <v>URY</v>
          </cell>
          <cell r="B2792">
            <v>2021</v>
          </cell>
          <cell r="C2792" t="str">
            <v>prod_for_ind</v>
          </cell>
          <cell r="D2792">
            <v>1.631826758384705</v>
          </cell>
        </row>
        <row r="2793">
          <cell r="A2793" t="str">
            <v>URY</v>
          </cell>
          <cell r="B2793">
            <v>2021</v>
          </cell>
          <cell r="C2793" t="str">
            <v>prod_for_serv</v>
          </cell>
          <cell r="D2793">
            <v>-0.27299892902374268</v>
          </cell>
        </row>
        <row r="2794">
          <cell r="A2794" t="str">
            <v>URY</v>
          </cell>
          <cell r="B2794">
            <v>2021</v>
          </cell>
          <cell r="C2794" t="str">
            <v>prod_inf_agri</v>
          </cell>
          <cell r="D2794">
            <v>0.81858032941818237</v>
          </cell>
        </row>
        <row r="2795">
          <cell r="A2795" t="str">
            <v>URY</v>
          </cell>
          <cell r="B2795">
            <v>2021</v>
          </cell>
          <cell r="C2795" t="str">
            <v>prod_inf_ind</v>
          </cell>
          <cell r="D2795">
            <v>1.021772027015686</v>
          </cell>
        </row>
        <row r="2796">
          <cell r="A2796" t="str">
            <v>URY</v>
          </cell>
          <cell r="B2796">
            <v>2021</v>
          </cell>
          <cell r="C2796" t="str">
            <v>prod_inf_serv</v>
          </cell>
          <cell r="D2796">
            <v>2.698750257492065</v>
          </cell>
        </row>
        <row r="2797">
          <cell r="A2797" t="str">
            <v>URY</v>
          </cell>
          <cell r="B2797">
            <v>2022</v>
          </cell>
          <cell r="C2797" t="str">
            <v>gdp_activity</v>
          </cell>
          <cell r="D2797">
            <v>7.0612184703350067E-2</v>
          </cell>
        </row>
        <row r="2798">
          <cell r="A2798" t="str">
            <v>URY</v>
          </cell>
          <cell r="B2798">
            <v>2022</v>
          </cell>
          <cell r="C2798" t="str">
            <v>gdp_for_agri</v>
          </cell>
          <cell r="D2798">
            <v>-0.6967962384223938</v>
          </cell>
        </row>
        <row r="2799">
          <cell r="A2799" t="str">
            <v>URY</v>
          </cell>
          <cell r="B2799">
            <v>2022</v>
          </cell>
          <cell r="C2799" t="str">
            <v>gdp_for_ind</v>
          </cell>
          <cell r="D2799">
            <v>2.8092513084411621</v>
          </cell>
        </row>
        <row r="2800">
          <cell r="A2800" t="str">
            <v>URY</v>
          </cell>
          <cell r="B2800">
            <v>2022</v>
          </cell>
          <cell r="C2800" t="str">
            <v>gdp_for_serv</v>
          </cell>
          <cell r="D2800">
            <v>0.27610582113265991</v>
          </cell>
        </row>
        <row r="2801">
          <cell r="A2801" t="str">
            <v>URY</v>
          </cell>
          <cell r="B2801">
            <v>2022</v>
          </cell>
          <cell r="C2801" t="str">
            <v>gdp_inf_agri</v>
          </cell>
          <cell r="D2801">
            <v>-0.43679907917976379</v>
          </cell>
        </row>
        <row r="2802">
          <cell r="A2802" t="str">
            <v>URY</v>
          </cell>
          <cell r="B2802">
            <v>2022</v>
          </cell>
          <cell r="C2802" t="str">
            <v>gdp_inf_ind</v>
          </cell>
          <cell r="D2802">
            <v>-0.49605995416641241</v>
          </cell>
        </row>
        <row r="2803">
          <cell r="A2803" t="str">
            <v>URY</v>
          </cell>
          <cell r="B2803">
            <v>2022</v>
          </cell>
          <cell r="C2803" t="str">
            <v>gdp_inf_serv</v>
          </cell>
          <cell r="D2803">
            <v>-1.5704817771911621</v>
          </cell>
        </row>
        <row r="2804">
          <cell r="A2804" t="str">
            <v>URY</v>
          </cell>
          <cell r="B2804">
            <v>2022</v>
          </cell>
          <cell r="C2804" t="str">
            <v>prod_for_agri</v>
          </cell>
          <cell r="D2804">
            <v>-0.35906815528869629</v>
          </cell>
        </row>
        <row r="2805">
          <cell r="A2805" t="str">
            <v>URY</v>
          </cell>
          <cell r="B2805">
            <v>2022</v>
          </cell>
          <cell r="C2805" t="str">
            <v>prod_for_ind</v>
          </cell>
          <cell r="D2805">
            <v>-0.61669522523880005</v>
          </cell>
        </row>
        <row r="2806">
          <cell r="A2806" t="str">
            <v>URY</v>
          </cell>
          <cell r="B2806">
            <v>2022</v>
          </cell>
          <cell r="C2806" t="str">
            <v>prod_for_serv</v>
          </cell>
          <cell r="D2806">
            <v>0.65715533494949341</v>
          </cell>
        </row>
        <row r="2807">
          <cell r="A2807" t="str">
            <v>URY</v>
          </cell>
          <cell r="B2807">
            <v>2022</v>
          </cell>
          <cell r="C2807" t="str">
            <v>prod_inf_agri</v>
          </cell>
          <cell r="D2807">
            <v>-0.44026827812194819</v>
          </cell>
        </row>
        <row r="2808">
          <cell r="A2808" t="str">
            <v>URY</v>
          </cell>
          <cell r="B2808">
            <v>2022</v>
          </cell>
          <cell r="C2808" t="str">
            <v>prod_inf_ind</v>
          </cell>
          <cell r="D2808">
            <v>-3.0532057285308838</v>
          </cell>
        </row>
        <row r="2809">
          <cell r="A2809" t="str">
            <v>URY</v>
          </cell>
          <cell r="B2809">
            <v>2022</v>
          </cell>
          <cell r="C2809" t="str">
            <v>prod_inf_serv</v>
          </cell>
          <cell r="D2809">
            <v>1.0409682989120479</v>
          </cell>
        </row>
        <row r="2810">
          <cell r="A2810" t="str">
            <v>URY</v>
          </cell>
          <cell r="B2810">
            <v>2023</v>
          </cell>
          <cell r="C2810" t="str">
            <v>gdp_activity</v>
          </cell>
          <cell r="D2810">
            <v>6.3534636497497559</v>
          </cell>
        </row>
        <row r="2811">
          <cell r="A2811" t="str">
            <v>URY</v>
          </cell>
          <cell r="B2811">
            <v>2023</v>
          </cell>
          <cell r="C2811" t="str">
            <v>gdp_for_agri</v>
          </cell>
          <cell r="D2811">
            <v>-1.0673022270202639</v>
          </cell>
        </row>
        <row r="2812">
          <cell r="A2812" t="str">
            <v>URY</v>
          </cell>
          <cell r="B2812">
            <v>2023</v>
          </cell>
          <cell r="C2812" t="str">
            <v>gdp_for_ind</v>
          </cell>
          <cell r="D2812">
            <v>-0.4427243173122406</v>
          </cell>
        </row>
        <row r="2813">
          <cell r="A2813" t="str">
            <v>URY</v>
          </cell>
          <cell r="B2813">
            <v>2023</v>
          </cell>
          <cell r="C2813" t="str">
            <v>gdp_for_serv</v>
          </cell>
          <cell r="D2813">
            <v>-0.12712234258651731</v>
          </cell>
        </row>
        <row r="2814">
          <cell r="A2814" t="str">
            <v>URY</v>
          </cell>
          <cell r="B2814">
            <v>2023</v>
          </cell>
          <cell r="C2814" t="str">
            <v>gdp_inf_agri</v>
          </cell>
          <cell r="D2814">
            <v>1.6117275953292849</v>
          </cell>
        </row>
        <row r="2815">
          <cell r="A2815" t="str">
            <v>URY</v>
          </cell>
          <cell r="B2815">
            <v>2023</v>
          </cell>
          <cell r="C2815" t="str">
            <v>gdp_inf_ind</v>
          </cell>
          <cell r="D2815">
            <v>-0.40499001741409302</v>
          </cell>
        </row>
        <row r="2816">
          <cell r="A2816" t="str">
            <v>URY</v>
          </cell>
          <cell r="B2816">
            <v>2023</v>
          </cell>
          <cell r="C2816" t="str">
            <v>gdp_inf_serv</v>
          </cell>
          <cell r="D2816">
            <v>3.8649787902832031</v>
          </cell>
        </row>
        <row r="2817">
          <cell r="A2817" t="str">
            <v>URY</v>
          </cell>
          <cell r="B2817">
            <v>2023</v>
          </cell>
          <cell r="C2817" t="str">
            <v>prod_for_agri</v>
          </cell>
          <cell r="D2817">
            <v>-0.48281058669090271</v>
          </cell>
        </row>
        <row r="2818">
          <cell r="A2818" t="str">
            <v>URY</v>
          </cell>
          <cell r="B2818">
            <v>2023</v>
          </cell>
          <cell r="C2818" t="str">
            <v>prod_for_ind</v>
          </cell>
          <cell r="D2818">
            <v>-7.7605940401554108E-2</v>
          </cell>
        </row>
        <row r="2819">
          <cell r="A2819" t="str">
            <v>URY</v>
          </cell>
          <cell r="B2819">
            <v>2023</v>
          </cell>
          <cell r="C2819" t="str">
            <v>prod_for_serv</v>
          </cell>
          <cell r="D2819">
            <v>1.581805944442749</v>
          </cell>
        </row>
        <row r="2820">
          <cell r="A2820" t="str">
            <v>URY</v>
          </cell>
          <cell r="B2820">
            <v>2023</v>
          </cell>
          <cell r="C2820" t="str">
            <v>prod_inf_agri</v>
          </cell>
          <cell r="D2820">
            <v>1.431827068328857</v>
          </cell>
        </row>
        <row r="2821">
          <cell r="A2821" t="str">
            <v>URY</v>
          </cell>
          <cell r="B2821">
            <v>2023</v>
          </cell>
          <cell r="C2821" t="str">
            <v>prod_inf_ind</v>
          </cell>
          <cell r="D2821">
            <v>-0.47045961022377009</v>
          </cell>
        </row>
        <row r="2822">
          <cell r="A2822" t="str">
            <v>URY</v>
          </cell>
          <cell r="B2822">
            <v>2023</v>
          </cell>
          <cell r="C2822" t="str">
            <v>prod_inf_serv</v>
          </cell>
          <cell r="D2822">
            <v>1.057883501052856</v>
          </cell>
        </row>
      </sheetData>
      <sheetData sheetId="3">
        <row r="1">
          <cell r="A1" t="str">
            <v>Country</v>
          </cell>
          <cell r="B1" t="str">
            <v>Period</v>
          </cell>
          <cell r="C1" t="str">
            <v>Year</v>
          </cell>
          <cell r="D1" t="str">
            <v>Model</v>
          </cell>
          <cell r="E1" t="str">
            <v>Elasticity</v>
          </cell>
          <cell r="F1" t="str">
            <v>Value</v>
          </cell>
        </row>
        <row r="2">
          <cell r="A2" t="str">
            <v>ARG</v>
          </cell>
          <cell r="B2" t="str">
            <v>Long</v>
          </cell>
          <cell r="C2" t="str">
            <v>2006 - 2022</v>
          </cell>
          <cell r="D2" t="str">
            <v>avg</v>
          </cell>
          <cell r="E2" t="str">
            <v>gdp_activity</v>
          </cell>
          <cell r="F2">
            <v>0.21437832713127139</v>
          </cell>
        </row>
        <row r="3">
          <cell r="A3" t="str">
            <v>ARG</v>
          </cell>
          <cell r="B3" t="str">
            <v>Long</v>
          </cell>
          <cell r="C3" t="str">
            <v>2006 - 2022</v>
          </cell>
          <cell r="D3" t="str">
            <v>avg</v>
          </cell>
          <cell r="E3" t="str">
            <v>gdp_for_agri</v>
          </cell>
          <cell r="F3">
            <v>1.232268214225769</v>
          </cell>
        </row>
        <row r="4">
          <cell r="A4" t="str">
            <v>ARG</v>
          </cell>
          <cell r="B4" t="str">
            <v>Long</v>
          </cell>
          <cell r="C4" t="str">
            <v>2006 - 2022</v>
          </cell>
          <cell r="D4" t="str">
            <v>avg</v>
          </cell>
          <cell r="E4" t="str">
            <v>gdp_for_ind</v>
          </cell>
          <cell r="F4">
            <v>1.1311559677124019</v>
          </cell>
        </row>
        <row r="5">
          <cell r="A5" t="str">
            <v>ARG</v>
          </cell>
          <cell r="B5" t="str">
            <v>Long</v>
          </cell>
          <cell r="C5" t="str">
            <v>2006 - 2022</v>
          </cell>
          <cell r="D5" t="str">
            <v>avg</v>
          </cell>
          <cell r="E5" t="str">
            <v>gdp_for_serv</v>
          </cell>
          <cell r="F5">
            <v>1.2279742956161499</v>
          </cell>
        </row>
        <row r="6">
          <cell r="A6" t="str">
            <v>ARG</v>
          </cell>
          <cell r="B6" t="str">
            <v>Long</v>
          </cell>
          <cell r="C6" t="str">
            <v>2006 - 2022</v>
          </cell>
          <cell r="D6" t="str">
            <v>avg</v>
          </cell>
          <cell r="E6" t="str">
            <v>gdp_inf_agri</v>
          </cell>
          <cell r="F6">
            <v>-3.8970518112182622</v>
          </cell>
        </row>
        <row r="7">
          <cell r="A7" t="str">
            <v>ARG</v>
          </cell>
          <cell r="B7" t="str">
            <v>Long</v>
          </cell>
          <cell r="C7" t="str">
            <v>2006 - 2022</v>
          </cell>
          <cell r="D7" t="str">
            <v>avg</v>
          </cell>
          <cell r="E7" t="str">
            <v>gdp_inf_ind</v>
          </cell>
          <cell r="F7">
            <v>0.19860213994979861</v>
          </cell>
        </row>
        <row r="8">
          <cell r="A8" t="str">
            <v>ARG</v>
          </cell>
          <cell r="B8" t="str">
            <v>Long</v>
          </cell>
          <cell r="C8" t="str">
            <v>2006 - 2022</v>
          </cell>
          <cell r="D8" t="str">
            <v>avg</v>
          </cell>
          <cell r="E8" t="str">
            <v>gdp_inf_serv</v>
          </cell>
          <cell r="F8">
            <v>0.16248984634876251</v>
          </cell>
        </row>
        <row r="9">
          <cell r="A9" t="str">
            <v>ARG</v>
          </cell>
          <cell r="B9" t="str">
            <v>Long</v>
          </cell>
          <cell r="C9" t="str">
            <v>2006 - 2022</v>
          </cell>
          <cell r="D9" t="str">
            <v>avg</v>
          </cell>
          <cell r="E9" t="str">
            <v>prod_for_agri</v>
          </cell>
          <cell r="F9">
            <v>1.861111521720886</v>
          </cell>
        </row>
        <row r="10">
          <cell r="A10" t="str">
            <v>ARG</v>
          </cell>
          <cell r="B10" t="str">
            <v>Long</v>
          </cell>
          <cell r="C10" t="str">
            <v>2006 - 2022</v>
          </cell>
          <cell r="D10" t="str">
            <v>avg</v>
          </cell>
          <cell r="E10" t="str">
            <v>prod_for_ind</v>
          </cell>
          <cell r="F10">
            <v>-1.485386967658997</v>
          </cell>
        </row>
        <row r="11">
          <cell r="A11" t="str">
            <v>ARG</v>
          </cell>
          <cell r="B11" t="str">
            <v>Long</v>
          </cell>
          <cell r="C11" t="str">
            <v>2006 - 2022</v>
          </cell>
          <cell r="D11" t="str">
            <v>avg</v>
          </cell>
          <cell r="E11" t="str">
            <v>prod_for_serv</v>
          </cell>
          <cell r="F11">
            <v>1.0992234945297239</v>
          </cell>
        </row>
        <row r="12">
          <cell r="A12" t="str">
            <v>ARG</v>
          </cell>
          <cell r="B12" t="str">
            <v>Long</v>
          </cell>
          <cell r="C12" t="str">
            <v>2006 - 2022</v>
          </cell>
          <cell r="D12" t="str">
            <v>avg</v>
          </cell>
          <cell r="E12" t="str">
            <v>prod_inf_agri</v>
          </cell>
          <cell r="F12">
            <v>-0.13942687213420871</v>
          </cell>
        </row>
        <row r="13">
          <cell r="A13" t="str">
            <v>ARG</v>
          </cell>
          <cell r="B13" t="str">
            <v>Long</v>
          </cell>
          <cell r="C13" t="str">
            <v>2006 - 2022</v>
          </cell>
          <cell r="D13" t="str">
            <v>avg</v>
          </cell>
          <cell r="E13" t="str">
            <v>prod_inf_ind</v>
          </cell>
          <cell r="F13">
            <v>1.1704497337341311</v>
          </cell>
        </row>
        <row r="14">
          <cell r="A14" t="str">
            <v>ARG</v>
          </cell>
          <cell r="B14" t="str">
            <v>Long</v>
          </cell>
          <cell r="C14" t="str">
            <v>2006 - 2022</v>
          </cell>
          <cell r="D14" t="str">
            <v>avg</v>
          </cell>
          <cell r="E14" t="str">
            <v>prod_inf_serv</v>
          </cell>
          <cell r="F14">
            <v>-0.1192862465977669</v>
          </cell>
        </row>
        <row r="15">
          <cell r="A15" t="str">
            <v>ARG</v>
          </cell>
          <cell r="B15" t="str">
            <v>Long</v>
          </cell>
          <cell r="C15" t="str">
            <v>2006 - 2022</v>
          </cell>
          <cell r="D15" t="str">
            <v>avg_1_99</v>
          </cell>
          <cell r="E15" t="str">
            <v>gdp_activity</v>
          </cell>
          <cell r="F15">
            <v>4.1878126561641693E-2</v>
          </cell>
        </row>
        <row r="16">
          <cell r="A16" t="str">
            <v>ARG</v>
          </cell>
          <cell r="B16" t="str">
            <v>Long</v>
          </cell>
          <cell r="C16" t="str">
            <v>2006 - 2022</v>
          </cell>
          <cell r="D16" t="str">
            <v>avg_1_99</v>
          </cell>
          <cell r="E16" t="str">
            <v>gdp_for_agri</v>
          </cell>
          <cell r="F16">
            <v>0.94114023447036743</v>
          </cell>
        </row>
        <row r="17">
          <cell r="A17" t="str">
            <v>ARG</v>
          </cell>
          <cell r="B17" t="str">
            <v>Long</v>
          </cell>
          <cell r="C17" t="str">
            <v>2006 - 2022</v>
          </cell>
          <cell r="D17" t="str">
            <v>avg_1_99</v>
          </cell>
          <cell r="E17" t="str">
            <v>gdp_for_ind</v>
          </cell>
          <cell r="F17">
            <v>0.78611153364181519</v>
          </cell>
        </row>
        <row r="18">
          <cell r="A18" t="str">
            <v>ARG</v>
          </cell>
          <cell r="B18" t="str">
            <v>Long</v>
          </cell>
          <cell r="C18" t="str">
            <v>2006 - 2022</v>
          </cell>
          <cell r="D18" t="str">
            <v>avg_1_99</v>
          </cell>
          <cell r="E18" t="str">
            <v>gdp_for_serv</v>
          </cell>
          <cell r="F18">
            <v>0.98402100801467896</v>
          </cell>
        </row>
        <row r="19">
          <cell r="A19" t="str">
            <v>ARG</v>
          </cell>
          <cell r="B19" t="str">
            <v>Long</v>
          </cell>
          <cell r="C19" t="str">
            <v>2006 - 2022</v>
          </cell>
          <cell r="D19" t="str">
            <v>avg_1_99</v>
          </cell>
          <cell r="E19" t="str">
            <v>gdp_inf_agri</v>
          </cell>
          <cell r="F19">
            <v>-1.197663545608521</v>
          </cell>
        </row>
        <row r="20">
          <cell r="A20" t="str">
            <v>ARG</v>
          </cell>
          <cell r="B20" t="str">
            <v>Long</v>
          </cell>
          <cell r="C20" t="str">
            <v>2006 - 2022</v>
          </cell>
          <cell r="D20" t="str">
            <v>avg_1_99</v>
          </cell>
          <cell r="E20" t="str">
            <v>gdp_inf_ind</v>
          </cell>
          <cell r="F20">
            <v>0.1114898920059204</v>
          </cell>
        </row>
        <row r="21">
          <cell r="A21" t="str">
            <v>ARG</v>
          </cell>
          <cell r="B21" t="str">
            <v>Long</v>
          </cell>
          <cell r="C21" t="str">
            <v>2006 - 2022</v>
          </cell>
          <cell r="D21" t="str">
            <v>avg_1_99</v>
          </cell>
          <cell r="E21" t="str">
            <v>gdp_inf_serv</v>
          </cell>
          <cell r="F21">
            <v>0.1422887593507767</v>
          </cell>
        </row>
        <row r="22">
          <cell r="A22" t="str">
            <v>ARG</v>
          </cell>
          <cell r="B22" t="str">
            <v>Long</v>
          </cell>
          <cell r="C22" t="str">
            <v>2006 - 2022</v>
          </cell>
          <cell r="D22" t="str">
            <v>avg_1_99</v>
          </cell>
          <cell r="E22" t="str">
            <v>prod_for_agri</v>
          </cell>
          <cell r="F22">
            <v>1.0188702344894409</v>
          </cell>
        </row>
        <row r="23">
          <cell r="A23" t="str">
            <v>ARG</v>
          </cell>
          <cell r="B23" t="str">
            <v>Long</v>
          </cell>
          <cell r="C23" t="str">
            <v>2006 - 2022</v>
          </cell>
          <cell r="D23" t="str">
            <v>avg_1_99</v>
          </cell>
          <cell r="E23" t="str">
            <v>prod_for_ind</v>
          </cell>
          <cell r="F23">
            <v>0.49844139814376831</v>
          </cell>
        </row>
        <row r="24">
          <cell r="A24" t="str">
            <v>ARG</v>
          </cell>
          <cell r="B24" t="str">
            <v>Long</v>
          </cell>
          <cell r="C24" t="str">
            <v>2006 - 2022</v>
          </cell>
          <cell r="D24" t="str">
            <v>avg_1_99</v>
          </cell>
          <cell r="E24" t="str">
            <v>prod_for_serv</v>
          </cell>
          <cell r="F24">
            <v>1.1007906198501589</v>
          </cell>
        </row>
        <row r="25">
          <cell r="A25" t="str">
            <v>ARG</v>
          </cell>
          <cell r="B25" t="str">
            <v>Long</v>
          </cell>
          <cell r="C25" t="str">
            <v>2006 - 2022</v>
          </cell>
          <cell r="D25" t="str">
            <v>avg_1_99</v>
          </cell>
          <cell r="E25" t="str">
            <v>prod_inf_agri</v>
          </cell>
          <cell r="F25">
            <v>0.18190699815750119</v>
          </cell>
        </row>
        <row r="26">
          <cell r="A26" t="str">
            <v>ARG</v>
          </cell>
          <cell r="B26" t="str">
            <v>Long</v>
          </cell>
          <cell r="C26" t="str">
            <v>2006 - 2022</v>
          </cell>
          <cell r="D26" t="str">
            <v>avg_1_99</v>
          </cell>
          <cell r="E26" t="str">
            <v>prod_inf_ind</v>
          </cell>
          <cell r="F26">
            <v>1.422885417938232</v>
          </cell>
        </row>
        <row r="27">
          <cell r="A27" t="str">
            <v>ARG</v>
          </cell>
          <cell r="B27" t="str">
            <v>Long</v>
          </cell>
          <cell r="C27" t="str">
            <v>2006 - 2022</v>
          </cell>
          <cell r="D27" t="str">
            <v>avg_1_99</v>
          </cell>
          <cell r="E27" t="str">
            <v>prod_inf_serv</v>
          </cell>
          <cell r="F27">
            <v>0.37125104665756231</v>
          </cell>
        </row>
        <row r="28">
          <cell r="A28" t="str">
            <v>ARG</v>
          </cell>
          <cell r="B28" t="str">
            <v>Long</v>
          </cell>
          <cell r="C28" t="str">
            <v>2006 - 2022</v>
          </cell>
          <cell r="D28" t="str">
            <v>avg_1_99_imp</v>
          </cell>
          <cell r="E28" t="str">
            <v>gdp_activity</v>
          </cell>
          <cell r="F28">
            <v>6.166616827249527E-2</v>
          </cell>
        </row>
        <row r="29">
          <cell r="A29" t="str">
            <v>ARG</v>
          </cell>
          <cell r="B29" t="str">
            <v>Long</v>
          </cell>
          <cell r="C29" t="str">
            <v>2006 - 2022</v>
          </cell>
          <cell r="D29" t="str">
            <v>avg_1_99_imp</v>
          </cell>
          <cell r="E29" t="str">
            <v>gdp_for_agri</v>
          </cell>
          <cell r="F29">
            <v>0.93166416883468628</v>
          </cell>
        </row>
        <row r="30">
          <cell r="A30" t="str">
            <v>ARG</v>
          </cell>
          <cell r="B30" t="str">
            <v>Long</v>
          </cell>
          <cell r="C30" t="str">
            <v>2006 - 2022</v>
          </cell>
          <cell r="D30" t="str">
            <v>avg_1_99_imp</v>
          </cell>
          <cell r="E30" t="str">
            <v>gdp_for_ind</v>
          </cell>
          <cell r="F30">
            <v>0.77282702922821045</v>
          </cell>
        </row>
        <row r="31">
          <cell r="A31" t="str">
            <v>ARG</v>
          </cell>
          <cell r="B31" t="str">
            <v>Long</v>
          </cell>
          <cell r="C31" t="str">
            <v>2006 - 2022</v>
          </cell>
          <cell r="D31" t="str">
            <v>avg_1_99_imp</v>
          </cell>
          <cell r="E31" t="str">
            <v>gdp_for_serv</v>
          </cell>
          <cell r="F31">
            <v>0.94926649332046509</v>
          </cell>
        </row>
        <row r="32">
          <cell r="A32" t="str">
            <v>ARG</v>
          </cell>
          <cell r="B32" t="str">
            <v>Long</v>
          </cell>
          <cell r="C32" t="str">
            <v>2006 - 2022</v>
          </cell>
          <cell r="D32" t="str">
            <v>avg_1_99_imp</v>
          </cell>
          <cell r="E32" t="str">
            <v>gdp_inf_agri</v>
          </cell>
          <cell r="F32">
            <v>-1.0729562044143679</v>
          </cell>
        </row>
        <row r="33">
          <cell r="A33" t="str">
            <v>ARG</v>
          </cell>
          <cell r="B33" t="str">
            <v>Long</v>
          </cell>
          <cell r="C33" t="str">
            <v>2006 - 2022</v>
          </cell>
          <cell r="D33" t="str">
            <v>avg_1_99_imp</v>
          </cell>
          <cell r="E33" t="str">
            <v>gdp_inf_ind</v>
          </cell>
          <cell r="F33">
            <v>7.7977776527404785E-2</v>
          </cell>
        </row>
        <row r="34">
          <cell r="A34" t="str">
            <v>ARG</v>
          </cell>
          <cell r="B34" t="str">
            <v>Long</v>
          </cell>
          <cell r="C34" t="str">
            <v>2006 - 2022</v>
          </cell>
          <cell r="D34" t="str">
            <v>avg_1_99_imp</v>
          </cell>
          <cell r="E34" t="str">
            <v>gdp_inf_serv</v>
          </cell>
          <cell r="F34">
            <v>0.15135107934474951</v>
          </cell>
        </row>
        <row r="35">
          <cell r="A35" t="str">
            <v>ARG</v>
          </cell>
          <cell r="B35" t="str">
            <v>Long</v>
          </cell>
          <cell r="C35" t="str">
            <v>2006 - 2022</v>
          </cell>
          <cell r="D35" t="str">
            <v>avg_1_99_imp</v>
          </cell>
          <cell r="E35" t="str">
            <v>prod_for_agri</v>
          </cell>
          <cell r="F35">
            <v>0.86625808477401733</v>
          </cell>
        </row>
        <row r="36">
          <cell r="A36" t="str">
            <v>ARG</v>
          </cell>
          <cell r="B36" t="str">
            <v>Long</v>
          </cell>
          <cell r="C36" t="str">
            <v>2006 - 2022</v>
          </cell>
          <cell r="D36" t="str">
            <v>avg_1_99_imp</v>
          </cell>
          <cell r="E36" t="str">
            <v>prod_for_ind</v>
          </cell>
          <cell r="F36">
            <v>0.69106566905975342</v>
          </cell>
        </row>
        <row r="37">
          <cell r="A37" t="str">
            <v>ARG</v>
          </cell>
          <cell r="B37" t="str">
            <v>Long</v>
          </cell>
          <cell r="C37" t="str">
            <v>2006 - 2022</v>
          </cell>
          <cell r="D37" t="str">
            <v>avg_1_99_imp</v>
          </cell>
          <cell r="E37" t="str">
            <v>prod_for_serv</v>
          </cell>
          <cell r="F37">
            <v>0.64312565326690674</v>
          </cell>
        </row>
        <row r="38">
          <cell r="A38" t="str">
            <v>ARG</v>
          </cell>
          <cell r="B38" t="str">
            <v>Long</v>
          </cell>
          <cell r="C38" t="str">
            <v>2006 - 2022</v>
          </cell>
          <cell r="D38" t="str">
            <v>avg_1_99_imp</v>
          </cell>
          <cell r="E38" t="str">
            <v>prod_inf_agri</v>
          </cell>
          <cell r="F38">
            <v>0.21365134418010709</v>
          </cell>
        </row>
        <row r="39">
          <cell r="A39" t="str">
            <v>ARG</v>
          </cell>
          <cell r="B39" t="str">
            <v>Long</v>
          </cell>
          <cell r="C39" t="str">
            <v>2006 - 2022</v>
          </cell>
          <cell r="D39" t="str">
            <v>avg_1_99_imp</v>
          </cell>
          <cell r="E39" t="str">
            <v>prod_inf_ind</v>
          </cell>
          <cell r="F39">
            <v>1.450691819190979</v>
          </cell>
        </row>
        <row r="40">
          <cell r="A40" t="str">
            <v>ARG</v>
          </cell>
          <cell r="B40" t="str">
            <v>Long</v>
          </cell>
          <cell r="C40" t="str">
            <v>2006 - 2022</v>
          </cell>
          <cell r="D40" t="str">
            <v>avg_1_99_imp</v>
          </cell>
          <cell r="E40" t="str">
            <v>prod_inf_serv</v>
          </cell>
          <cell r="F40">
            <v>0.36540243029594421</v>
          </cell>
        </row>
        <row r="41">
          <cell r="A41" t="str">
            <v>ARG</v>
          </cell>
          <cell r="B41" t="str">
            <v>Long</v>
          </cell>
          <cell r="C41" t="str">
            <v>2006 - 2022</v>
          </cell>
          <cell r="D41" t="str">
            <v>med_reg</v>
          </cell>
          <cell r="E41" t="str">
            <v>gdp_activity</v>
          </cell>
          <cell r="F41">
            <v>0.55275970697402954</v>
          </cell>
        </row>
        <row r="42">
          <cell r="A42" t="str">
            <v>ARG</v>
          </cell>
          <cell r="B42" t="str">
            <v>Long</v>
          </cell>
          <cell r="C42" t="str">
            <v>2006 - 2022</v>
          </cell>
          <cell r="D42" t="str">
            <v>med_reg</v>
          </cell>
          <cell r="E42" t="str">
            <v>gdp_for_agri</v>
          </cell>
          <cell r="F42">
            <v>-0.62887567281723022</v>
          </cell>
        </row>
        <row r="43">
          <cell r="A43" t="str">
            <v>ARG</v>
          </cell>
          <cell r="B43" t="str">
            <v>Long</v>
          </cell>
          <cell r="C43" t="str">
            <v>2006 - 2022</v>
          </cell>
          <cell r="D43" t="str">
            <v>med_reg</v>
          </cell>
          <cell r="E43" t="str">
            <v>gdp_for_ind</v>
          </cell>
          <cell r="F43">
            <v>0.72064173221588135</v>
          </cell>
        </row>
        <row r="44">
          <cell r="A44" t="str">
            <v>ARG</v>
          </cell>
          <cell r="B44" t="str">
            <v>Long</v>
          </cell>
          <cell r="C44" t="str">
            <v>2006 - 2022</v>
          </cell>
          <cell r="D44" t="str">
            <v>med_reg</v>
          </cell>
          <cell r="E44" t="str">
            <v>gdp_for_serv</v>
          </cell>
          <cell r="F44">
            <v>1.0928481817245479</v>
          </cell>
        </row>
        <row r="45">
          <cell r="A45" t="str">
            <v>ARG</v>
          </cell>
          <cell r="B45" t="str">
            <v>Long</v>
          </cell>
          <cell r="C45" t="str">
            <v>2006 - 2022</v>
          </cell>
          <cell r="D45" t="str">
            <v>med_reg</v>
          </cell>
          <cell r="E45" t="str">
            <v>gdp_inf_agri</v>
          </cell>
          <cell r="F45">
            <v>-0.23815211653709409</v>
          </cell>
        </row>
        <row r="46">
          <cell r="A46" t="str">
            <v>ARG</v>
          </cell>
          <cell r="B46" t="str">
            <v>Long</v>
          </cell>
          <cell r="C46" t="str">
            <v>2006 - 2022</v>
          </cell>
          <cell r="D46" t="str">
            <v>med_reg</v>
          </cell>
          <cell r="E46" t="str">
            <v>gdp_inf_ind</v>
          </cell>
          <cell r="F46">
            <v>-0.40546208620071411</v>
          </cell>
        </row>
        <row r="47">
          <cell r="A47" t="str">
            <v>ARG</v>
          </cell>
          <cell r="B47" t="str">
            <v>Long</v>
          </cell>
          <cell r="C47" t="str">
            <v>2006 - 2022</v>
          </cell>
          <cell r="D47" t="str">
            <v>med_reg</v>
          </cell>
          <cell r="E47" t="str">
            <v>gdp_inf_serv</v>
          </cell>
          <cell r="F47">
            <v>0.19824674725532529</v>
          </cell>
        </row>
        <row r="48">
          <cell r="A48" t="str">
            <v>ARG</v>
          </cell>
          <cell r="B48" t="str">
            <v>Long</v>
          </cell>
          <cell r="C48" t="str">
            <v>2006 - 2022</v>
          </cell>
          <cell r="D48" t="str">
            <v>med_reg</v>
          </cell>
          <cell r="E48" t="str">
            <v>prod_for_agri</v>
          </cell>
          <cell r="F48">
            <v>0.77121615409851074</v>
          </cell>
        </row>
        <row r="49">
          <cell r="A49" t="str">
            <v>ARG</v>
          </cell>
          <cell r="B49" t="str">
            <v>Long</v>
          </cell>
          <cell r="C49" t="str">
            <v>2006 - 2022</v>
          </cell>
          <cell r="D49" t="str">
            <v>med_reg</v>
          </cell>
          <cell r="E49" t="str">
            <v>prod_for_ind</v>
          </cell>
          <cell r="F49">
            <v>1.233896136283875</v>
          </cell>
        </row>
        <row r="50">
          <cell r="A50" t="str">
            <v>ARG</v>
          </cell>
          <cell r="B50" t="str">
            <v>Long</v>
          </cell>
          <cell r="C50" t="str">
            <v>2006 - 2022</v>
          </cell>
          <cell r="D50" t="str">
            <v>med_reg</v>
          </cell>
          <cell r="E50" t="str">
            <v>prod_for_serv</v>
          </cell>
          <cell r="F50">
            <v>2.001197338104248</v>
          </cell>
        </row>
        <row r="51">
          <cell r="A51" t="str">
            <v>ARG</v>
          </cell>
          <cell r="B51" t="str">
            <v>Long</v>
          </cell>
          <cell r="C51" t="str">
            <v>2006 - 2022</v>
          </cell>
          <cell r="D51" t="str">
            <v>med_reg</v>
          </cell>
          <cell r="E51" t="str">
            <v>prod_inf_agri</v>
          </cell>
          <cell r="F51">
            <v>0.34996157884597778</v>
          </cell>
        </row>
        <row r="52">
          <cell r="A52" t="str">
            <v>ARG</v>
          </cell>
          <cell r="B52" t="str">
            <v>Long</v>
          </cell>
          <cell r="C52" t="str">
            <v>2006 - 2022</v>
          </cell>
          <cell r="D52" t="str">
            <v>med_reg</v>
          </cell>
          <cell r="E52" t="str">
            <v>prod_inf_ind</v>
          </cell>
          <cell r="F52">
            <v>1.8731036186218259</v>
          </cell>
        </row>
        <row r="53">
          <cell r="A53" t="str">
            <v>ARG</v>
          </cell>
          <cell r="B53" t="str">
            <v>Long</v>
          </cell>
          <cell r="C53" t="str">
            <v>2006 - 2022</v>
          </cell>
          <cell r="D53" t="str">
            <v>med_reg</v>
          </cell>
          <cell r="E53" t="str">
            <v>prod_inf_serv</v>
          </cell>
          <cell r="F53">
            <v>1.5872905254364009</v>
          </cell>
        </row>
        <row r="54">
          <cell r="A54" t="str">
            <v>ARG</v>
          </cell>
          <cell r="B54" t="str">
            <v>Long</v>
          </cell>
          <cell r="C54" t="str">
            <v>2006 - 2022</v>
          </cell>
          <cell r="D54" t="str">
            <v>reg</v>
          </cell>
          <cell r="E54" t="str">
            <v>gdp_activity</v>
          </cell>
          <cell r="F54">
            <v>0.63626950979232788</v>
          </cell>
        </row>
        <row r="55">
          <cell r="A55" t="str">
            <v>ARG</v>
          </cell>
          <cell r="B55" t="str">
            <v>Long</v>
          </cell>
          <cell r="C55" t="str">
            <v>2006 - 2022</v>
          </cell>
          <cell r="D55" t="str">
            <v>reg</v>
          </cell>
          <cell r="E55" t="str">
            <v>gdp_for_agri</v>
          </cell>
          <cell r="F55">
            <v>-0.41050142049789429</v>
          </cell>
        </row>
        <row r="56">
          <cell r="A56" t="str">
            <v>ARG</v>
          </cell>
          <cell r="B56" t="str">
            <v>Long</v>
          </cell>
          <cell r="C56" t="str">
            <v>2006 - 2022</v>
          </cell>
          <cell r="D56" t="str">
            <v>reg</v>
          </cell>
          <cell r="E56" t="str">
            <v>gdp_for_ind</v>
          </cell>
          <cell r="F56">
            <v>0.62522429227828979</v>
          </cell>
        </row>
        <row r="57">
          <cell r="A57" t="str">
            <v>ARG</v>
          </cell>
          <cell r="B57" t="str">
            <v>Long</v>
          </cell>
          <cell r="C57" t="str">
            <v>2006 - 2022</v>
          </cell>
          <cell r="D57" t="str">
            <v>reg</v>
          </cell>
          <cell r="E57" t="str">
            <v>gdp_for_serv</v>
          </cell>
          <cell r="F57">
            <v>1.0486268997192381</v>
          </cell>
        </row>
        <row r="58">
          <cell r="A58" t="str">
            <v>ARG</v>
          </cell>
          <cell r="B58" t="str">
            <v>Long</v>
          </cell>
          <cell r="C58" t="str">
            <v>2006 - 2022</v>
          </cell>
          <cell r="D58" t="str">
            <v>reg</v>
          </cell>
          <cell r="E58" t="str">
            <v>gdp_inf_agri</v>
          </cell>
          <cell r="F58">
            <v>-0.16316930949687961</v>
          </cell>
        </row>
        <row r="59">
          <cell r="A59" t="str">
            <v>ARG</v>
          </cell>
          <cell r="B59" t="str">
            <v>Long</v>
          </cell>
          <cell r="C59" t="str">
            <v>2006 - 2022</v>
          </cell>
          <cell r="D59" t="str">
            <v>reg</v>
          </cell>
          <cell r="E59" t="str">
            <v>gdp_inf_ind</v>
          </cell>
          <cell r="F59">
            <v>-0.12993693351745611</v>
          </cell>
        </row>
        <row r="60">
          <cell r="A60" t="str">
            <v>ARG</v>
          </cell>
          <cell r="B60" t="str">
            <v>Long</v>
          </cell>
          <cell r="C60" t="str">
            <v>2006 - 2022</v>
          </cell>
          <cell r="D60" t="str">
            <v>reg</v>
          </cell>
          <cell r="E60" t="str">
            <v>gdp_inf_serv</v>
          </cell>
          <cell r="F60">
            <v>0.5275803804397583</v>
          </cell>
        </row>
        <row r="61">
          <cell r="A61" t="str">
            <v>ARG</v>
          </cell>
          <cell r="B61" t="str">
            <v>Long</v>
          </cell>
          <cell r="C61" t="str">
            <v>2006 - 2022</v>
          </cell>
          <cell r="D61" t="str">
            <v>reg</v>
          </cell>
          <cell r="E61" t="str">
            <v>prod_for_agri</v>
          </cell>
          <cell r="F61">
            <v>0.35817882418632507</v>
          </cell>
        </row>
        <row r="62">
          <cell r="A62" t="str">
            <v>ARG</v>
          </cell>
          <cell r="B62" t="str">
            <v>Long</v>
          </cell>
          <cell r="C62" t="str">
            <v>2006 - 2022</v>
          </cell>
          <cell r="D62" t="str">
            <v>reg</v>
          </cell>
          <cell r="E62" t="str">
            <v>prod_for_ind</v>
          </cell>
          <cell r="F62">
            <v>1.413798332214355</v>
          </cell>
        </row>
        <row r="63">
          <cell r="A63" t="str">
            <v>ARG</v>
          </cell>
          <cell r="B63" t="str">
            <v>Long</v>
          </cell>
          <cell r="C63" t="str">
            <v>2006 - 2022</v>
          </cell>
          <cell r="D63" t="str">
            <v>reg</v>
          </cell>
          <cell r="E63" t="str">
            <v>prod_for_serv</v>
          </cell>
          <cell r="F63">
            <v>1.682624340057373</v>
          </cell>
        </row>
        <row r="64">
          <cell r="A64" t="str">
            <v>ARG</v>
          </cell>
          <cell r="B64" t="str">
            <v>Long</v>
          </cell>
          <cell r="C64" t="str">
            <v>2006 - 2022</v>
          </cell>
          <cell r="D64" t="str">
            <v>reg</v>
          </cell>
          <cell r="E64" t="str">
            <v>prod_inf_agri</v>
          </cell>
          <cell r="F64">
            <v>0.59610152244567871</v>
          </cell>
        </row>
        <row r="65">
          <cell r="A65" t="str">
            <v>ARG</v>
          </cell>
          <cell r="B65" t="str">
            <v>Long</v>
          </cell>
          <cell r="C65" t="str">
            <v>2006 - 2022</v>
          </cell>
          <cell r="D65" t="str">
            <v>reg</v>
          </cell>
          <cell r="E65" t="str">
            <v>prod_inf_ind</v>
          </cell>
          <cell r="F65">
            <v>1.931938529014587</v>
          </cell>
        </row>
        <row r="66">
          <cell r="A66" t="str">
            <v>ARG</v>
          </cell>
          <cell r="B66" t="str">
            <v>Long</v>
          </cell>
          <cell r="C66" t="str">
            <v>2006 - 2022</v>
          </cell>
          <cell r="D66" t="str">
            <v>reg</v>
          </cell>
          <cell r="E66" t="str">
            <v>prod_inf_serv</v>
          </cell>
          <cell r="F66">
            <v>1.9121643304824829</v>
          </cell>
        </row>
        <row r="67">
          <cell r="A67" t="str">
            <v>ARG</v>
          </cell>
          <cell r="B67" t="str">
            <v>Long</v>
          </cell>
          <cell r="C67" t="str">
            <v>2006 - 2022</v>
          </cell>
          <cell r="D67" t="str">
            <v>reg_gdp</v>
          </cell>
          <cell r="E67" t="str">
            <v>gdp_activity</v>
          </cell>
          <cell r="F67">
            <v>0.63626950979232788</v>
          </cell>
        </row>
        <row r="68">
          <cell r="A68" t="str">
            <v>ARG</v>
          </cell>
          <cell r="B68" t="str">
            <v>Long</v>
          </cell>
          <cell r="C68" t="str">
            <v>2006 - 2022</v>
          </cell>
          <cell r="D68" t="str">
            <v>reg_gdp</v>
          </cell>
          <cell r="E68" t="str">
            <v>gdp_for_agri</v>
          </cell>
          <cell r="F68">
            <v>-0.38234585523605352</v>
          </cell>
        </row>
        <row r="69">
          <cell r="A69" t="str">
            <v>ARG</v>
          </cell>
          <cell r="B69" t="str">
            <v>Long</v>
          </cell>
          <cell r="C69" t="str">
            <v>2006 - 2022</v>
          </cell>
          <cell r="D69" t="str">
            <v>reg_gdp</v>
          </cell>
          <cell r="E69" t="str">
            <v>gdp_for_ind</v>
          </cell>
          <cell r="F69">
            <v>0.72449547052383423</v>
          </cell>
        </row>
        <row r="70">
          <cell r="A70" t="str">
            <v>ARG</v>
          </cell>
          <cell r="B70" t="str">
            <v>Long</v>
          </cell>
          <cell r="C70" t="str">
            <v>2006 - 2022</v>
          </cell>
          <cell r="D70" t="str">
            <v>reg_gdp</v>
          </cell>
          <cell r="E70" t="str">
            <v>gdp_for_serv</v>
          </cell>
          <cell r="F70">
            <v>1.443078756332397</v>
          </cell>
        </row>
        <row r="71">
          <cell r="A71" t="str">
            <v>ARG</v>
          </cell>
          <cell r="B71" t="str">
            <v>Long</v>
          </cell>
          <cell r="C71" t="str">
            <v>2006 - 2022</v>
          </cell>
          <cell r="D71" t="str">
            <v>reg_gdp</v>
          </cell>
          <cell r="E71" t="str">
            <v>gdp_inf_agri</v>
          </cell>
          <cell r="F71">
            <v>-0.3195233941078186</v>
          </cell>
        </row>
        <row r="72">
          <cell r="A72" t="str">
            <v>ARG</v>
          </cell>
          <cell r="B72" t="str">
            <v>Long</v>
          </cell>
          <cell r="C72" t="str">
            <v>2006 - 2022</v>
          </cell>
          <cell r="D72" t="str">
            <v>reg_gdp</v>
          </cell>
          <cell r="E72" t="str">
            <v>gdp_inf_ind</v>
          </cell>
          <cell r="F72">
            <v>-0.72901266813278198</v>
          </cell>
        </row>
        <row r="73">
          <cell r="A73" t="str">
            <v>ARG</v>
          </cell>
          <cell r="B73" t="str">
            <v>Long</v>
          </cell>
          <cell r="C73" t="str">
            <v>2006 - 2022</v>
          </cell>
          <cell r="D73" t="str">
            <v>reg_gdp</v>
          </cell>
          <cell r="E73" t="str">
            <v>gdp_inf_serv</v>
          </cell>
          <cell r="F73">
            <v>0.68183320760726929</v>
          </cell>
        </row>
        <row r="74">
          <cell r="A74" t="str">
            <v>ARG</v>
          </cell>
          <cell r="B74" t="str">
            <v>Long</v>
          </cell>
          <cell r="C74" t="str">
            <v>2006 - 2022</v>
          </cell>
          <cell r="D74" t="str">
            <v>reg_gdp</v>
          </cell>
          <cell r="E74" t="str">
            <v>prod_for_agri</v>
          </cell>
          <cell r="F74">
            <v>0.42388492822647089</v>
          </cell>
        </row>
        <row r="75">
          <cell r="A75" t="str">
            <v>ARG</v>
          </cell>
          <cell r="B75" t="str">
            <v>Long</v>
          </cell>
          <cell r="C75" t="str">
            <v>2006 - 2022</v>
          </cell>
          <cell r="D75" t="str">
            <v>reg_gdp</v>
          </cell>
          <cell r="E75" t="str">
            <v>prod_for_ind</v>
          </cell>
          <cell r="F75">
            <v>1.499172687530518</v>
          </cell>
        </row>
        <row r="76">
          <cell r="A76" t="str">
            <v>ARG</v>
          </cell>
          <cell r="B76" t="str">
            <v>Long</v>
          </cell>
          <cell r="C76" t="str">
            <v>2006 - 2022</v>
          </cell>
          <cell r="D76" t="str">
            <v>reg_gdp</v>
          </cell>
          <cell r="E76" t="str">
            <v>prod_for_serv</v>
          </cell>
          <cell r="F76">
            <v>1.814241766929626</v>
          </cell>
        </row>
        <row r="77">
          <cell r="A77" t="str">
            <v>ARG</v>
          </cell>
          <cell r="B77" t="str">
            <v>Long</v>
          </cell>
          <cell r="C77" t="str">
            <v>2006 - 2022</v>
          </cell>
          <cell r="D77" t="str">
            <v>reg_gdp</v>
          </cell>
          <cell r="E77" t="str">
            <v>prod_inf_agri</v>
          </cell>
          <cell r="F77">
            <v>0.68909162282943726</v>
          </cell>
        </row>
        <row r="78">
          <cell r="A78" t="str">
            <v>ARG</v>
          </cell>
          <cell r="B78" t="str">
            <v>Long</v>
          </cell>
          <cell r="C78" t="str">
            <v>2006 - 2022</v>
          </cell>
          <cell r="D78" t="str">
            <v>reg_gdp</v>
          </cell>
          <cell r="E78" t="str">
            <v>prod_inf_ind</v>
          </cell>
          <cell r="F78">
            <v>2.1168208122253418</v>
          </cell>
        </row>
        <row r="79">
          <cell r="A79" t="str">
            <v>ARG</v>
          </cell>
          <cell r="B79" t="str">
            <v>Long</v>
          </cell>
          <cell r="C79" t="str">
            <v>2006 - 2022</v>
          </cell>
          <cell r="D79" t="str">
            <v>reg_gdp</v>
          </cell>
          <cell r="E79" t="str">
            <v>prod_inf_serv</v>
          </cell>
          <cell r="F79">
            <v>1.958234548568726</v>
          </cell>
        </row>
        <row r="80">
          <cell r="A80" t="str">
            <v>ARG</v>
          </cell>
          <cell r="B80" t="str">
            <v>Long</v>
          </cell>
          <cell r="C80" t="str">
            <v>2006 - 2022</v>
          </cell>
          <cell r="D80" t="str">
            <v>reg_iter</v>
          </cell>
          <cell r="E80" t="str">
            <v>gdp_activity</v>
          </cell>
          <cell r="F80">
            <v>0.71627748012542725</v>
          </cell>
        </row>
        <row r="81">
          <cell r="A81" t="str">
            <v>ARG</v>
          </cell>
          <cell r="B81" t="str">
            <v>Long</v>
          </cell>
          <cell r="C81" t="str">
            <v>2006 - 2022</v>
          </cell>
          <cell r="D81" t="str">
            <v>reg_iter</v>
          </cell>
          <cell r="E81" t="str">
            <v>gdp_for_agri</v>
          </cell>
          <cell r="F81">
            <v>-0.39286905527114868</v>
          </cell>
        </row>
        <row r="82">
          <cell r="A82" t="str">
            <v>ARG</v>
          </cell>
          <cell r="B82" t="str">
            <v>Long</v>
          </cell>
          <cell r="C82" t="str">
            <v>2006 - 2022</v>
          </cell>
          <cell r="D82" t="str">
            <v>reg_iter</v>
          </cell>
          <cell r="E82" t="str">
            <v>gdp_for_ind</v>
          </cell>
          <cell r="F82">
            <v>0.62376207113265991</v>
          </cell>
        </row>
        <row r="83">
          <cell r="A83" t="str">
            <v>ARG</v>
          </cell>
          <cell r="B83" t="str">
            <v>Long</v>
          </cell>
          <cell r="C83" t="str">
            <v>2006 - 2022</v>
          </cell>
          <cell r="D83" t="str">
            <v>reg_iter</v>
          </cell>
          <cell r="E83" t="str">
            <v>gdp_for_serv</v>
          </cell>
          <cell r="F83">
            <v>1.0503247976303101</v>
          </cell>
        </row>
        <row r="84">
          <cell r="A84" t="str">
            <v>ARG</v>
          </cell>
          <cell r="B84" t="str">
            <v>Long</v>
          </cell>
          <cell r="C84" t="str">
            <v>2006 - 2022</v>
          </cell>
          <cell r="D84" t="str">
            <v>reg_iter</v>
          </cell>
          <cell r="E84" t="str">
            <v>gdp_inf_agri</v>
          </cell>
          <cell r="F84">
            <v>-0.18747641146183011</v>
          </cell>
        </row>
        <row r="85">
          <cell r="A85" t="str">
            <v>ARG</v>
          </cell>
          <cell r="B85" t="str">
            <v>Long</v>
          </cell>
          <cell r="C85" t="str">
            <v>2006 - 2022</v>
          </cell>
          <cell r="D85" t="str">
            <v>reg_iter</v>
          </cell>
          <cell r="E85" t="str">
            <v>gdp_inf_ind</v>
          </cell>
          <cell r="F85">
            <v>-0.10689815133810041</v>
          </cell>
        </row>
        <row r="86">
          <cell r="A86" t="str">
            <v>ARG</v>
          </cell>
          <cell r="B86" t="str">
            <v>Long</v>
          </cell>
          <cell r="C86" t="str">
            <v>2006 - 2022</v>
          </cell>
          <cell r="D86" t="str">
            <v>reg_iter</v>
          </cell>
          <cell r="E86" t="str">
            <v>gdp_inf_serv</v>
          </cell>
          <cell r="F86">
            <v>0.81958556175231934</v>
          </cell>
        </row>
        <row r="87">
          <cell r="A87" t="str">
            <v>ARG</v>
          </cell>
          <cell r="B87" t="str">
            <v>Long</v>
          </cell>
          <cell r="C87" t="str">
            <v>2006 - 2022</v>
          </cell>
          <cell r="D87" t="str">
            <v>reg_iter</v>
          </cell>
          <cell r="E87" t="str">
            <v>prod_for_agri</v>
          </cell>
          <cell r="F87">
            <v>0.35646083950996399</v>
          </cell>
        </row>
        <row r="88">
          <cell r="A88" t="str">
            <v>ARG</v>
          </cell>
          <cell r="B88" t="str">
            <v>Long</v>
          </cell>
          <cell r="C88" t="str">
            <v>2006 - 2022</v>
          </cell>
          <cell r="D88" t="str">
            <v>reg_iter</v>
          </cell>
          <cell r="E88" t="str">
            <v>prod_for_ind</v>
          </cell>
          <cell r="F88">
            <v>1.326537489891052</v>
          </cell>
        </row>
        <row r="89">
          <cell r="A89" t="str">
            <v>ARG</v>
          </cell>
          <cell r="B89" t="str">
            <v>Long</v>
          </cell>
          <cell r="C89" t="str">
            <v>2006 - 2022</v>
          </cell>
          <cell r="D89" t="str">
            <v>reg_iter</v>
          </cell>
          <cell r="E89" t="str">
            <v>prod_for_serv</v>
          </cell>
          <cell r="F89">
            <v>1.842592120170593</v>
          </cell>
        </row>
        <row r="90">
          <cell r="A90" t="str">
            <v>ARG</v>
          </cell>
          <cell r="B90" t="str">
            <v>Long</v>
          </cell>
          <cell r="C90" t="str">
            <v>2006 - 2022</v>
          </cell>
          <cell r="D90" t="str">
            <v>reg_iter</v>
          </cell>
          <cell r="E90" t="str">
            <v>prod_inf_agri</v>
          </cell>
          <cell r="F90">
            <v>0.5754055380821228</v>
          </cell>
        </row>
        <row r="91">
          <cell r="A91" t="str">
            <v>ARG</v>
          </cell>
          <cell r="B91" t="str">
            <v>Long</v>
          </cell>
          <cell r="C91" t="str">
            <v>2006 - 2022</v>
          </cell>
          <cell r="D91" t="str">
            <v>reg_iter</v>
          </cell>
          <cell r="E91" t="str">
            <v>prod_inf_ind</v>
          </cell>
          <cell r="F91">
            <v>1.886168241500854</v>
          </cell>
        </row>
        <row r="92">
          <cell r="A92" t="str">
            <v>ARG</v>
          </cell>
          <cell r="B92" t="str">
            <v>Long</v>
          </cell>
          <cell r="C92" t="str">
            <v>2006 - 2022</v>
          </cell>
          <cell r="D92" t="str">
            <v>reg_iter</v>
          </cell>
          <cell r="E92" t="str">
            <v>prod_inf_serv</v>
          </cell>
          <cell r="F92">
            <v>2.2068474292755131</v>
          </cell>
        </row>
        <row r="93">
          <cell r="A93" t="str">
            <v>ARG</v>
          </cell>
          <cell r="B93" t="str">
            <v>Middle</v>
          </cell>
          <cell r="C93" t="str">
            <v>2016 - 2022</v>
          </cell>
          <cell r="D93" t="str">
            <v>avg</v>
          </cell>
          <cell r="E93" t="str">
            <v>gdp_activity</v>
          </cell>
          <cell r="F93">
            <v>0.72948086261749268</v>
          </cell>
        </row>
        <row r="94">
          <cell r="A94" t="str">
            <v>ARG</v>
          </cell>
          <cell r="B94" t="str">
            <v>Middle</v>
          </cell>
          <cell r="C94" t="str">
            <v>2016 - 2022</v>
          </cell>
          <cell r="D94" t="str">
            <v>avg</v>
          </cell>
          <cell r="E94" t="str">
            <v>gdp_for_agri</v>
          </cell>
          <cell r="F94">
            <v>1.5346453189849849</v>
          </cell>
        </row>
        <row r="95">
          <cell r="A95" t="str">
            <v>ARG</v>
          </cell>
          <cell r="B95" t="str">
            <v>Middle</v>
          </cell>
          <cell r="C95" t="str">
            <v>2016 - 2022</v>
          </cell>
          <cell r="D95" t="str">
            <v>avg</v>
          </cell>
          <cell r="E95" t="str">
            <v>gdp_for_ind</v>
          </cell>
          <cell r="F95">
            <v>0.2354142814874649</v>
          </cell>
        </row>
        <row r="96">
          <cell r="A96" t="str">
            <v>ARG</v>
          </cell>
          <cell r="B96" t="str">
            <v>Middle</v>
          </cell>
          <cell r="C96" t="str">
            <v>2016 - 2022</v>
          </cell>
          <cell r="D96" t="str">
            <v>avg</v>
          </cell>
          <cell r="E96" t="str">
            <v>gdp_for_serv</v>
          </cell>
          <cell r="F96">
            <v>0.40698468685150152</v>
          </cell>
        </row>
        <row r="97">
          <cell r="A97" t="str">
            <v>ARG</v>
          </cell>
          <cell r="B97" t="str">
            <v>Middle</v>
          </cell>
          <cell r="C97" t="str">
            <v>2016 - 2022</v>
          </cell>
          <cell r="D97" t="str">
            <v>avg</v>
          </cell>
          <cell r="E97" t="str">
            <v>gdp_inf_agri</v>
          </cell>
          <cell r="F97">
            <v>-1.988774180412292</v>
          </cell>
        </row>
        <row r="98">
          <cell r="A98" t="str">
            <v>ARG</v>
          </cell>
          <cell r="B98" t="str">
            <v>Middle</v>
          </cell>
          <cell r="C98" t="str">
            <v>2016 - 2022</v>
          </cell>
          <cell r="D98" t="str">
            <v>avg</v>
          </cell>
          <cell r="E98" t="str">
            <v>gdp_inf_ind</v>
          </cell>
          <cell r="F98">
            <v>0.42890134453773499</v>
          </cell>
        </row>
        <row r="99">
          <cell r="A99" t="str">
            <v>ARG</v>
          </cell>
          <cell r="B99" t="str">
            <v>Middle</v>
          </cell>
          <cell r="C99" t="str">
            <v>2016 - 2022</v>
          </cell>
          <cell r="D99" t="str">
            <v>avg</v>
          </cell>
          <cell r="E99" t="str">
            <v>gdp_inf_serv</v>
          </cell>
          <cell r="F99">
            <v>0.47451740503311157</v>
          </cell>
        </row>
        <row r="100">
          <cell r="A100" t="str">
            <v>ARG</v>
          </cell>
          <cell r="B100" t="str">
            <v>Middle</v>
          </cell>
          <cell r="C100" t="str">
            <v>2016 - 2022</v>
          </cell>
          <cell r="D100" t="str">
            <v>avg</v>
          </cell>
          <cell r="E100" t="str">
            <v>prod_for_agri</v>
          </cell>
          <cell r="F100">
            <v>1.585996150970459</v>
          </cell>
        </row>
        <row r="101">
          <cell r="A101" t="str">
            <v>ARG</v>
          </cell>
          <cell r="B101" t="str">
            <v>Middle</v>
          </cell>
          <cell r="C101" t="str">
            <v>2016 - 2022</v>
          </cell>
          <cell r="D101" t="str">
            <v>avg</v>
          </cell>
          <cell r="E101" t="str">
            <v>prod_for_ind</v>
          </cell>
          <cell r="F101">
            <v>2.2667181491851811</v>
          </cell>
        </row>
        <row r="102">
          <cell r="A102" t="str">
            <v>ARG</v>
          </cell>
          <cell r="B102" t="str">
            <v>Middle</v>
          </cell>
          <cell r="C102" t="str">
            <v>2016 - 2022</v>
          </cell>
          <cell r="D102" t="str">
            <v>avg</v>
          </cell>
          <cell r="E102" t="str">
            <v>prod_for_serv</v>
          </cell>
          <cell r="F102">
            <v>0.92839986085891724</v>
          </cell>
        </row>
        <row r="103">
          <cell r="A103" t="str">
            <v>ARG</v>
          </cell>
          <cell r="B103" t="str">
            <v>Middle</v>
          </cell>
          <cell r="C103" t="str">
            <v>2016 - 2022</v>
          </cell>
          <cell r="D103" t="str">
            <v>avg</v>
          </cell>
          <cell r="E103" t="str">
            <v>prod_inf_agri</v>
          </cell>
          <cell r="F103">
            <v>-0.14070917665958399</v>
          </cell>
        </row>
        <row r="104">
          <cell r="A104" t="str">
            <v>ARG</v>
          </cell>
          <cell r="B104" t="str">
            <v>Middle</v>
          </cell>
          <cell r="C104" t="str">
            <v>2016 - 2022</v>
          </cell>
          <cell r="D104" t="str">
            <v>avg</v>
          </cell>
          <cell r="E104" t="str">
            <v>prod_inf_ind</v>
          </cell>
          <cell r="F104">
            <v>3.449006319046021</v>
          </cell>
        </row>
        <row r="105">
          <cell r="A105" t="str">
            <v>ARG</v>
          </cell>
          <cell r="B105" t="str">
            <v>Middle</v>
          </cell>
          <cell r="C105" t="str">
            <v>2016 - 2022</v>
          </cell>
          <cell r="D105" t="str">
            <v>avg</v>
          </cell>
          <cell r="E105" t="str">
            <v>prod_inf_serv</v>
          </cell>
          <cell r="F105">
            <v>-0.80849176645278931</v>
          </cell>
        </row>
        <row r="106">
          <cell r="A106" t="str">
            <v>ARG</v>
          </cell>
          <cell r="B106" t="str">
            <v>Middle</v>
          </cell>
          <cell r="C106" t="str">
            <v>2016 - 2022</v>
          </cell>
          <cell r="D106" t="str">
            <v>avg_1_99</v>
          </cell>
          <cell r="E106" t="str">
            <v>gdp_activity</v>
          </cell>
          <cell r="F106">
            <v>0.1118003204464912</v>
          </cell>
        </row>
        <row r="107">
          <cell r="A107" t="str">
            <v>ARG</v>
          </cell>
          <cell r="B107" t="str">
            <v>Middle</v>
          </cell>
          <cell r="C107" t="str">
            <v>2016 - 2022</v>
          </cell>
          <cell r="D107" t="str">
            <v>avg_1_99</v>
          </cell>
          <cell r="E107" t="str">
            <v>gdp_for_agri</v>
          </cell>
          <cell r="F107">
            <v>0.95688921213150024</v>
          </cell>
        </row>
        <row r="108">
          <cell r="A108" t="str">
            <v>ARG</v>
          </cell>
          <cell r="B108" t="str">
            <v>Middle</v>
          </cell>
          <cell r="C108" t="str">
            <v>2016 - 2022</v>
          </cell>
          <cell r="D108" t="str">
            <v>avg_1_99</v>
          </cell>
          <cell r="E108" t="str">
            <v>gdp_for_ind</v>
          </cell>
          <cell r="F108">
            <v>0.43620318174362183</v>
          </cell>
        </row>
        <row r="109">
          <cell r="A109" t="str">
            <v>ARG</v>
          </cell>
          <cell r="B109" t="str">
            <v>Middle</v>
          </cell>
          <cell r="C109" t="str">
            <v>2016 - 2022</v>
          </cell>
          <cell r="D109" t="str">
            <v>avg_1_99</v>
          </cell>
          <cell r="E109" t="str">
            <v>gdp_for_serv</v>
          </cell>
          <cell r="F109">
            <v>0.40698468685150152</v>
          </cell>
        </row>
        <row r="110">
          <cell r="A110" t="str">
            <v>ARG</v>
          </cell>
          <cell r="B110" t="str">
            <v>Middle</v>
          </cell>
          <cell r="C110" t="str">
            <v>2016 - 2022</v>
          </cell>
          <cell r="D110" t="str">
            <v>avg_1_99</v>
          </cell>
          <cell r="E110" t="str">
            <v>gdp_inf_agri</v>
          </cell>
          <cell r="F110">
            <v>-1.988774180412292</v>
          </cell>
        </row>
        <row r="111">
          <cell r="A111" t="str">
            <v>ARG</v>
          </cell>
          <cell r="B111" t="str">
            <v>Middle</v>
          </cell>
          <cell r="C111" t="str">
            <v>2016 - 2022</v>
          </cell>
          <cell r="D111" t="str">
            <v>avg_1_99</v>
          </cell>
          <cell r="E111" t="str">
            <v>gdp_inf_ind</v>
          </cell>
          <cell r="F111">
            <v>7.4288517236709595E-2</v>
          </cell>
        </row>
        <row r="112">
          <cell r="A112" t="str">
            <v>ARG</v>
          </cell>
          <cell r="B112" t="str">
            <v>Middle</v>
          </cell>
          <cell r="C112" t="str">
            <v>2016 - 2022</v>
          </cell>
          <cell r="D112" t="str">
            <v>avg_1_99</v>
          </cell>
          <cell r="E112" t="str">
            <v>gdp_inf_serv</v>
          </cell>
          <cell r="F112">
            <v>0.47451740503311157</v>
          </cell>
        </row>
        <row r="113">
          <cell r="A113" t="str">
            <v>ARG</v>
          </cell>
          <cell r="B113" t="str">
            <v>Middle</v>
          </cell>
          <cell r="C113" t="str">
            <v>2016 - 2022</v>
          </cell>
          <cell r="D113" t="str">
            <v>avg_1_99</v>
          </cell>
          <cell r="E113" t="str">
            <v>prod_for_agri</v>
          </cell>
          <cell r="F113">
            <v>1.930905342102051</v>
          </cell>
        </row>
        <row r="114">
          <cell r="A114" t="str">
            <v>ARG</v>
          </cell>
          <cell r="B114" t="str">
            <v>Middle</v>
          </cell>
          <cell r="C114" t="str">
            <v>2016 - 2022</v>
          </cell>
          <cell r="D114" t="str">
            <v>avg_1_99</v>
          </cell>
          <cell r="E114" t="str">
            <v>prod_for_ind</v>
          </cell>
          <cell r="F114">
            <v>1.3090668916702271</v>
          </cell>
        </row>
        <row r="115">
          <cell r="A115" t="str">
            <v>ARG</v>
          </cell>
          <cell r="B115" t="str">
            <v>Middle</v>
          </cell>
          <cell r="C115" t="str">
            <v>2016 - 2022</v>
          </cell>
          <cell r="D115" t="str">
            <v>avg_1_99</v>
          </cell>
          <cell r="E115" t="str">
            <v>prod_for_serv</v>
          </cell>
          <cell r="F115">
            <v>0.86383140087127686</v>
          </cell>
        </row>
        <row r="116">
          <cell r="A116" t="str">
            <v>ARG</v>
          </cell>
          <cell r="B116" t="str">
            <v>Middle</v>
          </cell>
          <cell r="C116" t="str">
            <v>2016 - 2022</v>
          </cell>
          <cell r="D116" t="str">
            <v>avg_1_99</v>
          </cell>
          <cell r="E116" t="str">
            <v>prod_inf_agri</v>
          </cell>
          <cell r="F116">
            <v>-0.14070917665958399</v>
          </cell>
        </row>
        <row r="117">
          <cell r="A117" t="str">
            <v>ARG</v>
          </cell>
          <cell r="B117" t="str">
            <v>Middle</v>
          </cell>
          <cell r="C117" t="str">
            <v>2016 - 2022</v>
          </cell>
          <cell r="D117" t="str">
            <v>avg_1_99</v>
          </cell>
          <cell r="E117" t="str">
            <v>prod_inf_ind</v>
          </cell>
          <cell r="F117">
            <v>2.4572758674621582</v>
          </cell>
        </row>
        <row r="118">
          <cell r="A118" t="str">
            <v>ARG</v>
          </cell>
          <cell r="B118" t="str">
            <v>Middle</v>
          </cell>
          <cell r="C118" t="str">
            <v>2016 - 2022</v>
          </cell>
          <cell r="D118" t="str">
            <v>avg_1_99</v>
          </cell>
          <cell r="E118" t="str">
            <v>prod_inf_serv</v>
          </cell>
          <cell r="F118">
            <v>9.3115493655204773E-2</v>
          </cell>
        </row>
        <row r="119">
          <cell r="A119" t="str">
            <v>ARG</v>
          </cell>
          <cell r="B119" t="str">
            <v>Middle</v>
          </cell>
          <cell r="C119" t="str">
            <v>2016 - 2022</v>
          </cell>
          <cell r="D119" t="str">
            <v>avg_1_99_imp</v>
          </cell>
          <cell r="E119" t="str">
            <v>gdp_activity</v>
          </cell>
          <cell r="F119">
            <v>0.16876401007175451</v>
          </cell>
        </row>
        <row r="120">
          <cell r="A120" t="str">
            <v>ARG</v>
          </cell>
          <cell r="B120" t="str">
            <v>Middle</v>
          </cell>
          <cell r="C120" t="str">
            <v>2016 - 2022</v>
          </cell>
          <cell r="D120" t="str">
            <v>avg_1_99_imp</v>
          </cell>
          <cell r="E120" t="str">
            <v>gdp_for_agri</v>
          </cell>
          <cell r="F120">
            <v>1.1646959781646731</v>
          </cell>
        </row>
        <row r="121">
          <cell r="A121" t="str">
            <v>ARG</v>
          </cell>
          <cell r="B121" t="str">
            <v>Middle</v>
          </cell>
          <cell r="C121" t="str">
            <v>2016 - 2022</v>
          </cell>
          <cell r="D121" t="str">
            <v>avg_1_99_imp</v>
          </cell>
          <cell r="E121" t="str">
            <v>gdp_for_ind</v>
          </cell>
          <cell r="F121">
            <v>0.46045491099357599</v>
          </cell>
        </row>
        <row r="122">
          <cell r="A122" t="str">
            <v>ARG</v>
          </cell>
          <cell r="B122" t="str">
            <v>Middle</v>
          </cell>
          <cell r="C122" t="str">
            <v>2016 - 2022</v>
          </cell>
          <cell r="D122" t="str">
            <v>avg_1_99_imp</v>
          </cell>
          <cell r="E122" t="str">
            <v>gdp_for_serv</v>
          </cell>
          <cell r="F122">
            <v>0.40698468685150152</v>
          </cell>
        </row>
        <row r="123">
          <cell r="A123" t="str">
            <v>ARG</v>
          </cell>
          <cell r="B123" t="str">
            <v>Middle</v>
          </cell>
          <cell r="C123" t="str">
            <v>2016 - 2022</v>
          </cell>
          <cell r="D123" t="str">
            <v>avg_1_99_imp</v>
          </cell>
          <cell r="E123" t="str">
            <v>gdp_inf_agri</v>
          </cell>
          <cell r="F123">
            <v>-1.988774180412292</v>
          </cell>
        </row>
        <row r="124">
          <cell r="A124" t="str">
            <v>ARG</v>
          </cell>
          <cell r="B124" t="str">
            <v>Middle</v>
          </cell>
          <cell r="C124" t="str">
            <v>2016 - 2022</v>
          </cell>
          <cell r="D124" t="str">
            <v>avg_1_99_imp</v>
          </cell>
          <cell r="E124" t="str">
            <v>gdp_inf_ind</v>
          </cell>
          <cell r="F124">
            <v>6.7497037351131439E-2</v>
          </cell>
        </row>
        <row r="125">
          <cell r="A125" t="str">
            <v>ARG</v>
          </cell>
          <cell r="B125" t="str">
            <v>Middle</v>
          </cell>
          <cell r="C125" t="str">
            <v>2016 - 2022</v>
          </cell>
          <cell r="D125" t="str">
            <v>avg_1_99_imp</v>
          </cell>
          <cell r="E125" t="str">
            <v>gdp_inf_serv</v>
          </cell>
          <cell r="F125">
            <v>0.47451740503311157</v>
          </cell>
        </row>
        <row r="126">
          <cell r="A126" t="str">
            <v>ARG</v>
          </cell>
          <cell r="B126" t="str">
            <v>Middle</v>
          </cell>
          <cell r="C126" t="str">
            <v>2016 - 2022</v>
          </cell>
          <cell r="D126" t="str">
            <v>avg_1_99_imp</v>
          </cell>
          <cell r="E126" t="str">
            <v>prod_for_agri</v>
          </cell>
          <cell r="F126">
            <v>1.245277047157288</v>
          </cell>
        </row>
        <row r="127">
          <cell r="A127" t="str">
            <v>ARG</v>
          </cell>
          <cell r="B127" t="str">
            <v>Middle</v>
          </cell>
          <cell r="C127" t="str">
            <v>2016 - 2022</v>
          </cell>
          <cell r="D127" t="str">
            <v>avg_1_99_imp</v>
          </cell>
          <cell r="E127" t="str">
            <v>prod_for_ind</v>
          </cell>
          <cell r="F127">
            <v>1.0528742074966431</v>
          </cell>
        </row>
        <row r="128">
          <cell r="A128" t="str">
            <v>ARG</v>
          </cell>
          <cell r="B128" t="str">
            <v>Middle</v>
          </cell>
          <cell r="C128" t="str">
            <v>2016 - 2022</v>
          </cell>
          <cell r="D128" t="str">
            <v>avg_1_99_imp</v>
          </cell>
          <cell r="E128" t="str">
            <v>prod_for_serv</v>
          </cell>
          <cell r="F128">
            <v>0.45584213733673101</v>
          </cell>
        </row>
        <row r="129">
          <cell r="A129" t="str">
            <v>ARG</v>
          </cell>
          <cell r="B129" t="str">
            <v>Middle</v>
          </cell>
          <cell r="C129" t="str">
            <v>2016 - 2022</v>
          </cell>
          <cell r="D129" t="str">
            <v>avg_1_99_imp</v>
          </cell>
          <cell r="E129" t="str">
            <v>prod_inf_agri</v>
          </cell>
          <cell r="F129">
            <v>-0.14070917665958399</v>
          </cell>
        </row>
        <row r="130">
          <cell r="A130" t="str">
            <v>ARG</v>
          </cell>
          <cell r="B130" t="str">
            <v>Middle</v>
          </cell>
          <cell r="C130" t="str">
            <v>2016 - 2022</v>
          </cell>
          <cell r="D130" t="str">
            <v>avg_1_99_imp</v>
          </cell>
          <cell r="E130" t="str">
            <v>prod_inf_ind</v>
          </cell>
          <cell r="F130">
            <v>2.4065537452697749</v>
          </cell>
        </row>
        <row r="131">
          <cell r="A131" t="str">
            <v>ARG</v>
          </cell>
          <cell r="B131" t="str">
            <v>Middle</v>
          </cell>
          <cell r="C131" t="str">
            <v>2016 - 2022</v>
          </cell>
          <cell r="D131" t="str">
            <v>avg_1_99_imp</v>
          </cell>
          <cell r="E131" t="str">
            <v>prod_inf_serv</v>
          </cell>
          <cell r="F131">
            <v>-0.72271579504013062</v>
          </cell>
        </row>
        <row r="132">
          <cell r="A132" t="str">
            <v>ARG</v>
          </cell>
          <cell r="B132" t="str">
            <v>Middle</v>
          </cell>
          <cell r="C132" t="str">
            <v>2016 - 2022</v>
          </cell>
          <cell r="D132" t="str">
            <v>reg</v>
          </cell>
          <cell r="E132" t="str">
            <v>gdp_activity</v>
          </cell>
          <cell r="F132">
            <v>0.28605854511260992</v>
          </cell>
        </row>
        <row r="133">
          <cell r="A133" t="str">
            <v>ARG</v>
          </cell>
          <cell r="B133" t="str">
            <v>Middle</v>
          </cell>
          <cell r="C133" t="str">
            <v>2016 - 2022</v>
          </cell>
          <cell r="D133" t="str">
            <v>reg</v>
          </cell>
          <cell r="E133" t="str">
            <v>gdp_for_agri</v>
          </cell>
          <cell r="F133">
            <v>1.3614293336868291</v>
          </cell>
        </row>
        <row r="134">
          <cell r="A134" t="str">
            <v>ARG</v>
          </cell>
          <cell r="B134" t="str">
            <v>Middle</v>
          </cell>
          <cell r="C134" t="str">
            <v>2016 - 2022</v>
          </cell>
          <cell r="D134" t="str">
            <v>reg</v>
          </cell>
          <cell r="E134" t="str">
            <v>gdp_for_ind</v>
          </cell>
          <cell r="F134">
            <v>0.58315932750701904</v>
          </cell>
        </row>
        <row r="135">
          <cell r="A135" t="str">
            <v>ARG</v>
          </cell>
          <cell r="B135" t="str">
            <v>Middle</v>
          </cell>
          <cell r="C135" t="str">
            <v>2016 - 2022</v>
          </cell>
          <cell r="D135" t="str">
            <v>reg</v>
          </cell>
          <cell r="E135" t="str">
            <v>gdp_for_serv</v>
          </cell>
          <cell r="F135">
            <v>0.26068428158760071</v>
          </cell>
        </row>
        <row r="136">
          <cell r="A136" t="str">
            <v>ARG</v>
          </cell>
          <cell r="B136" t="str">
            <v>Middle</v>
          </cell>
          <cell r="C136" t="str">
            <v>2016 - 2022</v>
          </cell>
          <cell r="D136" t="str">
            <v>reg</v>
          </cell>
          <cell r="E136" t="str">
            <v>gdp_inf_agri</v>
          </cell>
          <cell r="F136">
            <v>0.13079407811164859</v>
          </cell>
        </row>
        <row r="137">
          <cell r="A137" t="str">
            <v>ARG</v>
          </cell>
          <cell r="B137" t="str">
            <v>Middle</v>
          </cell>
          <cell r="C137" t="str">
            <v>2016 - 2022</v>
          </cell>
          <cell r="D137" t="str">
            <v>reg</v>
          </cell>
          <cell r="E137" t="str">
            <v>gdp_inf_ind</v>
          </cell>
          <cell r="F137">
            <v>0.10199374705553051</v>
          </cell>
        </row>
        <row r="138">
          <cell r="A138" t="str">
            <v>ARG</v>
          </cell>
          <cell r="B138" t="str">
            <v>Middle</v>
          </cell>
          <cell r="C138" t="str">
            <v>2016 - 2022</v>
          </cell>
          <cell r="D138" t="str">
            <v>reg</v>
          </cell>
          <cell r="E138" t="str">
            <v>gdp_inf_serv</v>
          </cell>
          <cell r="F138">
            <v>0.98651123046875</v>
          </cell>
        </row>
        <row r="139">
          <cell r="A139" t="str">
            <v>ARG</v>
          </cell>
          <cell r="B139" t="str">
            <v>Middle</v>
          </cell>
          <cell r="C139" t="str">
            <v>2016 - 2022</v>
          </cell>
          <cell r="D139" t="str">
            <v>reg</v>
          </cell>
          <cell r="E139" t="str">
            <v>prod_for_agri</v>
          </cell>
          <cell r="F139">
            <v>1.195538401603699</v>
          </cell>
        </row>
        <row r="140">
          <cell r="A140" t="str">
            <v>ARG</v>
          </cell>
          <cell r="B140" t="str">
            <v>Middle</v>
          </cell>
          <cell r="C140" t="str">
            <v>2016 - 2022</v>
          </cell>
          <cell r="D140" t="str">
            <v>reg</v>
          </cell>
          <cell r="E140" t="str">
            <v>prod_for_ind</v>
          </cell>
          <cell r="F140">
            <v>1.554959177970886</v>
          </cell>
        </row>
        <row r="141">
          <cell r="A141" t="str">
            <v>ARG</v>
          </cell>
          <cell r="B141" t="str">
            <v>Middle</v>
          </cell>
          <cell r="C141" t="str">
            <v>2016 - 2022</v>
          </cell>
          <cell r="D141" t="str">
            <v>reg</v>
          </cell>
          <cell r="E141" t="str">
            <v>prod_for_serv</v>
          </cell>
          <cell r="F141">
            <v>1.454725503921509</v>
          </cell>
        </row>
        <row r="142">
          <cell r="A142" t="str">
            <v>ARG</v>
          </cell>
          <cell r="B142" t="str">
            <v>Middle</v>
          </cell>
          <cell r="C142" t="str">
            <v>2016 - 2022</v>
          </cell>
          <cell r="D142" t="str">
            <v>reg</v>
          </cell>
          <cell r="E142" t="str">
            <v>prod_inf_agri</v>
          </cell>
          <cell r="F142">
            <v>0.82007437944412231</v>
          </cell>
        </row>
        <row r="143">
          <cell r="A143" t="str">
            <v>ARG</v>
          </cell>
          <cell r="B143" t="str">
            <v>Middle</v>
          </cell>
          <cell r="C143" t="str">
            <v>2016 - 2022</v>
          </cell>
          <cell r="D143" t="str">
            <v>reg</v>
          </cell>
          <cell r="E143" t="str">
            <v>prod_inf_ind</v>
          </cell>
          <cell r="F143">
            <v>2.1411757469177251</v>
          </cell>
        </row>
        <row r="144">
          <cell r="A144" t="str">
            <v>ARG</v>
          </cell>
          <cell r="B144" t="str">
            <v>Middle</v>
          </cell>
          <cell r="C144" t="str">
            <v>2016 - 2022</v>
          </cell>
          <cell r="D144" t="str">
            <v>reg</v>
          </cell>
          <cell r="E144" t="str">
            <v>prod_inf_serv</v>
          </cell>
          <cell r="F144">
            <v>1.610381007194519</v>
          </cell>
        </row>
        <row r="145">
          <cell r="A145" t="str">
            <v>ARG</v>
          </cell>
          <cell r="B145" t="str">
            <v>Middle</v>
          </cell>
          <cell r="C145" t="str">
            <v>2016 - 2022</v>
          </cell>
          <cell r="D145" t="str">
            <v>reg_gdp</v>
          </cell>
          <cell r="E145" t="str">
            <v>gdp_activity</v>
          </cell>
          <cell r="F145">
            <v>0.28605854511260992</v>
          </cell>
        </row>
        <row r="146">
          <cell r="A146" t="str">
            <v>ARG</v>
          </cell>
          <cell r="B146" t="str">
            <v>Middle</v>
          </cell>
          <cell r="C146" t="str">
            <v>2016 - 2022</v>
          </cell>
          <cell r="D146" t="str">
            <v>reg_gdp</v>
          </cell>
          <cell r="E146" t="str">
            <v>gdp_for_agri</v>
          </cell>
          <cell r="F146">
            <v>1.435243487358093</v>
          </cell>
        </row>
        <row r="147">
          <cell r="A147" t="str">
            <v>ARG</v>
          </cell>
          <cell r="B147" t="str">
            <v>Middle</v>
          </cell>
          <cell r="C147" t="str">
            <v>2016 - 2022</v>
          </cell>
          <cell r="D147" t="str">
            <v>reg_gdp</v>
          </cell>
          <cell r="E147" t="str">
            <v>gdp_for_ind</v>
          </cell>
          <cell r="F147">
            <v>0.87256830930709839</v>
          </cell>
        </row>
        <row r="148">
          <cell r="A148" t="str">
            <v>ARG</v>
          </cell>
          <cell r="B148" t="str">
            <v>Middle</v>
          </cell>
          <cell r="C148" t="str">
            <v>2016 - 2022</v>
          </cell>
          <cell r="D148" t="str">
            <v>reg_gdp</v>
          </cell>
          <cell r="E148" t="str">
            <v>gdp_for_serv</v>
          </cell>
          <cell r="F148">
            <v>-2.9669966697692871</v>
          </cell>
        </row>
        <row r="149">
          <cell r="A149" t="str">
            <v>ARG</v>
          </cell>
          <cell r="B149" t="str">
            <v>Middle</v>
          </cell>
          <cell r="C149" t="str">
            <v>2016 - 2022</v>
          </cell>
          <cell r="D149" t="str">
            <v>reg_gdp</v>
          </cell>
          <cell r="E149" t="str">
            <v>gdp_inf_agri</v>
          </cell>
          <cell r="F149">
            <v>3.9681810885667801E-2</v>
          </cell>
        </row>
        <row r="150">
          <cell r="A150" t="str">
            <v>ARG</v>
          </cell>
          <cell r="B150" t="str">
            <v>Middle</v>
          </cell>
          <cell r="C150" t="str">
            <v>2016 - 2022</v>
          </cell>
          <cell r="D150" t="str">
            <v>reg_gdp</v>
          </cell>
          <cell r="E150" t="str">
            <v>gdp_inf_ind</v>
          </cell>
          <cell r="F150">
            <v>1.383563876152039</v>
          </cell>
        </row>
        <row r="151">
          <cell r="A151" t="str">
            <v>ARG</v>
          </cell>
          <cell r="B151" t="str">
            <v>Middle</v>
          </cell>
          <cell r="C151" t="str">
            <v>2016 - 2022</v>
          </cell>
          <cell r="D151" t="str">
            <v>reg_gdp</v>
          </cell>
          <cell r="E151" t="str">
            <v>gdp_inf_serv</v>
          </cell>
          <cell r="F151">
            <v>-2.590365886688232</v>
          </cell>
        </row>
        <row r="152">
          <cell r="A152" t="str">
            <v>ARG</v>
          </cell>
          <cell r="B152" t="str">
            <v>Middle</v>
          </cell>
          <cell r="C152" t="str">
            <v>2016 - 2022</v>
          </cell>
          <cell r="D152" t="str">
            <v>reg_gdp</v>
          </cell>
          <cell r="E152" t="str">
            <v>prod_for_agri</v>
          </cell>
          <cell r="F152">
            <v>1.136299729347229</v>
          </cell>
        </row>
        <row r="153">
          <cell r="A153" t="str">
            <v>ARG</v>
          </cell>
          <cell r="B153" t="str">
            <v>Middle</v>
          </cell>
          <cell r="C153" t="str">
            <v>2016 - 2022</v>
          </cell>
          <cell r="D153" t="str">
            <v>reg_gdp</v>
          </cell>
          <cell r="E153" t="str">
            <v>prod_for_ind</v>
          </cell>
          <cell r="F153">
            <v>2.8504819869995122</v>
          </cell>
        </row>
        <row r="154">
          <cell r="A154" t="str">
            <v>ARG</v>
          </cell>
          <cell r="B154" t="str">
            <v>Middle</v>
          </cell>
          <cell r="C154" t="str">
            <v>2016 - 2022</v>
          </cell>
          <cell r="D154" t="str">
            <v>reg_gdp</v>
          </cell>
          <cell r="E154" t="str">
            <v>prod_for_serv</v>
          </cell>
          <cell r="F154">
            <v>1.360476136207581</v>
          </cell>
        </row>
        <row r="155">
          <cell r="A155" t="str">
            <v>ARG</v>
          </cell>
          <cell r="B155" t="str">
            <v>Middle</v>
          </cell>
          <cell r="C155" t="str">
            <v>2016 - 2022</v>
          </cell>
          <cell r="D155" t="str">
            <v>reg_gdp</v>
          </cell>
          <cell r="E155" t="str">
            <v>prod_inf_agri</v>
          </cell>
          <cell r="F155">
            <v>0.8115045428276062</v>
          </cell>
        </row>
        <row r="156">
          <cell r="A156" t="str">
            <v>ARG</v>
          </cell>
          <cell r="B156" t="str">
            <v>Middle</v>
          </cell>
          <cell r="C156" t="str">
            <v>2016 - 2022</v>
          </cell>
          <cell r="D156" t="str">
            <v>reg_gdp</v>
          </cell>
          <cell r="E156" t="str">
            <v>prod_inf_ind</v>
          </cell>
          <cell r="F156">
            <v>3.289638996124268</v>
          </cell>
        </row>
        <row r="157">
          <cell r="A157" t="str">
            <v>ARG</v>
          </cell>
          <cell r="B157" t="str">
            <v>Middle</v>
          </cell>
          <cell r="C157" t="str">
            <v>2016 - 2022</v>
          </cell>
          <cell r="D157" t="str">
            <v>reg_gdp</v>
          </cell>
          <cell r="E157" t="str">
            <v>prod_inf_serv</v>
          </cell>
          <cell r="F157">
            <v>1.272433996200562</v>
          </cell>
        </row>
        <row r="158">
          <cell r="A158" t="str">
            <v>ARG</v>
          </cell>
          <cell r="B158" t="str">
            <v>Middle</v>
          </cell>
          <cell r="C158" t="str">
            <v>2016 - 2022</v>
          </cell>
          <cell r="D158" t="str">
            <v>reg_iter</v>
          </cell>
          <cell r="E158" t="str">
            <v>gdp_activity</v>
          </cell>
          <cell r="F158">
            <v>-9.272688627243042E-2</v>
          </cell>
        </row>
        <row r="159">
          <cell r="A159" t="str">
            <v>ARG</v>
          </cell>
          <cell r="B159" t="str">
            <v>Middle</v>
          </cell>
          <cell r="C159" t="str">
            <v>2016 - 2022</v>
          </cell>
          <cell r="D159" t="str">
            <v>reg_iter</v>
          </cell>
          <cell r="E159" t="str">
            <v>gdp_for_agri</v>
          </cell>
          <cell r="F159">
            <v>1.538354873657227</v>
          </cell>
        </row>
        <row r="160">
          <cell r="A160" t="str">
            <v>ARG</v>
          </cell>
          <cell r="B160" t="str">
            <v>Middle</v>
          </cell>
          <cell r="C160" t="str">
            <v>2016 - 2022</v>
          </cell>
          <cell r="D160" t="str">
            <v>reg_iter</v>
          </cell>
          <cell r="E160" t="str">
            <v>gdp_for_ind</v>
          </cell>
          <cell r="F160">
            <v>0.6517912745475769</v>
          </cell>
        </row>
        <row r="161">
          <cell r="A161" t="str">
            <v>ARG</v>
          </cell>
          <cell r="B161" t="str">
            <v>Middle</v>
          </cell>
          <cell r="C161" t="str">
            <v>2016 - 2022</v>
          </cell>
          <cell r="D161" t="str">
            <v>reg_iter</v>
          </cell>
          <cell r="E161" t="str">
            <v>gdp_for_serv</v>
          </cell>
          <cell r="F161">
            <v>-8.3422502502799034E-3</v>
          </cell>
        </row>
        <row r="162">
          <cell r="A162" t="str">
            <v>ARG</v>
          </cell>
          <cell r="B162" t="str">
            <v>Middle</v>
          </cell>
          <cell r="C162" t="str">
            <v>2016 - 2022</v>
          </cell>
          <cell r="D162" t="str">
            <v>reg_iter</v>
          </cell>
          <cell r="E162" t="str">
            <v>gdp_inf_agri</v>
          </cell>
          <cell r="F162">
            <v>0.18073095381259921</v>
          </cell>
        </row>
        <row r="163">
          <cell r="A163" t="str">
            <v>ARG</v>
          </cell>
          <cell r="B163" t="str">
            <v>Middle</v>
          </cell>
          <cell r="C163" t="str">
            <v>2016 - 2022</v>
          </cell>
          <cell r="D163" t="str">
            <v>reg_iter</v>
          </cell>
          <cell r="E163" t="str">
            <v>gdp_inf_ind</v>
          </cell>
          <cell r="F163">
            <v>-0.29206767678260798</v>
          </cell>
        </row>
        <row r="164">
          <cell r="A164" t="str">
            <v>ARG</v>
          </cell>
          <cell r="B164" t="str">
            <v>Middle</v>
          </cell>
          <cell r="C164" t="str">
            <v>2016 - 2022</v>
          </cell>
          <cell r="D164" t="str">
            <v>reg_iter</v>
          </cell>
          <cell r="E164" t="str">
            <v>gdp_inf_serv</v>
          </cell>
          <cell r="F164">
            <v>0.31518962979316711</v>
          </cell>
        </row>
        <row r="165">
          <cell r="A165" t="str">
            <v>ARG</v>
          </cell>
          <cell r="B165" t="str">
            <v>Middle</v>
          </cell>
          <cell r="C165" t="str">
            <v>2016 - 2022</v>
          </cell>
          <cell r="D165" t="str">
            <v>reg_iter</v>
          </cell>
          <cell r="E165" t="str">
            <v>prod_for_agri</v>
          </cell>
          <cell r="F165">
            <v>1.231614947319031</v>
          </cell>
        </row>
        <row r="166">
          <cell r="A166" t="str">
            <v>ARG</v>
          </cell>
          <cell r="B166" t="str">
            <v>Middle</v>
          </cell>
          <cell r="C166" t="str">
            <v>2016 - 2022</v>
          </cell>
          <cell r="D166" t="str">
            <v>reg_iter</v>
          </cell>
          <cell r="E166" t="str">
            <v>prod_for_ind</v>
          </cell>
          <cell r="F166">
            <v>1.593674421310425</v>
          </cell>
        </row>
        <row r="167">
          <cell r="A167" t="str">
            <v>ARG</v>
          </cell>
          <cell r="B167" t="str">
            <v>Middle</v>
          </cell>
          <cell r="C167" t="str">
            <v>2016 - 2022</v>
          </cell>
          <cell r="D167" t="str">
            <v>reg_iter</v>
          </cell>
          <cell r="E167" t="str">
            <v>prod_for_serv</v>
          </cell>
          <cell r="F167">
            <v>1.35257351398468</v>
          </cell>
        </row>
        <row r="168">
          <cell r="A168" t="str">
            <v>ARG</v>
          </cell>
          <cell r="B168" t="str">
            <v>Middle</v>
          </cell>
          <cell r="C168" t="str">
            <v>2016 - 2022</v>
          </cell>
          <cell r="D168" t="str">
            <v>reg_iter</v>
          </cell>
          <cell r="E168" t="str">
            <v>prod_inf_agri</v>
          </cell>
          <cell r="F168">
            <v>0.87628960609436035</v>
          </cell>
        </row>
        <row r="169">
          <cell r="A169" t="str">
            <v>ARG</v>
          </cell>
          <cell r="B169" t="str">
            <v>Middle</v>
          </cell>
          <cell r="C169" t="str">
            <v>2016 - 2022</v>
          </cell>
          <cell r="D169" t="str">
            <v>reg_iter</v>
          </cell>
          <cell r="E169" t="str">
            <v>prod_inf_ind</v>
          </cell>
          <cell r="F169">
            <v>2.1771919727325439</v>
          </cell>
        </row>
        <row r="170">
          <cell r="A170" t="str">
            <v>ARG</v>
          </cell>
          <cell r="B170" t="str">
            <v>Middle</v>
          </cell>
          <cell r="C170" t="str">
            <v>2016 - 2022</v>
          </cell>
          <cell r="D170" t="str">
            <v>reg_iter</v>
          </cell>
          <cell r="E170" t="str">
            <v>prod_inf_serv</v>
          </cell>
          <cell r="F170">
            <v>1.5862386226654051</v>
          </cell>
        </row>
        <row r="171">
          <cell r="A171" t="str">
            <v>ARG</v>
          </cell>
          <cell r="B171" t="str">
            <v>Short</v>
          </cell>
          <cell r="C171" t="str">
            <v>2018 - 2022</v>
          </cell>
          <cell r="D171" t="str">
            <v>avg</v>
          </cell>
          <cell r="E171" t="str">
            <v>gdp_activity</v>
          </cell>
          <cell r="F171">
            <v>-9.8977210000157356E-3</v>
          </cell>
        </row>
        <row r="172">
          <cell r="A172" t="str">
            <v>ARG</v>
          </cell>
          <cell r="B172" t="str">
            <v>Short</v>
          </cell>
          <cell r="C172" t="str">
            <v>2018 - 2022</v>
          </cell>
          <cell r="D172" t="str">
            <v>avg</v>
          </cell>
          <cell r="E172" t="str">
            <v>gdp_for_agri</v>
          </cell>
          <cell r="F172">
            <v>2.220178604125977</v>
          </cell>
        </row>
        <row r="173">
          <cell r="A173" t="str">
            <v>ARG</v>
          </cell>
          <cell r="B173" t="str">
            <v>Short</v>
          </cell>
          <cell r="C173" t="str">
            <v>2018 - 2022</v>
          </cell>
          <cell r="D173" t="str">
            <v>avg</v>
          </cell>
          <cell r="E173" t="str">
            <v>gdp_for_ind</v>
          </cell>
          <cell r="F173">
            <v>0.38513234257698059</v>
          </cell>
        </row>
        <row r="174">
          <cell r="A174" t="str">
            <v>ARG</v>
          </cell>
          <cell r="B174" t="str">
            <v>Short</v>
          </cell>
          <cell r="C174" t="str">
            <v>2018 - 2022</v>
          </cell>
          <cell r="D174" t="str">
            <v>avg</v>
          </cell>
          <cell r="E174" t="str">
            <v>gdp_for_serv</v>
          </cell>
          <cell r="F174">
            <v>0.34270632266998291</v>
          </cell>
        </row>
        <row r="175">
          <cell r="A175" t="str">
            <v>ARG</v>
          </cell>
          <cell r="B175" t="str">
            <v>Short</v>
          </cell>
          <cell r="C175" t="str">
            <v>2018 - 2022</v>
          </cell>
          <cell r="D175" t="str">
            <v>avg</v>
          </cell>
          <cell r="E175" t="str">
            <v>gdp_inf_agri</v>
          </cell>
          <cell r="F175">
            <v>-1.5370631217956541</v>
          </cell>
        </row>
        <row r="176">
          <cell r="A176" t="str">
            <v>ARG</v>
          </cell>
          <cell r="B176" t="str">
            <v>Short</v>
          </cell>
          <cell r="C176" t="str">
            <v>2018 - 2022</v>
          </cell>
          <cell r="D176" t="str">
            <v>avg</v>
          </cell>
          <cell r="E176" t="str">
            <v>gdp_inf_ind</v>
          </cell>
          <cell r="F176">
            <v>0.39628466963768011</v>
          </cell>
        </row>
        <row r="177">
          <cell r="A177" t="str">
            <v>ARG</v>
          </cell>
          <cell r="B177" t="str">
            <v>Short</v>
          </cell>
          <cell r="C177" t="str">
            <v>2018 - 2022</v>
          </cell>
          <cell r="D177" t="str">
            <v>avg</v>
          </cell>
          <cell r="E177" t="str">
            <v>gdp_inf_serv</v>
          </cell>
          <cell r="F177">
            <v>1.9862627610564228E-2</v>
          </cell>
        </row>
        <row r="178">
          <cell r="A178" t="str">
            <v>ARG</v>
          </cell>
          <cell r="B178" t="str">
            <v>Short</v>
          </cell>
          <cell r="C178" t="str">
            <v>2018 - 2022</v>
          </cell>
          <cell r="D178" t="str">
            <v>avg</v>
          </cell>
          <cell r="E178" t="str">
            <v>prod_for_agri</v>
          </cell>
          <cell r="F178">
            <v>2.1461119651794429</v>
          </cell>
        </row>
        <row r="179">
          <cell r="A179" t="str">
            <v>ARG</v>
          </cell>
          <cell r="B179" t="str">
            <v>Short</v>
          </cell>
          <cell r="C179" t="str">
            <v>2018 - 2022</v>
          </cell>
          <cell r="D179" t="str">
            <v>avg</v>
          </cell>
          <cell r="E179" t="str">
            <v>prod_for_ind</v>
          </cell>
          <cell r="F179">
            <v>2.945641040802002</v>
          </cell>
        </row>
        <row r="180">
          <cell r="A180" t="str">
            <v>ARG</v>
          </cell>
          <cell r="B180" t="str">
            <v>Short</v>
          </cell>
          <cell r="C180" t="str">
            <v>2018 - 2022</v>
          </cell>
          <cell r="D180" t="str">
            <v>avg</v>
          </cell>
          <cell r="E180" t="str">
            <v>prod_for_serv</v>
          </cell>
          <cell r="F180">
            <v>2.093779325485229</v>
          </cell>
        </row>
        <row r="181">
          <cell r="A181" t="str">
            <v>ARG</v>
          </cell>
          <cell r="B181" t="str">
            <v>Short</v>
          </cell>
          <cell r="C181" t="str">
            <v>2018 - 2022</v>
          </cell>
          <cell r="D181" t="str">
            <v>avg</v>
          </cell>
          <cell r="E181" t="str">
            <v>prod_inf_agri</v>
          </cell>
          <cell r="F181">
            <v>-2.296176552772522E-2</v>
          </cell>
        </row>
        <row r="182">
          <cell r="A182" t="str">
            <v>ARG</v>
          </cell>
          <cell r="B182" t="str">
            <v>Short</v>
          </cell>
          <cell r="C182" t="str">
            <v>2018 - 2022</v>
          </cell>
          <cell r="D182" t="str">
            <v>avg</v>
          </cell>
          <cell r="E182" t="str">
            <v>prod_inf_ind</v>
          </cell>
          <cell r="F182">
            <v>3.7813210487365718</v>
          </cell>
        </row>
        <row r="183">
          <cell r="A183" t="str">
            <v>ARG</v>
          </cell>
          <cell r="B183" t="str">
            <v>Short</v>
          </cell>
          <cell r="C183" t="str">
            <v>2018 - 2022</v>
          </cell>
          <cell r="D183" t="str">
            <v>avg</v>
          </cell>
          <cell r="E183" t="str">
            <v>prod_inf_serv</v>
          </cell>
          <cell r="F183">
            <v>2.7730894088745122</v>
          </cell>
        </row>
        <row r="184">
          <cell r="A184" t="str">
            <v>ARG</v>
          </cell>
          <cell r="B184" t="str">
            <v>Short</v>
          </cell>
          <cell r="C184" t="str">
            <v>2018 - 2022</v>
          </cell>
          <cell r="D184" t="str">
            <v>avg_1_99</v>
          </cell>
          <cell r="E184" t="str">
            <v>gdp_activity</v>
          </cell>
          <cell r="F184">
            <v>-9.8977210000157356E-3</v>
          </cell>
        </row>
        <row r="185">
          <cell r="A185" t="str">
            <v>ARG</v>
          </cell>
          <cell r="B185" t="str">
            <v>Short</v>
          </cell>
          <cell r="C185" t="str">
            <v>2018 - 2022</v>
          </cell>
          <cell r="D185" t="str">
            <v>avg_1_99</v>
          </cell>
          <cell r="E185" t="str">
            <v>gdp_for_agri</v>
          </cell>
          <cell r="F185">
            <v>1.714274048805237</v>
          </cell>
        </row>
        <row r="186">
          <cell r="A186" t="str">
            <v>ARG</v>
          </cell>
          <cell r="B186" t="str">
            <v>Short</v>
          </cell>
          <cell r="C186" t="str">
            <v>2018 - 2022</v>
          </cell>
          <cell r="D186" t="str">
            <v>avg_1_99</v>
          </cell>
          <cell r="E186" t="str">
            <v>gdp_for_ind</v>
          </cell>
          <cell r="F186">
            <v>0.38513234257698059</v>
          </cell>
        </row>
        <row r="187">
          <cell r="A187" t="str">
            <v>ARG</v>
          </cell>
          <cell r="B187" t="str">
            <v>Short</v>
          </cell>
          <cell r="C187" t="str">
            <v>2018 - 2022</v>
          </cell>
          <cell r="D187" t="str">
            <v>avg_1_99</v>
          </cell>
          <cell r="E187" t="str">
            <v>gdp_for_serv</v>
          </cell>
          <cell r="F187">
            <v>0.34270632266998291</v>
          </cell>
        </row>
        <row r="188">
          <cell r="A188" t="str">
            <v>ARG</v>
          </cell>
          <cell r="B188" t="str">
            <v>Short</v>
          </cell>
          <cell r="C188" t="str">
            <v>2018 - 2022</v>
          </cell>
          <cell r="D188" t="str">
            <v>avg_1_99</v>
          </cell>
          <cell r="E188" t="str">
            <v>gdp_inf_agri</v>
          </cell>
          <cell r="F188">
            <v>-1.5370631217956541</v>
          </cell>
        </row>
        <row r="189">
          <cell r="A189" t="str">
            <v>ARG</v>
          </cell>
          <cell r="B189" t="str">
            <v>Short</v>
          </cell>
          <cell r="C189" t="str">
            <v>2018 - 2022</v>
          </cell>
          <cell r="D189" t="str">
            <v>avg_1_99</v>
          </cell>
          <cell r="E189" t="str">
            <v>gdp_inf_ind</v>
          </cell>
          <cell r="F189">
            <v>-0.14378875494003299</v>
          </cell>
        </row>
        <row r="190">
          <cell r="A190" t="str">
            <v>ARG</v>
          </cell>
          <cell r="B190" t="str">
            <v>Short</v>
          </cell>
          <cell r="C190" t="str">
            <v>2018 - 2022</v>
          </cell>
          <cell r="D190" t="str">
            <v>avg_1_99</v>
          </cell>
          <cell r="E190" t="str">
            <v>gdp_inf_serv</v>
          </cell>
          <cell r="F190">
            <v>1.9862627610564228E-2</v>
          </cell>
        </row>
        <row r="191">
          <cell r="A191" t="str">
            <v>ARG</v>
          </cell>
          <cell r="B191" t="str">
            <v>Short</v>
          </cell>
          <cell r="C191" t="str">
            <v>2018 - 2022</v>
          </cell>
          <cell r="D191" t="str">
            <v>avg_1_99</v>
          </cell>
          <cell r="E191" t="str">
            <v>prod_for_agri</v>
          </cell>
          <cell r="F191">
            <v>2.1461119651794429</v>
          </cell>
        </row>
        <row r="192">
          <cell r="A192" t="str">
            <v>ARG</v>
          </cell>
          <cell r="B192" t="str">
            <v>Short</v>
          </cell>
          <cell r="C192" t="str">
            <v>2018 - 2022</v>
          </cell>
          <cell r="D192" t="str">
            <v>avg_1_99</v>
          </cell>
          <cell r="E192" t="str">
            <v>prod_for_ind</v>
          </cell>
          <cell r="F192">
            <v>1.6788947582244871</v>
          </cell>
        </row>
        <row r="193">
          <cell r="A193" t="str">
            <v>ARG</v>
          </cell>
          <cell r="B193" t="str">
            <v>Short</v>
          </cell>
          <cell r="C193" t="str">
            <v>2018 - 2022</v>
          </cell>
          <cell r="D193" t="str">
            <v>avg_1_99</v>
          </cell>
          <cell r="E193" t="str">
            <v>prod_for_serv</v>
          </cell>
          <cell r="F193">
            <v>0.96582865715026855</v>
          </cell>
        </row>
        <row r="194">
          <cell r="A194" t="str">
            <v>ARG</v>
          </cell>
          <cell r="B194" t="str">
            <v>Short</v>
          </cell>
          <cell r="C194" t="str">
            <v>2018 - 2022</v>
          </cell>
          <cell r="D194" t="str">
            <v>avg_1_99</v>
          </cell>
          <cell r="E194" t="str">
            <v>prod_inf_agri</v>
          </cell>
          <cell r="F194">
            <v>-2.296176552772522E-2</v>
          </cell>
        </row>
        <row r="195">
          <cell r="A195" t="str">
            <v>ARG</v>
          </cell>
          <cell r="B195" t="str">
            <v>Short</v>
          </cell>
          <cell r="C195" t="str">
            <v>2018 - 2022</v>
          </cell>
          <cell r="D195" t="str">
            <v>avg_1_99</v>
          </cell>
          <cell r="E195" t="str">
            <v>prod_inf_ind</v>
          </cell>
          <cell r="F195">
            <v>2.376803874969482</v>
          </cell>
        </row>
        <row r="196">
          <cell r="A196" t="str">
            <v>ARG</v>
          </cell>
          <cell r="B196" t="str">
            <v>Short</v>
          </cell>
          <cell r="C196" t="str">
            <v>2018 - 2022</v>
          </cell>
          <cell r="D196" t="str">
            <v>avg_1_99</v>
          </cell>
          <cell r="E196" t="str">
            <v>prod_inf_serv</v>
          </cell>
          <cell r="F196">
            <v>0.80696785449981689</v>
          </cell>
        </row>
        <row r="197">
          <cell r="A197" t="str">
            <v>ARG</v>
          </cell>
          <cell r="B197" t="str">
            <v>Short</v>
          </cell>
          <cell r="C197" t="str">
            <v>2018 - 2022</v>
          </cell>
          <cell r="D197" t="str">
            <v>avg_1_99_imp</v>
          </cell>
          <cell r="E197" t="str">
            <v>gdp_activity</v>
          </cell>
          <cell r="F197">
            <v>-9.8977210000157356E-3</v>
          </cell>
        </row>
        <row r="198">
          <cell r="A198" t="str">
            <v>ARG</v>
          </cell>
          <cell r="B198" t="str">
            <v>Short</v>
          </cell>
          <cell r="C198" t="str">
            <v>2018 - 2022</v>
          </cell>
          <cell r="D198" t="str">
            <v>avg_1_99_imp</v>
          </cell>
          <cell r="E198" t="str">
            <v>gdp_for_agri</v>
          </cell>
          <cell r="F198">
            <v>1.7128409147262571</v>
          </cell>
        </row>
        <row r="199">
          <cell r="A199" t="str">
            <v>ARG</v>
          </cell>
          <cell r="B199" t="str">
            <v>Short</v>
          </cell>
          <cell r="C199" t="str">
            <v>2018 - 2022</v>
          </cell>
          <cell r="D199" t="str">
            <v>avg_1_99_imp</v>
          </cell>
          <cell r="E199" t="str">
            <v>gdp_for_ind</v>
          </cell>
          <cell r="F199">
            <v>0.38513234257698059</v>
          </cell>
        </row>
        <row r="200">
          <cell r="A200" t="str">
            <v>ARG</v>
          </cell>
          <cell r="B200" t="str">
            <v>Short</v>
          </cell>
          <cell r="C200" t="str">
            <v>2018 - 2022</v>
          </cell>
          <cell r="D200" t="str">
            <v>avg_1_99_imp</v>
          </cell>
          <cell r="E200" t="str">
            <v>gdp_for_serv</v>
          </cell>
          <cell r="F200">
            <v>0.34270632266998291</v>
          </cell>
        </row>
        <row r="201">
          <cell r="A201" t="str">
            <v>ARG</v>
          </cell>
          <cell r="B201" t="str">
            <v>Short</v>
          </cell>
          <cell r="C201" t="str">
            <v>2018 - 2022</v>
          </cell>
          <cell r="D201" t="str">
            <v>avg_1_99_imp</v>
          </cell>
          <cell r="E201" t="str">
            <v>gdp_inf_agri</v>
          </cell>
          <cell r="F201">
            <v>-1.5370631217956541</v>
          </cell>
        </row>
        <row r="202">
          <cell r="A202" t="str">
            <v>ARG</v>
          </cell>
          <cell r="B202" t="str">
            <v>Short</v>
          </cell>
          <cell r="C202" t="str">
            <v>2018 - 2022</v>
          </cell>
          <cell r="D202" t="str">
            <v>avg_1_99_imp</v>
          </cell>
          <cell r="E202" t="str">
            <v>gdp_inf_ind</v>
          </cell>
          <cell r="F202">
            <v>-0.17203100025653839</v>
          </cell>
        </row>
        <row r="203">
          <cell r="A203" t="str">
            <v>ARG</v>
          </cell>
          <cell r="B203" t="str">
            <v>Short</v>
          </cell>
          <cell r="C203" t="str">
            <v>2018 - 2022</v>
          </cell>
          <cell r="D203" t="str">
            <v>avg_1_99_imp</v>
          </cell>
          <cell r="E203" t="str">
            <v>gdp_inf_serv</v>
          </cell>
          <cell r="F203">
            <v>1.9862627610564228E-2</v>
          </cell>
        </row>
        <row r="204">
          <cell r="A204" t="str">
            <v>ARG</v>
          </cell>
          <cell r="B204" t="str">
            <v>Short</v>
          </cell>
          <cell r="C204" t="str">
            <v>2018 - 2022</v>
          </cell>
          <cell r="D204" t="str">
            <v>avg_1_99_imp</v>
          </cell>
          <cell r="E204" t="str">
            <v>prod_for_agri</v>
          </cell>
          <cell r="F204">
            <v>1.416828870773315</v>
          </cell>
        </row>
        <row r="205">
          <cell r="A205" t="str">
            <v>ARG</v>
          </cell>
          <cell r="B205" t="str">
            <v>Short</v>
          </cell>
          <cell r="C205" t="str">
            <v>2018 - 2022</v>
          </cell>
          <cell r="D205" t="str">
            <v>avg_1_99_imp</v>
          </cell>
          <cell r="E205" t="str">
            <v>prod_for_ind</v>
          </cell>
          <cell r="F205">
            <v>1.0528742074966431</v>
          </cell>
        </row>
        <row r="206">
          <cell r="A206" t="str">
            <v>ARG</v>
          </cell>
          <cell r="B206" t="str">
            <v>Short</v>
          </cell>
          <cell r="C206" t="str">
            <v>2018 - 2022</v>
          </cell>
          <cell r="D206" t="str">
            <v>avg_1_99_imp</v>
          </cell>
          <cell r="E206" t="str">
            <v>prod_for_serv</v>
          </cell>
          <cell r="F206">
            <v>-2.6919901371002201E-2</v>
          </cell>
        </row>
        <row r="207">
          <cell r="A207" t="str">
            <v>ARG</v>
          </cell>
          <cell r="B207" t="str">
            <v>Short</v>
          </cell>
          <cell r="C207" t="str">
            <v>2018 - 2022</v>
          </cell>
          <cell r="D207" t="str">
            <v>avg_1_99_imp</v>
          </cell>
          <cell r="E207" t="str">
            <v>prod_inf_agri</v>
          </cell>
          <cell r="F207">
            <v>-2.296176552772522E-2</v>
          </cell>
        </row>
        <row r="208">
          <cell r="A208" t="str">
            <v>ARG</v>
          </cell>
          <cell r="B208" t="str">
            <v>Short</v>
          </cell>
          <cell r="C208" t="str">
            <v>2018 - 2022</v>
          </cell>
          <cell r="D208" t="str">
            <v>avg_1_99_imp</v>
          </cell>
          <cell r="E208" t="str">
            <v>prod_inf_ind</v>
          </cell>
          <cell r="F208">
            <v>2.2249491214752202</v>
          </cell>
        </row>
        <row r="209">
          <cell r="A209" t="str">
            <v>ARG</v>
          </cell>
          <cell r="B209" t="str">
            <v>Short</v>
          </cell>
          <cell r="C209" t="str">
            <v>2018 - 2022</v>
          </cell>
          <cell r="D209" t="str">
            <v>avg_1_99_imp</v>
          </cell>
          <cell r="E209" t="str">
            <v>prod_inf_serv</v>
          </cell>
          <cell r="F209">
            <v>0.41779235005378718</v>
          </cell>
        </row>
        <row r="210">
          <cell r="A210" t="str">
            <v>ARG</v>
          </cell>
          <cell r="B210" t="str">
            <v>Short</v>
          </cell>
          <cell r="C210" t="str">
            <v>2018 - 2022</v>
          </cell>
          <cell r="D210" t="str">
            <v>reg</v>
          </cell>
          <cell r="E210" t="str">
            <v>gdp_activity</v>
          </cell>
          <cell r="F210">
            <v>0.57683521509170532</v>
          </cell>
        </row>
        <row r="211">
          <cell r="A211" t="str">
            <v>ARG</v>
          </cell>
          <cell r="B211" t="str">
            <v>Short</v>
          </cell>
          <cell r="C211" t="str">
            <v>2018 - 2022</v>
          </cell>
          <cell r="D211" t="str">
            <v>reg</v>
          </cell>
          <cell r="E211" t="str">
            <v>gdp_for_agri</v>
          </cell>
          <cell r="F211">
            <v>1.5993332862853999</v>
          </cell>
        </row>
        <row r="212">
          <cell r="A212" t="str">
            <v>ARG</v>
          </cell>
          <cell r="B212" t="str">
            <v>Short</v>
          </cell>
          <cell r="C212" t="str">
            <v>2018 - 2022</v>
          </cell>
          <cell r="D212" t="str">
            <v>reg</v>
          </cell>
          <cell r="E212" t="str">
            <v>gdp_for_ind</v>
          </cell>
          <cell r="F212">
            <v>0.6033707857131958</v>
          </cell>
        </row>
        <row r="213">
          <cell r="A213" t="str">
            <v>ARG</v>
          </cell>
          <cell r="B213" t="str">
            <v>Short</v>
          </cell>
          <cell r="C213" t="str">
            <v>2018 - 2022</v>
          </cell>
          <cell r="D213" t="str">
            <v>reg</v>
          </cell>
          <cell r="E213" t="str">
            <v>gdp_for_serv</v>
          </cell>
          <cell r="F213">
            <v>0.43075409531593323</v>
          </cell>
        </row>
        <row r="214">
          <cell r="A214" t="str">
            <v>ARG</v>
          </cell>
          <cell r="B214" t="str">
            <v>Short</v>
          </cell>
          <cell r="C214" t="str">
            <v>2018 - 2022</v>
          </cell>
          <cell r="D214" t="str">
            <v>reg</v>
          </cell>
          <cell r="E214" t="str">
            <v>gdp_inf_agri</v>
          </cell>
          <cell r="F214">
            <v>0.48639917373657232</v>
          </cell>
        </row>
        <row r="215">
          <cell r="A215" t="str">
            <v>ARG</v>
          </cell>
          <cell r="B215" t="str">
            <v>Short</v>
          </cell>
          <cell r="C215" t="str">
            <v>2018 - 2022</v>
          </cell>
          <cell r="D215" t="str">
            <v>reg</v>
          </cell>
          <cell r="E215" t="str">
            <v>gdp_inf_ind</v>
          </cell>
          <cell r="F215">
            <v>0.2497175335884094</v>
          </cell>
        </row>
        <row r="216">
          <cell r="A216" t="str">
            <v>ARG</v>
          </cell>
          <cell r="B216" t="str">
            <v>Short</v>
          </cell>
          <cell r="C216" t="str">
            <v>2018 - 2022</v>
          </cell>
          <cell r="D216" t="str">
            <v>reg</v>
          </cell>
          <cell r="E216" t="str">
            <v>gdp_inf_serv</v>
          </cell>
          <cell r="F216">
            <v>1.4209164381027219</v>
          </cell>
        </row>
        <row r="217">
          <cell r="A217" t="str">
            <v>ARG</v>
          </cell>
          <cell r="B217" t="str">
            <v>Short</v>
          </cell>
          <cell r="C217" t="str">
            <v>2018 - 2022</v>
          </cell>
          <cell r="D217" t="str">
            <v>reg</v>
          </cell>
          <cell r="E217" t="str">
            <v>prod_for_agri</v>
          </cell>
          <cell r="F217">
            <v>1.1578172445297239</v>
          </cell>
        </row>
        <row r="218">
          <cell r="A218" t="str">
            <v>ARG</v>
          </cell>
          <cell r="B218" t="str">
            <v>Short</v>
          </cell>
          <cell r="C218" t="str">
            <v>2018 - 2022</v>
          </cell>
          <cell r="D218" t="str">
            <v>reg</v>
          </cell>
          <cell r="E218" t="str">
            <v>prod_for_ind</v>
          </cell>
          <cell r="F218">
            <v>0.90699368715286255</v>
          </cell>
        </row>
        <row r="219">
          <cell r="A219" t="str">
            <v>ARG</v>
          </cell>
          <cell r="B219" t="str">
            <v>Short</v>
          </cell>
          <cell r="C219" t="str">
            <v>2018 - 2022</v>
          </cell>
          <cell r="D219" t="str">
            <v>reg</v>
          </cell>
          <cell r="E219" t="str">
            <v>prod_for_serv</v>
          </cell>
          <cell r="F219">
            <v>0.86228710412979126</v>
          </cell>
        </row>
        <row r="220">
          <cell r="A220" t="str">
            <v>ARG</v>
          </cell>
          <cell r="B220" t="str">
            <v>Short</v>
          </cell>
          <cell r="C220" t="str">
            <v>2018 - 2022</v>
          </cell>
          <cell r="D220" t="str">
            <v>reg</v>
          </cell>
          <cell r="E220" t="str">
            <v>prod_inf_agri</v>
          </cell>
          <cell r="F220">
            <v>1.008757591247559</v>
          </cell>
        </row>
        <row r="221">
          <cell r="A221" t="str">
            <v>ARG</v>
          </cell>
          <cell r="B221" t="str">
            <v>Short</v>
          </cell>
          <cell r="C221" t="str">
            <v>2018 - 2022</v>
          </cell>
          <cell r="D221" t="str">
            <v>reg</v>
          </cell>
          <cell r="E221" t="str">
            <v>prod_inf_ind</v>
          </cell>
          <cell r="F221">
            <v>1.5128049850463869</v>
          </cell>
        </row>
        <row r="222">
          <cell r="A222" t="str">
            <v>ARG</v>
          </cell>
          <cell r="B222" t="str">
            <v>Short</v>
          </cell>
          <cell r="C222" t="str">
            <v>2018 - 2022</v>
          </cell>
          <cell r="D222" t="str">
            <v>reg</v>
          </cell>
          <cell r="E222" t="str">
            <v>prod_inf_serv</v>
          </cell>
          <cell r="F222">
            <v>0.54072815179824829</v>
          </cell>
        </row>
        <row r="223">
          <cell r="A223" t="str">
            <v>ARG</v>
          </cell>
          <cell r="B223" t="str">
            <v>Short</v>
          </cell>
          <cell r="C223" t="str">
            <v>2018 - 2022</v>
          </cell>
          <cell r="D223" t="str">
            <v>reg_gdp</v>
          </cell>
          <cell r="E223" t="str">
            <v>gdp_activity</v>
          </cell>
          <cell r="F223">
            <v>0.57683521509170532</v>
          </cell>
        </row>
        <row r="224">
          <cell r="A224" t="str">
            <v>ARG</v>
          </cell>
          <cell r="B224" t="str">
            <v>Short</v>
          </cell>
          <cell r="C224" t="str">
            <v>2018 - 2022</v>
          </cell>
          <cell r="D224" t="str">
            <v>reg_gdp</v>
          </cell>
          <cell r="E224" t="str">
            <v>gdp_for_agri</v>
          </cell>
          <cell r="F224">
            <v>1.9656802415847781</v>
          </cell>
        </row>
        <row r="225">
          <cell r="A225" t="str">
            <v>ARG</v>
          </cell>
          <cell r="B225" t="str">
            <v>Short</v>
          </cell>
          <cell r="C225" t="str">
            <v>2018 - 2022</v>
          </cell>
          <cell r="D225" t="str">
            <v>reg_gdp</v>
          </cell>
          <cell r="E225" t="str">
            <v>gdp_for_ind</v>
          </cell>
          <cell r="F225">
            <v>0.74781233072280884</v>
          </cell>
        </row>
        <row r="226">
          <cell r="A226" t="str">
            <v>ARG</v>
          </cell>
          <cell r="B226" t="str">
            <v>Short</v>
          </cell>
          <cell r="C226" t="str">
            <v>2018 - 2022</v>
          </cell>
          <cell r="D226" t="str">
            <v>reg_gdp</v>
          </cell>
          <cell r="E226" t="str">
            <v>gdp_for_serv</v>
          </cell>
          <cell r="F226">
            <v>-3.471186637878418</v>
          </cell>
        </row>
        <row r="227">
          <cell r="A227" t="str">
            <v>ARG</v>
          </cell>
          <cell r="B227" t="str">
            <v>Short</v>
          </cell>
          <cell r="C227" t="str">
            <v>2018 - 2022</v>
          </cell>
          <cell r="D227" t="str">
            <v>reg_gdp</v>
          </cell>
          <cell r="E227" t="str">
            <v>gdp_inf_agri</v>
          </cell>
          <cell r="F227">
            <v>0.31436377763748169</v>
          </cell>
        </row>
        <row r="228">
          <cell r="A228" t="str">
            <v>ARG</v>
          </cell>
          <cell r="B228" t="str">
            <v>Short</v>
          </cell>
          <cell r="C228" t="str">
            <v>2018 - 2022</v>
          </cell>
          <cell r="D228" t="str">
            <v>reg_gdp</v>
          </cell>
          <cell r="E228" t="str">
            <v>gdp_inf_ind</v>
          </cell>
          <cell r="F228">
            <v>1.3761886358261111</v>
          </cell>
        </row>
        <row r="229">
          <cell r="A229" t="str">
            <v>ARG</v>
          </cell>
          <cell r="B229" t="str">
            <v>Short</v>
          </cell>
          <cell r="C229" t="str">
            <v>2018 - 2022</v>
          </cell>
          <cell r="D229" t="str">
            <v>reg_gdp</v>
          </cell>
          <cell r="E229" t="str">
            <v>gdp_inf_serv</v>
          </cell>
          <cell r="F229">
            <v>-3.6856038570404048</v>
          </cell>
        </row>
        <row r="230">
          <cell r="A230" t="str">
            <v>ARG</v>
          </cell>
          <cell r="B230" t="str">
            <v>Short</v>
          </cell>
          <cell r="C230" t="str">
            <v>2018 - 2022</v>
          </cell>
          <cell r="D230" t="str">
            <v>reg_gdp</v>
          </cell>
          <cell r="E230" t="str">
            <v>prod_for_agri</v>
          </cell>
          <cell r="F230">
            <v>1.142266154289246</v>
          </cell>
        </row>
        <row r="231">
          <cell r="A231" t="str">
            <v>ARG</v>
          </cell>
          <cell r="B231" t="str">
            <v>Short</v>
          </cell>
          <cell r="C231" t="str">
            <v>2018 - 2022</v>
          </cell>
          <cell r="D231" t="str">
            <v>reg_gdp</v>
          </cell>
          <cell r="E231" t="str">
            <v>prod_for_ind</v>
          </cell>
          <cell r="F231">
            <v>1.98823082447052</v>
          </cell>
        </row>
        <row r="232">
          <cell r="A232" t="str">
            <v>ARG</v>
          </cell>
          <cell r="B232" t="str">
            <v>Short</v>
          </cell>
          <cell r="C232" t="str">
            <v>2018 - 2022</v>
          </cell>
          <cell r="D232" t="str">
            <v>reg_gdp</v>
          </cell>
          <cell r="E232" t="str">
            <v>prod_for_serv</v>
          </cell>
          <cell r="F232">
            <v>0.8596031665802002</v>
          </cell>
        </row>
        <row r="233">
          <cell r="A233" t="str">
            <v>ARG</v>
          </cell>
          <cell r="B233" t="str">
            <v>Short</v>
          </cell>
          <cell r="C233" t="str">
            <v>2018 - 2022</v>
          </cell>
          <cell r="D233" t="str">
            <v>reg_gdp</v>
          </cell>
          <cell r="E233" t="str">
            <v>prod_inf_agri</v>
          </cell>
          <cell r="F233">
            <v>0.9971996545791626</v>
          </cell>
        </row>
        <row r="234">
          <cell r="A234" t="str">
            <v>ARG</v>
          </cell>
          <cell r="B234" t="str">
            <v>Short</v>
          </cell>
          <cell r="C234" t="str">
            <v>2018 - 2022</v>
          </cell>
          <cell r="D234" t="str">
            <v>reg_gdp</v>
          </cell>
          <cell r="E234" t="str">
            <v>prod_inf_ind</v>
          </cell>
          <cell r="F234">
            <v>2.448710441589355</v>
          </cell>
        </row>
        <row r="235">
          <cell r="A235" t="str">
            <v>ARG</v>
          </cell>
          <cell r="B235" t="str">
            <v>Short</v>
          </cell>
          <cell r="C235" t="str">
            <v>2018 - 2022</v>
          </cell>
          <cell r="D235" t="str">
            <v>reg_gdp</v>
          </cell>
          <cell r="E235" t="str">
            <v>prod_inf_serv</v>
          </cell>
          <cell r="F235">
            <v>0.52599900960922241</v>
          </cell>
        </row>
        <row r="236">
          <cell r="A236" t="str">
            <v>ARG</v>
          </cell>
          <cell r="B236" t="str">
            <v>Short</v>
          </cell>
          <cell r="C236" t="str">
            <v>2018 - 2022</v>
          </cell>
          <cell r="D236" t="str">
            <v>reg_iter</v>
          </cell>
          <cell r="E236" t="str">
            <v>gdp_activity</v>
          </cell>
          <cell r="F236">
            <v>0.31664553284645081</v>
          </cell>
        </row>
        <row r="237">
          <cell r="A237" t="str">
            <v>ARG</v>
          </cell>
          <cell r="B237" t="str">
            <v>Short</v>
          </cell>
          <cell r="C237" t="str">
            <v>2018 - 2022</v>
          </cell>
          <cell r="D237" t="str">
            <v>reg_iter</v>
          </cell>
          <cell r="E237" t="str">
            <v>gdp_for_agri</v>
          </cell>
          <cell r="F237">
            <v>1.6349413394927981</v>
          </cell>
        </row>
        <row r="238">
          <cell r="A238" t="str">
            <v>ARG</v>
          </cell>
          <cell r="B238" t="str">
            <v>Short</v>
          </cell>
          <cell r="C238" t="str">
            <v>2018 - 2022</v>
          </cell>
          <cell r="D238" t="str">
            <v>reg_iter</v>
          </cell>
          <cell r="E238" t="str">
            <v>gdp_for_ind</v>
          </cell>
          <cell r="F238">
            <v>0.80222702026367188</v>
          </cell>
        </row>
        <row r="239">
          <cell r="A239" t="str">
            <v>ARG</v>
          </cell>
          <cell r="B239" t="str">
            <v>Short</v>
          </cell>
          <cell r="C239" t="str">
            <v>2018 - 2022</v>
          </cell>
          <cell r="D239" t="str">
            <v>reg_iter</v>
          </cell>
          <cell r="E239" t="str">
            <v>gdp_for_serv</v>
          </cell>
          <cell r="F239">
            <v>0.17883786559104919</v>
          </cell>
        </row>
        <row r="240">
          <cell r="A240" t="str">
            <v>ARG</v>
          </cell>
          <cell r="B240" t="str">
            <v>Short</v>
          </cell>
          <cell r="C240" t="str">
            <v>2018 - 2022</v>
          </cell>
          <cell r="D240" t="str">
            <v>reg_iter</v>
          </cell>
          <cell r="E240" t="str">
            <v>gdp_inf_agri</v>
          </cell>
          <cell r="F240">
            <v>0.48778325319290161</v>
          </cell>
        </row>
        <row r="241">
          <cell r="A241" t="str">
            <v>ARG</v>
          </cell>
          <cell r="B241" t="str">
            <v>Short</v>
          </cell>
          <cell r="C241" t="str">
            <v>2018 - 2022</v>
          </cell>
          <cell r="D241" t="str">
            <v>reg_iter</v>
          </cell>
          <cell r="E241" t="str">
            <v>gdp_inf_ind</v>
          </cell>
          <cell r="F241">
            <v>-0.50585758686065674</v>
          </cell>
        </row>
        <row r="242">
          <cell r="A242" t="str">
            <v>ARG</v>
          </cell>
          <cell r="B242" t="str">
            <v>Short</v>
          </cell>
          <cell r="C242" t="str">
            <v>2018 - 2022</v>
          </cell>
          <cell r="D242" t="str">
            <v>reg_iter</v>
          </cell>
          <cell r="E242" t="str">
            <v>gdp_inf_serv</v>
          </cell>
          <cell r="F242">
            <v>0.79059737920761108</v>
          </cell>
        </row>
        <row r="243">
          <cell r="A243" t="str">
            <v>ARG</v>
          </cell>
          <cell r="B243" t="str">
            <v>Short</v>
          </cell>
          <cell r="C243" t="str">
            <v>2018 - 2022</v>
          </cell>
          <cell r="D243" t="str">
            <v>reg_iter</v>
          </cell>
          <cell r="E243" t="str">
            <v>prod_for_agri</v>
          </cell>
          <cell r="F243">
            <v>1.2191487550735469</v>
          </cell>
        </row>
        <row r="244">
          <cell r="A244" t="str">
            <v>ARG</v>
          </cell>
          <cell r="B244" t="str">
            <v>Short</v>
          </cell>
          <cell r="C244" t="str">
            <v>2018 - 2022</v>
          </cell>
          <cell r="D244" t="str">
            <v>reg_iter</v>
          </cell>
          <cell r="E244" t="str">
            <v>prod_for_ind</v>
          </cell>
          <cell r="F244">
            <v>1.1414031982421879</v>
          </cell>
        </row>
        <row r="245">
          <cell r="A245" t="str">
            <v>ARG</v>
          </cell>
          <cell r="B245" t="str">
            <v>Short</v>
          </cell>
          <cell r="C245" t="str">
            <v>2018 - 2022</v>
          </cell>
          <cell r="D245" t="str">
            <v>reg_iter</v>
          </cell>
          <cell r="E245" t="str">
            <v>prod_for_serv</v>
          </cell>
          <cell r="F245">
            <v>0.83177310228347778</v>
          </cell>
        </row>
        <row r="246">
          <cell r="A246" t="str">
            <v>ARG</v>
          </cell>
          <cell r="B246" t="str">
            <v>Short</v>
          </cell>
          <cell r="C246" t="str">
            <v>2018 - 2022</v>
          </cell>
          <cell r="D246" t="str">
            <v>reg_iter</v>
          </cell>
          <cell r="E246" t="str">
            <v>prod_inf_agri</v>
          </cell>
          <cell r="F246">
            <v>1.0548334121704099</v>
          </cell>
        </row>
        <row r="247">
          <cell r="A247" t="str">
            <v>ARG</v>
          </cell>
          <cell r="B247" t="str">
            <v>Short</v>
          </cell>
          <cell r="C247" t="str">
            <v>2018 - 2022</v>
          </cell>
          <cell r="D247" t="str">
            <v>reg_iter</v>
          </cell>
          <cell r="E247" t="str">
            <v>prod_inf_ind</v>
          </cell>
          <cell r="F247">
            <v>1.725919365882874</v>
          </cell>
        </row>
        <row r="248">
          <cell r="A248" t="str">
            <v>ARG</v>
          </cell>
          <cell r="B248" t="str">
            <v>Short</v>
          </cell>
          <cell r="C248" t="str">
            <v>2018 - 2022</v>
          </cell>
          <cell r="D248" t="str">
            <v>reg_iter</v>
          </cell>
          <cell r="E248" t="str">
            <v>prod_inf_serv</v>
          </cell>
          <cell r="F248">
            <v>0.55467879772186279</v>
          </cell>
        </row>
        <row r="249">
          <cell r="A249" t="str">
            <v>BOL</v>
          </cell>
          <cell r="B249" t="str">
            <v>Long</v>
          </cell>
          <cell r="C249" t="str">
            <v>2007 - 2022</v>
          </cell>
          <cell r="D249" t="str">
            <v>avg</v>
          </cell>
          <cell r="E249" t="str">
            <v>gdp_activity</v>
          </cell>
          <cell r="F249">
            <v>0.39501148462295532</v>
          </cell>
        </row>
        <row r="250">
          <cell r="A250" t="str">
            <v>BOL</v>
          </cell>
          <cell r="B250" t="str">
            <v>Long</v>
          </cell>
          <cell r="C250" t="str">
            <v>2007 - 2022</v>
          </cell>
          <cell r="D250" t="str">
            <v>avg</v>
          </cell>
          <cell r="E250" t="str">
            <v>gdp_for_agri</v>
          </cell>
          <cell r="F250">
            <v>6.430941104888916</v>
          </cell>
        </row>
        <row r="251">
          <cell r="A251" t="str">
            <v>BOL</v>
          </cell>
          <cell r="B251" t="str">
            <v>Long</v>
          </cell>
          <cell r="C251" t="str">
            <v>2007 - 2022</v>
          </cell>
          <cell r="D251" t="str">
            <v>avg</v>
          </cell>
          <cell r="E251" t="str">
            <v>gdp_for_ind</v>
          </cell>
          <cell r="F251">
            <v>5.7710752487182617</v>
          </cell>
        </row>
        <row r="252">
          <cell r="A252" t="str">
            <v>BOL</v>
          </cell>
          <cell r="B252" t="str">
            <v>Long</v>
          </cell>
          <cell r="C252" t="str">
            <v>2007 - 2022</v>
          </cell>
          <cell r="D252" t="str">
            <v>avg</v>
          </cell>
          <cell r="E252" t="str">
            <v>gdp_for_serv</v>
          </cell>
          <cell r="F252">
            <v>1.042341470718384</v>
          </cell>
        </row>
        <row r="253">
          <cell r="A253" t="str">
            <v>BOL</v>
          </cell>
          <cell r="B253" t="str">
            <v>Long</v>
          </cell>
          <cell r="C253" t="str">
            <v>2007 - 2022</v>
          </cell>
          <cell r="D253" t="str">
            <v>avg</v>
          </cell>
          <cell r="E253" t="str">
            <v>gdp_inf_agri</v>
          </cell>
          <cell r="F253">
            <v>-9.3042477965354919E-3</v>
          </cell>
        </row>
        <row r="254">
          <cell r="A254" t="str">
            <v>BOL</v>
          </cell>
          <cell r="B254" t="str">
            <v>Long</v>
          </cell>
          <cell r="C254" t="str">
            <v>2007 - 2022</v>
          </cell>
          <cell r="D254" t="str">
            <v>avg</v>
          </cell>
          <cell r="E254" t="str">
            <v>gdp_inf_ind</v>
          </cell>
          <cell r="F254">
            <v>0.27169397473335272</v>
          </cell>
        </row>
        <row r="255">
          <cell r="A255" t="str">
            <v>BOL</v>
          </cell>
          <cell r="B255" t="str">
            <v>Long</v>
          </cell>
          <cell r="C255" t="str">
            <v>2007 - 2022</v>
          </cell>
          <cell r="D255" t="str">
            <v>avg</v>
          </cell>
          <cell r="E255" t="str">
            <v>gdp_inf_serv</v>
          </cell>
          <cell r="F255">
            <v>0.61633020639419556</v>
          </cell>
        </row>
        <row r="256">
          <cell r="A256" t="str">
            <v>BOL</v>
          </cell>
          <cell r="B256" t="str">
            <v>Long</v>
          </cell>
          <cell r="C256" t="str">
            <v>2007 - 2022</v>
          </cell>
          <cell r="D256" t="str">
            <v>avg</v>
          </cell>
          <cell r="E256" t="str">
            <v>prod_for_agri</v>
          </cell>
          <cell r="F256">
            <v>14.76977443695068</v>
          </cell>
        </row>
        <row r="257">
          <cell r="A257" t="str">
            <v>BOL</v>
          </cell>
          <cell r="B257" t="str">
            <v>Long</v>
          </cell>
          <cell r="C257" t="str">
            <v>2007 - 2022</v>
          </cell>
          <cell r="D257" t="str">
            <v>avg</v>
          </cell>
          <cell r="E257" t="str">
            <v>prod_for_ind</v>
          </cell>
          <cell r="F257">
            <v>-29.09221076965332</v>
          </cell>
        </row>
        <row r="258">
          <cell r="A258" t="str">
            <v>BOL</v>
          </cell>
          <cell r="B258" t="str">
            <v>Long</v>
          </cell>
          <cell r="C258" t="str">
            <v>2007 - 2022</v>
          </cell>
          <cell r="D258" t="str">
            <v>avg</v>
          </cell>
          <cell r="E258" t="str">
            <v>prod_for_serv</v>
          </cell>
          <cell r="F258">
            <v>-2.859362214803696E-2</v>
          </cell>
        </row>
        <row r="259">
          <cell r="A259" t="str">
            <v>BOL</v>
          </cell>
          <cell r="B259" t="str">
            <v>Long</v>
          </cell>
          <cell r="C259" t="str">
            <v>2007 - 2022</v>
          </cell>
          <cell r="D259" t="str">
            <v>avg</v>
          </cell>
          <cell r="E259" t="str">
            <v>prod_inf_agri</v>
          </cell>
          <cell r="F259">
            <v>5.2227168083190918</v>
          </cell>
        </row>
        <row r="260">
          <cell r="A260" t="str">
            <v>BOL</v>
          </cell>
          <cell r="B260" t="str">
            <v>Long</v>
          </cell>
          <cell r="C260" t="str">
            <v>2007 - 2022</v>
          </cell>
          <cell r="D260" t="str">
            <v>avg</v>
          </cell>
          <cell r="E260" t="str">
            <v>prod_inf_ind</v>
          </cell>
          <cell r="F260">
            <v>7.6960554122924796</v>
          </cell>
        </row>
        <row r="261">
          <cell r="A261" t="str">
            <v>BOL</v>
          </cell>
          <cell r="B261" t="str">
            <v>Long</v>
          </cell>
          <cell r="C261" t="str">
            <v>2007 - 2022</v>
          </cell>
          <cell r="D261" t="str">
            <v>avg</v>
          </cell>
          <cell r="E261" t="str">
            <v>prod_inf_serv</v>
          </cell>
          <cell r="F261">
            <v>2.6076560020446782</v>
          </cell>
        </row>
        <row r="262">
          <cell r="A262" t="str">
            <v>BOL</v>
          </cell>
          <cell r="B262" t="str">
            <v>Long</v>
          </cell>
          <cell r="C262" t="str">
            <v>2007 - 2022</v>
          </cell>
          <cell r="D262" t="str">
            <v>avg_1_99</v>
          </cell>
          <cell r="E262" t="str">
            <v>gdp_activity</v>
          </cell>
          <cell r="F262">
            <v>0.34855133295059199</v>
          </cell>
        </row>
        <row r="263">
          <cell r="A263" t="str">
            <v>BOL</v>
          </cell>
          <cell r="B263" t="str">
            <v>Long</v>
          </cell>
          <cell r="C263" t="str">
            <v>2007 - 2022</v>
          </cell>
          <cell r="D263" t="str">
            <v>avg_1_99</v>
          </cell>
          <cell r="E263" t="str">
            <v>gdp_for_agri</v>
          </cell>
          <cell r="F263">
            <v>2.0378739833831792</v>
          </cell>
        </row>
        <row r="264">
          <cell r="A264" t="str">
            <v>BOL</v>
          </cell>
          <cell r="B264" t="str">
            <v>Long</v>
          </cell>
          <cell r="C264" t="str">
            <v>2007 - 2022</v>
          </cell>
          <cell r="D264" t="str">
            <v>avg_1_99</v>
          </cell>
          <cell r="E264" t="str">
            <v>gdp_for_ind</v>
          </cell>
          <cell r="F264">
            <v>2.5079977512359619</v>
          </cell>
        </row>
        <row r="265">
          <cell r="A265" t="str">
            <v>BOL</v>
          </cell>
          <cell r="B265" t="str">
            <v>Long</v>
          </cell>
          <cell r="C265" t="str">
            <v>2007 - 2022</v>
          </cell>
          <cell r="D265" t="str">
            <v>avg_1_99</v>
          </cell>
          <cell r="E265" t="str">
            <v>gdp_for_serv</v>
          </cell>
          <cell r="F265">
            <v>1.2026157379150391</v>
          </cell>
        </row>
        <row r="266">
          <cell r="A266" t="str">
            <v>BOL</v>
          </cell>
          <cell r="B266" t="str">
            <v>Long</v>
          </cell>
          <cell r="C266" t="str">
            <v>2007 - 2022</v>
          </cell>
          <cell r="D266" t="str">
            <v>avg_1_99</v>
          </cell>
          <cell r="E266" t="str">
            <v>gdp_inf_agri</v>
          </cell>
          <cell r="F266">
            <v>0.32478854060173029</v>
          </cell>
        </row>
        <row r="267">
          <cell r="A267" t="str">
            <v>BOL</v>
          </cell>
          <cell r="B267" t="str">
            <v>Long</v>
          </cell>
          <cell r="C267" t="str">
            <v>2007 - 2022</v>
          </cell>
          <cell r="D267" t="str">
            <v>avg_1_99</v>
          </cell>
          <cell r="E267" t="str">
            <v>gdp_inf_ind</v>
          </cell>
          <cell r="F267">
            <v>0.49263107776641851</v>
          </cell>
        </row>
        <row r="268">
          <cell r="A268" t="str">
            <v>BOL</v>
          </cell>
          <cell r="B268" t="str">
            <v>Long</v>
          </cell>
          <cell r="C268" t="str">
            <v>2007 - 2022</v>
          </cell>
          <cell r="D268" t="str">
            <v>avg_1_99</v>
          </cell>
          <cell r="E268" t="str">
            <v>gdp_inf_serv</v>
          </cell>
          <cell r="F268">
            <v>0.40133312344551092</v>
          </cell>
        </row>
        <row r="269">
          <cell r="A269" t="str">
            <v>BOL</v>
          </cell>
          <cell r="B269" t="str">
            <v>Long</v>
          </cell>
          <cell r="C269" t="str">
            <v>2007 - 2022</v>
          </cell>
          <cell r="D269" t="str">
            <v>avg_1_99</v>
          </cell>
          <cell r="E269" t="str">
            <v>prod_for_agri</v>
          </cell>
          <cell r="F269">
            <v>-10.425968170166019</v>
          </cell>
        </row>
        <row r="270">
          <cell r="A270" t="str">
            <v>BOL</v>
          </cell>
          <cell r="B270" t="str">
            <v>Long</v>
          </cell>
          <cell r="C270" t="str">
            <v>2007 - 2022</v>
          </cell>
          <cell r="D270" t="str">
            <v>avg_1_99</v>
          </cell>
          <cell r="E270" t="str">
            <v>prod_for_ind</v>
          </cell>
          <cell r="F270">
            <v>-0.21506394445896149</v>
          </cell>
        </row>
        <row r="271">
          <cell r="A271" t="str">
            <v>BOL</v>
          </cell>
          <cell r="B271" t="str">
            <v>Long</v>
          </cell>
          <cell r="C271" t="str">
            <v>2007 - 2022</v>
          </cell>
          <cell r="D271" t="str">
            <v>avg_1_99</v>
          </cell>
          <cell r="E271" t="str">
            <v>prod_for_serv</v>
          </cell>
          <cell r="F271">
            <v>0.51174414157867432</v>
          </cell>
        </row>
        <row r="272">
          <cell r="A272" t="str">
            <v>BOL</v>
          </cell>
          <cell r="B272" t="str">
            <v>Long</v>
          </cell>
          <cell r="C272" t="str">
            <v>2007 - 2022</v>
          </cell>
          <cell r="D272" t="str">
            <v>avg_1_99</v>
          </cell>
          <cell r="E272" t="str">
            <v>prod_inf_agri</v>
          </cell>
          <cell r="F272">
            <v>1.153533339500427</v>
          </cell>
        </row>
        <row r="273">
          <cell r="A273" t="str">
            <v>BOL</v>
          </cell>
          <cell r="B273" t="str">
            <v>Long</v>
          </cell>
          <cell r="C273" t="str">
            <v>2007 - 2022</v>
          </cell>
          <cell r="D273" t="str">
            <v>avg_1_99</v>
          </cell>
          <cell r="E273" t="str">
            <v>prod_inf_ind</v>
          </cell>
          <cell r="F273">
            <v>-0.13831877708435061</v>
          </cell>
        </row>
        <row r="274">
          <cell r="A274" t="str">
            <v>BOL</v>
          </cell>
          <cell r="B274" t="str">
            <v>Long</v>
          </cell>
          <cell r="C274" t="str">
            <v>2007 - 2022</v>
          </cell>
          <cell r="D274" t="str">
            <v>avg_1_99</v>
          </cell>
          <cell r="E274" t="str">
            <v>prod_inf_serv</v>
          </cell>
          <cell r="F274">
            <v>1.8750096559524541</v>
          </cell>
        </row>
        <row r="275">
          <cell r="A275" t="str">
            <v>BOL</v>
          </cell>
          <cell r="B275" t="str">
            <v>Long</v>
          </cell>
          <cell r="C275" t="str">
            <v>2007 - 2022</v>
          </cell>
          <cell r="D275" t="str">
            <v>avg_1_99_imp</v>
          </cell>
          <cell r="E275" t="str">
            <v>gdp_activity</v>
          </cell>
          <cell r="F275">
            <v>0.37290439009666437</v>
          </cell>
        </row>
        <row r="276">
          <cell r="A276" t="str">
            <v>BOL</v>
          </cell>
          <cell r="B276" t="str">
            <v>Long</v>
          </cell>
          <cell r="C276" t="str">
            <v>2007 - 2022</v>
          </cell>
          <cell r="D276" t="str">
            <v>avg_1_99_imp</v>
          </cell>
          <cell r="E276" t="str">
            <v>gdp_for_agri</v>
          </cell>
          <cell r="F276">
            <v>1.9035294055938721</v>
          </cell>
        </row>
        <row r="277">
          <cell r="A277" t="str">
            <v>BOL</v>
          </cell>
          <cell r="B277" t="str">
            <v>Long</v>
          </cell>
          <cell r="C277" t="str">
            <v>2007 - 2022</v>
          </cell>
          <cell r="D277" t="str">
            <v>avg_1_99_imp</v>
          </cell>
          <cell r="E277" t="str">
            <v>gdp_for_ind</v>
          </cell>
          <cell r="F277">
            <v>2.4545269012451172</v>
          </cell>
        </row>
        <row r="278">
          <cell r="A278" t="str">
            <v>BOL</v>
          </cell>
          <cell r="B278" t="str">
            <v>Long</v>
          </cell>
          <cell r="C278" t="str">
            <v>2007 - 2022</v>
          </cell>
          <cell r="D278" t="str">
            <v>avg_1_99_imp</v>
          </cell>
          <cell r="E278" t="str">
            <v>gdp_for_serv</v>
          </cell>
          <cell r="F278">
            <v>1.172274708747864</v>
          </cell>
        </row>
        <row r="279">
          <cell r="A279" t="str">
            <v>BOL</v>
          </cell>
          <cell r="B279" t="str">
            <v>Long</v>
          </cell>
          <cell r="C279" t="str">
            <v>2007 - 2022</v>
          </cell>
          <cell r="D279" t="str">
            <v>avg_1_99_imp</v>
          </cell>
          <cell r="E279" t="str">
            <v>gdp_inf_agri</v>
          </cell>
          <cell r="F279">
            <v>0.39844793081283569</v>
          </cell>
        </row>
        <row r="280">
          <cell r="A280" t="str">
            <v>BOL</v>
          </cell>
          <cell r="B280" t="str">
            <v>Long</v>
          </cell>
          <cell r="C280" t="str">
            <v>2007 - 2022</v>
          </cell>
          <cell r="D280" t="str">
            <v>avg_1_99_imp</v>
          </cell>
          <cell r="E280" t="str">
            <v>gdp_inf_ind</v>
          </cell>
          <cell r="F280">
            <v>0.50689947605133057</v>
          </cell>
        </row>
        <row r="281">
          <cell r="A281" t="str">
            <v>BOL</v>
          </cell>
          <cell r="B281" t="str">
            <v>Long</v>
          </cell>
          <cell r="C281" t="str">
            <v>2007 - 2022</v>
          </cell>
          <cell r="D281" t="str">
            <v>avg_1_99_imp</v>
          </cell>
          <cell r="E281" t="str">
            <v>gdp_inf_serv</v>
          </cell>
          <cell r="F281">
            <v>0.39729449152946472</v>
          </cell>
        </row>
        <row r="282">
          <cell r="A282" t="str">
            <v>BOL</v>
          </cell>
          <cell r="B282" t="str">
            <v>Long</v>
          </cell>
          <cell r="C282" t="str">
            <v>2007 - 2022</v>
          </cell>
          <cell r="D282" t="str">
            <v>avg_1_99_imp</v>
          </cell>
          <cell r="E282" t="str">
            <v>prod_for_agri</v>
          </cell>
          <cell r="F282">
            <v>-0.67576807737350464</v>
          </cell>
        </row>
        <row r="283">
          <cell r="A283" t="str">
            <v>BOL</v>
          </cell>
          <cell r="B283" t="str">
            <v>Long</v>
          </cell>
          <cell r="C283" t="str">
            <v>2007 - 2022</v>
          </cell>
          <cell r="D283" t="str">
            <v>avg_1_99_imp</v>
          </cell>
          <cell r="E283" t="str">
            <v>prod_for_ind</v>
          </cell>
          <cell r="F283">
            <v>-0.52188575267791748</v>
          </cell>
        </row>
        <row r="284">
          <cell r="A284" t="str">
            <v>BOL</v>
          </cell>
          <cell r="B284" t="str">
            <v>Long</v>
          </cell>
          <cell r="C284" t="str">
            <v>2007 - 2022</v>
          </cell>
          <cell r="D284" t="str">
            <v>avg_1_99_imp</v>
          </cell>
          <cell r="E284" t="str">
            <v>prod_for_serv</v>
          </cell>
          <cell r="F284">
            <v>0.24524083733558649</v>
          </cell>
        </row>
        <row r="285">
          <cell r="A285" t="str">
            <v>BOL</v>
          </cell>
          <cell r="B285" t="str">
            <v>Long</v>
          </cell>
          <cell r="C285" t="str">
            <v>2007 - 2022</v>
          </cell>
          <cell r="D285" t="str">
            <v>avg_1_99_imp</v>
          </cell>
          <cell r="E285" t="str">
            <v>prod_inf_agri</v>
          </cell>
          <cell r="F285">
            <v>1.0189546346664431</v>
          </cell>
        </row>
        <row r="286">
          <cell r="A286" t="str">
            <v>BOL</v>
          </cell>
          <cell r="B286" t="str">
            <v>Long</v>
          </cell>
          <cell r="C286" t="str">
            <v>2007 - 2022</v>
          </cell>
          <cell r="D286" t="str">
            <v>avg_1_99_imp</v>
          </cell>
          <cell r="E286" t="str">
            <v>prod_inf_ind</v>
          </cell>
          <cell r="F286">
            <v>-0.14266581833362579</v>
          </cell>
        </row>
        <row r="287">
          <cell r="A287" t="str">
            <v>BOL</v>
          </cell>
          <cell r="B287" t="str">
            <v>Long</v>
          </cell>
          <cell r="C287" t="str">
            <v>2007 - 2022</v>
          </cell>
          <cell r="D287" t="str">
            <v>avg_1_99_imp</v>
          </cell>
          <cell r="E287" t="str">
            <v>prod_inf_serv</v>
          </cell>
          <cell r="F287">
            <v>1.7666945457458501</v>
          </cell>
        </row>
        <row r="288">
          <cell r="A288" t="str">
            <v>BOL</v>
          </cell>
          <cell r="B288" t="str">
            <v>Long</v>
          </cell>
          <cell r="C288" t="str">
            <v>2007 - 2022</v>
          </cell>
          <cell r="D288" t="str">
            <v>med_reg</v>
          </cell>
          <cell r="E288" t="str">
            <v>gdp_activity</v>
          </cell>
          <cell r="F288">
            <v>0.42565646767616272</v>
          </cell>
        </row>
        <row r="289">
          <cell r="A289" t="str">
            <v>BOL</v>
          </cell>
          <cell r="B289" t="str">
            <v>Long</v>
          </cell>
          <cell r="C289" t="str">
            <v>2007 - 2022</v>
          </cell>
          <cell r="D289" t="str">
            <v>med_reg</v>
          </cell>
          <cell r="E289" t="str">
            <v>gdp_for_agri</v>
          </cell>
          <cell r="F289">
            <v>2.561345100402832</v>
          </cell>
        </row>
        <row r="290">
          <cell r="A290" t="str">
            <v>BOL</v>
          </cell>
          <cell r="B290" t="str">
            <v>Long</v>
          </cell>
          <cell r="C290" t="str">
            <v>2007 - 2022</v>
          </cell>
          <cell r="D290" t="str">
            <v>med_reg</v>
          </cell>
          <cell r="E290" t="str">
            <v>gdp_for_ind</v>
          </cell>
          <cell r="F290">
            <v>1.196691513061523</v>
          </cell>
        </row>
        <row r="291">
          <cell r="A291" t="str">
            <v>BOL</v>
          </cell>
          <cell r="B291" t="str">
            <v>Long</v>
          </cell>
          <cell r="C291" t="str">
            <v>2007 - 2022</v>
          </cell>
          <cell r="D291" t="str">
            <v>med_reg</v>
          </cell>
          <cell r="E291" t="str">
            <v>gdp_for_serv</v>
          </cell>
          <cell r="F291">
            <v>1.1276950836181641</v>
          </cell>
        </row>
        <row r="292">
          <cell r="A292" t="str">
            <v>BOL</v>
          </cell>
          <cell r="B292" t="str">
            <v>Long</v>
          </cell>
          <cell r="C292" t="str">
            <v>2007 - 2022</v>
          </cell>
          <cell r="D292" t="str">
            <v>med_reg</v>
          </cell>
          <cell r="E292" t="str">
            <v>gdp_inf_agri</v>
          </cell>
          <cell r="F292">
            <v>-9.7127677872776985E-3</v>
          </cell>
        </row>
        <row r="293">
          <cell r="A293" t="str">
            <v>BOL</v>
          </cell>
          <cell r="B293" t="str">
            <v>Long</v>
          </cell>
          <cell r="C293" t="str">
            <v>2007 - 2022</v>
          </cell>
          <cell r="D293" t="str">
            <v>med_reg</v>
          </cell>
          <cell r="E293" t="str">
            <v>gdp_inf_ind</v>
          </cell>
          <cell r="F293">
            <v>0.2386624068021774</v>
          </cell>
        </row>
        <row r="294">
          <cell r="A294" t="str">
            <v>BOL</v>
          </cell>
          <cell r="B294" t="str">
            <v>Long</v>
          </cell>
          <cell r="C294" t="str">
            <v>2007 - 2022</v>
          </cell>
          <cell r="D294" t="str">
            <v>med_reg</v>
          </cell>
          <cell r="E294" t="str">
            <v>gdp_inf_serv</v>
          </cell>
          <cell r="F294">
            <v>0.20184783637523651</v>
          </cell>
        </row>
        <row r="295">
          <cell r="A295" t="str">
            <v>BOL</v>
          </cell>
          <cell r="B295" t="str">
            <v>Long</v>
          </cell>
          <cell r="C295" t="str">
            <v>2007 - 2022</v>
          </cell>
          <cell r="D295" t="str">
            <v>med_reg</v>
          </cell>
          <cell r="E295" t="str">
            <v>prod_for_agri</v>
          </cell>
          <cell r="F295">
            <v>-0.65438061952590942</v>
          </cell>
        </row>
        <row r="296">
          <cell r="A296" t="str">
            <v>BOL</v>
          </cell>
          <cell r="B296" t="str">
            <v>Long</v>
          </cell>
          <cell r="C296" t="str">
            <v>2007 - 2022</v>
          </cell>
          <cell r="D296" t="str">
            <v>med_reg</v>
          </cell>
          <cell r="E296" t="str">
            <v>prod_for_ind</v>
          </cell>
          <cell r="F296">
            <v>0.2359272092580795</v>
          </cell>
        </row>
        <row r="297">
          <cell r="A297" t="str">
            <v>BOL</v>
          </cell>
          <cell r="B297" t="str">
            <v>Long</v>
          </cell>
          <cell r="C297" t="str">
            <v>2007 - 2022</v>
          </cell>
          <cell r="D297" t="str">
            <v>med_reg</v>
          </cell>
          <cell r="E297" t="str">
            <v>prod_for_serv</v>
          </cell>
          <cell r="F297">
            <v>0.3864780068397522</v>
          </cell>
        </row>
        <row r="298">
          <cell r="A298" t="str">
            <v>BOL</v>
          </cell>
          <cell r="B298" t="str">
            <v>Long</v>
          </cell>
          <cell r="C298" t="str">
            <v>2007 - 2022</v>
          </cell>
          <cell r="D298" t="str">
            <v>med_reg</v>
          </cell>
          <cell r="E298" t="str">
            <v>prod_inf_agri</v>
          </cell>
          <cell r="F298">
            <v>0.58534818887710571</v>
          </cell>
        </row>
        <row r="299">
          <cell r="A299" t="str">
            <v>BOL</v>
          </cell>
          <cell r="B299" t="str">
            <v>Long</v>
          </cell>
          <cell r="C299" t="str">
            <v>2007 - 2022</v>
          </cell>
          <cell r="D299" t="str">
            <v>med_reg</v>
          </cell>
          <cell r="E299" t="str">
            <v>prod_inf_ind</v>
          </cell>
          <cell r="F299">
            <v>0.39956879615783691</v>
          </cell>
        </row>
        <row r="300">
          <cell r="A300" t="str">
            <v>BOL</v>
          </cell>
          <cell r="B300" t="str">
            <v>Long</v>
          </cell>
          <cell r="C300" t="str">
            <v>2007 - 2022</v>
          </cell>
          <cell r="D300" t="str">
            <v>med_reg</v>
          </cell>
          <cell r="E300" t="str">
            <v>prod_inf_serv</v>
          </cell>
          <cell r="F300">
            <v>2.926505729556084E-2</v>
          </cell>
        </row>
        <row r="301">
          <cell r="A301" t="str">
            <v>BOL</v>
          </cell>
          <cell r="B301" t="str">
            <v>Long</v>
          </cell>
          <cell r="C301" t="str">
            <v>2007 - 2022</v>
          </cell>
          <cell r="D301" t="str">
            <v>reg</v>
          </cell>
          <cell r="E301" t="str">
            <v>gdp_activity</v>
          </cell>
          <cell r="F301">
            <v>0.39787808060646063</v>
          </cell>
        </row>
        <row r="302">
          <cell r="A302" t="str">
            <v>BOL</v>
          </cell>
          <cell r="B302" t="str">
            <v>Long</v>
          </cell>
          <cell r="C302" t="str">
            <v>2007 - 2022</v>
          </cell>
          <cell r="D302" t="str">
            <v>reg</v>
          </cell>
          <cell r="E302" t="str">
            <v>gdp_for_agri</v>
          </cell>
          <cell r="F302">
            <v>2.474629163742065</v>
          </cell>
        </row>
        <row r="303">
          <cell r="A303" t="str">
            <v>BOL</v>
          </cell>
          <cell r="B303" t="str">
            <v>Long</v>
          </cell>
          <cell r="C303" t="str">
            <v>2007 - 2022</v>
          </cell>
          <cell r="D303" t="str">
            <v>reg</v>
          </cell>
          <cell r="E303" t="str">
            <v>gdp_for_ind</v>
          </cell>
          <cell r="F303">
            <v>1.190507173538208</v>
          </cell>
        </row>
        <row r="304">
          <cell r="A304" t="str">
            <v>BOL</v>
          </cell>
          <cell r="B304" t="str">
            <v>Long</v>
          </cell>
          <cell r="C304" t="str">
            <v>2007 - 2022</v>
          </cell>
          <cell r="D304" t="str">
            <v>reg</v>
          </cell>
          <cell r="E304" t="str">
            <v>gdp_for_serv</v>
          </cell>
          <cell r="F304">
            <v>0.98404234647750854</v>
          </cell>
        </row>
        <row r="305">
          <cell r="A305" t="str">
            <v>BOL</v>
          </cell>
          <cell r="B305" t="str">
            <v>Long</v>
          </cell>
          <cell r="C305" t="str">
            <v>2007 - 2022</v>
          </cell>
          <cell r="D305" t="str">
            <v>reg</v>
          </cell>
          <cell r="E305" t="str">
            <v>gdp_inf_agri</v>
          </cell>
          <cell r="F305">
            <v>-3.3320385962724693E-2</v>
          </cell>
        </row>
        <row r="306">
          <cell r="A306" t="str">
            <v>BOL</v>
          </cell>
          <cell r="B306" t="str">
            <v>Long</v>
          </cell>
          <cell r="C306" t="str">
            <v>2007 - 2022</v>
          </cell>
          <cell r="D306" t="str">
            <v>reg</v>
          </cell>
          <cell r="E306" t="str">
            <v>gdp_inf_ind</v>
          </cell>
          <cell r="F306">
            <v>0.29922711849212652</v>
          </cell>
        </row>
        <row r="307">
          <cell r="A307" t="str">
            <v>BOL</v>
          </cell>
          <cell r="B307" t="str">
            <v>Long</v>
          </cell>
          <cell r="C307" t="str">
            <v>2007 - 2022</v>
          </cell>
          <cell r="D307" t="str">
            <v>reg</v>
          </cell>
          <cell r="E307" t="str">
            <v>gdp_inf_serv</v>
          </cell>
          <cell r="F307">
            <v>0.3457355797290802</v>
          </cell>
        </row>
        <row r="308">
          <cell r="A308" t="str">
            <v>BOL</v>
          </cell>
          <cell r="B308" t="str">
            <v>Long</v>
          </cell>
          <cell r="C308" t="str">
            <v>2007 - 2022</v>
          </cell>
          <cell r="D308" t="str">
            <v>reg</v>
          </cell>
          <cell r="E308" t="str">
            <v>prod_for_agri</v>
          </cell>
          <cell r="F308">
            <v>-1.00610876083374</v>
          </cell>
        </row>
        <row r="309">
          <cell r="A309" t="str">
            <v>BOL</v>
          </cell>
          <cell r="B309" t="str">
            <v>Long</v>
          </cell>
          <cell r="C309" t="str">
            <v>2007 - 2022</v>
          </cell>
          <cell r="D309" t="str">
            <v>reg</v>
          </cell>
          <cell r="E309" t="str">
            <v>prod_for_ind</v>
          </cell>
          <cell r="F309">
            <v>9.5625482499599457E-2</v>
          </cell>
        </row>
        <row r="310">
          <cell r="A310" t="str">
            <v>BOL</v>
          </cell>
          <cell r="B310" t="str">
            <v>Long</v>
          </cell>
          <cell r="C310" t="str">
            <v>2007 - 2022</v>
          </cell>
          <cell r="D310" t="str">
            <v>reg</v>
          </cell>
          <cell r="E310" t="str">
            <v>prod_for_serv</v>
          </cell>
          <cell r="F310">
            <v>0.48969396948814392</v>
          </cell>
        </row>
        <row r="311">
          <cell r="A311" t="str">
            <v>BOL</v>
          </cell>
          <cell r="B311" t="str">
            <v>Long</v>
          </cell>
          <cell r="C311" t="str">
            <v>2007 - 2022</v>
          </cell>
          <cell r="D311" t="str">
            <v>reg</v>
          </cell>
          <cell r="E311" t="str">
            <v>prod_inf_agri</v>
          </cell>
          <cell r="F311">
            <v>0.5005183219909668</v>
          </cell>
        </row>
        <row r="312">
          <cell r="A312" t="str">
            <v>BOL</v>
          </cell>
          <cell r="B312" t="str">
            <v>Long</v>
          </cell>
          <cell r="C312" t="str">
            <v>2007 - 2022</v>
          </cell>
          <cell r="D312" t="str">
            <v>reg</v>
          </cell>
          <cell r="E312" t="str">
            <v>prod_inf_ind</v>
          </cell>
          <cell r="F312">
            <v>0.72297155857086182</v>
          </cell>
        </row>
        <row r="313">
          <cell r="A313" t="str">
            <v>BOL</v>
          </cell>
          <cell r="B313" t="str">
            <v>Long</v>
          </cell>
          <cell r="C313" t="str">
            <v>2007 - 2022</v>
          </cell>
          <cell r="D313" t="str">
            <v>reg</v>
          </cell>
          <cell r="E313" t="str">
            <v>prod_inf_serv</v>
          </cell>
          <cell r="F313">
            <v>0.29754474759101868</v>
          </cell>
        </row>
        <row r="314">
          <cell r="A314" t="str">
            <v>BOL</v>
          </cell>
          <cell r="B314" t="str">
            <v>Long</v>
          </cell>
          <cell r="C314" t="str">
            <v>2007 - 2022</v>
          </cell>
          <cell r="D314" t="str">
            <v>reg_gdp</v>
          </cell>
          <cell r="E314" t="str">
            <v>gdp_activity</v>
          </cell>
          <cell r="F314">
            <v>0.39787808060646063</v>
          </cell>
        </row>
        <row r="315">
          <cell r="A315" t="str">
            <v>BOL</v>
          </cell>
          <cell r="B315" t="str">
            <v>Long</v>
          </cell>
          <cell r="C315" t="str">
            <v>2007 - 2022</v>
          </cell>
          <cell r="D315" t="str">
            <v>reg_gdp</v>
          </cell>
          <cell r="E315" t="str">
            <v>gdp_for_agri</v>
          </cell>
          <cell r="F315">
            <v>1.291165351867676</v>
          </cell>
        </row>
        <row r="316">
          <cell r="A316" t="str">
            <v>BOL</v>
          </cell>
          <cell r="B316" t="str">
            <v>Long</v>
          </cell>
          <cell r="C316" t="str">
            <v>2007 - 2022</v>
          </cell>
          <cell r="D316" t="str">
            <v>reg_gdp</v>
          </cell>
          <cell r="E316" t="str">
            <v>gdp_for_ind</v>
          </cell>
          <cell r="F316">
            <v>1.4226422309875491</v>
          </cell>
        </row>
        <row r="317">
          <cell r="A317" t="str">
            <v>BOL</v>
          </cell>
          <cell r="B317" t="str">
            <v>Long</v>
          </cell>
          <cell r="C317" t="str">
            <v>2007 - 2022</v>
          </cell>
          <cell r="D317" t="str">
            <v>reg_gdp</v>
          </cell>
          <cell r="E317" t="str">
            <v>gdp_for_serv</v>
          </cell>
          <cell r="F317">
            <v>1.8999288082122801</v>
          </cell>
        </row>
        <row r="318">
          <cell r="A318" t="str">
            <v>BOL</v>
          </cell>
          <cell r="B318" t="str">
            <v>Long</v>
          </cell>
          <cell r="C318" t="str">
            <v>2007 - 2022</v>
          </cell>
          <cell r="D318" t="str">
            <v>reg_gdp</v>
          </cell>
          <cell r="E318" t="str">
            <v>gdp_inf_agri</v>
          </cell>
          <cell r="F318">
            <v>-6.8016462028026581E-2</v>
          </cell>
        </row>
        <row r="319">
          <cell r="A319" t="str">
            <v>BOL</v>
          </cell>
          <cell r="B319" t="str">
            <v>Long</v>
          </cell>
          <cell r="C319" t="str">
            <v>2007 - 2022</v>
          </cell>
          <cell r="D319" t="str">
            <v>reg_gdp</v>
          </cell>
          <cell r="E319" t="str">
            <v>gdp_inf_ind</v>
          </cell>
          <cell r="F319">
            <v>0.42523351311683649</v>
          </cell>
        </row>
        <row r="320">
          <cell r="A320" t="str">
            <v>BOL</v>
          </cell>
          <cell r="B320" t="str">
            <v>Long</v>
          </cell>
          <cell r="C320" t="str">
            <v>2007 - 2022</v>
          </cell>
          <cell r="D320" t="str">
            <v>reg_gdp</v>
          </cell>
          <cell r="E320" t="str">
            <v>gdp_inf_serv</v>
          </cell>
          <cell r="F320">
            <v>1.3571873903274541</v>
          </cell>
        </row>
        <row r="321">
          <cell r="A321" t="str">
            <v>BOL</v>
          </cell>
          <cell r="B321" t="str">
            <v>Long</v>
          </cell>
          <cell r="C321" t="str">
            <v>2007 - 2022</v>
          </cell>
          <cell r="D321" t="str">
            <v>reg_gdp</v>
          </cell>
          <cell r="E321" t="str">
            <v>prod_for_agri</v>
          </cell>
          <cell r="F321">
            <v>-0.85828465223312378</v>
          </cell>
        </row>
        <row r="322">
          <cell r="A322" t="str">
            <v>BOL</v>
          </cell>
          <cell r="B322" t="str">
            <v>Long</v>
          </cell>
          <cell r="C322" t="str">
            <v>2007 - 2022</v>
          </cell>
          <cell r="D322" t="str">
            <v>reg_gdp</v>
          </cell>
          <cell r="E322" t="str">
            <v>prod_for_ind</v>
          </cell>
          <cell r="F322">
            <v>0.88978046178817749</v>
          </cell>
        </row>
        <row r="323">
          <cell r="A323" t="str">
            <v>BOL</v>
          </cell>
          <cell r="B323" t="str">
            <v>Long</v>
          </cell>
          <cell r="C323" t="str">
            <v>2007 - 2022</v>
          </cell>
          <cell r="D323" t="str">
            <v>reg_gdp</v>
          </cell>
          <cell r="E323" t="str">
            <v>prod_for_serv</v>
          </cell>
          <cell r="F323">
            <v>0.62163835763931274</v>
          </cell>
        </row>
        <row r="324">
          <cell r="A324" t="str">
            <v>BOL</v>
          </cell>
          <cell r="B324" t="str">
            <v>Long</v>
          </cell>
          <cell r="C324" t="str">
            <v>2007 - 2022</v>
          </cell>
          <cell r="D324" t="str">
            <v>reg_gdp</v>
          </cell>
          <cell r="E324" t="str">
            <v>prod_inf_agri</v>
          </cell>
          <cell r="F324">
            <v>-1.137460768222809E-2</v>
          </cell>
        </row>
        <row r="325">
          <cell r="A325" t="str">
            <v>BOL</v>
          </cell>
          <cell r="B325" t="str">
            <v>Long</v>
          </cell>
          <cell r="C325" t="str">
            <v>2007 - 2022</v>
          </cell>
          <cell r="D325" t="str">
            <v>reg_gdp</v>
          </cell>
          <cell r="E325" t="str">
            <v>prod_inf_ind</v>
          </cell>
          <cell r="F325">
            <v>1.0302333831787109</v>
          </cell>
        </row>
        <row r="326">
          <cell r="A326" t="str">
            <v>BOL</v>
          </cell>
          <cell r="B326" t="str">
            <v>Long</v>
          </cell>
          <cell r="C326" t="str">
            <v>2007 - 2022</v>
          </cell>
          <cell r="D326" t="str">
            <v>reg_gdp</v>
          </cell>
          <cell r="E326" t="str">
            <v>prod_inf_serv</v>
          </cell>
          <cell r="F326">
            <v>-9.5855116844177246E-2</v>
          </cell>
        </row>
        <row r="327">
          <cell r="A327" t="str">
            <v>BOL</v>
          </cell>
          <cell r="B327" t="str">
            <v>Long</v>
          </cell>
          <cell r="C327" t="str">
            <v>2007 - 2022</v>
          </cell>
          <cell r="D327" t="str">
            <v>reg_iter</v>
          </cell>
          <cell r="E327" t="str">
            <v>gdp_activity</v>
          </cell>
          <cell r="F327">
            <v>0.38129717111587519</v>
          </cell>
        </row>
        <row r="328">
          <cell r="A328" t="str">
            <v>BOL</v>
          </cell>
          <cell r="B328" t="str">
            <v>Long</v>
          </cell>
          <cell r="C328" t="str">
            <v>2007 - 2022</v>
          </cell>
          <cell r="D328" t="str">
            <v>reg_iter</v>
          </cell>
          <cell r="E328" t="str">
            <v>gdp_for_agri</v>
          </cell>
          <cell r="F328">
            <v>1.976769685745239</v>
          </cell>
        </row>
        <row r="329">
          <cell r="A329" t="str">
            <v>BOL</v>
          </cell>
          <cell r="B329" t="str">
            <v>Long</v>
          </cell>
          <cell r="C329" t="str">
            <v>2007 - 2022</v>
          </cell>
          <cell r="D329" t="str">
            <v>reg_iter</v>
          </cell>
          <cell r="E329" t="str">
            <v>gdp_for_ind</v>
          </cell>
          <cell r="F329">
            <v>0.95487034320831299</v>
          </cell>
        </row>
        <row r="330">
          <cell r="A330" t="str">
            <v>BOL</v>
          </cell>
          <cell r="B330" t="str">
            <v>Long</v>
          </cell>
          <cell r="C330" t="str">
            <v>2007 - 2022</v>
          </cell>
          <cell r="D330" t="str">
            <v>reg_iter</v>
          </cell>
          <cell r="E330" t="str">
            <v>gdp_for_serv</v>
          </cell>
          <cell r="F330">
            <v>0.75259804725646973</v>
          </cell>
        </row>
        <row r="331">
          <cell r="A331" t="str">
            <v>BOL</v>
          </cell>
          <cell r="B331" t="str">
            <v>Long</v>
          </cell>
          <cell r="C331" t="str">
            <v>2007 - 2022</v>
          </cell>
          <cell r="D331" t="str">
            <v>reg_iter</v>
          </cell>
          <cell r="E331" t="str">
            <v>gdp_inf_agri</v>
          </cell>
          <cell r="F331">
            <v>1.2767431326210501E-2</v>
          </cell>
        </row>
        <row r="332">
          <cell r="A332" t="str">
            <v>BOL</v>
          </cell>
          <cell r="B332" t="str">
            <v>Long</v>
          </cell>
          <cell r="C332" t="str">
            <v>2007 - 2022</v>
          </cell>
          <cell r="D332" t="str">
            <v>reg_iter</v>
          </cell>
          <cell r="E332" t="str">
            <v>gdp_inf_ind</v>
          </cell>
          <cell r="F332">
            <v>0.39272245764732361</v>
          </cell>
        </row>
        <row r="333">
          <cell r="A333" t="str">
            <v>BOL</v>
          </cell>
          <cell r="B333" t="str">
            <v>Long</v>
          </cell>
          <cell r="C333" t="str">
            <v>2007 - 2022</v>
          </cell>
          <cell r="D333" t="str">
            <v>reg_iter</v>
          </cell>
          <cell r="E333" t="str">
            <v>gdp_inf_serv</v>
          </cell>
          <cell r="F333">
            <v>0.36847993731498718</v>
          </cell>
        </row>
        <row r="334">
          <cell r="A334" t="str">
            <v>BOL</v>
          </cell>
          <cell r="B334" t="str">
            <v>Long</v>
          </cell>
          <cell r="C334" t="str">
            <v>2007 - 2022</v>
          </cell>
          <cell r="D334" t="str">
            <v>reg_iter</v>
          </cell>
          <cell r="E334" t="str">
            <v>prod_for_agri</v>
          </cell>
          <cell r="F334">
            <v>-0.8961564302444458</v>
          </cell>
        </row>
        <row r="335">
          <cell r="A335" t="str">
            <v>BOL</v>
          </cell>
          <cell r="B335" t="str">
            <v>Long</v>
          </cell>
          <cell r="C335" t="str">
            <v>2007 - 2022</v>
          </cell>
          <cell r="D335" t="str">
            <v>reg_iter</v>
          </cell>
          <cell r="E335" t="str">
            <v>prod_for_ind</v>
          </cell>
          <cell r="F335">
            <v>2.880470268428326E-2</v>
          </cell>
        </row>
        <row r="336">
          <cell r="A336" t="str">
            <v>BOL</v>
          </cell>
          <cell r="B336" t="str">
            <v>Long</v>
          </cell>
          <cell r="C336" t="str">
            <v>2007 - 2022</v>
          </cell>
          <cell r="D336" t="str">
            <v>reg_iter</v>
          </cell>
          <cell r="E336" t="str">
            <v>prod_for_serv</v>
          </cell>
          <cell r="F336">
            <v>0.47956296801567078</v>
          </cell>
        </row>
        <row r="337">
          <cell r="A337" t="str">
            <v>BOL</v>
          </cell>
          <cell r="B337" t="str">
            <v>Long</v>
          </cell>
          <cell r="C337" t="str">
            <v>2007 - 2022</v>
          </cell>
          <cell r="D337" t="str">
            <v>reg_iter</v>
          </cell>
          <cell r="E337" t="str">
            <v>prod_inf_agri</v>
          </cell>
          <cell r="F337">
            <v>0.40013179183006292</v>
          </cell>
        </row>
        <row r="338">
          <cell r="A338" t="str">
            <v>BOL</v>
          </cell>
          <cell r="B338" t="str">
            <v>Long</v>
          </cell>
          <cell r="C338" t="str">
            <v>2007 - 2022</v>
          </cell>
          <cell r="D338" t="str">
            <v>reg_iter</v>
          </cell>
          <cell r="E338" t="str">
            <v>prod_inf_ind</v>
          </cell>
          <cell r="F338">
            <v>0.70923340320587158</v>
          </cell>
        </row>
        <row r="339">
          <cell r="A339" t="str">
            <v>BOL</v>
          </cell>
          <cell r="B339" t="str">
            <v>Long</v>
          </cell>
          <cell r="C339" t="str">
            <v>2007 - 2022</v>
          </cell>
          <cell r="D339" t="str">
            <v>reg_iter</v>
          </cell>
          <cell r="E339" t="str">
            <v>prod_inf_serv</v>
          </cell>
          <cell r="F339">
            <v>0.28129696846008301</v>
          </cell>
        </row>
        <row r="340">
          <cell r="A340" t="str">
            <v>BOL</v>
          </cell>
          <cell r="B340" t="str">
            <v>Middle</v>
          </cell>
          <cell r="C340" t="str">
            <v>2015 - 2022</v>
          </cell>
          <cell r="D340" t="str">
            <v>avg</v>
          </cell>
          <cell r="E340" t="str">
            <v>gdp_activity</v>
          </cell>
          <cell r="F340">
            <v>0.34454396367073059</v>
          </cell>
        </row>
        <row r="341">
          <cell r="A341" t="str">
            <v>BOL</v>
          </cell>
          <cell r="B341" t="str">
            <v>Middle</v>
          </cell>
          <cell r="C341" t="str">
            <v>2015 - 2022</v>
          </cell>
          <cell r="D341" t="str">
            <v>avg</v>
          </cell>
          <cell r="E341" t="str">
            <v>gdp_for_agri</v>
          </cell>
          <cell r="F341">
            <v>3.4754436016082759</v>
          </cell>
        </row>
        <row r="342">
          <cell r="A342" t="str">
            <v>BOL</v>
          </cell>
          <cell r="B342" t="str">
            <v>Middle</v>
          </cell>
          <cell r="C342" t="str">
            <v>2015 - 2022</v>
          </cell>
          <cell r="D342" t="str">
            <v>avg</v>
          </cell>
          <cell r="E342" t="str">
            <v>gdp_for_ind</v>
          </cell>
          <cell r="F342">
            <v>9.0054664611816406</v>
          </cell>
        </row>
        <row r="343">
          <cell r="A343" t="str">
            <v>BOL</v>
          </cell>
          <cell r="B343" t="str">
            <v>Middle</v>
          </cell>
          <cell r="C343" t="str">
            <v>2015 - 2022</v>
          </cell>
          <cell r="D343" t="str">
            <v>avg</v>
          </cell>
          <cell r="E343" t="str">
            <v>gdp_for_serv</v>
          </cell>
          <cell r="F343">
            <v>1.1302587985992429</v>
          </cell>
        </row>
        <row r="344">
          <cell r="A344" t="str">
            <v>BOL</v>
          </cell>
          <cell r="B344" t="str">
            <v>Middle</v>
          </cell>
          <cell r="C344" t="str">
            <v>2015 - 2022</v>
          </cell>
          <cell r="D344" t="str">
            <v>avg</v>
          </cell>
          <cell r="E344" t="str">
            <v>gdp_inf_agri</v>
          </cell>
          <cell r="F344">
            <v>-0.71372020244598389</v>
          </cell>
        </row>
        <row r="345">
          <cell r="A345" t="str">
            <v>BOL</v>
          </cell>
          <cell r="B345" t="str">
            <v>Middle</v>
          </cell>
          <cell r="C345" t="str">
            <v>2015 - 2022</v>
          </cell>
          <cell r="D345" t="str">
            <v>avg</v>
          </cell>
          <cell r="E345" t="str">
            <v>gdp_inf_ind</v>
          </cell>
          <cell r="F345">
            <v>6.5084807574748993E-2</v>
          </cell>
        </row>
        <row r="346">
          <cell r="A346" t="str">
            <v>BOL</v>
          </cell>
          <cell r="B346" t="str">
            <v>Middle</v>
          </cell>
          <cell r="C346" t="str">
            <v>2015 - 2022</v>
          </cell>
          <cell r="D346" t="str">
            <v>avg</v>
          </cell>
          <cell r="E346" t="str">
            <v>gdp_inf_serv</v>
          </cell>
          <cell r="F346">
            <v>0.33744078874588013</v>
          </cell>
        </row>
        <row r="347">
          <cell r="A347" t="str">
            <v>BOL</v>
          </cell>
          <cell r="B347" t="str">
            <v>Middle</v>
          </cell>
          <cell r="C347" t="str">
            <v>2015 - 2022</v>
          </cell>
          <cell r="D347" t="str">
            <v>avg</v>
          </cell>
          <cell r="E347" t="str">
            <v>prod_for_agri</v>
          </cell>
          <cell r="F347">
            <v>48.092372894287109</v>
          </cell>
        </row>
        <row r="348">
          <cell r="A348" t="str">
            <v>BOL</v>
          </cell>
          <cell r="B348" t="str">
            <v>Middle</v>
          </cell>
          <cell r="C348" t="str">
            <v>2015 - 2022</v>
          </cell>
          <cell r="D348" t="str">
            <v>avg</v>
          </cell>
          <cell r="E348" t="str">
            <v>prod_for_ind</v>
          </cell>
          <cell r="F348">
            <v>-51.166271209716797</v>
          </cell>
        </row>
        <row r="349">
          <cell r="A349" t="str">
            <v>BOL</v>
          </cell>
          <cell r="B349" t="str">
            <v>Middle</v>
          </cell>
          <cell r="C349" t="str">
            <v>2015 - 2022</v>
          </cell>
          <cell r="D349" t="str">
            <v>avg</v>
          </cell>
          <cell r="E349" t="str">
            <v>prod_for_serv</v>
          </cell>
          <cell r="F349">
            <v>0.1764219552278519</v>
          </cell>
        </row>
        <row r="350">
          <cell r="A350" t="str">
            <v>BOL</v>
          </cell>
          <cell r="B350" t="str">
            <v>Middle</v>
          </cell>
          <cell r="C350" t="str">
            <v>2015 - 2022</v>
          </cell>
          <cell r="D350" t="str">
            <v>avg</v>
          </cell>
          <cell r="E350" t="str">
            <v>prod_inf_agri</v>
          </cell>
          <cell r="F350">
            <v>12.88862228393555</v>
          </cell>
        </row>
        <row r="351">
          <cell r="A351" t="str">
            <v>BOL</v>
          </cell>
          <cell r="B351" t="str">
            <v>Middle</v>
          </cell>
          <cell r="C351" t="str">
            <v>2015 - 2022</v>
          </cell>
          <cell r="D351" t="str">
            <v>avg</v>
          </cell>
          <cell r="E351" t="str">
            <v>prod_inf_ind</v>
          </cell>
          <cell r="F351">
            <v>14.37764263153076</v>
          </cell>
        </row>
        <row r="352">
          <cell r="A352" t="str">
            <v>BOL</v>
          </cell>
          <cell r="B352" t="str">
            <v>Middle</v>
          </cell>
          <cell r="C352" t="str">
            <v>2015 - 2022</v>
          </cell>
          <cell r="D352" t="str">
            <v>avg</v>
          </cell>
          <cell r="E352" t="str">
            <v>prod_inf_serv</v>
          </cell>
          <cell r="F352">
            <v>1.84174656867981</v>
          </cell>
        </row>
        <row r="353">
          <cell r="A353" t="str">
            <v>BOL</v>
          </cell>
          <cell r="B353" t="str">
            <v>Middle</v>
          </cell>
          <cell r="C353" t="str">
            <v>2015 - 2022</v>
          </cell>
          <cell r="D353" t="str">
            <v>avg_1_99</v>
          </cell>
          <cell r="E353" t="str">
            <v>gdp_activity</v>
          </cell>
          <cell r="F353">
            <v>0.11141149699687961</v>
          </cell>
        </row>
        <row r="354">
          <cell r="A354" t="str">
            <v>BOL</v>
          </cell>
          <cell r="B354" t="str">
            <v>Middle</v>
          </cell>
          <cell r="C354" t="str">
            <v>2015 - 2022</v>
          </cell>
          <cell r="D354" t="str">
            <v>avg_1_99</v>
          </cell>
          <cell r="E354" t="str">
            <v>gdp_for_agri</v>
          </cell>
          <cell r="F354">
            <v>3.4754436016082759</v>
          </cell>
        </row>
        <row r="355">
          <cell r="A355" t="str">
            <v>BOL</v>
          </cell>
          <cell r="B355" t="str">
            <v>Middle</v>
          </cell>
          <cell r="C355" t="str">
            <v>2015 - 2022</v>
          </cell>
          <cell r="D355" t="str">
            <v>avg_1_99</v>
          </cell>
          <cell r="E355" t="str">
            <v>gdp_for_ind</v>
          </cell>
          <cell r="F355">
            <v>2.532072782516479</v>
          </cell>
        </row>
        <row r="356">
          <cell r="A356" t="str">
            <v>BOL</v>
          </cell>
          <cell r="B356" t="str">
            <v>Middle</v>
          </cell>
          <cell r="C356" t="str">
            <v>2015 - 2022</v>
          </cell>
          <cell r="D356" t="str">
            <v>avg_1_99</v>
          </cell>
          <cell r="E356" t="str">
            <v>gdp_for_serv</v>
          </cell>
          <cell r="F356">
            <v>1.1302587985992429</v>
          </cell>
        </row>
        <row r="357">
          <cell r="A357" t="str">
            <v>BOL</v>
          </cell>
          <cell r="B357" t="str">
            <v>Middle</v>
          </cell>
          <cell r="C357" t="str">
            <v>2015 - 2022</v>
          </cell>
          <cell r="D357" t="str">
            <v>avg_1_99</v>
          </cell>
          <cell r="E357" t="str">
            <v>gdp_inf_agri</v>
          </cell>
          <cell r="F357">
            <v>0.31289449334144592</v>
          </cell>
        </row>
        <row r="358">
          <cell r="A358" t="str">
            <v>BOL</v>
          </cell>
          <cell r="B358" t="str">
            <v>Middle</v>
          </cell>
          <cell r="C358" t="str">
            <v>2015 - 2022</v>
          </cell>
          <cell r="D358" t="str">
            <v>avg_1_99</v>
          </cell>
          <cell r="E358" t="str">
            <v>gdp_inf_ind</v>
          </cell>
          <cell r="F358">
            <v>0.4380892813205719</v>
          </cell>
        </row>
        <row r="359">
          <cell r="A359" t="str">
            <v>BOL</v>
          </cell>
          <cell r="B359" t="str">
            <v>Middle</v>
          </cell>
          <cell r="C359" t="str">
            <v>2015 - 2022</v>
          </cell>
          <cell r="D359" t="str">
            <v>avg_1_99</v>
          </cell>
          <cell r="E359" t="str">
            <v>gdp_inf_serv</v>
          </cell>
          <cell r="F359">
            <v>0.33744078874588013</v>
          </cell>
        </row>
        <row r="360">
          <cell r="A360" t="str">
            <v>BOL</v>
          </cell>
          <cell r="B360" t="str">
            <v>Middle</v>
          </cell>
          <cell r="C360" t="str">
            <v>2015 - 2022</v>
          </cell>
          <cell r="D360" t="str">
            <v>avg_1_99</v>
          </cell>
          <cell r="E360" t="str">
            <v>prod_for_agri</v>
          </cell>
          <cell r="F360">
            <v>-3.897247314453125</v>
          </cell>
        </row>
        <row r="361">
          <cell r="A361" t="str">
            <v>BOL</v>
          </cell>
          <cell r="B361" t="str">
            <v>Middle</v>
          </cell>
          <cell r="C361" t="str">
            <v>2015 - 2022</v>
          </cell>
          <cell r="D361" t="str">
            <v>avg_1_99</v>
          </cell>
          <cell r="E361" t="str">
            <v>prod_for_ind</v>
          </cell>
          <cell r="F361">
            <v>-0.77000045776367188</v>
          </cell>
        </row>
        <row r="362">
          <cell r="A362" t="str">
            <v>BOL</v>
          </cell>
          <cell r="B362" t="str">
            <v>Middle</v>
          </cell>
          <cell r="C362" t="str">
            <v>2015 - 2022</v>
          </cell>
          <cell r="D362" t="str">
            <v>avg_1_99</v>
          </cell>
          <cell r="E362" t="str">
            <v>prod_for_serv</v>
          </cell>
          <cell r="F362">
            <v>-0.41413488984107971</v>
          </cell>
        </row>
        <row r="363">
          <cell r="A363" t="str">
            <v>BOL</v>
          </cell>
          <cell r="B363" t="str">
            <v>Middle</v>
          </cell>
          <cell r="C363" t="str">
            <v>2015 - 2022</v>
          </cell>
          <cell r="D363" t="str">
            <v>avg_1_99</v>
          </cell>
          <cell r="E363" t="str">
            <v>prod_inf_agri</v>
          </cell>
          <cell r="F363">
            <v>2.350517749786377</v>
          </cell>
        </row>
        <row r="364">
          <cell r="A364" t="str">
            <v>BOL</v>
          </cell>
          <cell r="B364" t="str">
            <v>Middle</v>
          </cell>
          <cell r="C364" t="str">
            <v>2015 - 2022</v>
          </cell>
          <cell r="D364" t="str">
            <v>avg_1_99</v>
          </cell>
          <cell r="E364" t="str">
            <v>prod_inf_ind</v>
          </cell>
          <cell r="F364">
            <v>2.1043403074145321E-2</v>
          </cell>
        </row>
        <row r="365">
          <cell r="A365" t="str">
            <v>BOL</v>
          </cell>
          <cell r="B365" t="str">
            <v>Middle</v>
          </cell>
          <cell r="C365" t="str">
            <v>2015 - 2022</v>
          </cell>
          <cell r="D365" t="str">
            <v>avg_1_99</v>
          </cell>
          <cell r="E365" t="str">
            <v>prod_inf_serv</v>
          </cell>
          <cell r="F365">
            <v>2.3177142143249512</v>
          </cell>
        </row>
        <row r="366">
          <cell r="A366" t="str">
            <v>BOL</v>
          </cell>
          <cell r="B366" t="str">
            <v>Middle</v>
          </cell>
          <cell r="C366" t="str">
            <v>2015 - 2022</v>
          </cell>
          <cell r="D366" t="str">
            <v>avg_1_99_imp</v>
          </cell>
          <cell r="E366" t="str">
            <v>gdp_activity</v>
          </cell>
          <cell r="F366">
            <v>6.8080723285675049E-2</v>
          </cell>
        </row>
        <row r="367">
          <cell r="A367" t="str">
            <v>BOL</v>
          </cell>
          <cell r="B367" t="str">
            <v>Middle</v>
          </cell>
          <cell r="C367" t="str">
            <v>2015 - 2022</v>
          </cell>
          <cell r="D367" t="str">
            <v>avg_1_99_imp</v>
          </cell>
          <cell r="E367" t="str">
            <v>gdp_for_agri</v>
          </cell>
          <cell r="F367">
            <v>3.4754436016082759</v>
          </cell>
        </row>
        <row r="368">
          <cell r="A368" t="str">
            <v>BOL</v>
          </cell>
          <cell r="B368" t="str">
            <v>Middle</v>
          </cell>
          <cell r="C368" t="str">
            <v>2015 - 2022</v>
          </cell>
          <cell r="D368" t="str">
            <v>avg_1_99_imp</v>
          </cell>
          <cell r="E368" t="str">
            <v>gdp_for_ind</v>
          </cell>
          <cell r="F368">
            <v>2.5115447044372559</v>
          </cell>
        </row>
        <row r="369">
          <cell r="A369" t="str">
            <v>BOL</v>
          </cell>
          <cell r="B369" t="str">
            <v>Middle</v>
          </cell>
          <cell r="C369" t="str">
            <v>2015 - 2022</v>
          </cell>
          <cell r="D369" t="str">
            <v>avg_1_99_imp</v>
          </cell>
          <cell r="E369" t="str">
            <v>gdp_for_serv</v>
          </cell>
          <cell r="F369">
            <v>1.1302587985992429</v>
          </cell>
        </row>
        <row r="370">
          <cell r="A370" t="str">
            <v>BOL</v>
          </cell>
          <cell r="B370" t="str">
            <v>Middle</v>
          </cell>
          <cell r="C370" t="str">
            <v>2015 - 2022</v>
          </cell>
          <cell r="D370" t="str">
            <v>avg_1_99_imp</v>
          </cell>
          <cell r="E370" t="str">
            <v>gdp_inf_agri</v>
          </cell>
          <cell r="F370">
            <v>0.35823711752891541</v>
          </cell>
        </row>
        <row r="371">
          <cell r="A371" t="str">
            <v>BOL</v>
          </cell>
          <cell r="B371" t="str">
            <v>Middle</v>
          </cell>
          <cell r="C371" t="str">
            <v>2015 - 2022</v>
          </cell>
          <cell r="D371" t="str">
            <v>avg_1_99_imp</v>
          </cell>
          <cell r="E371" t="str">
            <v>gdp_inf_ind</v>
          </cell>
          <cell r="F371">
            <v>0.57414865493774414</v>
          </cell>
        </row>
        <row r="372">
          <cell r="A372" t="str">
            <v>BOL</v>
          </cell>
          <cell r="B372" t="str">
            <v>Middle</v>
          </cell>
          <cell r="C372" t="str">
            <v>2015 - 2022</v>
          </cell>
          <cell r="D372" t="str">
            <v>avg_1_99_imp</v>
          </cell>
          <cell r="E372" t="str">
            <v>gdp_inf_serv</v>
          </cell>
          <cell r="F372">
            <v>0.33744078874588013</v>
          </cell>
        </row>
        <row r="373">
          <cell r="A373" t="str">
            <v>BOL</v>
          </cell>
          <cell r="B373" t="str">
            <v>Middle</v>
          </cell>
          <cell r="C373" t="str">
            <v>2015 - 2022</v>
          </cell>
          <cell r="D373" t="str">
            <v>avg_1_99_imp</v>
          </cell>
          <cell r="E373" t="str">
            <v>prod_for_agri</v>
          </cell>
          <cell r="F373">
            <v>-0.19220118224620819</v>
          </cell>
        </row>
        <row r="374">
          <cell r="A374" t="str">
            <v>BOL</v>
          </cell>
          <cell r="B374" t="str">
            <v>Middle</v>
          </cell>
          <cell r="C374" t="str">
            <v>2015 - 2022</v>
          </cell>
          <cell r="D374" t="str">
            <v>avg_1_99_imp</v>
          </cell>
          <cell r="E374" t="str">
            <v>prod_for_ind</v>
          </cell>
          <cell r="F374">
            <v>-1.0235638618469241</v>
          </cell>
        </row>
        <row r="375">
          <cell r="A375" t="str">
            <v>BOL</v>
          </cell>
          <cell r="B375" t="str">
            <v>Middle</v>
          </cell>
          <cell r="C375" t="str">
            <v>2015 - 2022</v>
          </cell>
          <cell r="D375" t="str">
            <v>avg_1_99_imp</v>
          </cell>
          <cell r="E375" t="str">
            <v>prod_for_serv</v>
          </cell>
          <cell r="F375">
            <v>2.681590057909489E-2</v>
          </cell>
        </row>
        <row r="376">
          <cell r="A376" t="str">
            <v>BOL</v>
          </cell>
          <cell r="B376" t="str">
            <v>Middle</v>
          </cell>
          <cell r="C376" t="str">
            <v>2015 - 2022</v>
          </cell>
          <cell r="D376" t="str">
            <v>avg_1_99_imp</v>
          </cell>
          <cell r="E376" t="str">
            <v>prod_inf_agri</v>
          </cell>
          <cell r="F376">
            <v>2.2729125022888179</v>
          </cell>
        </row>
        <row r="377">
          <cell r="A377" t="str">
            <v>BOL</v>
          </cell>
          <cell r="B377" t="str">
            <v>Middle</v>
          </cell>
          <cell r="C377" t="str">
            <v>2015 - 2022</v>
          </cell>
          <cell r="D377" t="str">
            <v>avg_1_99_imp</v>
          </cell>
          <cell r="E377" t="str">
            <v>prod_inf_ind</v>
          </cell>
          <cell r="F377">
            <v>-5.7779643684625634E-3</v>
          </cell>
        </row>
        <row r="378">
          <cell r="A378" t="str">
            <v>BOL</v>
          </cell>
          <cell r="B378" t="str">
            <v>Middle</v>
          </cell>
          <cell r="C378" t="str">
            <v>2015 - 2022</v>
          </cell>
          <cell r="D378" t="str">
            <v>avg_1_99_imp</v>
          </cell>
          <cell r="E378" t="str">
            <v>prod_inf_serv</v>
          </cell>
          <cell r="F378">
            <v>2.0624616146087651</v>
          </cell>
        </row>
        <row r="379">
          <cell r="A379" t="str">
            <v>BOL</v>
          </cell>
          <cell r="B379" t="str">
            <v>Middle</v>
          </cell>
          <cell r="C379" t="str">
            <v>2015 - 2022</v>
          </cell>
          <cell r="D379" t="str">
            <v>reg</v>
          </cell>
          <cell r="E379" t="str">
            <v>gdp_activity</v>
          </cell>
          <cell r="F379">
            <v>0.68293613195419312</v>
          </cell>
        </row>
        <row r="380">
          <cell r="A380" t="str">
            <v>BOL</v>
          </cell>
          <cell r="B380" t="str">
            <v>Middle</v>
          </cell>
          <cell r="C380" t="str">
            <v>2015 - 2022</v>
          </cell>
          <cell r="D380" t="str">
            <v>reg</v>
          </cell>
          <cell r="E380" t="str">
            <v>gdp_for_agri</v>
          </cell>
          <cell r="F380">
            <v>1.691250681877136</v>
          </cell>
        </row>
        <row r="381">
          <cell r="A381" t="str">
            <v>BOL</v>
          </cell>
          <cell r="B381" t="str">
            <v>Middle</v>
          </cell>
          <cell r="C381" t="str">
            <v>2015 - 2022</v>
          </cell>
          <cell r="D381" t="str">
            <v>reg</v>
          </cell>
          <cell r="E381" t="str">
            <v>gdp_for_ind</v>
          </cell>
          <cell r="F381">
            <v>1.533087015151978</v>
          </cell>
        </row>
        <row r="382">
          <cell r="A382" t="str">
            <v>BOL</v>
          </cell>
          <cell r="B382" t="str">
            <v>Middle</v>
          </cell>
          <cell r="C382" t="str">
            <v>2015 - 2022</v>
          </cell>
          <cell r="D382" t="str">
            <v>reg</v>
          </cell>
          <cell r="E382" t="str">
            <v>gdp_for_serv</v>
          </cell>
          <cell r="F382">
            <v>1.4490896463394169</v>
          </cell>
        </row>
        <row r="383">
          <cell r="A383" t="str">
            <v>BOL</v>
          </cell>
          <cell r="B383" t="str">
            <v>Middle</v>
          </cell>
          <cell r="C383" t="str">
            <v>2015 - 2022</v>
          </cell>
          <cell r="D383" t="str">
            <v>reg</v>
          </cell>
          <cell r="E383" t="str">
            <v>gdp_inf_agri</v>
          </cell>
          <cell r="F383">
            <v>2.685730159282684E-2</v>
          </cell>
        </row>
        <row r="384">
          <cell r="A384" t="str">
            <v>BOL</v>
          </cell>
          <cell r="B384" t="str">
            <v>Middle</v>
          </cell>
          <cell r="C384" t="str">
            <v>2015 - 2022</v>
          </cell>
          <cell r="D384" t="str">
            <v>reg</v>
          </cell>
          <cell r="E384" t="str">
            <v>gdp_inf_ind</v>
          </cell>
          <cell r="F384">
            <v>0.43496489524841309</v>
          </cell>
        </row>
        <row r="385">
          <cell r="A385" t="str">
            <v>BOL</v>
          </cell>
          <cell r="B385" t="str">
            <v>Middle</v>
          </cell>
          <cell r="C385" t="str">
            <v>2015 - 2022</v>
          </cell>
          <cell r="D385" t="str">
            <v>reg</v>
          </cell>
          <cell r="E385" t="str">
            <v>gdp_inf_serv</v>
          </cell>
          <cell r="F385">
            <v>0.7410847544670105</v>
          </cell>
        </row>
        <row r="386">
          <cell r="A386" t="str">
            <v>BOL</v>
          </cell>
          <cell r="B386" t="str">
            <v>Middle</v>
          </cell>
          <cell r="C386" t="str">
            <v>2015 - 2022</v>
          </cell>
          <cell r="D386" t="str">
            <v>reg</v>
          </cell>
          <cell r="E386" t="str">
            <v>prod_for_agri</v>
          </cell>
          <cell r="F386">
            <v>-0.58999073505401611</v>
          </cell>
        </row>
        <row r="387">
          <cell r="A387" t="str">
            <v>BOL</v>
          </cell>
          <cell r="B387" t="str">
            <v>Middle</v>
          </cell>
          <cell r="C387" t="str">
            <v>2015 - 2022</v>
          </cell>
          <cell r="D387" t="str">
            <v>reg</v>
          </cell>
          <cell r="E387" t="str">
            <v>prod_for_ind</v>
          </cell>
          <cell r="F387">
            <v>-0.2915998101234436</v>
          </cell>
        </row>
        <row r="388">
          <cell r="A388" t="str">
            <v>BOL</v>
          </cell>
          <cell r="B388" t="str">
            <v>Middle</v>
          </cell>
          <cell r="C388" t="str">
            <v>2015 - 2022</v>
          </cell>
          <cell r="D388" t="str">
            <v>reg</v>
          </cell>
          <cell r="E388" t="str">
            <v>prod_for_serv</v>
          </cell>
          <cell r="F388">
            <v>0.15614642202854159</v>
          </cell>
        </row>
        <row r="389">
          <cell r="A389" t="str">
            <v>BOL</v>
          </cell>
          <cell r="B389" t="str">
            <v>Middle</v>
          </cell>
          <cell r="C389" t="str">
            <v>2015 - 2022</v>
          </cell>
          <cell r="D389" t="str">
            <v>reg</v>
          </cell>
          <cell r="E389" t="str">
            <v>prod_inf_agri</v>
          </cell>
          <cell r="F389">
            <v>0.67817801237106323</v>
          </cell>
        </row>
        <row r="390">
          <cell r="A390" t="str">
            <v>BOL</v>
          </cell>
          <cell r="B390" t="str">
            <v>Middle</v>
          </cell>
          <cell r="C390" t="str">
            <v>2015 - 2022</v>
          </cell>
          <cell r="D390" t="str">
            <v>reg</v>
          </cell>
          <cell r="E390" t="str">
            <v>prod_inf_ind</v>
          </cell>
          <cell r="F390">
            <v>-0.63613927364349365</v>
          </cell>
        </row>
        <row r="391">
          <cell r="A391" t="str">
            <v>BOL</v>
          </cell>
          <cell r="B391" t="str">
            <v>Middle</v>
          </cell>
          <cell r="C391" t="str">
            <v>2015 - 2022</v>
          </cell>
          <cell r="D391" t="str">
            <v>reg</v>
          </cell>
          <cell r="E391" t="str">
            <v>prod_inf_serv</v>
          </cell>
          <cell r="F391">
            <v>-8.8065944612026215E-2</v>
          </cell>
        </row>
        <row r="392">
          <cell r="A392" t="str">
            <v>BOL</v>
          </cell>
          <cell r="B392" t="str">
            <v>Middle</v>
          </cell>
          <cell r="C392" t="str">
            <v>2015 - 2022</v>
          </cell>
          <cell r="D392" t="str">
            <v>reg_gdp</v>
          </cell>
          <cell r="E392" t="str">
            <v>gdp_activity</v>
          </cell>
          <cell r="F392">
            <v>0.68293613195419312</v>
          </cell>
        </row>
        <row r="393">
          <cell r="A393" t="str">
            <v>BOL</v>
          </cell>
          <cell r="B393" t="str">
            <v>Middle</v>
          </cell>
          <cell r="C393" t="str">
            <v>2015 - 2022</v>
          </cell>
          <cell r="D393" t="str">
            <v>reg_gdp</v>
          </cell>
          <cell r="E393" t="str">
            <v>gdp_for_agri</v>
          </cell>
          <cell r="F393">
            <v>2.8167726993560791</v>
          </cell>
        </row>
        <row r="394">
          <cell r="A394" t="str">
            <v>BOL</v>
          </cell>
          <cell r="B394" t="str">
            <v>Middle</v>
          </cell>
          <cell r="C394" t="str">
            <v>2015 - 2022</v>
          </cell>
          <cell r="D394" t="str">
            <v>reg_gdp</v>
          </cell>
          <cell r="E394" t="str">
            <v>gdp_for_ind</v>
          </cell>
          <cell r="F394">
            <v>1.065329909324646</v>
          </cell>
        </row>
        <row r="395">
          <cell r="A395" t="str">
            <v>BOL</v>
          </cell>
          <cell r="B395" t="str">
            <v>Middle</v>
          </cell>
          <cell r="C395" t="str">
            <v>2015 - 2022</v>
          </cell>
          <cell r="D395" t="str">
            <v>reg_gdp</v>
          </cell>
          <cell r="E395" t="str">
            <v>gdp_for_serv</v>
          </cell>
          <cell r="F395">
            <v>10.23623847961426</v>
          </cell>
        </row>
        <row r="396">
          <cell r="A396" t="str">
            <v>BOL</v>
          </cell>
          <cell r="B396" t="str">
            <v>Middle</v>
          </cell>
          <cell r="C396" t="str">
            <v>2015 - 2022</v>
          </cell>
          <cell r="D396" t="str">
            <v>reg_gdp</v>
          </cell>
          <cell r="E396" t="str">
            <v>gdp_inf_agri</v>
          </cell>
          <cell r="F396">
            <v>6.9735869765281677E-3</v>
          </cell>
        </row>
        <row r="397">
          <cell r="A397" t="str">
            <v>BOL</v>
          </cell>
          <cell r="B397" t="str">
            <v>Middle</v>
          </cell>
          <cell r="C397" t="str">
            <v>2015 - 2022</v>
          </cell>
          <cell r="D397" t="str">
            <v>reg_gdp</v>
          </cell>
          <cell r="E397" t="str">
            <v>gdp_inf_ind</v>
          </cell>
          <cell r="F397">
            <v>1.0407788753509519</v>
          </cell>
        </row>
        <row r="398">
          <cell r="A398" t="str">
            <v>BOL</v>
          </cell>
          <cell r="B398" t="str">
            <v>Middle</v>
          </cell>
          <cell r="C398" t="str">
            <v>2015 - 2022</v>
          </cell>
          <cell r="D398" t="str">
            <v>reg_gdp</v>
          </cell>
          <cell r="E398" t="str">
            <v>gdp_inf_serv</v>
          </cell>
          <cell r="F398">
            <v>5.2369270324707031</v>
          </cell>
        </row>
        <row r="399">
          <cell r="A399" t="str">
            <v>BOL</v>
          </cell>
          <cell r="B399" t="str">
            <v>Middle</v>
          </cell>
          <cell r="C399" t="str">
            <v>2015 - 2022</v>
          </cell>
          <cell r="D399" t="str">
            <v>reg_gdp</v>
          </cell>
          <cell r="E399" t="str">
            <v>prod_for_agri</v>
          </cell>
          <cell r="F399">
            <v>-0.57937997579574585</v>
          </cell>
        </row>
        <row r="400">
          <cell r="A400" t="str">
            <v>BOL</v>
          </cell>
          <cell r="B400" t="str">
            <v>Middle</v>
          </cell>
          <cell r="C400" t="str">
            <v>2015 - 2022</v>
          </cell>
          <cell r="D400" t="str">
            <v>reg_gdp</v>
          </cell>
          <cell r="E400" t="str">
            <v>prod_for_ind</v>
          </cell>
          <cell r="F400">
            <v>-0.23405872285366061</v>
          </cell>
        </row>
        <row r="401">
          <cell r="A401" t="str">
            <v>BOL</v>
          </cell>
          <cell r="B401" t="str">
            <v>Middle</v>
          </cell>
          <cell r="C401" t="str">
            <v>2015 - 2022</v>
          </cell>
          <cell r="D401" t="str">
            <v>reg_gdp</v>
          </cell>
          <cell r="E401" t="str">
            <v>prod_for_serv</v>
          </cell>
          <cell r="F401">
            <v>0.18408401310443881</v>
          </cell>
        </row>
        <row r="402">
          <cell r="A402" t="str">
            <v>BOL</v>
          </cell>
          <cell r="B402" t="str">
            <v>Middle</v>
          </cell>
          <cell r="C402" t="str">
            <v>2015 - 2022</v>
          </cell>
          <cell r="D402" t="str">
            <v>reg_gdp</v>
          </cell>
          <cell r="E402" t="str">
            <v>prod_inf_agri</v>
          </cell>
          <cell r="F402">
            <v>0.82047677040100098</v>
          </cell>
        </row>
        <row r="403">
          <cell r="A403" t="str">
            <v>BOL</v>
          </cell>
          <cell r="B403" t="str">
            <v>Middle</v>
          </cell>
          <cell r="C403" t="str">
            <v>2015 - 2022</v>
          </cell>
          <cell r="D403" t="str">
            <v>reg_gdp</v>
          </cell>
          <cell r="E403" t="str">
            <v>prod_inf_ind</v>
          </cell>
          <cell r="F403">
            <v>-0.1956388056278229</v>
          </cell>
        </row>
        <row r="404">
          <cell r="A404" t="str">
            <v>BOL</v>
          </cell>
          <cell r="B404" t="str">
            <v>Middle</v>
          </cell>
          <cell r="C404" t="str">
            <v>2015 - 2022</v>
          </cell>
          <cell r="D404" t="str">
            <v>reg_gdp</v>
          </cell>
          <cell r="E404" t="str">
            <v>prod_inf_serv</v>
          </cell>
          <cell r="F404">
            <v>0.11533442139625549</v>
          </cell>
        </row>
        <row r="405">
          <cell r="A405" t="str">
            <v>BOL</v>
          </cell>
          <cell r="B405" t="str">
            <v>Middle</v>
          </cell>
          <cell r="C405" t="str">
            <v>2015 - 2022</v>
          </cell>
          <cell r="D405" t="str">
            <v>reg_iter</v>
          </cell>
          <cell r="E405" t="str">
            <v>gdp_activity</v>
          </cell>
          <cell r="F405">
            <v>0.13570162653923029</v>
          </cell>
        </row>
        <row r="406">
          <cell r="A406" t="str">
            <v>BOL</v>
          </cell>
          <cell r="B406" t="str">
            <v>Middle</v>
          </cell>
          <cell r="C406" t="str">
            <v>2015 - 2022</v>
          </cell>
          <cell r="D406" t="str">
            <v>reg_iter</v>
          </cell>
          <cell r="E406" t="str">
            <v>gdp_for_agri</v>
          </cell>
          <cell r="F406">
            <v>1.015658855438232</v>
          </cell>
        </row>
        <row r="407">
          <cell r="A407" t="str">
            <v>BOL</v>
          </cell>
          <cell r="B407" t="str">
            <v>Middle</v>
          </cell>
          <cell r="C407" t="str">
            <v>2015 - 2022</v>
          </cell>
          <cell r="D407" t="str">
            <v>reg_iter</v>
          </cell>
          <cell r="E407" t="str">
            <v>gdp_for_ind</v>
          </cell>
          <cell r="F407">
            <v>1.5630209445953369</v>
          </cell>
        </row>
        <row r="408">
          <cell r="A408" t="str">
            <v>BOL</v>
          </cell>
          <cell r="B408" t="str">
            <v>Middle</v>
          </cell>
          <cell r="C408" t="str">
            <v>2015 - 2022</v>
          </cell>
          <cell r="D408" t="str">
            <v>reg_iter</v>
          </cell>
          <cell r="E408" t="str">
            <v>gdp_for_serv</v>
          </cell>
          <cell r="F408">
            <v>0.57244843244552612</v>
          </cell>
        </row>
        <row r="409">
          <cell r="A409" t="str">
            <v>BOL</v>
          </cell>
          <cell r="B409" t="str">
            <v>Middle</v>
          </cell>
          <cell r="C409" t="str">
            <v>2015 - 2022</v>
          </cell>
          <cell r="D409" t="str">
            <v>reg_iter</v>
          </cell>
          <cell r="E409" t="str">
            <v>gdp_inf_agri</v>
          </cell>
          <cell r="F409">
            <v>-0.29430601000785828</v>
          </cell>
        </row>
        <row r="410">
          <cell r="A410" t="str">
            <v>BOL</v>
          </cell>
          <cell r="B410" t="str">
            <v>Middle</v>
          </cell>
          <cell r="C410" t="str">
            <v>2015 - 2022</v>
          </cell>
          <cell r="D410" t="str">
            <v>reg_iter</v>
          </cell>
          <cell r="E410" t="str">
            <v>gdp_inf_ind</v>
          </cell>
          <cell r="F410">
            <v>0.41661086678504938</v>
          </cell>
        </row>
        <row r="411">
          <cell r="A411" t="str">
            <v>BOL</v>
          </cell>
          <cell r="B411" t="str">
            <v>Middle</v>
          </cell>
          <cell r="C411" t="str">
            <v>2015 - 2022</v>
          </cell>
          <cell r="D411" t="str">
            <v>reg_iter</v>
          </cell>
          <cell r="E411" t="str">
            <v>gdp_inf_serv</v>
          </cell>
          <cell r="F411">
            <v>0.40861821174621582</v>
          </cell>
        </row>
        <row r="412">
          <cell r="A412" t="str">
            <v>BOL</v>
          </cell>
          <cell r="B412" t="str">
            <v>Middle</v>
          </cell>
          <cell r="C412" t="str">
            <v>2015 - 2022</v>
          </cell>
          <cell r="D412" t="str">
            <v>reg_iter</v>
          </cell>
          <cell r="E412" t="str">
            <v>prod_for_agri</v>
          </cell>
          <cell r="F412">
            <v>0.41333344578742981</v>
          </cell>
        </row>
        <row r="413">
          <cell r="A413" t="str">
            <v>BOL</v>
          </cell>
          <cell r="B413" t="str">
            <v>Middle</v>
          </cell>
          <cell r="C413" t="str">
            <v>2015 - 2022</v>
          </cell>
          <cell r="D413" t="str">
            <v>reg_iter</v>
          </cell>
          <cell r="E413" t="str">
            <v>prod_for_ind</v>
          </cell>
          <cell r="F413">
            <v>-5.3315106779336929E-2</v>
          </cell>
        </row>
        <row r="414">
          <cell r="A414" t="str">
            <v>BOL</v>
          </cell>
          <cell r="B414" t="str">
            <v>Middle</v>
          </cell>
          <cell r="C414" t="str">
            <v>2015 - 2022</v>
          </cell>
          <cell r="D414" t="str">
            <v>reg_iter</v>
          </cell>
          <cell r="E414" t="str">
            <v>prod_for_serv</v>
          </cell>
          <cell r="F414">
            <v>9.7048617899417877E-2</v>
          </cell>
        </row>
        <row r="415">
          <cell r="A415" t="str">
            <v>BOL</v>
          </cell>
          <cell r="B415" t="str">
            <v>Middle</v>
          </cell>
          <cell r="C415" t="str">
            <v>2015 - 2022</v>
          </cell>
          <cell r="D415" t="str">
            <v>reg_iter</v>
          </cell>
          <cell r="E415" t="str">
            <v>prod_inf_agri</v>
          </cell>
          <cell r="F415">
            <v>0.84213799238204956</v>
          </cell>
        </row>
        <row r="416">
          <cell r="A416" t="str">
            <v>BOL</v>
          </cell>
          <cell r="B416" t="str">
            <v>Middle</v>
          </cell>
          <cell r="C416" t="str">
            <v>2015 - 2022</v>
          </cell>
          <cell r="D416" t="str">
            <v>reg_iter</v>
          </cell>
          <cell r="E416" t="str">
            <v>prod_inf_ind</v>
          </cell>
          <cell r="F416">
            <v>-0.43167948722839361</v>
          </cell>
        </row>
        <row r="417">
          <cell r="A417" t="str">
            <v>BOL</v>
          </cell>
          <cell r="B417" t="str">
            <v>Middle</v>
          </cell>
          <cell r="C417" t="str">
            <v>2015 - 2022</v>
          </cell>
          <cell r="D417" t="str">
            <v>reg_iter</v>
          </cell>
          <cell r="E417" t="str">
            <v>prod_inf_serv</v>
          </cell>
          <cell r="F417">
            <v>-0.67254489660263062</v>
          </cell>
        </row>
        <row r="418">
          <cell r="A418" t="str">
            <v>BOL</v>
          </cell>
          <cell r="B418" t="str">
            <v>Short</v>
          </cell>
          <cell r="C418" t="str">
            <v>2018 - 2022</v>
          </cell>
          <cell r="D418" t="str">
            <v>avg</v>
          </cell>
          <cell r="E418" t="str">
            <v>gdp_activity</v>
          </cell>
          <cell r="F418">
            <v>0.49271154403686518</v>
          </cell>
        </row>
        <row r="419">
          <cell r="A419" t="str">
            <v>BOL</v>
          </cell>
          <cell r="B419" t="str">
            <v>Short</v>
          </cell>
          <cell r="C419" t="str">
            <v>2018 - 2022</v>
          </cell>
          <cell r="D419" t="str">
            <v>avg</v>
          </cell>
          <cell r="E419" t="str">
            <v>gdp_for_agri</v>
          </cell>
          <cell r="F419">
            <v>1.6751440763473511</v>
          </cell>
        </row>
        <row r="420">
          <cell r="A420" t="str">
            <v>BOL</v>
          </cell>
          <cell r="B420" t="str">
            <v>Short</v>
          </cell>
          <cell r="C420" t="str">
            <v>2018 - 2022</v>
          </cell>
          <cell r="D420" t="str">
            <v>avg</v>
          </cell>
          <cell r="E420" t="str">
            <v>gdp_for_ind</v>
          </cell>
          <cell r="F420">
            <v>13.39780235290527</v>
          </cell>
        </row>
        <row r="421">
          <cell r="A421" t="str">
            <v>BOL</v>
          </cell>
          <cell r="B421" t="str">
            <v>Short</v>
          </cell>
          <cell r="C421" t="str">
            <v>2018 - 2022</v>
          </cell>
          <cell r="D421" t="str">
            <v>avg</v>
          </cell>
          <cell r="E421" t="str">
            <v>gdp_for_serv</v>
          </cell>
          <cell r="F421">
            <v>1.4069033861160281</v>
          </cell>
        </row>
        <row r="422">
          <cell r="A422" t="str">
            <v>BOL</v>
          </cell>
          <cell r="B422" t="str">
            <v>Short</v>
          </cell>
          <cell r="C422" t="str">
            <v>2018 - 2022</v>
          </cell>
          <cell r="D422" t="str">
            <v>avg</v>
          </cell>
          <cell r="E422" t="str">
            <v>gdp_inf_agri</v>
          </cell>
          <cell r="F422">
            <v>-0.95230907201766968</v>
          </cell>
        </row>
        <row r="423">
          <cell r="A423" t="str">
            <v>BOL</v>
          </cell>
          <cell r="B423" t="str">
            <v>Short</v>
          </cell>
          <cell r="C423" t="str">
            <v>2018 - 2022</v>
          </cell>
          <cell r="D423" t="str">
            <v>avg</v>
          </cell>
          <cell r="E423" t="str">
            <v>gdp_inf_ind</v>
          </cell>
          <cell r="F423">
            <v>-0.37687358260154719</v>
          </cell>
        </row>
        <row r="424">
          <cell r="A424" t="str">
            <v>BOL</v>
          </cell>
          <cell r="B424" t="str">
            <v>Short</v>
          </cell>
          <cell r="C424" t="str">
            <v>2018 - 2022</v>
          </cell>
          <cell r="D424" t="str">
            <v>avg</v>
          </cell>
          <cell r="E424" t="str">
            <v>gdp_inf_serv</v>
          </cell>
          <cell r="F424">
            <v>0.42397165298461909</v>
          </cell>
        </row>
        <row r="425">
          <cell r="A425" t="str">
            <v>BOL</v>
          </cell>
          <cell r="B425" t="str">
            <v>Short</v>
          </cell>
          <cell r="C425" t="str">
            <v>2018 - 2022</v>
          </cell>
          <cell r="D425" t="str">
            <v>avg</v>
          </cell>
          <cell r="E425" t="str">
            <v>prod_for_agri</v>
          </cell>
          <cell r="F425">
            <v>77.168663024902344</v>
          </cell>
        </row>
        <row r="426">
          <cell r="A426" t="str">
            <v>BOL</v>
          </cell>
          <cell r="B426" t="str">
            <v>Short</v>
          </cell>
          <cell r="C426" t="str">
            <v>2018 - 2022</v>
          </cell>
          <cell r="D426" t="str">
            <v>avg</v>
          </cell>
          <cell r="E426" t="str">
            <v>prod_for_ind</v>
          </cell>
          <cell r="F426">
            <v>9.7539342939853668E-2</v>
          </cell>
        </row>
        <row r="427">
          <cell r="A427" t="str">
            <v>BOL</v>
          </cell>
          <cell r="B427" t="str">
            <v>Short</v>
          </cell>
          <cell r="C427" t="str">
            <v>2018 - 2022</v>
          </cell>
          <cell r="D427" t="str">
            <v>avg</v>
          </cell>
          <cell r="E427" t="str">
            <v>prod_for_serv</v>
          </cell>
          <cell r="F427">
            <v>0.8763575553894043</v>
          </cell>
        </row>
        <row r="428">
          <cell r="A428" t="str">
            <v>BOL</v>
          </cell>
          <cell r="B428" t="str">
            <v>Short</v>
          </cell>
          <cell r="C428" t="str">
            <v>2018 - 2022</v>
          </cell>
          <cell r="D428" t="str">
            <v>avg</v>
          </cell>
          <cell r="E428" t="str">
            <v>prod_inf_agri</v>
          </cell>
          <cell r="F428">
            <v>20.191268920898441</v>
          </cell>
        </row>
        <row r="429">
          <cell r="A429" t="str">
            <v>BOL</v>
          </cell>
          <cell r="B429" t="str">
            <v>Short</v>
          </cell>
          <cell r="C429" t="str">
            <v>2018 - 2022</v>
          </cell>
          <cell r="D429" t="str">
            <v>avg</v>
          </cell>
          <cell r="E429" t="str">
            <v>prod_inf_ind</v>
          </cell>
          <cell r="F429">
            <v>-0.17022643983364111</v>
          </cell>
        </row>
        <row r="430">
          <cell r="A430" t="str">
            <v>BOL</v>
          </cell>
          <cell r="B430" t="str">
            <v>Short</v>
          </cell>
          <cell r="C430" t="str">
            <v>2018 - 2022</v>
          </cell>
          <cell r="D430" t="str">
            <v>avg</v>
          </cell>
          <cell r="E430" t="str">
            <v>prod_inf_serv</v>
          </cell>
          <cell r="F430">
            <v>1.2585281133651729</v>
          </cell>
        </row>
        <row r="431">
          <cell r="A431" t="str">
            <v>BOL</v>
          </cell>
          <cell r="B431" t="str">
            <v>Short</v>
          </cell>
          <cell r="C431" t="str">
            <v>2018 - 2022</v>
          </cell>
          <cell r="D431" t="str">
            <v>avg_1_99</v>
          </cell>
          <cell r="E431" t="str">
            <v>gdp_activity</v>
          </cell>
          <cell r="F431">
            <v>0.12177159637212751</v>
          </cell>
        </row>
        <row r="432">
          <cell r="A432" t="str">
            <v>BOL</v>
          </cell>
          <cell r="B432" t="str">
            <v>Short</v>
          </cell>
          <cell r="C432" t="str">
            <v>2018 - 2022</v>
          </cell>
          <cell r="D432" t="str">
            <v>avg_1_99</v>
          </cell>
          <cell r="E432" t="str">
            <v>gdp_for_agri</v>
          </cell>
          <cell r="F432">
            <v>1.6751440763473511</v>
          </cell>
        </row>
        <row r="433">
          <cell r="A433" t="str">
            <v>BOL</v>
          </cell>
          <cell r="B433" t="str">
            <v>Short</v>
          </cell>
          <cell r="C433" t="str">
            <v>2018 - 2022</v>
          </cell>
          <cell r="D433" t="str">
            <v>avg_1_99</v>
          </cell>
          <cell r="E433" t="str">
            <v>gdp_for_ind</v>
          </cell>
          <cell r="F433">
            <v>3.1674470901489258</v>
          </cell>
        </row>
        <row r="434">
          <cell r="A434" t="str">
            <v>BOL</v>
          </cell>
          <cell r="B434" t="str">
            <v>Short</v>
          </cell>
          <cell r="C434" t="str">
            <v>2018 - 2022</v>
          </cell>
          <cell r="D434" t="str">
            <v>avg_1_99</v>
          </cell>
          <cell r="E434" t="str">
            <v>gdp_for_serv</v>
          </cell>
          <cell r="F434">
            <v>1.4069033861160281</v>
          </cell>
        </row>
        <row r="435">
          <cell r="A435" t="str">
            <v>BOL</v>
          </cell>
          <cell r="B435" t="str">
            <v>Short</v>
          </cell>
          <cell r="C435" t="str">
            <v>2018 - 2022</v>
          </cell>
          <cell r="D435" t="str">
            <v>avg_1_99</v>
          </cell>
          <cell r="E435" t="str">
            <v>gdp_inf_agri</v>
          </cell>
          <cell r="F435">
            <v>0.78461939096450806</v>
          </cell>
        </row>
        <row r="436">
          <cell r="A436" t="str">
            <v>BOL</v>
          </cell>
          <cell r="B436" t="str">
            <v>Short</v>
          </cell>
          <cell r="C436" t="str">
            <v>2018 - 2022</v>
          </cell>
          <cell r="D436" t="str">
            <v>avg_1_99</v>
          </cell>
          <cell r="E436" t="str">
            <v>gdp_inf_ind</v>
          </cell>
          <cell r="F436">
            <v>7.4496425688266754E-2</v>
          </cell>
        </row>
        <row r="437">
          <cell r="A437" t="str">
            <v>BOL</v>
          </cell>
          <cell r="B437" t="str">
            <v>Short</v>
          </cell>
          <cell r="C437" t="str">
            <v>2018 - 2022</v>
          </cell>
          <cell r="D437" t="str">
            <v>avg_1_99</v>
          </cell>
          <cell r="E437" t="str">
            <v>gdp_inf_serv</v>
          </cell>
          <cell r="F437">
            <v>0.42397165298461909</v>
          </cell>
        </row>
        <row r="438">
          <cell r="A438" t="str">
            <v>BOL</v>
          </cell>
          <cell r="B438" t="str">
            <v>Short</v>
          </cell>
          <cell r="C438" t="str">
            <v>2018 - 2022</v>
          </cell>
          <cell r="D438" t="str">
            <v>avg_1_99</v>
          </cell>
          <cell r="E438" t="str">
            <v>prod_for_agri</v>
          </cell>
          <cell r="F438">
            <v>-6.5440950393676758</v>
          </cell>
        </row>
        <row r="439">
          <cell r="A439" t="str">
            <v>BOL</v>
          </cell>
          <cell r="B439" t="str">
            <v>Short</v>
          </cell>
          <cell r="C439" t="str">
            <v>2018 - 2022</v>
          </cell>
          <cell r="D439" t="str">
            <v>avg_1_99</v>
          </cell>
          <cell r="E439" t="str">
            <v>prod_for_ind</v>
          </cell>
          <cell r="F439">
            <v>-1.7147079706192021</v>
          </cell>
        </row>
        <row r="440">
          <cell r="A440" t="str">
            <v>BOL</v>
          </cell>
          <cell r="B440" t="str">
            <v>Short</v>
          </cell>
          <cell r="C440" t="str">
            <v>2018 - 2022</v>
          </cell>
          <cell r="D440" t="str">
            <v>avg_1_99</v>
          </cell>
          <cell r="E440" t="str">
            <v>prod_for_serv</v>
          </cell>
          <cell r="F440">
            <v>1.7866965383291241E-2</v>
          </cell>
        </row>
        <row r="441">
          <cell r="A441" t="str">
            <v>BOL</v>
          </cell>
          <cell r="B441" t="str">
            <v>Short</v>
          </cell>
          <cell r="C441" t="str">
            <v>2018 - 2022</v>
          </cell>
          <cell r="D441" t="str">
            <v>avg_1_99</v>
          </cell>
          <cell r="E441" t="str">
            <v>prod_inf_agri</v>
          </cell>
          <cell r="F441">
            <v>3.5752463340759282</v>
          </cell>
        </row>
        <row r="442">
          <cell r="A442" t="str">
            <v>BOL</v>
          </cell>
          <cell r="B442" t="str">
            <v>Short</v>
          </cell>
          <cell r="C442" t="str">
            <v>2018 - 2022</v>
          </cell>
          <cell r="D442" t="str">
            <v>avg_1_99</v>
          </cell>
          <cell r="E442" t="str">
            <v>prod_inf_ind</v>
          </cell>
          <cell r="F442">
            <v>-0.17022643983364111</v>
          </cell>
        </row>
        <row r="443">
          <cell r="A443" t="str">
            <v>BOL</v>
          </cell>
          <cell r="B443" t="str">
            <v>Short</v>
          </cell>
          <cell r="C443" t="str">
            <v>2018 - 2022</v>
          </cell>
          <cell r="D443" t="str">
            <v>avg_1_99</v>
          </cell>
          <cell r="E443" t="str">
            <v>prod_inf_serv</v>
          </cell>
          <cell r="F443">
            <v>1.9456667900085449</v>
          </cell>
        </row>
        <row r="444">
          <cell r="A444" t="str">
            <v>BOL</v>
          </cell>
          <cell r="B444" t="str">
            <v>Short</v>
          </cell>
          <cell r="C444" t="str">
            <v>2018 - 2022</v>
          </cell>
          <cell r="D444" t="str">
            <v>avg_1_99_imp</v>
          </cell>
          <cell r="E444" t="str">
            <v>gdp_activity</v>
          </cell>
          <cell r="F444">
            <v>0.1191176176071167</v>
          </cell>
        </row>
        <row r="445">
          <cell r="A445" t="str">
            <v>BOL</v>
          </cell>
          <cell r="B445" t="str">
            <v>Short</v>
          </cell>
          <cell r="C445" t="str">
            <v>2018 - 2022</v>
          </cell>
          <cell r="D445" t="str">
            <v>avg_1_99_imp</v>
          </cell>
          <cell r="E445" t="str">
            <v>gdp_for_agri</v>
          </cell>
          <cell r="F445">
            <v>1.6751440763473511</v>
          </cell>
        </row>
        <row r="446">
          <cell r="A446" t="str">
            <v>BOL</v>
          </cell>
          <cell r="B446" t="str">
            <v>Short</v>
          </cell>
          <cell r="C446" t="str">
            <v>2018 - 2022</v>
          </cell>
          <cell r="D446" t="str">
            <v>avg_1_99_imp</v>
          </cell>
          <cell r="E446" t="str">
            <v>gdp_for_ind</v>
          </cell>
          <cell r="F446">
            <v>3.0325832366943359</v>
          </cell>
        </row>
        <row r="447">
          <cell r="A447" t="str">
            <v>BOL</v>
          </cell>
          <cell r="B447" t="str">
            <v>Short</v>
          </cell>
          <cell r="C447" t="str">
            <v>2018 - 2022</v>
          </cell>
          <cell r="D447" t="str">
            <v>avg_1_99_imp</v>
          </cell>
          <cell r="E447" t="str">
            <v>gdp_for_serv</v>
          </cell>
          <cell r="F447">
            <v>1.4069033861160281</v>
          </cell>
        </row>
        <row r="448">
          <cell r="A448" t="str">
            <v>BOL</v>
          </cell>
          <cell r="B448" t="str">
            <v>Short</v>
          </cell>
          <cell r="C448" t="str">
            <v>2018 - 2022</v>
          </cell>
          <cell r="D448" t="str">
            <v>avg_1_99_imp</v>
          </cell>
          <cell r="E448" t="str">
            <v>gdp_inf_agri</v>
          </cell>
          <cell r="F448">
            <v>0.7957763671875</v>
          </cell>
        </row>
        <row r="449">
          <cell r="A449" t="str">
            <v>BOL</v>
          </cell>
          <cell r="B449" t="str">
            <v>Short</v>
          </cell>
          <cell r="C449" t="str">
            <v>2018 - 2022</v>
          </cell>
          <cell r="D449" t="str">
            <v>avg_1_99_imp</v>
          </cell>
          <cell r="E449" t="str">
            <v>gdp_inf_ind</v>
          </cell>
          <cell r="F449">
            <v>0.30234628915786738</v>
          </cell>
        </row>
        <row r="450">
          <cell r="A450" t="str">
            <v>BOL</v>
          </cell>
          <cell r="B450" t="str">
            <v>Short</v>
          </cell>
          <cell r="C450" t="str">
            <v>2018 - 2022</v>
          </cell>
          <cell r="D450" t="str">
            <v>avg_1_99_imp</v>
          </cell>
          <cell r="E450" t="str">
            <v>gdp_inf_serv</v>
          </cell>
          <cell r="F450">
            <v>0.42397165298461909</v>
          </cell>
        </row>
        <row r="451">
          <cell r="A451" t="str">
            <v>BOL</v>
          </cell>
          <cell r="B451" t="str">
            <v>Short</v>
          </cell>
          <cell r="C451" t="str">
            <v>2018 - 2022</v>
          </cell>
          <cell r="D451" t="str">
            <v>avg_1_99_imp</v>
          </cell>
          <cell r="E451" t="str">
            <v>prod_for_agri</v>
          </cell>
          <cell r="F451">
            <v>-9.8344306945800781</v>
          </cell>
        </row>
        <row r="452">
          <cell r="A452" t="str">
            <v>BOL</v>
          </cell>
          <cell r="B452" t="str">
            <v>Short</v>
          </cell>
          <cell r="C452" t="str">
            <v>2018 - 2022</v>
          </cell>
          <cell r="D452" t="str">
            <v>avg_1_99_imp</v>
          </cell>
          <cell r="E452" t="str">
            <v>prod_for_ind</v>
          </cell>
          <cell r="F452">
            <v>-1.5888938903808589</v>
          </cell>
        </row>
        <row r="453">
          <cell r="A453" t="str">
            <v>BOL</v>
          </cell>
          <cell r="B453" t="str">
            <v>Short</v>
          </cell>
          <cell r="C453" t="str">
            <v>2018 - 2022</v>
          </cell>
          <cell r="D453" t="str">
            <v>avg_1_99_imp</v>
          </cell>
          <cell r="E453" t="str">
            <v>prod_for_serv</v>
          </cell>
          <cell r="F453">
            <v>0.24524083733558649</v>
          </cell>
        </row>
        <row r="454">
          <cell r="A454" t="str">
            <v>BOL</v>
          </cell>
          <cell r="B454" t="str">
            <v>Short</v>
          </cell>
          <cell r="C454" t="str">
            <v>2018 - 2022</v>
          </cell>
          <cell r="D454" t="str">
            <v>avg_1_99_imp</v>
          </cell>
          <cell r="E454" t="str">
            <v>prod_inf_agri</v>
          </cell>
          <cell r="F454">
            <v>3.8886973857879639</v>
          </cell>
        </row>
        <row r="455">
          <cell r="A455" t="str">
            <v>BOL</v>
          </cell>
          <cell r="B455" t="str">
            <v>Short</v>
          </cell>
          <cell r="C455" t="str">
            <v>2018 - 2022</v>
          </cell>
          <cell r="D455" t="str">
            <v>avg_1_99_imp</v>
          </cell>
          <cell r="E455" t="str">
            <v>prod_inf_ind</v>
          </cell>
          <cell r="F455">
            <v>-0.17022643983364111</v>
          </cell>
        </row>
        <row r="456">
          <cell r="A456" t="str">
            <v>BOL</v>
          </cell>
          <cell r="B456" t="str">
            <v>Short</v>
          </cell>
          <cell r="C456" t="str">
            <v>2018 - 2022</v>
          </cell>
          <cell r="D456" t="str">
            <v>avg_1_99_imp</v>
          </cell>
          <cell r="E456" t="str">
            <v>prod_inf_serv</v>
          </cell>
          <cell r="F456">
            <v>1.755108714103699</v>
          </cell>
        </row>
        <row r="457">
          <cell r="A457" t="str">
            <v>BOL</v>
          </cell>
          <cell r="B457" t="str">
            <v>Short</v>
          </cell>
          <cell r="C457" t="str">
            <v>2018 - 2022</v>
          </cell>
          <cell r="D457" t="str">
            <v>reg</v>
          </cell>
          <cell r="E457" t="str">
            <v>gdp_activity</v>
          </cell>
          <cell r="F457">
            <v>-0.31743836402893072</v>
          </cell>
        </row>
        <row r="458">
          <cell r="A458" t="str">
            <v>BOL</v>
          </cell>
          <cell r="B458" t="str">
            <v>Short</v>
          </cell>
          <cell r="C458" t="str">
            <v>2018 - 2022</v>
          </cell>
          <cell r="D458" t="str">
            <v>reg</v>
          </cell>
          <cell r="E458" t="str">
            <v>gdp_for_agri</v>
          </cell>
          <cell r="F458">
            <v>2.4566555023193359</v>
          </cell>
        </row>
        <row r="459">
          <cell r="A459" t="str">
            <v>BOL</v>
          </cell>
          <cell r="B459" t="str">
            <v>Short</v>
          </cell>
          <cell r="C459" t="str">
            <v>2018 - 2022</v>
          </cell>
          <cell r="D459" t="str">
            <v>reg</v>
          </cell>
          <cell r="E459" t="str">
            <v>gdp_for_ind</v>
          </cell>
          <cell r="F459">
            <v>1.775701522827148</v>
          </cell>
        </row>
        <row r="460">
          <cell r="A460" t="str">
            <v>BOL</v>
          </cell>
          <cell r="B460" t="str">
            <v>Short</v>
          </cell>
          <cell r="C460" t="str">
            <v>2018 - 2022</v>
          </cell>
          <cell r="D460" t="str">
            <v>reg</v>
          </cell>
          <cell r="E460" t="str">
            <v>gdp_for_serv</v>
          </cell>
          <cell r="F460">
            <v>0.30438238382339478</v>
          </cell>
        </row>
        <row r="461">
          <cell r="A461" t="str">
            <v>BOL</v>
          </cell>
          <cell r="B461" t="str">
            <v>Short</v>
          </cell>
          <cell r="C461" t="str">
            <v>2018 - 2022</v>
          </cell>
          <cell r="D461" t="str">
            <v>reg</v>
          </cell>
          <cell r="E461" t="str">
            <v>gdp_inf_agri</v>
          </cell>
          <cell r="F461">
            <v>-0.7077295184135437</v>
          </cell>
        </row>
        <row r="462">
          <cell r="A462" t="str">
            <v>BOL</v>
          </cell>
          <cell r="B462" t="str">
            <v>Short</v>
          </cell>
          <cell r="C462" t="str">
            <v>2018 - 2022</v>
          </cell>
          <cell r="D462" t="str">
            <v>reg</v>
          </cell>
          <cell r="E462" t="str">
            <v>gdp_inf_ind</v>
          </cell>
          <cell r="F462">
            <v>0.6249956488609314</v>
          </cell>
        </row>
        <row r="463">
          <cell r="A463" t="str">
            <v>BOL</v>
          </cell>
          <cell r="B463" t="str">
            <v>Short</v>
          </cell>
          <cell r="C463" t="str">
            <v>2018 - 2022</v>
          </cell>
          <cell r="D463" t="str">
            <v>reg</v>
          </cell>
          <cell r="E463" t="str">
            <v>gdp_inf_serv</v>
          </cell>
          <cell r="F463">
            <v>0.35311752557754522</v>
          </cell>
        </row>
        <row r="464">
          <cell r="A464" t="str">
            <v>BOL</v>
          </cell>
          <cell r="B464" t="str">
            <v>Short</v>
          </cell>
          <cell r="C464" t="str">
            <v>2018 - 2022</v>
          </cell>
          <cell r="D464" t="str">
            <v>reg</v>
          </cell>
          <cell r="E464" t="str">
            <v>prod_for_agri</v>
          </cell>
          <cell r="F464">
            <v>1.121138215065002</v>
          </cell>
        </row>
        <row r="465">
          <cell r="A465" t="str">
            <v>BOL</v>
          </cell>
          <cell r="B465" t="str">
            <v>Short</v>
          </cell>
          <cell r="C465" t="str">
            <v>2018 - 2022</v>
          </cell>
          <cell r="D465" t="str">
            <v>reg</v>
          </cell>
          <cell r="E465" t="str">
            <v>prod_for_ind</v>
          </cell>
          <cell r="F465">
            <v>3.9375085383653641E-2</v>
          </cell>
        </row>
        <row r="466">
          <cell r="A466" t="str">
            <v>BOL</v>
          </cell>
          <cell r="B466" t="str">
            <v>Short</v>
          </cell>
          <cell r="C466" t="str">
            <v>2018 - 2022</v>
          </cell>
          <cell r="D466" t="str">
            <v>reg</v>
          </cell>
          <cell r="E466" t="str">
            <v>prod_for_serv</v>
          </cell>
          <cell r="F466">
            <v>0.19059835374355319</v>
          </cell>
        </row>
        <row r="467">
          <cell r="A467" t="str">
            <v>BOL</v>
          </cell>
          <cell r="B467" t="str">
            <v>Short</v>
          </cell>
          <cell r="C467" t="str">
            <v>2018 - 2022</v>
          </cell>
          <cell r="D467" t="str">
            <v>reg</v>
          </cell>
          <cell r="E467" t="str">
            <v>prod_inf_agri</v>
          </cell>
          <cell r="F467">
            <v>1.202320456504822</v>
          </cell>
        </row>
        <row r="468">
          <cell r="A468" t="str">
            <v>BOL</v>
          </cell>
          <cell r="B468" t="str">
            <v>Short</v>
          </cell>
          <cell r="C468" t="str">
            <v>2018 - 2022</v>
          </cell>
          <cell r="D468" t="str">
            <v>reg</v>
          </cell>
          <cell r="E468" t="str">
            <v>prod_inf_ind</v>
          </cell>
          <cell r="F468">
            <v>4.1910819709300988E-2</v>
          </cell>
        </row>
        <row r="469">
          <cell r="A469" t="str">
            <v>BOL</v>
          </cell>
          <cell r="B469" t="str">
            <v>Short</v>
          </cell>
          <cell r="C469" t="str">
            <v>2018 - 2022</v>
          </cell>
          <cell r="D469" t="str">
            <v>reg</v>
          </cell>
          <cell r="E469" t="str">
            <v>prod_inf_serv</v>
          </cell>
          <cell r="F469">
            <v>-0.32087194919586182</v>
          </cell>
        </row>
        <row r="470">
          <cell r="A470" t="str">
            <v>BOL</v>
          </cell>
          <cell r="B470" t="str">
            <v>Short</v>
          </cell>
          <cell r="C470" t="str">
            <v>2018 - 2022</v>
          </cell>
          <cell r="D470" t="str">
            <v>reg_gdp</v>
          </cell>
          <cell r="E470" t="str">
            <v>gdp_activity</v>
          </cell>
          <cell r="F470">
            <v>-0.31743836402893072</v>
          </cell>
        </row>
        <row r="471">
          <cell r="A471" t="str">
            <v>BOL</v>
          </cell>
          <cell r="B471" t="str">
            <v>Short</v>
          </cell>
          <cell r="C471" t="str">
            <v>2018 - 2022</v>
          </cell>
          <cell r="D471" t="str">
            <v>reg_gdp</v>
          </cell>
          <cell r="E471" t="str">
            <v>gdp_for_agri</v>
          </cell>
          <cell r="F471">
            <v>2.5091836452484131</v>
          </cell>
        </row>
        <row r="472">
          <cell r="A472" t="str">
            <v>BOL</v>
          </cell>
          <cell r="B472" t="str">
            <v>Short</v>
          </cell>
          <cell r="C472" t="str">
            <v>2018 - 2022</v>
          </cell>
          <cell r="D472" t="str">
            <v>reg_gdp</v>
          </cell>
          <cell r="E472" t="str">
            <v>gdp_for_ind</v>
          </cell>
          <cell r="F472">
            <v>-0.50064975023269653</v>
          </cell>
        </row>
        <row r="473">
          <cell r="A473" t="str">
            <v>BOL</v>
          </cell>
          <cell r="B473" t="str">
            <v>Short</v>
          </cell>
          <cell r="C473" t="str">
            <v>2018 - 2022</v>
          </cell>
          <cell r="D473" t="str">
            <v>reg_gdp</v>
          </cell>
          <cell r="E473" t="str">
            <v>gdp_for_serv</v>
          </cell>
          <cell r="F473">
            <v>7.1554908752441406</v>
          </cell>
        </row>
        <row r="474">
          <cell r="A474" t="str">
            <v>BOL</v>
          </cell>
          <cell r="B474" t="str">
            <v>Short</v>
          </cell>
          <cell r="C474" t="str">
            <v>2018 - 2022</v>
          </cell>
          <cell r="D474" t="str">
            <v>reg_gdp</v>
          </cell>
          <cell r="E474" t="str">
            <v>gdp_inf_agri</v>
          </cell>
          <cell r="F474">
            <v>-0.69919818639755249</v>
          </cell>
        </row>
        <row r="475">
          <cell r="A475" t="str">
            <v>BOL</v>
          </cell>
          <cell r="B475" t="str">
            <v>Short</v>
          </cell>
          <cell r="C475" t="str">
            <v>2018 - 2022</v>
          </cell>
          <cell r="D475" t="str">
            <v>reg_gdp</v>
          </cell>
          <cell r="E475" t="str">
            <v>gdp_inf_ind</v>
          </cell>
          <cell r="F475">
            <v>0.94763582944869995</v>
          </cell>
        </row>
        <row r="476">
          <cell r="A476" t="str">
            <v>BOL</v>
          </cell>
          <cell r="B476" t="str">
            <v>Short</v>
          </cell>
          <cell r="C476" t="str">
            <v>2018 - 2022</v>
          </cell>
          <cell r="D476" t="str">
            <v>reg_gdp</v>
          </cell>
          <cell r="E476" t="str">
            <v>gdp_inf_serv</v>
          </cell>
          <cell r="F476">
            <v>5.8163566589355469</v>
          </cell>
        </row>
        <row r="477">
          <cell r="A477" t="str">
            <v>BOL</v>
          </cell>
          <cell r="B477" t="str">
            <v>Short</v>
          </cell>
          <cell r="C477" t="str">
            <v>2018 - 2022</v>
          </cell>
          <cell r="D477" t="str">
            <v>reg_gdp</v>
          </cell>
          <cell r="E477" t="str">
            <v>prod_for_agri</v>
          </cell>
          <cell r="F477">
            <v>0.71151477098464966</v>
          </cell>
        </row>
        <row r="478">
          <cell r="A478" t="str">
            <v>BOL</v>
          </cell>
          <cell r="B478" t="str">
            <v>Short</v>
          </cell>
          <cell r="C478" t="str">
            <v>2018 - 2022</v>
          </cell>
          <cell r="D478" t="str">
            <v>reg_gdp</v>
          </cell>
          <cell r="E478" t="str">
            <v>prod_for_ind</v>
          </cell>
          <cell r="F478">
            <v>-0.1238612234592438</v>
          </cell>
        </row>
        <row r="479">
          <cell r="A479" t="str">
            <v>BOL</v>
          </cell>
          <cell r="B479" t="str">
            <v>Short</v>
          </cell>
          <cell r="C479" t="str">
            <v>2018 - 2022</v>
          </cell>
          <cell r="D479" t="str">
            <v>reg_gdp</v>
          </cell>
          <cell r="E479" t="str">
            <v>prod_for_serv</v>
          </cell>
          <cell r="F479">
            <v>0.3104574978351593</v>
          </cell>
        </row>
        <row r="480">
          <cell r="A480" t="str">
            <v>BOL</v>
          </cell>
          <cell r="B480" t="str">
            <v>Short</v>
          </cell>
          <cell r="C480" t="str">
            <v>2018 - 2022</v>
          </cell>
          <cell r="D480" t="str">
            <v>reg_gdp</v>
          </cell>
          <cell r="E480" t="str">
            <v>prod_inf_agri</v>
          </cell>
          <cell r="F480">
            <v>1.1071727275848391</v>
          </cell>
        </row>
        <row r="481">
          <cell r="A481" t="str">
            <v>BOL</v>
          </cell>
          <cell r="B481" t="str">
            <v>Short</v>
          </cell>
          <cell r="C481" t="str">
            <v>2018 - 2022</v>
          </cell>
          <cell r="D481" t="str">
            <v>reg_gdp</v>
          </cell>
          <cell r="E481" t="str">
            <v>prod_inf_ind</v>
          </cell>
          <cell r="F481">
            <v>1.978764496743679E-2</v>
          </cell>
        </row>
        <row r="482">
          <cell r="A482" t="str">
            <v>BOL</v>
          </cell>
          <cell r="B482" t="str">
            <v>Short</v>
          </cell>
          <cell r="C482" t="str">
            <v>2018 - 2022</v>
          </cell>
          <cell r="D482" t="str">
            <v>reg_gdp</v>
          </cell>
          <cell r="E482" t="str">
            <v>prod_inf_serv</v>
          </cell>
          <cell r="F482">
            <v>0.29837793111801147</v>
          </cell>
        </row>
        <row r="483">
          <cell r="A483" t="str">
            <v>BOL</v>
          </cell>
          <cell r="B483" t="str">
            <v>Short</v>
          </cell>
          <cell r="C483" t="str">
            <v>2018 - 2022</v>
          </cell>
          <cell r="D483" t="str">
            <v>reg_iter</v>
          </cell>
          <cell r="E483" t="str">
            <v>gdp_activity</v>
          </cell>
          <cell r="F483">
            <v>-0.2975766658782959</v>
          </cell>
        </row>
        <row r="484">
          <cell r="A484" t="str">
            <v>BOL</v>
          </cell>
          <cell r="B484" t="str">
            <v>Short</v>
          </cell>
          <cell r="C484" t="str">
            <v>2018 - 2022</v>
          </cell>
          <cell r="D484" t="str">
            <v>reg_iter</v>
          </cell>
          <cell r="E484" t="str">
            <v>gdp_for_agri</v>
          </cell>
          <cell r="F484">
            <v>1.9002014398574829</v>
          </cell>
        </row>
        <row r="485">
          <cell r="A485" t="str">
            <v>BOL</v>
          </cell>
          <cell r="B485" t="str">
            <v>Short</v>
          </cell>
          <cell r="C485" t="str">
            <v>2018 - 2022</v>
          </cell>
          <cell r="D485" t="str">
            <v>reg_iter</v>
          </cell>
          <cell r="E485" t="str">
            <v>gdp_for_ind</v>
          </cell>
          <cell r="F485">
            <v>2.0931341648101811</v>
          </cell>
        </row>
        <row r="486">
          <cell r="A486" t="str">
            <v>BOL</v>
          </cell>
          <cell r="B486" t="str">
            <v>Short</v>
          </cell>
          <cell r="C486" t="str">
            <v>2018 - 2022</v>
          </cell>
          <cell r="D486" t="str">
            <v>reg_iter</v>
          </cell>
          <cell r="E486" t="str">
            <v>gdp_for_serv</v>
          </cell>
          <cell r="F486">
            <v>0.17915284633636469</v>
          </cell>
        </row>
        <row r="487">
          <cell r="A487" t="str">
            <v>BOL</v>
          </cell>
          <cell r="B487" t="str">
            <v>Short</v>
          </cell>
          <cell r="C487" t="str">
            <v>2018 - 2022</v>
          </cell>
          <cell r="D487" t="str">
            <v>reg_iter</v>
          </cell>
          <cell r="E487" t="str">
            <v>gdp_inf_agri</v>
          </cell>
          <cell r="F487">
            <v>-1.700918436050415</v>
          </cell>
        </row>
        <row r="488">
          <cell r="A488" t="str">
            <v>BOL</v>
          </cell>
          <cell r="B488" t="str">
            <v>Short</v>
          </cell>
          <cell r="C488" t="str">
            <v>2018 - 2022</v>
          </cell>
          <cell r="D488" t="str">
            <v>reg_iter</v>
          </cell>
          <cell r="E488" t="str">
            <v>gdp_inf_ind</v>
          </cell>
          <cell r="F488">
            <v>0.65623664855957031</v>
          </cell>
        </row>
        <row r="489">
          <cell r="A489" t="str">
            <v>BOL</v>
          </cell>
          <cell r="B489" t="str">
            <v>Short</v>
          </cell>
          <cell r="C489" t="str">
            <v>2018 - 2022</v>
          </cell>
          <cell r="D489" t="str">
            <v>reg_iter</v>
          </cell>
          <cell r="E489" t="str">
            <v>gdp_inf_serv</v>
          </cell>
          <cell r="F489">
            <v>0.27118077874183649</v>
          </cell>
        </row>
        <row r="490">
          <cell r="A490" t="str">
            <v>BOL</v>
          </cell>
          <cell r="B490" t="str">
            <v>Short</v>
          </cell>
          <cell r="C490" t="str">
            <v>2018 - 2022</v>
          </cell>
          <cell r="D490" t="str">
            <v>reg_iter</v>
          </cell>
          <cell r="E490" t="str">
            <v>prod_for_agri</v>
          </cell>
          <cell r="F490">
            <v>1.0149378776550291</v>
          </cell>
        </row>
        <row r="491">
          <cell r="A491" t="str">
            <v>BOL</v>
          </cell>
          <cell r="B491" t="str">
            <v>Short</v>
          </cell>
          <cell r="C491" t="str">
            <v>2018 - 2022</v>
          </cell>
          <cell r="D491" t="str">
            <v>reg_iter</v>
          </cell>
          <cell r="E491" t="str">
            <v>prod_for_ind</v>
          </cell>
          <cell r="F491">
            <v>-1.188025902956724E-2</v>
          </cell>
        </row>
        <row r="492">
          <cell r="A492" t="str">
            <v>BOL</v>
          </cell>
          <cell r="B492" t="str">
            <v>Short</v>
          </cell>
          <cell r="C492" t="str">
            <v>2018 - 2022</v>
          </cell>
          <cell r="D492" t="str">
            <v>reg_iter</v>
          </cell>
          <cell r="E492" t="str">
            <v>prod_for_serv</v>
          </cell>
          <cell r="F492">
            <v>0.22996294498443601</v>
          </cell>
        </row>
        <row r="493">
          <cell r="A493" t="str">
            <v>BOL</v>
          </cell>
          <cell r="B493" t="str">
            <v>Short</v>
          </cell>
          <cell r="C493" t="str">
            <v>2018 - 2022</v>
          </cell>
          <cell r="D493" t="str">
            <v>reg_iter</v>
          </cell>
          <cell r="E493" t="str">
            <v>prod_inf_agri</v>
          </cell>
          <cell r="F493">
            <v>1.16955029964447</v>
          </cell>
        </row>
        <row r="494">
          <cell r="A494" t="str">
            <v>BOL</v>
          </cell>
          <cell r="B494" t="str">
            <v>Short</v>
          </cell>
          <cell r="C494" t="str">
            <v>2018 - 2022</v>
          </cell>
          <cell r="D494" t="str">
            <v>reg_iter</v>
          </cell>
          <cell r="E494" t="str">
            <v>prod_inf_ind</v>
          </cell>
          <cell r="F494">
            <v>3.255729004740715E-2</v>
          </cell>
        </row>
        <row r="495">
          <cell r="A495" t="str">
            <v>BOL</v>
          </cell>
          <cell r="B495" t="str">
            <v>Short</v>
          </cell>
          <cell r="C495" t="str">
            <v>2018 - 2022</v>
          </cell>
          <cell r="D495" t="str">
            <v>reg_iter</v>
          </cell>
          <cell r="E495" t="str">
            <v>prod_inf_serv</v>
          </cell>
          <cell r="F495">
            <v>-0.81430155038833618</v>
          </cell>
        </row>
        <row r="496">
          <cell r="A496" t="str">
            <v>BRA</v>
          </cell>
          <cell r="B496" t="str">
            <v>Long</v>
          </cell>
          <cell r="C496" t="str">
            <v>2006 - 2022</v>
          </cell>
          <cell r="D496" t="str">
            <v>avg</v>
          </cell>
          <cell r="E496" t="str">
            <v>gdp_activity</v>
          </cell>
          <cell r="F496">
            <v>-0.25979885458946228</v>
          </cell>
        </row>
        <row r="497">
          <cell r="A497" t="str">
            <v>BRA</v>
          </cell>
          <cell r="B497" t="str">
            <v>Long</v>
          </cell>
          <cell r="C497" t="str">
            <v>2006 - 2022</v>
          </cell>
          <cell r="D497" t="str">
            <v>avg</v>
          </cell>
          <cell r="E497" t="str">
            <v>gdp_for_agri</v>
          </cell>
          <cell r="F497">
            <v>126.5414199829102</v>
          </cell>
        </row>
        <row r="498">
          <cell r="A498" t="str">
            <v>BRA</v>
          </cell>
          <cell r="B498" t="str">
            <v>Long</v>
          </cell>
          <cell r="C498" t="str">
            <v>2006 - 2022</v>
          </cell>
          <cell r="D498" t="str">
            <v>avg</v>
          </cell>
          <cell r="E498" t="str">
            <v>gdp_for_ind</v>
          </cell>
          <cell r="F498">
            <v>0.6334349513053894</v>
          </cell>
        </row>
        <row r="499">
          <cell r="A499" t="str">
            <v>BRA</v>
          </cell>
          <cell r="B499" t="str">
            <v>Long</v>
          </cell>
          <cell r="C499" t="str">
            <v>2006 - 2022</v>
          </cell>
          <cell r="D499" t="str">
            <v>avg</v>
          </cell>
          <cell r="E499" t="str">
            <v>gdp_for_serv</v>
          </cell>
          <cell r="F499">
            <v>0.67776632308959961</v>
          </cell>
        </row>
        <row r="500">
          <cell r="A500" t="str">
            <v>BRA</v>
          </cell>
          <cell r="B500" t="str">
            <v>Long</v>
          </cell>
          <cell r="C500" t="str">
            <v>2006 - 2022</v>
          </cell>
          <cell r="D500" t="str">
            <v>avg</v>
          </cell>
          <cell r="E500" t="str">
            <v>gdp_inf_agri</v>
          </cell>
          <cell r="F500">
            <v>273.46542358398438</v>
          </cell>
        </row>
        <row r="501">
          <cell r="A501" t="str">
            <v>BRA</v>
          </cell>
          <cell r="B501" t="str">
            <v>Long</v>
          </cell>
          <cell r="C501" t="str">
            <v>2006 - 2022</v>
          </cell>
          <cell r="D501" t="str">
            <v>avg</v>
          </cell>
          <cell r="E501" t="str">
            <v>gdp_inf_ind</v>
          </cell>
          <cell r="F501">
            <v>-0.51356399059295654</v>
          </cell>
        </row>
        <row r="502">
          <cell r="A502" t="str">
            <v>BRA</v>
          </cell>
          <cell r="B502" t="str">
            <v>Long</v>
          </cell>
          <cell r="C502" t="str">
            <v>2006 - 2022</v>
          </cell>
          <cell r="D502" t="str">
            <v>avg</v>
          </cell>
          <cell r="E502" t="str">
            <v>gdp_inf_serv</v>
          </cell>
          <cell r="F502">
            <v>2.1533107757568359</v>
          </cell>
        </row>
        <row r="503">
          <cell r="A503" t="str">
            <v>BRA</v>
          </cell>
          <cell r="B503" t="str">
            <v>Long</v>
          </cell>
          <cell r="C503" t="str">
            <v>2006 - 2022</v>
          </cell>
          <cell r="D503" t="str">
            <v>avg</v>
          </cell>
          <cell r="E503" t="str">
            <v>prod_for_agri</v>
          </cell>
          <cell r="F503">
            <v>-0.16914953291416171</v>
          </cell>
        </row>
        <row r="504">
          <cell r="A504" t="str">
            <v>BRA</v>
          </cell>
          <cell r="B504" t="str">
            <v>Long</v>
          </cell>
          <cell r="C504" t="str">
            <v>2006 - 2022</v>
          </cell>
          <cell r="D504" t="str">
            <v>avg</v>
          </cell>
          <cell r="E504" t="str">
            <v>prod_for_ind</v>
          </cell>
          <cell r="F504">
            <v>1.9432635307312009</v>
          </cell>
        </row>
        <row r="505">
          <cell r="A505" t="str">
            <v>BRA</v>
          </cell>
          <cell r="B505" t="str">
            <v>Long</v>
          </cell>
          <cell r="C505" t="str">
            <v>2006 - 2022</v>
          </cell>
          <cell r="D505" t="str">
            <v>avg</v>
          </cell>
          <cell r="E505" t="str">
            <v>prod_for_serv</v>
          </cell>
          <cell r="F505">
            <v>5.7499837875366211</v>
          </cell>
        </row>
        <row r="506">
          <cell r="A506" t="str">
            <v>BRA</v>
          </cell>
          <cell r="B506" t="str">
            <v>Long</v>
          </cell>
          <cell r="C506" t="str">
            <v>2006 - 2022</v>
          </cell>
          <cell r="D506" t="str">
            <v>avg</v>
          </cell>
          <cell r="E506" t="str">
            <v>prod_inf_agri</v>
          </cell>
          <cell r="F506">
            <v>-2.4965603351593022</v>
          </cell>
        </row>
        <row r="507">
          <cell r="A507" t="str">
            <v>BRA</v>
          </cell>
          <cell r="B507" t="str">
            <v>Long</v>
          </cell>
          <cell r="C507" t="str">
            <v>2006 - 2022</v>
          </cell>
          <cell r="D507" t="str">
            <v>avg</v>
          </cell>
          <cell r="E507" t="str">
            <v>prod_inf_ind</v>
          </cell>
          <cell r="F507">
            <v>7.4065694808959961</v>
          </cell>
        </row>
        <row r="508">
          <cell r="A508" t="str">
            <v>BRA</v>
          </cell>
          <cell r="B508" t="str">
            <v>Long</v>
          </cell>
          <cell r="C508" t="str">
            <v>2006 - 2022</v>
          </cell>
          <cell r="D508" t="str">
            <v>avg</v>
          </cell>
          <cell r="E508" t="str">
            <v>prod_inf_serv</v>
          </cell>
          <cell r="F508">
            <v>4.9991211891174316</v>
          </cell>
        </row>
        <row r="509">
          <cell r="A509" t="str">
            <v>BRA</v>
          </cell>
          <cell r="B509" t="str">
            <v>Long</v>
          </cell>
          <cell r="C509" t="str">
            <v>2006 - 2022</v>
          </cell>
          <cell r="D509" t="str">
            <v>avg_1_99</v>
          </cell>
          <cell r="E509" t="str">
            <v>gdp_activity</v>
          </cell>
          <cell r="F509">
            <v>0.56473058462142944</v>
          </cell>
        </row>
        <row r="510">
          <cell r="A510" t="str">
            <v>BRA</v>
          </cell>
          <cell r="B510" t="str">
            <v>Long</v>
          </cell>
          <cell r="C510" t="str">
            <v>2006 - 2022</v>
          </cell>
          <cell r="D510" t="str">
            <v>avg_1_99</v>
          </cell>
          <cell r="E510" t="str">
            <v>gdp_for_agri</v>
          </cell>
          <cell r="F510">
            <v>0.28448045253753662</v>
          </cell>
        </row>
        <row r="511">
          <cell r="A511" t="str">
            <v>BRA</v>
          </cell>
          <cell r="B511" t="str">
            <v>Long</v>
          </cell>
          <cell r="C511" t="str">
            <v>2006 - 2022</v>
          </cell>
          <cell r="D511" t="str">
            <v>avg_1_99</v>
          </cell>
          <cell r="E511" t="str">
            <v>gdp_for_ind</v>
          </cell>
          <cell r="F511">
            <v>0.64181196689605713</v>
          </cell>
        </row>
        <row r="512">
          <cell r="A512" t="str">
            <v>BRA</v>
          </cell>
          <cell r="B512" t="str">
            <v>Long</v>
          </cell>
          <cell r="C512" t="str">
            <v>2006 - 2022</v>
          </cell>
          <cell r="D512" t="str">
            <v>avg_1_99</v>
          </cell>
          <cell r="E512" t="str">
            <v>gdp_for_serv</v>
          </cell>
          <cell r="F512">
            <v>0.8275153636932373</v>
          </cell>
        </row>
        <row r="513">
          <cell r="A513" t="str">
            <v>BRA</v>
          </cell>
          <cell r="B513" t="str">
            <v>Long</v>
          </cell>
          <cell r="C513" t="str">
            <v>2006 - 2022</v>
          </cell>
          <cell r="D513" t="str">
            <v>avg_1_99</v>
          </cell>
          <cell r="E513" t="str">
            <v>gdp_inf_agri</v>
          </cell>
          <cell r="F513">
            <v>0.59588104486465454</v>
          </cell>
        </row>
        <row r="514">
          <cell r="A514" t="str">
            <v>BRA</v>
          </cell>
          <cell r="B514" t="str">
            <v>Long</v>
          </cell>
          <cell r="C514" t="str">
            <v>2006 - 2022</v>
          </cell>
          <cell r="D514" t="str">
            <v>avg_1_99</v>
          </cell>
          <cell r="E514" t="str">
            <v>gdp_inf_ind</v>
          </cell>
          <cell r="F514">
            <v>-8.6091257631778717E-2</v>
          </cell>
        </row>
        <row r="515">
          <cell r="A515" t="str">
            <v>BRA</v>
          </cell>
          <cell r="B515" t="str">
            <v>Long</v>
          </cell>
          <cell r="C515" t="str">
            <v>2006 - 2022</v>
          </cell>
          <cell r="D515" t="str">
            <v>avg_1_99</v>
          </cell>
          <cell r="E515" t="str">
            <v>gdp_inf_serv</v>
          </cell>
          <cell r="F515">
            <v>1.426200389862061</v>
          </cell>
        </row>
        <row r="516">
          <cell r="A516" t="str">
            <v>BRA</v>
          </cell>
          <cell r="B516" t="str">
            <v>Long</v>
          </cell>
          <cell r="C516" t="str">
            <v>2006 - 2022</v>
          </cell>
          <cell r="D516" t="str">
            <v>avg_1_99</v>
          </cell>
          <cell r="E516" t="str">
            <v>prod_for_agri</v>
          </cell>
          <cell r="F516">
            <v>0.2081473767757416</v>
          </cell>
        </row>
        <row r="517">
          <cell r="A517" t="str">
            <v>BRA</v>
          </cell>
          <cell r="B517" t="str">
            <v>Long</v>
          </cell>
          <cell r="C517" t="str">
            <v>2006 - 2022</v>
          </cell>
          <cell r="D517" t="str">
            <v>avg_1_99</v>
          </cell>
          <cell r="E517" t="str">
            <v>prod_for_ind</v>
          </cell>
          <cell r="F517">
            <v>3.4976225346326828E-2</v>
          </cell>
        </row>
        <row r="518">
          <cell r="A518" t="str">
            <v>BRA</v>
          </cell>
          <cell r="B518" t="str">
            <v>Long</v>
          </cell>
          <cell r="C518" t="str">
            <v>2006 - 2022</v>
          </cell>
          <cell r="D518" t="str">
            <v>avg_1_99</v>
          </cell>
          <cell r="E518" t="str">
            <v>prod_for_serv</v>
          </cell>
          <cell r="F518">
            <v>0.43015092611312872</v>
          </cell>
        </row>
        <row r="519">
          <cell r="A519" t="str">
            <v>BRA</v>
          </cell>
          <cell r="B519" t="str">
            <v>Long</v>
          </cell>
          <cell r="C519" t="str">
            <v>2006 - 2022</v>
          </cell>
          <cell r="D519" t="str">
            <v>avg_1_99</v>
          </cell>
          <cell r="E519" t="str">
            <v>prod_inf_agri</v>
          </cell>
          <cell r="F519">
            <v>-1.565674781799316</v>
          </cell>
        </row>
        <row r="520">
          <cell r="A520" t="str">
            <v>BRA</v>
          </cell>
          <cell r="B520" t="str">
            <v>Long</v>
          </cell>
          <cell r="C520" t="str">
            <v>2006 - 2022</v>
          </cell>
          <cell r="D520" t="str">
            <v>avg_1_99</v>
          </cell>
          <cell r="E520" t="str">
            <v>prod_inf_ind</v>
          </cell>
          <cell r="F520">
            <v>1.9885488748550419</v>
          </cell>
        </row>
        <row r="521">
          <cell r="A521" t="str">
            <v>BRA</v>
          </cell>
          <cell r="B521" t="str">
            <v>Long</v>
          </cell>
          <cell r="C521" t="str">
            <v>2006 - 2022</v>
          </cell>
          <cell r="D521" t="str">
            <v>avg_1_99</v>
          </cell>
          <cell r="E521" t="str">
            <v>prod_inf_serv</v>
          </cell>
          <cell r="F521">
            <v>-0.64110285043716431</v>
          </cell>
        </row>
        <row r="522">
          <cell r="A522" t="str">
            <v>BRA</v>
          </cell>
          <cell r="B522" t="str">
            <v>Long</v>
          </cell>
          <cell r="C522" t="str">
            <v>2006 - 2022</v>
          </cell>
          <cell r="D522" t="str">
            <v>avg_1_99_imp</v>
          </cell>
          <cell r="E522" t="str">
            <v>gdp_activity</v>
          </cell>
          <cell r="F522">
            <v>0.56523597240447998</v>
          </cell>
        </row>
        <row r="523">
          <cell r="A523" t="str">
            <v>BRA</v>
          </cell>
          <cell r="B523" t="str">
            <v>Long</v>
          </cell>
          <cell r="C523" t="str">
            <v>2006 - 2022</v>
          </cell>
          <cell r="D523" t="str">
            <v>avg_1_99_imp</v>
          </cell>
          <cell r="E523" t="str">
            <v>gdp_for_agri</v>
          </cell>
          <cell r="F523">
            <v>0.2307871729135513</v>
          </cell>
        </row>
        <row r="524">
          <cell r="A524" t="str">
            <v>BRA</v>
          </cell>
          <cell r="B524" t="str">
            <v>Long</v>
          </cell>
          <cell r="C524" t="str">
            <v>2006 - 2022</v>
          </cell>
          <cell r="D524" t="str">
            <v>avg_1_99_imp</v>
          </cell>
          <cell r="E524" t="str">
            <v>gdp_for_ind</v>
          </cell>
          <cell r="F524">
            <v>0.62784790992736816</v>
          </cell>
        </row>
        <row r="525">
          <cell r="A525" t="str">
            <v>BRA</v>
          </cell>
          <cell r="B525" t="str">
            <v>Long</v>
          </cell>
          <cell r="C525" t="str">
            <v>2006 - 2022</v>
          </cell>
          <cell r="D525" t="str">
            <v>avg_1_99_imp</v>
          </cell>
          <cell r="E525" t="str">
            <v>gdp_for_serv</v>
          </cell>
          <cell r="F525">
            <v>0.87019836902618408</v>
          </cell>
        </row>
        <row r="526">
          <cell r="A526" t="str">
            <v>BRA</v>
          </cell>
          <cell r="B526" t="str">
            <v>Long</v>
          </cell>
          <cell r="C526" t="str">
            <v>2006 - 2022</v>
          </cell>
          <cell r="D526" t="str">
            <v>avg_1_99_imp</v>
          </cell>
          <cell r="E526" t="str">
            <v>gdp_inf_agri</v>
          </cell>
          <cell r="F526">
            <v>0.46779721975326538</v>
          </cell>
        </row>
        <row r="527">
          <cell r="A527" t="str">
            <v>BRA</v>
          </cell>
          <cell r="B527" t="str">
            <v>Long</v>
          </cell>
          <cell r="C527" t="str">
            <v>2006 - 2022</v>
          </cell>
          <cell r="D527" t="str">
            <v>avg_1_99_imp</v>
          </cell>
          <cell r="E527" t="str">
            <v>gdp_inf_ind</v>
          </cell>
          <cell r="F527">
            <v>-7.6888636685907841E-3</v>
          </cell>
        </row>
        <row r="528">
          <cell r="A528" t="str">
            <v>BRA</v>
          </cell>
          <cell r="B528" t="str">
            <v>Long</v>
          </cell>
          <cell r="C528" t="str">
            <v>2006 - 2022</v>
          </cell>
          <cell r="D528" t="str">
            <v>avg_1_99_imp</v>
          </cell>
          <cell r="E528" t="str">
            <v>gdp_inf_serv</v>
          </cell>
          <cell r="F528">
            <v>1.286190509796143</v>
          </cell>
        </row>
        <row r="529">
          <cell r="A529" t="str">
            <v>BRA</v>
          </cell>
          <cell r="B529" t="str">
            <v>Long</v>
          </cell>
          <cell r="C529" t="str">
            <v>2006 - 2022</v>
          </cell>
          <cell r="D529" t="str">
            <v>avg_1_99_imp</v>
          </cell>
          <cell r="E529" t="str">
            <v>prod_for_agri</v>
          </cell>
          <cell r="F529">
            <v>0.48029980063438421</v>
          </cell>
        </row>
        <row r="530">
          <cell r="A530" t="str">
            <v>BRA</v>
          </cell>
          <cell r="B530" t="str">
            <v>Long</v>
          </cell>
          <cell r="C530" t="str">
            <v>2006 - 2022</v>
          </cell>
          <cell r="D530" t="str">
            <v>avg_1_99_imp</v>
          </cell>
          <cell r="E530" t="str">
            <v>prod_for_ind</v>
          </cell>
          <cell r="F530">
            <v>3.3551480621099472E-2</v>
          </cell>
        </row>
        <row r="531">
          <cell r="A531" t="str">
            <v>BRA</v>
          </cell>
          <cell r="B531" t="str">
            <v>Long</v>
          </cell>
          <cell r="C531" t="str">
            <v>2006 - 2022</v>
          </cell>
          <cell r="D531" t="str">
            <v>avg_1_99_imp</v>
          </cell>
          <cell r="E531" t="str">
            <v>prod_for_serv</v>
          </cell>
          <cell r="F531">
            <v>0.2174941003322601</v>
          </cell>
        </row>
        <row r="532">
          <cell r="A532" t="str">
            <v>BRA</v>
          </cell>
          <cell r="B532" t="str">
            <v>Long</v>
          </cell>
          <cell r="C532" t="str">
            <v>2006 - 2022</v>
          </cell>
          <cell r="D532" t="str">
            <v>avg_1_99_imp</v>
          </cell>
          <cell r="E532" t="str">
            <v>prod_inf_agri</v>
          </cell>
          <cell r="F532">
            <v>-1.340140104293823</v>
          </cell>
        </row>
        <row r="533">
          <cell r="A533" t="str">
            <v>BRA</v>
          </cell>
          <cell r="B533" t="str">
            <v>Long</v>
          </cell>
          <cell r="C533" t="str">
            <v>2006 - 2022</v>
          </cell>
          <cell r="D533" t="str">
            <v>avg_1_99_imp</v>
          </cell>
          <cell r="E533" t="str">
            <v>prod_inf_ind</v>
          </cell>
          <cell r="F533">
            <v>1.7059808969497681</v>
          </cell>
        </row>
        <row r="534">
          <cell r="A534" t="str">
            <v>BRA</v>
          </cell>
          <cell r="B534" t="str">
            <v>Long</v>
          </cell>
          <cell r="C534" t="str">
            <v>2006 - 2022</v>
          </cell>
          <cell r="D534" t="str">
            <v>avg_1_99_imp</v>
          </cell>
          <cell r="E534" t="str">
            <v>prod_inf_serv</v>
          </cell>
          <cell r="F534">
            <v>-0.53412455320358276</v>
          </cell>
        </row>
        <row r="535">
          <cell r="A535" t="str">
            <v>BRA</v>
          </cell>
          <cell r="B535" t="str">
            <v>Long</v>
          </cell>
          <cell r="C535" t="str">
            <v>2006 - 2022</v>
          </cell>
          <cell r="D535" t="str">
            <v>med_reg</v>
          </cell>
          <cell r="E535" t="str">
            <v>gdp_activity</v>
          </cell>
          <cell r="F535">
            <v>0.47392666339874268</v>
          </cell>
        </row>
        <row r="536">
          <cell r="A536" t="str">
            <v>BRA</v>
          </cell>
          <cell r="B536" t="str">
            <v>Long</v>
          </cell>
          <cell r="C536" t="str">
            <v>2006 - 2022</v>
          </cell>
          <cell r="D536" t="str">
            <v>med_reg</v>
          </cell>
          <cell r="E536" t="str">
            <v>gdp_for_agri</v>
          </cell>
          <cell r="F536">
            <v>0.2509787380695343</v>
          </cell>
        </row>
        <row r="537">
          <cell r="A537" t="str">
            <v>BRA</v>
          </cell>
          <cell r="B537" t="str">
            <v>Long</v>
          </cell>
          <cell r="C537" t="str">
            <v>2006 - 2022</v>
          </cell>
          <cell r="D537" t="str">
            <v>med_reg</v>
          </cell>
          <cell r="E537" t="str">
            <v>gdp_for_ind</v>
          </cell>
          <cell r="F537">
            <v>1.2175141572952271</v>
          </cell>
        </row>
        <row r="538">
          <cell r="A538" t="str">
            <v>BRA</v>
          </cell>
          <cell r="B538" t="str">
            <v>Long</v>
          </cell>
          <cell r="C538" t="str">
            <v>2006 - 2022</v>
          </cell>
          <cell r="D538" t="str">
            <v>med_reg</v>
          </cell>
          <cell r="E538" t="str">
            <v>gdp_for_serv</v>
          </cell>
          <cell r="F538">
            <v>1.2668882608413701</v>
          </cell>
        </row>
        <row r="539">
          <cell r="A539" t="str">
            <v>BRA</v>
          </cell>
          <cell r="B539" t="str">
            <v>Long</v>
          </cell>
          <cell r="C539" t="str">
            <v>2006 - 2022</v>
          </cell>
          <cell r="D539" t="str">
            <v>med_reg</v>
          </cell>
          <cell r="E539" t="str">
            <v>gdp_inf_agri</v>
          </cell>
          <cell r="F539">
            <v>-2.269318819046021</v>
          </cell>
        </row>
        <row r="540">
          <cell r="A540" t="str">
            <v>BRA</v>
          </cell>
          <cell r="B540" t="str">
            <v>Long</v>
          </cell>
          <cell r="C540" t="str">
            <v>2006 - 2022</v>
          </cell>
          <cell r="D540" t="str">
            <v>med_reg</v>
          </cell>
          <cell r="E540" t="str">
            <v>gdp_inf_ind</v>
          </cell>
          <cell r="F540">
            <v>-7.1053758263587952E-2</v>
          </cell>
        </row>
        <row r="541">
          <cell r="A541" t="str">
            <v>BRA</v>
          </cell>
          <cell r="B541" t="str">
            <v>Long</v>
          </cell>
          <cell r="C541" t="str">
            <v>2006 - 2022</v>
          </cell>
          <cell r="D541" t="str">
            <v>med_reg</v>
          </cell>
          <cell r="E541" t="str">
            <v>gdp_inf_serv</v>
          </cell>
          <cell r="F541">
            <v>0.200667604804039</v>
          </cell>
        </row>
        <row r="542">
          <cell r="A542" t="str">
            <v>BRA</v>
          </cell>
          <cell r="B542" t="str">
            <v>Long</v>
          </cell>
          <cell r="C542" t="str">
            <v>2006 - 2022</v>
          </cell>
          <cell r="D542" t="str">
            <v>med_reg</v>
          </cell>
          <cell r="E542" t="str">
            <v>prod_for_agri</v>
          </cell>
          <cell r="F542">
            <v>0.37296336889266968</v>
          </cell>
        </row>
        <row r="543">
          <cell r="A543" t="str">
            <v>BRA</v>
          </cell>
          <cell r="B543" t="str">
            <v>Long</v>
          </cell>
          <cell r="C543" t="str">
            <v>2006 - 2022</v>
          </cell>
          <cell r="D543" t="str">
            <v>med_reg</v>
          </cell>
          <cell r="E543" t="str">
            <v>prod_for_ind</v>
          </cell>
          <cell r="F543">
            <v>1.2203284502029419</v>
          </cell>
        </row>
        <row r="544">
          <cell r="A544" t="str">
            <v>BRA</v>
          </cell>
          <cell r="B544" t="str">
            <v>Long</v>
          </cell>
          <cell r="C544" t="str">
            <v>2006 - 2022</v>
          </cell>
          <cell r="D544" t="str">
            <v>med_reg</v>
          </cell>
          <cell r="E544" t="str">
            <v>prod_for_serv</v>
          </cell>
          <cell r="F544">
            <v>-0.1362621188163757</v>
          </cell>
        </row>
        <row r="545">
          <cell r="A545" t="str">
            <v>BRA</v>
          </cell>
          <cell r="B545" t="str">
            <v>Long</v>
          </cell>
          <cell r="C545" t="str">
            <v>2006 - 2022</v>
          </cell>
          <cell r="D545" t="str">
            <v>med_reg</v>
          </cell>
          <cell r="E545" t="str">
            <v>prod_inf_agri</v>
          </cell>
          <cell r="F545">
            <v>0.47422590851783752</v>
          </cell>
        </row>
        <row r="546">
          <cell r="A546" t="str">
            <v>BRA</v>
          </cell>
          <cell r="B546" t="str">
            <v>Long</v>
          </cell>
          <cell r="C546" t="str">
            <v>2006 - 2022</v>
          </cell>
          <cell r="D546" t="str">
            <v>med_reg</v>
          </cell>
          <cell r="E546" t="str">
            <v>prod_inf_ind</v>
          </cell>
          <cell r="F546">
            <v>1.461597084999084</v>
          </cell>
        </row>
        <row r="547">
          <cell r="A547" t="str">
            <v>BRA</v>
          </cell>
          <cell r="B547" t="str">
            <v>Long</v>
          </cell>
          <cell r="C547" t="str">
            <v>2006 - 2022</v>
          </cell>
          <cell r="D547" t="str">
            <v>med_reg</v>
          </cell>
          <cell r="E547" t="str">
            <v>prod_inf_serv</v>
          </cell>
          <cell r="F547">
            <v>0.15141430497169489</v>
          </cell>
        </row>
        <row r="548">
          <cell r="A548" t="str">
            <v>BRA</v>
          </cell>
          <cell r="B548" t="str">
            <v>Long</v>
          </cell>
          <cell r="C548" t="str">
            <v>2006 - 2022</v>
          </cell>
          <cell r="D548" t="str">
            <v>reg</v>
          </cell>
          <cell r="E548" t="str">
            <v>gdp_activity</v>
          </cell>
          <cell r="F548">
            <v>0.37012985348701483</v>
          </cell>
        </row>
        <row r="549">
          <cell r="A549" t="str">
            <v>BRA</v>
          </cell>
          <cell r="B549" t="str">
            <v>Long</v>
          </cell>
          <cell r="C549" t="str">
            <v>2006 - 2022</v>
          </cell>
          <cell r="D549" t="str">
            <v>reg</v>
          </cell>
          <cell r="E549" t="str">
            <v>gdp_for_agri</v>
          </cell>
          <cell r="F549">
            <v>0.27852481603622442</v>
          </cell>
        </row>
        <row r="550">
          <cell r="A550" t="str">
            <v>BRA</v>
          </cell>
          <cell r="B550" t="str">
            <v>Long</v>
          </cell>
          <cell r="C550" t="str">
            <v>2006 - 2022</v>
          </cell>
          <cell r="D550" t="str">
            <v>reg</v>
          </cell>
          <cell r="E550" t="str">
            <v>gdp_for_ind</v>
          </cell>
          <cell r="F550">
            <v>1.1593418121337891</v>
          </cell>
        </row>
        <row r="551">
          <cell r="A551" t="str">
            <v>BRA</v>
          </cell>
          <cell r="B551" t="str">
            <v>Long</v>
          </cell>
          <cell r="C551" t="str">
            <v>2006 - 2022</v>
          </cell>
          <cell r="D551" t="str">
            <v>reg</v>
          </cell>
          <cell r="E551" t="str">
            <v>gdp_for_serv</v>
          </cell>
          <cell r="F551">
            <v>1.155572652816772</v>
          </cell>
        </row>
        <row r="552">
          <cell r="A552" t="str">
            <v>BRA</v>
          </cell>
          <cell r="B552" t="str">
            <v>Long</v>
          </cell>
          <cell r="C552" t="str">
            <v>2006 - 2022</v>
          </cell>
          <cell r="D552" t="str">
            <v>reg</v>
          </cell>
          <cell r="E552" t="str">
            <v>gdp_inf_agri</v>
          </cell>
          <cell r="F552">
            <v>-2.1200978755950932</v>
          </cell>
        </row>
        <row r="553">
          <cell r="A553" t="str">
            <v>BRA</v>
          </cell>
          <cell r="B553" t="str">
            <v>Long</v>
          </cell>
          <cell r="C553" t="str">
            <v>2006 - 2022</v>
          </cell>
          <cell r="D553" t="str">
            <v>reg</v>
          </cell>
          <cell r="E553" t="str">
            <v>gdp_inf_ind</v>
          </cell>
          <cell r="F553">
            <v>-3.8413260132074363E-2</v>
          </cell>
        </row>
        <row r="554">
          <cell r="A554" t="str">
            <v>BRA</v>
          </cell>
          <cell r="B554" t="str">
            <v>Long</v>
          </cell>
          <cell r="C554" t="str">
            <v>2006 - 2022</v>
          </cell>
          <cell r="D554" t="str">
            <v>reg</v>
          </cell>
          <cell r="E554" t="str">
            <v>gdp_inf_serv</v>
          </cell>
          <cell r="F554">
            <v>0.64276719093322754</v>
          </cell>
        </row>
        <row r="555">
          <cell r="A555" t="str">
            <v>BRA</v>
          </cell>
          <cell r="B555" t="str">
            <v>Long</v>
          </cell>
          <cell r="C555" t="str">
            <v>2006 - 2022</v>
          </cell>
          <cell r="D555" t="str">
            <v>reg</v>
          </cell>
          <cell r="E555" t="str">
            <v>prod_for_agri</v>
          </cell>
          <cell r="F555">
            <v>0.39394378662109381</v>
          </cell>
        </row>
        <row r="556">
          <cell r="A556" t="str">
            <v>BRA</v>
          </cell>
          <cell r="B556" t="str">
            <v>Long</v>
          </cell>
          <cell r="C556" t="str">
            <v>2006 - 2022</v>
          </cell>
          <cell r="D556" t="str">
            <v>reg</v>
          </cell>
          <cell r="E556" t="str">
            <v>prod_for_ind</v>
          </cell>
          <cell r="F556">
            <v>0.74251735210418701</v>
          </cell>
        </row>
        <row r="557">
          <cell r="A557" t="str">
            <v>BRA</v>
          </cell>
          <cell r="B557" t="str">
            <v>Long</v>
          </cell>
          <cell r="C557" t="str">
            <v>2006 - 2022</v>
          </cell>
          <cell r="D557" t="str">
            <v>reg</v>
          </cell>
          <cell r="E557" t="str">
            <v>prod_for_serv</v>
          </cell>
          <cell r="F557">
            <v>-9.624771773815155E-2</v>
          </cell>
        </row>
        <row r="558">
          <cell r="A558" t="str">
            <v>BRA</v>
          </cell>
          <cell r="B558" t="str">
            <v>Long</v>
          </cell>
          <cell r="C558" t="str">
            <v>2006 - 2022</v>
          </cell>
          <cell r="D558" t="str">
            <v>reg</v>
          </cell>
          <cell r="E558" t="str">
            <v>prod_inf_agri</v>
          </cell>
          <cell r="F558">
            <v>0.49746036529541021</v>
          </cell>
        </row>
        <row r="559">
          <cell r="A559" t="str">
            <v>BRA</v>
          </cell>
          <cell r="B559" t="str">
            <v>Long</v>
          </cell>
          <cell r="C559" t="str">
            <v>2006 - 2022</v>
          </cell>
          <cell r="D559" t="str">
            <v>reg</v>
          </cell>
          <cell r="E559" t="str">
            <v>prod_inf_ind</v>
          </cell>
          <cell r="F559">
            <v>1.2235621213912959</v>
          </cell>
        </row>
        <row r="560">
          <cell r="A560" t="str">
            <v>BRA</v>
          </cell>
          <cell r="B560" t="str">
            <v>Long</v>
          </cell>
          <cell r="C560" t="str">
            <v>2006 - 2022</v>
          </cell>
          <cell r="D560" t="str">
            <v>reg</v>
          </cell>
          <cell r="E560" t="str">
            <v>prod_inf_serv</v>
          </cell>
          <cell r="F560">
            <v>0.1193470731377602</v>
          </cell>
        </row>
        <row r="561">
          <cell r="A561" t="str">
            <v>BRA</v>
          </cell>
          <cell r="B561" t="str">
            <v>Long</v>
          </cell>
          <cell r="C561" t="str">
            <v>2006 - 2022</v>
          </cell>
          <cell r="D561" t="str">
            <v>reg_gdp</v>
          </cell>
          <cell r="E561" t="str">
            <v>gdp_activity</v>
          </cell>
          <cell r="F561">
            <v>0.37012985348701483</v>
          </cell>
        </row>
        <row r="562">
          <cell r="A562" t="str">
            <v>BRA</v>
          </cell>
          <cell r="B562" t="str">
            <v>Long</v>
          </cell>
          <cell r="C562" t="str">
            <v>2006 - 2022</v>
          </cell>
          <cell r="D562" t="str">
            <v>reg_gdp</v>
          </cell>
          <cell r="E562" t="str">
            <v>gdp_for_agri</v>
          </cell>
          <cell r="F562">
            <v>0.30031308531761169</v>
          </cell>
        </row>
        <row r="563">
          <cell r="A563" t="str">
            <v>BRA</v>
          </cell>
          <cell r="B563" t="str">
            <v>Long</v>
          </cell>
          <cell r="C563" t="str">
            <v>2006 - 2022</v>
          </cell>
          <cell r="D563" t="str">
            <v>reg_gdp</v>
          </cell>
          <cell r="E563" t="str">
            <v>gdp_for_ind</v>
          </cell>
          <cell r="F563">
            <v>1.2544441223144529</v>
          </cell>
        </row>
        <row r="564">
          <cell r="A564" t="str">
            <v>BRA</v>
          </cell>
          <cell r="B564" t="str">
            <v>Long</v>
          </cell>
          <cell r="C564" t="str">
            <v>2006 - 2022</v>
          </cell>
          <cell r="D564" t="str">
            <v>reg_gdp</v>
          </cell>
          <cell r="E564" t="str">
            <v>gdp_for_serv</v>
          </cell>
          <cell r="F564">
            <v>3.1431856155395508</v>
          </cell>
        </row>
        <row r="565">
          <cell r="A565" t="str">
            <v>BRA</v>
          </cell>
          <cell r="B565" t="str">
            <v>Long</v>
          </cell>
          <cell r="C565" t="str">
            <v>2006 - 2022</v>
          </cell>
          <cell r="D565" t="str">
            <v>reg_gdp</v>
          </cell>
          <cell r="E565" t="str">
            <v>gdp_inf_agri</v>
          </cell>
          <cell r="F565">
            <v>-1.619190096855164</v>
          </cell>
        </row>
        <row r="566">
          <cell r="A566" t="str">
            <v>BRA</v>
          </cell>
          <cell r="B566" t="str">
            <v>Long</v>
          </cell>
          <cell r="C566" t="str">
            <v>2006 - 2022</v>
          </cell>
          <cell r="D566" t="str">
            <v>reg_gdp</v>
          </cell>
          <cell r="E566" t="str">
            <v>gdp_inf_ind</v>
          </cell>
          <cell r="F566">
            <v>0.34116753935813898</v>
          </cell>
        </row>
        <row r="567">
          <cell r="A567" t="str">
            <v>BRA</v>
          </cell>
          <cell r="B567" t="str">
            <v>Long</v>
          </cell>
          <cell r="C567" t="str">
            <v>2006 - 2022</v>
          </cell>
          <cell r="D567" t="str">
            <v>reg_gdp</v>
          </cell>
          <cell r="E567" t="str">
            <v>gdp_inf_serv</v>
          </cell>
          <cell r="F567">
            <v>6.5390152931213379</v>
          </cell>
        </row>
        <row r="568">
          <cell r="A568" t="str">
            <v>BRA</v>
          </cell>
          <cell r="B568" t="str">
            <v>Long</v>
          </cell>
          <cell r="C568" t="str">
            <v>2006 - 2022</v>
          </cell>
          <cell r="D568" t="str">
            <v>reg_gdp</v>
          </cell>
          <cell r="E568" t="str">
            <v>prod_for_agri</v>
          </cell>
          <cell r="F568">
            <v>0.25876981019973749</v>
          </cell>
        </row>
        <row r="569">
          <cell r="A569" t="str">
            <v>BRA</v>
          </cell>
          <cell r="B569" t="str">
            <v>Long</v>
          </cell>
          <cell r="C569" t="str">
            <v>2006 - 2022</v>
          </cell>
          <cell r="D569" t="str">
            <v>reg_gdp</v>
          </cell>
          <cell r="E569" t="str">
            <v>prod_for_ind</v>
          </cell>
          <cell r="F569">
            <v>0.15525668859481809</v>
          </cell>
        </row>
        <row r="570">
          <cell r="A570" t="str">
            <v>BRA</v>
          </cell>
          <cell r="B570" t="str">
            <v>Long</v>
          </cell>
          <cell r="C570" t="str">
            <v>2006 - 2022</v>
          </cell>
          <cell r="D570" t="str">
            <v>reg_gdp</v>
          </cell>
          <cell r="E570" t="str">
            <v>prod_for_serv</v>
          </cell>
          <cell r="F570">
            <v>-0.36924707889556879</v>
          </cell>
        </row>
        <row r="571">
          <cell r="A571" t="str">
            <v>BRA</v>
          </cell>
          <cell r="B571" t="str">
            <v>Long</v>
          </cell>
          <cell r="C571" t="str">
            <v>2006 - 2022</v>
          </cell>
          <cell r="D571" t="str">
            <v>reg_gdp</v>
          </cell>
          <cell r="E571" t="str">
            <v>prod_inf_agri</v>
          </cell>
          <cell r="F571">
            <v>0.27445226907730103</v>
          </cell>
        </row>
        <row r="572">
          <cell r="A572" t="str">
            <v>BRA</v>
          </cell>
          <cell r="B572" t="str">
            <v>Long</v>
          </cell>
          <cell r="C572" t="str">
            <v>2006 - 2022</v>
          </cell>
          <cell r="D572" t="str">
            <v>reg_gdp</v>
          </cell>
          <cell r="E572" t="str">
            <v>prod_inf_ind</v>
          </cell>
          <cell r="F572">
            <v>0.20612211525440219</v>
          </cell>
        </row>
        <row r="573">
          <cell r="A573" t="str">
            <v>BRA</v>
          </cell>
          <cell r="B573" t="str">
            <v>Long</v>
          </cell>
          <cell r="C573" t="str">
            <v>2006 - 2022</v>
          </cell>
          <cell r="D573" t="str">
            <v>reg_gdp</v>
          </cell>
          <cell r="E573" t="str">
            <v>prod_inf_serv</v>
          </cell>
          <cell r="F573">
            <v>-0.23018801212310791</v>
          </cell>
        </row>
        <row r="574">
          <cell r="A574" t="str">
            <v>BRA</v>
          </cell>
          <cell r="B574" t="str">
            <v>Long</v>
          </cell>
          <cell r="C574" t="str">
            <v>2006 - 2022</v>
          </cell>
          <cell r="D574" t="str">
            <v>reg_iter</v>
          </cell>
          <cell r="E574" t="str">
            <v>gdp_activity</v>
          </cell>
          <cell r="F574">
            <v>0.52209901809692383</v>
          </cell>
        </row>
        <row r="575">
          <cell r="A575" t="str">
            <v>BRA</v>
          </cell>
          <cell r="B575" t="str">
            <v>Long</v>
          </cell>
          <cell r="C575" t="str">
            <v>2006 - 2022</v>
          </cell>
          <cell r="D575" t="str">
            <v>reg_iter</v>
          </cell>
          <cell r="E575" t="str">
            <v>gdp_for_agri</v>
          </cell>
          <cell r="F575">
            <v>0.37114694714546198</v>
          </cell>
        </row>
        <row r="576">
          <cell r="A576" t="str">
            <v>BRA</v>
          </cell>
          <cell r="B576" t="str">
            <v>Long</v>
          </cell>
          <cell r="C576" t="str">
            <v>2006 - 2022</v>
          </cell>
          <cell r="D576" t="str">
            <v>reg_iter</v>
          </cell>
          <cell r="E576" t="str">
            <v>gdp_for_ind</v>
          </cell>
          <cell r="F576">
            <v>1.186607241630554</v>
          </cell>
        </row>
        <row r="577">
          <cell r="A577" t="str">
            <v>BRA</v>
          </cell>
          <cell r="B577" t="str">
            <v>Long</v>
          </cell>
          <cell r="C577" t="str">
            <v>2006 - 2022</v>
          </cell>
          <cell r="D577" t="str">
            <v>reg_iter</v>
          </cell>
          <cell r="E577" t="str">
            <v>gdp_for_serv</v>
          </cell>
          <cell r="F577">
            <v>0.89397299289703369</v>
          </cell>
        </row>
        <row r="578">
          <cell r="A578" t="str">
            <v>BRA</v>
          </cell>
          <cell r="B578" t="str">
            <v>Long</v>
          </cell>
          <cell r="C578" t="str">
            <v>2006 - 2022</v>
          </cell>
          <cell r="D578" t="str">
            <v>reg_iter</v>
          </cell>
          <cell r="E578" t="str">
            <v>gdp_inf_agri</v>
          </cell>
          <cell r="F578">
            <v>-1.6006273031234739</v>
          </cell>
        </row>
        <row r="579">
          <cell r="A579" t="str">
            <v>BRA</v>
          </cell>
          <cell r="B579" t="str">
            <v>Long</v>
          </cell>
          <cell r="C579" t="str">
            <v>2006 - 2022</v>
          </cell>
          <cell r="D579" t="str">
            <v>reg_iter</v>
          </cell>
          <cell r="E579" t="str">
            <v>gdp_inf_ind</v>
          </cell>
          <cell r="F579">
            <v>0.34275016188621521</v>
          </cell>
        </row>
        <row r="580">
          <cell r="A580" t="str">
            <v>BRA</v>
          </cell>
          <cell r="B580" t="str">
            <v>Long</v>
          </cell>
          <cell r="C580" t="str">
            <v>2006 - 2022</v>
          </cell>
          <cell r="D580" t="str">
            <v>reg_iter</v>
          </cell>
          <cell r="E580" t="str">
            <v>gdp_inf_serv</v>
          </cell>
          <cell r="F580">
            <v>1.842400074005127</v>
          </cell>
        </row>
        <row r="581">
          <cell r="A581" t="str">
            <v>BRA</v>
          </cell>
          <cell r="B581" t="str">
            <v>Long</v>
          </cell>
          <cell r="C581" t="str">
            <v>2006 - 2022</v>
          </cell>
          <cell r="D581" t="str">
            <v>reg_iter</v>
          </cell>
          <cell r="E581" t="str">
            <v>prod_for_agri</v>
          </cell>
          <cell r="F581">
            <v>0.31058427691459661</v>
          </cell>
        </row>
        <row r="582">
          <cell r="A582" t="str">
            <v>BRA</v>
          </cell>
          <cell r="B582" t="str">
            <v>Long</v>
          </cell>
          <cell r="C582" t="str">
            <v>2006 - 2022</v>
          </cell>
          <cell r="D582" t="str">
            <v>reg_iter</v>
          </cell>
          <cell r="E582" t="str">
            <v>prod_for_ind</v>
          </cell>
          <cell r="F582">
            <v>-0.1088063642382622</v>
          </cell>
        </row>
        <row r="583">
          <cell r="A583" t="str">
            <v>BRA</v>
          </cell>
          <cell r="B583" t="str">
            <v>Long</v>
          </cell>
          <cell r="C583" t="str">
            <v>2006 - 2022</v>
          </cell>
          <cell r="D583" t="str">
            <v>reg_iter</v>
          </cell>
          <cell r="E583" t="str">
            <v>prod_for_serv</v>
          </cell>
          <cell r="F583">
            <v>-0.47610205411911011</v>
          </cell>
        </row>
        <row r="584">
          <cell r="A584" t="str">
            <v>BRA</v>
          </cell>
          <cell r="B584" t="str">
            <v>Long</v>
          </cell>
          <cell r="C584" t="str">
            <v>2006 - 2022</v>
          </cell>
          <cell r="D584" t="str">
            <v>reg_iter</v>
          </cell>
          <cell r="E584" t="str">
            <v>prod_inf_agri</v>
          </cell>
          <cell r="F584">
            <v>0.43758103251457209</v>
          </cell>
        </row>
        <row r="585">
          <cell r="A585" t="str">
            <v>BRA</v>
          </cell>
          <cell r="B585" t="str">
            <v>Long</v>
          </cell>
          <cell r="C585" t="str">
            <v>2006 - 2022</v>
          </cell>
          <cell r="D585" t="str">
            <v>reg_iter</v>
          </cell>
          <cell r="E585" t="str">
            <v>prod_inf_ind</v>
          </cell>
          <cell r="F585">
            <v>-5.6989438831806183E-2</v>
          </cell>
        </row>
        <row r="586">
          <cell r="A586" t="str">
            <v>BRA</v>
          </cell>
          <cell r="B586" t="str">
            <v>Long</v>
          </cell>
          <cell r="C586" t="str">
            <v>2006 - 2022</v>
          </cell>
          <cell r="D586" t="str">
            <v>reg_iter</v>
          </cell>
          <cell r="E586" t="str">
            <v>prod_inf_serv</v>
          </cell>
          <cell r="F586">
            <v>-0.32177367806434631</v>
          </cell>
        </row>
        <row r="587">
          <cell r="A587" t="str">
            <v>BRA</v>
          </cell>
          <cell r="B587" t="str">
            <v>Middle</v>
          </cell>
          <cell r="C587" t="str">
            <v>2015 - 2022</v>
          </cell>
          <cell r="D587" t="str">
            <v>avg</v>
          </cell>
          <cell r="E587" t="str">
            <v>gdp_activity</v>
          </cell>
          <cell r="F587">
            <v>0.76317298412322998</v>
          </cell>
        </row>
        <row r="588">
          <cell r="A588" t="str">
            <v>BRA</v>
          </cell>
          <cell r="B588" t="str">
            <v>Middle</v>
          </cell>
          <cell r="C588" t="str">
            <v>2015 - 2022</v>
          </cell>
          <cell r="D588" t="str">
            <v>avg</v>
          </cell>
          <cell r="E588" t="str">
            <v>gdp_for_agri</v>
          </cell>
          <cell r="F588">
            <v>221.7068176269531</v>
          </cell>
        </row>
        <row r="589">
          <cell r="A589" t="str">
            <v>BRA</v>
          </cell>
          <cell r="B589" t="str">
            <v>Middle</v>
          </cell>
          <cell r="C589" t="str">
            <v>2015 - 2022</v>
          </cell>
          <cell r="D589" t="str">
            <v>avg</v>
          </cell>
          <cell r="E589" t="str">
            <v>gdp_for_ind</v>
          </cell>
          <cell r="F589">
            <v>1.765247225761414</v>
          </cell>
        </row>
        <row r="590">
          <cell r="A590" t="str">
            <v>BRA</v>
          </cell>
          <cell r="B590" t="str">
            <v>Middle</v>
          </cell>
          <cell r="C590" t="str">
            <v>2015 - 2022</v>
          </cell>
          <cell r="D590" t="str">
            <v>avg</v>
          </cell>
          <cell r="E590" t="str">
            <v>gdp_for_serv</v>
          </cell>
          <cell r="F590">
            <v>3.9647776633501053E-2</v>
          </cell>
        </row>
        <row r="591">
          <cell r="A591" t="str">
            <v>BRA</v>
          </cell>
          <cell r="B591" t="str">
            <v>Middle</v>
          </cell>
          <cell r="C591" t="str">
            <v>2015 - 2022</v>
          </cell>
          <cell r="D591" t="str">
            <v>avg</v>
          </cell>
          <cell r="E591" t="str">
            <v>gdp_inf_agri</v>
          </cell>
          <cell r="F591">
            <v>477.57943725585938</v>
          </cell>
        </row>
        <row r="592">
          <cell r="A592" t="str">
            <v>BRA</v>
          </cell>
          <cell r="B592" t="str">
            <v>Middle</v>
          </cell>
          <cell r="C592" t="str">
            <v>2015 - 2022</v>
          </cell>
          <cell r="D592" t="str">
            <v>avg</v>
          </cell>
          <cell r="E592" t="str">
            <v>gdp_inf_ind</v>
          </cell>
          <cell r="F592">
            <v>-0.48603570461273188</v>
          </cell>
        </row>
        <row r="593">
          <cell r="A593" t="str">
            <v>BRA</v>
          </cell>
          <cell r="B593" t="str">
            <v>Middle</v>
          </cell>
          <cell r="C593" t="str">
            <v>2015 - 2022</v>
          </cell>
          <cell r="D593" t="str">
            <v>avg</v>
          </cell>
          <cell r="E593" t="str">
            <v>gdp_inf_serv</v>
          </cell>
          <cell r="F593">
            <v>3.4562945365905762</v>
          </cell>
        </row>
        <row r="594">
          <cell r="A594" t="str">
            <v>BRA</v>
          </cell>
          <cell r="B594" t="str">
            <v>Middle</v>
          </cell>
          <cell r="C594" t="str">
            <v>2015 - 2022</v>
          </cell>
          <cell r="D594" t="str">
            <v>avg</v>
          </cell>
          <cell r="E594" t="str">
            <v>prod_for_agri</v>
          </cell>
          <cell r="F594">
            <v>-0.50231790542602539</v>
          </cell>
        </row>
        <row r="595">
          <cell r="A595" t="str">
            <v>BRA</v>
          </cell>
          <cell r="B595" t="str">
            <v>Middle</v>
          </cell>
          <cell r="C595" t="str">
            <v>2015 - 2022</v>
          </cell>
          <cell r="D595" t="str">
            <v>avg</v>
          </cell>
          <cell r="E595" t="str">
            <v>prod_for_ind</v>
          </cell>
          <cell r="F595">
            <v>3.3975720405578609</v>
          </cell>
        </row>
        <row r="596">
          <cell r="A596" t="str">
            <v>BRA</v>
          </cell>
          <cell r="B596" t="str">
            <v>Middle</v>
          </cell>
          <cell r="C596" t="str">
            <v>2015 - 2022</v>
          </cell>
          <cell r="D596" t="str">
            <v>avg</v>
          </cell>
          <cell r="E596" t="str">
            <v>prod_for_serv</v>
          </cell>
          <cell r="F596">
            <v>-0.71907758712768555</v>
          </cell>
        </row>
        <row r="597">
          <cell r="A597" t="str">
            <v>BRA</v>
          </cell>
          <cell r="B597" t="str">
            <v>Middle</v>
          </cell>
          <cell r="C597" t="str">
            <v>2015 - 2022</v>
          </cell>
          <cell r="D597" t="str">
            <v>avg</v>
          </cell>
          <cell r="E597" t="str">
            <v>prod_inf_agri</v>
          </cell>
          <cell r="F597">
            <v>-4.3861885070800781</v>
          </cell>
        </row>
        <row r="598">
          <cell r="A598" t="str">
            <v>BRA</v>
          </cell>
          <cell r="B598" t="str">
            <v>Middle</v>
          </cell>
          <cell r="C598" t="str">
            <v>2015 - 2022</v>
          </cell>
          <cell r="D598" t="str">
            <v>avg</v>
          </cell>
          <cell r="E598" t="str">
            <v>prod_inf_ind</v>
          </cell>
          <cell r="F598">
            <v>12.448854446411129</v>
          </cell>
        </row>
        <row r="599">
          <cell r="A599" t="str">
            <v>BRA</v>
          </cell>
          <cell r="B599" t="str">
            <v>Middle</v>
          </cell>
          <cell r="C599" t="str">
            <v>2015 - 2022</v>
          </cell>
          <cell r="D599" t="str">
            <v>avg</v>
          </cell>
          <cell r="E599" t="str">
            <v>prod_inf_serv</v>
          </cell>
          <cell r="F599">
            <v>-0.79487520456314087</v>
          </cell>
        </row>
        <row r="600">
          <cell r="A600" t="str">
            <v>BRA</v>
          </cell>
          <cell r="B600" t="str">
            <v>Middle</v>
          </cell>
          <cell r="C600" t="str">
            <v>2015 - 2022</v>
          </cell>
          <cell r="D600" t="str">
            <v>avg_1_99</v>
          </cell>
          <cell r="E600" t="str">
            <v>gdp_activity</v>
          </cell>
          <cell r="F600">
            <v>0.59897607564926147</v>
          </cell>
        </row>
        <row r="601">
          <cell r="A601" t="str">
            <v>BRA</v>
          </cell>
          <cell r="B601" t="str">
            <v>Middle</v>
          </cell>
          <cell r="C601" t="str">
            <v>2015 - 2022</v>
          </cell>
          <cell r="D601" t="str">
            <v>avg_1_99</v>
          </cell>
          <cell r="E601" t="str">
            <v>gdp_for_agri</v>
          </cell>
          <cell r="F601">
            <v>0.91474312543869019</v>
          </cell>
        </row>
        <row r="602">
          <cell r="A602" t="str">
            <v>BRA</v>
          </cell>
          <cell r="B602" t="str">
            <v>Middle</v>
          </cell>
          <cell r="C602" t="str">
            <v>2015 - 2022</v>
          </cell>
          <cell r="D602" t="str">
            <v>avg_1_99</v>
          </cell>
          <cell r="E602" t="str">
            <v>gdp_for_ind</v>
          </cell>
          <cell r="F602">
            <v>0.91330385208129883</v>
          </cell>
        </row>
        <row r="603">
          <cell r="A603" t="str">
            <v>BRA</v>
          </cell>
          <cell r="B603" t="str">
            <v>Middle</v>
          </cell>
          <cell r="C603" t="str">
            <v>2015 - 2022</v>
          </cell>
          <cell r="D603" t="str">
            <v>avg_1_99</v>
          </cell>
          <cell r="E603" t="str">
            <v>gdp_for_serv</v>
          </cell>
          <cell r="F603">
            <v>0.63468044996261597</v>
          </cell>
        </row>
        <row r="604">
          <cell r="A604" t="str">
            <v>BRA</v>
          </cell>
          <cell r="B604" t="str">
            <v>Middle</v>
          </cell>
          <cell r="C604" t="str">
            <v>2015 - 2022</v>
          </cell>
          <cell r="D604" t="str">
            <v>avg_1_99</v>
          </cell>
          <cell r="E604" t="str">
            <v>gdp_inf_agri</v>
          </cell>
          <cell r="F604">
            <v>-0.43767282366752619</v>
          </cell>
        </row>
        <row r="605">
          <cell r="A605" t="str">
            <v>BRA</v>
          </cell>
          <cell r="B605" t="str">
            <v>Middle</v>
          </cell>
          <cell r="C605" t="str">
            <v>2015 - 2022</v>
          </cell>
          <cell r="D605" t="str">
            <v>avg_1_99</v>
          </cell>
          <cell r="E605" t="str">
            <v>gdp_inf_ind</v>
          </cell>
          <cell r="F605">
            <v>0.37808582186698908</v>
          </cell>
        </row>
        <row r="606">
          <cell r="A606" t="str">
            <v>BRA</v>
          </cell>
          <cell r="B606" t="str">
            <v>Middle</v>
          </cell>
          <cell r="C606" t="str">
            <v>2015 - 2022</v>
          </cell>
          <cell r="D606" t="str">
            <v>avg_1_99</v>
          </cell>
          <cell r="E606" t="str">
            <v>gdp_inf_serv</v>
          </cell>
          <cell r="F606">
            <v>1.901217579841614</v>
          </cell>
        </row>
        <row r="607">
          <cell r="A607" t="str">
            <v>BRA</v>
          </cell>
          <cell r="B607" t="str">
            <v>Middle</v>
          </cell>
          <cell r="C607" t="str">
            <v>2015 - 2022</v>
          </cell>
          <cell r="D607" t="str">
            <v>avg_1_99</v>
          </cell>
          <cell r="E607" t="str">
            <v>prod_for_agri</v>
          </cell>
          <cell r="F607">
            <v>0.1412197947502136</v>
          </cell>
        </row>
        <row r="608">
          <cell r="A608" t="str">
            <v>BRA</v>
          </cell>
          <cell r="B608" t="str">
            <v>Middle</v>
          </cell>
          <cell r="C608" t="str">
            <v>2015 - 2022</v>
          </cell>
          <cell r="D608" t="str">
            <v>avg_1_99</v>
          </cell>
          <cell r="E608" t="str">
            <v>prod_for_ind</v>
          </cell>
          <cell r="F608">
            <v>6.5766885876655579E-2</v>
          </cell>
        </row>
        <row r="609">
          <cell r="A609" t="str">
            <v>BRA</v>
          </cell>
          <cell r="B609" t="str">
            <v>Middle</v>
          </cell>
          <cell r="C609" t="str">
            <v>2015 - 2022</v>
          </cell>
          <cell r="D609" t="str">
            <v>avg_1_99</v>
          </cell>
          <cell r="E609" t="str">
            <v>prod_for_serv</v>
          </cell>
          <cell r="F609">
            <v>-0.71907758712768555</v>
          </cell>
        </row>
        <row r="610">
          <cell r="A610" t="str">
            <v>BRA</v>
          </cell>
          <cell r="B610" t="str">
            <v>Middle</v>
          </cell>
          <cell r="C610" t="str">
            <v>2015 - 2022</v>
          </cell>
          <cell r="D610" t="str">
            <v>avg_1_99</v>
          </cell>
          <cell r="E610" t="str">
            <v>prod_inf_agri</v>
          </cell>
          <cell r="F610">
            <v>-2.5966589450836182</v>
          </cell>
        </row>
        <row r="611">
          <cell r="A611" t="str">
            <v>BRA</v>
          </cell>
          <cell r="B611" t="str">
            <v>Middle</v>
          </cell>
          <cell r="C611" t="str">
            <v>2015 - 2022</v>
          </cell>
          <cell r="D611" t="str">
            <v>avg_1_99</v>
          </cell>
          <cell r="E611" t="str">
            <v>prod_inf_ind</v>
          </cell>
          <cell r="F611">
            <v>2.4723560810089111</v>
          </cell>
        </row>
        <row r="612">
          <cell r="A612" t="str">
            <v>BRA</v>
          </cell>
          <cell r="B612" t="str">
            <v>Middle</v>
          </cell>
          <cell r="C612" t="str">
            <v>2015 - 2022</v>
          </cell>
          <cell r="D612" t="str">
            <v>avg_1_99</v>
          </cell>
          <cell r="E612" t="str">
            <v>prod_inf_serv</v>
          </cell>
          <cell r="F612">
            <v>-0.79487520456314087</v>
          </cell>
        </row>
        <row r="613">
          <cell r="A613" t="str">
            <v>BRA</v>
          </cell>
          <cell r="B613" t="str">
            <v>Middle</v>
          </cell>
          <cell r="C613" t="str">
            <v>2015 - 2022</v>
          </cell>
          <cell r="D613" t="str">
            <v>avg_1_99_imp</v>
          </cell>
          <cell r="E613" t="str">
            <v>gdp_activity</v>
          </cell>
          <cell r="F613">
            <v>0.62023413181304932</v>
          </cell>
        </row>
        <row r="614">
          <cell r="A614" t="str">
            <v>BRA</v>
          </cell>
          <cell r="B614" t="str">
            <v>Middle</v>
          </cell>
          <cell r="C614" t="str">
            <v>2015 - 2022</v>
          </cell>
          <cell r="D614" t="str">
            <v>avg_1_99_imp</v>
          </cell>
          <cell r="E614" t="str">
            <v>gdp_for_agri</v>
          </cell>
          <cell r="F614">
            <v>0.78929358720779419</v>
          </cell>
        </row>
        <row r="615">
          <cell r="A615" t="str">
            <v>BRA</v>
          </cell>
          <cell r="B615" t="str">
            <v>Middle</v>
          </cell>
          <cell r="C615" t="str">
            <v>2015 - 2022</v>
          </cell>
          <cell r="D615" t="str">
            <v>avg_1_99_imp</v>
          </cell>
          <cell r="E615" t="str">
            <v>gdp_for_ind</v>
          </cell>
          <cell r="F615">
            <v>0.90057623386383057</v>
          </cell>
        </row>
        <row r="616">
          <cell r="A616" t="str">
            <v>BRA</v>
          </cell>
          <cell r="B616" t="str">
            <v>Middle</v>
          </cell>
          <cell r="C616" t="str">
            <v>2015 - 2022</v>
          </cell>
          <cell r="D616" t="str">
            <v>avg_1_99_imp</v>
          </cell>
          <cell r="E616" t="str">
            <v>gdp_for_serv</v>
          </cell>
          <cell r="F616">
            <v>0.59206753969192505</v>
          </cell>
        </row>
        <row r="617">
          <cell r="A617" t="str">
            <v>BRA</v>
          </cell>
          <cell r="B617" t="str">
            <v>Middle</v>
          </cell>
          <cell r="C617" t="str">
            <v>2015 - 2022</v>
          </cell>
          <cell r="D617" t="str">
            <v>avg_1_99_imp</v>
          </cell>
          <cell r="E617" t="str">
            <v>gdp_inf_agri</v>
          </cell>
          <cell r="F617">
            <v>-0.43989437818527222</v>
          </cell>
        </row>
        <row r="618">
          <cell r="A618" t="str">
            <v>BRA</v>
          </cell>
          <cell r="B618" t="str">
            <v>Middle</v>
          </cell>
          <cell r="C618" t="str">
            <v>2015 - 2022</v>
          </cell>
          <cell r="D618" t="str">
            <v>avg_1_99_imp</v>
          </cell>
          <cell r="E618" t="str">
            <v>gdp_inf_ind</v>
          </cell>
          <cell r="F618">
            <v>0.41094315052032471</v>
          </cell>
        </row>
        <row r="619">
          <cell r="A619" t="str">
            <v>BRA</v>
          </cell>
          <cell r="B619" t="str">
            <v>Middle</v>
          </cell>
          <cell r="C619" t="str">
            <v>2015 - 2022</v>
          </cell>
          <cell r="D619" t="str">
            <v>avg_1_99_imp</v>
          </cell>
          <cell r="E619" t="str">
            <v>gdp_inf_serv</v>
          </cell>
          <cell r="F619">
            <v>1.904335737228394</v>
          </cell>
        </row>
        <row r="620">
          <cell r="A620" t="str">
            <v>BRA</v>
          </cell>
          <cell r="B620" t="str">
            <v>Middle</v>
          </cell>
          <cell r="C620" t="str">
            <v>2015 - 2022</v>
          </cell>
          <cell r="D620" t="str">
            <v>avg_1_99_imp</v>
          </cell>
          <cell r="E620" t="str">
            <v>prod_for_agri</v>
          </cell>
          <cell r="F620">
            <v>0.34820613265037542</v>
          </cell>
        </row>
        <row r="621">
          <cell r="A621" t="str">
            <v>BRA</v>
          </cell>
          <cell r="B621" t="str">
            <v>Middle</v>
          </cell>
          <cell r="C621" t="str">
            <v>2015 - 2022</v>
          </cell>
          <cell r="D621" t="str">
            <v>avg_1_99_imp</v>
          </cell>
          <cell r="E621" t="str">
            <v>prod_for_ind</v>
          </cell>
          <cell r="F621">
            <v>0.2926023006439209</v>
          </cell>
        </row>
        <row r="622">
          <cell r="A622" t="str">
            <v>BRA</v>
          </cell>
          <cell r="B622" t="str">
            <v>Middle</v>
          </cell>
          <cell r="C622" t="str">
            <v>2015 - 2022</v>
          </cell>
          <cell r="D622" t="str">
            <v>avg_1_99_imp</v>
          </cell>
          <cell r="E622" t="str">
            <v>prod_for_serv</v>
          </cell>
          <cell r="F622">
            <v>-1.5093237161636351E-2</v>
          </cell>
        </row>
        <row r="623">
          <cell r="A623" t="str">
            <v>BRA</v>
          </cell>
          <cell r="B623" t="str">
            <v>Middle</v>
          </cell>
          <cell r="C623" t="str">
            <v>2015 - 2022</v>
          </cell>
          <cell r="D623" t="str">
            <v>avg_1_99_imp</v>
          </cell>
          <cell r="E623" t="str">
            <v>prod_inf_agri</v>
          </cell>
          <cell r="F623">
            <v>-2.3661754131317139</v>
          </cell>
        </row>
        <row r="624">
          <cell r="A624" t="str">
            <v>BRA</v>
          </cell>
          <cell r="B624" t="str">
            <v>Middle</v>
          </cell>
          <cell r="C624" t="str">
            <v>2015 - 2022</v>
          </cell>
          <cell r="D624" t="str">
            <v>avg_1_99_imp</v>
          </cell>
          <cell r="E624" t="str">
            <v>prod_inf_ind</v>
          </cell>
          <cell r="F624">
            <v>2.3159501552581792</v>
          </cell>
        </row>
        <row r="625">
          <cell r="A625" t="str">
            <v>BRA</v>
          </cell>
          <cell r="B625" t="str">
            <v>Middle</v>
          </cell>
          <cell r="C625" t="str">
            <v>2015 - 2022</v>
          </cell>
          <cell r="D625" t="str">
            <v>avg_1_99_imp</v>
          </cell>
          <cell r="E625" t="str">
            <v>prod_inf_serv</v>
          </cell>
          <cell r="F625">
            <v>-0.79487520456314087</v>
          </cell>
        </row>
        <row r="626">
          <cell r="A626" t="str">
            <v>BRA</v>
          </cell>
          <cell r="B626" t="str">
            <v>Middle</v>
          </cell>
          <cell r="C626" t="str">
            <v>2015 - 2022</v>
          </cell>
          <cell r="D626" t="str">
            <v>reg</v>
          </cell>
          <cell r="E626" t="str">
            <v>gdp_activity</v>
          </cell>
          <cell r="F626">
            <v>0.66817384958267212</v>
          </cell>
        </row>
        <row r="627">
          <cell r="A627" t="str">
            <v>BRA</v>
          </cell>
          <cell r="B627" t="str">
            <v>Middle</v>
          </cell>
          <cell r="C627" t="str">
            <v>2015 - 2022</v>
          </cell>
          <cell r="D627" t="str">
            <v>reg</v>
          </cell>
          <cell r="E627" t="str">
            <v>gdp_for_agri</v>
          </cell>
          <cell r="F627">
            <v>0.47211572527885443</v>
          </cell>
        </row>
        <row r="628">
          <cell r="A628" t="str">
            <v>BRA</v>
          </cell>
          <cell r="B628" t="str">
            <v>Middle</v>
          </cell>
          <cell r="C628" t="str">
            <v>2015 - 2022</v>
          </cell>
          <cell r="D628" t="str">
            <v>reg</v>
          </cell>
          <cell r="E628" t="str">
            <v>gdp_for_ind</v>
          </cell>
          <cell r="F628">
            <v>2.0593588352203369</v>
          </cell>
        </row>
        <row r="629">
          <cell r="A629" t="str">
            <v>BRA</v>
          </cell>
          <cell r="B629" t="str">
            <v>Middle</v>
          </cell>
          <cell r="C629" t="str">
            <v>2015 - 2022</v>
          </cell>
          <cell r="D629" t="str">
            <v>reg</v>
          </cell>
          <cell r="E629" t="str">
            <v>gdp_for_serv</v>
          </cell>
          <cell r="F629">
            <v>0.59230035543441772</v>
          </cell>
        </row>
        <row r="630">
          <cell r="A630" t="str">
            <v>BRA</v>
          </cell>
          <cell r="B630" t="str">
            <v>Middle</v>
          </cell>
          <cell r="C630" t="str">
            <v>2015 - 2022</v>
          </cell>
          <cell r="D630" t="str">
            <v>reg</v>
          </cell>
          <cell r="E630" t="str">
            <v>gdp_inf_agri</v>
          </cell>
          <cell r="F630">
            <v>-0.73136937618255615</v>
          </cell>
        </row>
        <row r="631">
          <cell r="A631" t="str">
            <v>BRA</v>
          </cell>
          <cell r="B631" t="str">
            <v>Middle</v>
          </cell>
          <cell r="C631" t="str">
            <v>2015 - 2022</v>
          </cell>
          <cell r="D631" t="str">
            <v>reg</v>
          </cell>
          <cell r="E631" t="str">
            <v>gdp_inf_ind</v>
          </cell>
          <cell r="F631">
            <v>1.461711645126343</v>
          </cell>
        </row>
        <row r="632">
          <cell r="A632" t="str">
            <v>BRA</v>
          </cell>
          <cell r="B632" t="str">
            <v>Middle</v>
          </cell>
          <cell r="C632" t="str">
            <v>2015 - 2022</v>
          </cell>
          <cell r="D632" t="str">
            <v>reg</v>
          </cell>
          <cell r="E632" t="str">
            <v>gdp_inf_serv</v>
          </cell>
          <cell r="F632">
            <v>2.2555150985717769</v>
          </cell>
        </row>
        <row r="633">
          <cell r="A633" t="str">
            <v>BRA</v>
          </cell>
          <cell r="B633" t="str">
            <v>Middle</v>
          </cell>
          <cell r="C633" t="str">
            <v>2015 - 2022</v>
          </cell>
          <cell r="D633" t="str">
            <v>reg</v>
          </cell>
          <cell r="E633" t="str">
            <v>prod_for_agri</v>
          </cell>
          <cell r="F633">
            <v>0.32618290185928339</v>
          </cell>
        </row>
        <row r="634">
          <cell r="A634" t="str">
            <v>BRA</v>
          </cell>
          <cell r="B634" t="str">
            <v>Middle</v>
          </cell>
          <cell r="C634" t="str">
            <v>2015 - 2022</v>
          </cell>
          <cell r="D634" t="str">
            <v>reg</v>
          </cell>
          <cell r="E634" t="str">
            <v>prod_for_ind</v>
          </cell>
          <cell r="F634">
            <v>0.27890253067016602</v>
          </cell>
        </row>
        <row r="635">
          <cell r="A635" t="str">
            <v>BRA</v>
          </cell>
          <cell r="B635" t="str">
            <v>Middle</v>
          </cell>
          <cell r="C635" t="str">
            <v>2015 - 2022</v>
          </cell>
          <cell r="D635" t="str">
            <v>reg</v>
          </cell>
          <cell r="E635" t="str">
            <v>prod_for_serv</v>
          </cell>
          <cell r="F635">
            <v>-0.2467890381813049</v>
          </cell>
        </row>
        <row r="636">
          <cell r="A636" t="str">
            <v>BRA</v>
          </cell>
          <cell r="B636" t="str">
            <v>Middle</v>
          </cell>
          <cell r="C636" t="str">
            <v>2015 - 2022</v>
          </cell>
          <cell r="D636" t="str">
            <v>reg</v>
          </cell>
          <cell r="E636" t="str">
            <v>prod_inf_agri</v>
          </cell>
          <cell r="F636">
            <v>0.3797227144241333</v>
          </cell>
        </row>
        <row r="637">
          <cell r="A637" t="str">
            <v>BRA</v>
          </cell>
          <cell r="B637" t="str">
            <v>Middle</v>
          </cell>
          <cell r="C637" t="str">
            <v>2015 - 2022</v>
          </cell>
          <cell r="D637" t="str">
            <v>reg</v>
          </cell>
          <cell r="E637" t="str">
            <v>prod_inf_ind</v>
          </cell>
          <cell r="F637">
            <v>-0.107116773724556</v>
          </cell>
        </row>
        <row r="638">
          <cell r="A638" t="str">
            <v>BRA</v>
          </cell>
          <cell r="B638" t="str">
            <v>Middle</v>
          </cell>
          <cell r="C638" t="str">
            <v>2015 - 2022</v>
          </cell>
          <cell r="D638" t="str">
            <v>reg</v>
          </cell>
          <cell r="E638" t="str">
            <v>prod_inf_serv</v>
          </cell>
          <cell r="F638">
            <v>1.8961647525429729E-2</v>
          </cell>
        </row>
        <row r="639">
          <cell r="A639" t="str">
            <v>BRA</v>
          </cell>
          <cell r="B639" t="str">
            <v>Middle</v>
          </cell>
          <cell r="C639" t="str">
            <v>2015 - 2022</v>
          </cell>
          <cell r="D639" t="str">
            <v>reg_gdp</v>
          </cell>
          <cell r="E639" t="str">
            <v>gdp_activity</v>
          </cell>
          <cell r="F639">
            <v>0.66817384958267212</v>
          </cell>
        </row>
        <row r="640">
          <cell r="A640" t="str">
            <v>BRA</v>
          </cell>
          <cell r="B640" t="str">
            <v>Middle</v>
          </cell>
          <cell r="C640" t="str">
            <v>2015 - 2022</v>
          </cell>
          <cell r="D640" t="str">
            <v>reg_gdp</v>
          </cell>
          <cell r="E640" t="str">
            <v>gdp_for_agri</v>
          </cell>
          <cell r="F640">
            <v>0.25813335180282593</v>
          </cell>
        </row>
        <row r="641">
          <cell r="A641" t="str">
            <v>BRA</v>
          </cell>
          <cell r="B641" t="str">
            <v>Middle</v>
          </cell>
          <cell r="C641" t="str">
            <v>2015 - 2022</v>
          </cell>
          <cell r="D641" t="str">
            <v>reg_gdp</v>
          </cell>
          <cell r="E641" t="str">
            <v>gdp_for_ind</v>
          </cell>
          <cell r="F641">
            <v>2.5007510185241699</v>
          </cell>
        </row>
        <row r="642">
          <cell r="A642" t="str">
            <v>BRA</v>
          </cell>
          <cell r="B642" t="str">
            <v>Middle</v>
          </cell>
          <cell r="C642" t="str">
            <v>2015 - 2022</v>
          </cell>
          <cell r="D642" t="str">
            <v>reg_gdp</v>
          </cell>
          <cell r="E642" t="str">
            <v>gdp_for_serv</v>
          </cell>
          <cell r="F642">
            <v>3.2297039031982422</v>
          </cell>
        </row>
        <row r="643">
          <cell r="A643" t="str">
            <v>BRA</v>
          </cell>
          <cell r="B643" t="str">
            <v>Middle</v>
          </cell>
          <cell r="C643" t="str">
            <v>2015 - 2022</v>
          </cell>
          <cell r="D643" t="str">
            <v>reg_gdp</v>
          </cell>
          <cell r="E643" t="str">
            <v>gdp_inf_agri</v>
          </cell>
          <cell r="F643">
            <v>-0.99734991788864136</v>
          </cell>
        </row>
        <row r="644">
          <cell r="A644" t="str">
            <v>BRA</v>
          </cell>
          <cell r="B644" t="str">
            <v>Middle</v>
          </cell>
          <cell r="C644" t="str">
            <v>2015 - 2022</v>
          </cell>
          <cell r="D644" t="str">
            <v>reg_gdp</v>
          </cell>
          <cell r="E644" t="str">
            <v>gdp_inf_ind</v>
          </cell>
          <cell r="F644">
            <v>1.097752451896667</v>
          </cell>
        </row>
        <row r="645">
          <cell r="A645" t="str">
            <v>BRA</v>
          </cell>
          <cell r="B645" t="str">
            <v>Middle</v>
          </cell>
          <cell r="C645" t="str">
            <v>2015 - 2022</v>
          </cell>
          <cell r="D645" t="str">
            <v>reg_gdp</v>
          </cell>
          <cell r="E645" t="str">
            <v>gdp_inf_serv</v>
          </cell>
          <cell r="F645">
            <v>8.5116481781005859</v>
          </cell>
        </row>
        <row r="646">
          <cell r="A646" t="str">
            <v>BRA</v>
          </cell>
          <cell r="B646" t="str">
            <v>Middle</v>
          </cell>
          <cell r="C646" t="str">
            <v>2015 - 2022</v>
          </cell>
          <cell r="D646" t="str">
            <v>reg_gdp</v>
          </cell>
          <cell r="E646" t="str">
            <v>prod_for_agri</v>
          </cell>
          <cell r="F646">
            <v>0.28153064846992493</v>
          </cell>
        </row>
        <row r="647">
          <cell r="A647" t="str">
            <v>BRA</v>
          </cell>
          <cell r="B647" t="str">
            <v>Middle</v>
          </cell>
          <cell r="C647" t="str">
            <v>2015 - 2022</v>
          </cell>
          <cell r="D647" t="str">
            <v>reg_gdp</v>
          </cell>
          <cell r="E647" t="str">
            <v>prod_for_ind</v>
          </cell>
          <cell r="F647">
            <v>3.5797119140625E-2</v>
          </cell>
        </row>
        <row r="648">
          <cell r="A648" t="str">
            <v>BRA</v>
          </cell>
          <cell r="B648" t="str">
            <v>Middle</v>
          </cell>
          <cell r="C648" t="str">
            <v>2015 - 2022</v>
          </cell>
          <cell r="D648" t="str">
            <v>reg_gdp</v>
          </cell>
          <cell r="E648" t="str">
            <v>prod_for_serv</v>
          </cell>
          <cell r="F648">
            <v>-0.27026310563087458</v>
          </cell>
        </row>
        <row r="649">
          <cell r="A649" t="str">
            <v>BRA</v>
          </cell>
          <cell r="B649" t="str">
            <v>Middle</v>
          </cell>
          <cell r="C649" t="str">
            <v>2015 - 2022</v>
          </cell>
          <cell r="D649" t="str">
            <v>reg_gdp</v>
          </cell>
          <cell r="E649" t="str">
            <v>prod_inf_agri</v>
          </cell>
          <cell r="F649">
            <v>0.20754152536392209</v>
          </cell>
        </row>
        <row r="650">
          <cell r="A650" t="str">
            <v>BRA</v>
          </cell>
          <cell r="B650" t="str">
            <v>Middle</v>
          </cell>
          <cell r="C650" t="str">
            <v>2015 - 2022</v>
          </cell>
          <cell r="D650" t="str">
            <v>reg_gdp</v>
          </cell>
          <cell r="E650" t="str">
            <v>prod_inf_ind</v>
          </cell>
          <cell r="F650">
            <v>-0.21689128875732419</v>
          </cell>
        </row>
        <row r="651">
          <cell r="A651" t="str">
            <v>BRA</v>
          </cell>
          <cell r="B651" t="str">
            <v>Middle</v>
          </cell>
          <cell r="C651" t="str">
            <v>2015 - 2022</v>
          </cell>
          <cell r="D651" t="str">
            <v>reg_gdp</v>
          </cell>
          <cell r="E651" t="str">
            <v>prod_inf_serv</v>
          </cell>
          <cell r="F651">
            <v>7.9722851514816284E-2</v>
          </cell>
        </row>
        <row r="652">
          <cell r="A652" t="str">
            <v>BRA</v>
          </cell>
          <cell r="B652" t="str">
            <v>Middle</v>
          </cell>
          <cell r="C652" t="str">
            <v>2015 - 2022</v>
          </cell>
          <cell r="D652" t="str">
            <v>reg_iter</v>
          </cell>
          <cell r="E652" t="str">
            <v>gdp_activity</v>
          </cell>
          <cell r="F652">
            <v>0.19348110258579251</v>
          </cell>
        </row>
        <row r="653">
          <cell r="A653" t="str">
            <v>BRA</v>
          </cell>
          <cell r="B653" t="str">
            <v>Middle</v>
          </cell>
          <cell r="C653" t="str">
            <v>2015 - 2022</v>
          </cell>
          <cell r="D653" t="str">
            <v>reg_iter</v>
          </cell>
          <cell r="E653" t="str">
            <v>gdp_for_agri</v>
          </cell>
          <cell r="F653">
            <v>0.34600231051445007</v>
          </cell>
        </row>
        <row r="654">
          <cell r="A654" t="str">
            <v>BRA</v>
          </cell>
          <cell r="B654" t="str">
            <v>Middle</v>
          </cell>
          <cell r="C654" t="str">
            <v>2015 - 2022</v>
          </cell>
          <cell r="D654" t="str">
            <v>reg_iter</v>
          </cell>
          <cell r="E654" t="str">
            <v>gdp_for_ind</v>
          </cell>
          <cell r="F654">
            <v>2.092851877212524</v>
          </cell>
        </row>
        <row r="655">
          <cell r="A655" t="str">
            <v>BRA</v>
          </cell>
          <cell r="B655" t="str">
            <v>Middle</v>
          </cell>
          <cell r="C655" t="str">
            <v>2015 - 2022</v>
          </cell>
          <cell r="D655" t="str">
            <v>reg_iter</v>
          </cell>
          <cell r="E655" t="str">
            <v>gdp_for_serv</v>
          </cell>
          <cell r="F655">
            <v>0.65293508768081665</v>
          </cell>
        </row>
        <row r="656">
          <cell r="A656" t="str">
            <v>BRA</v>
          </cell>
          <cell r="B656" t="str">
            <v>Middle</v>
          </cell>
          <cell r="C656" t="str">
            <v>2015 - 2022</v>
          </cell>
          <cell r="D656" t="str">
            <v>reg_iter</v>
          </cell>
          <cell r="E656" t="str">
            <v>gdp_inf_agri</v>
          </cell>
          <cell r="F656">
            <v>-0.86093395948410034</v>
          </cell>
        </row>
        <row r="657">
          <cell r="A657" t="str">
            <v>BRA</v>
          </cell>
          <cell r="B657" t="str">
            <v>Middle</v>
          </cell>
          <cell r="C657" t="str">
            <v>2015 - 2022</v>
          </cell>
          <cell r="D657" t="str">
            <v>reg_iter</v>
          </cell>
          <cell r="E657" t="str">
            <v>gdp_inf_ind</v>
          </cell>
          <cell r="F657">
            <v>1.3952281475067141</v>
          </cell>
        </row>
        <row r="658">
          <cell r="A658" t="str">
            <v>BRA</v>
          </cell>
          <cell r="B658" t="str">
            <v>Middle</v>
          </cell>
          <cell r="C658" t="str">
            <v>2015 - 2022</v>
          </cell>
          <cell r="D658" t="str">
            <v>reg_iter</v>
          </cell>
          <cell r="E658" t="str">
            <v>gdp_inf_serv</v>
          </cell>
          <cell r="F658">
            <v>0.82503598928451538</v>
          </cell>
        </row>
        <row r="659">
          <cell r="A659" t="str">
            <v>BRA</v>
          </cell>
          <cell r="B659" t="str">
            <v>Middle</v>
          </cell>
          <cell r="C659" t="str">
            <v>2015 - 2022</v>
          </cell>
          <cell r="D659" t="str">
            <v>reg_iter</v>
          </cell>
          <cell r="E659" t="str">
            <v>prod_for_agri</v>
          </cell>
          <cell r="F659">
            <v>0.28462627530097961</v>
          </cell>
        </row>
        <row r="660">
          <cell r="A660" t="str">
            <v>BRA</v>
          </cell>
          <cell r="B660" t="str">
            <v>Middle</v>
          </cell>
          <cell r="C660" t="str">
            <v>2015 - 2022</v>
          </cell>
          <cell r="D660" t="str">
            <v>reg_iter</v>
          </cell>
          <cell r="E660" t="str">
            <v>prod_for_ind</v>
          </cell>
          <cell r="F660">
            <v>0.24280573427677149</v>
          </cell>
        </row>
        <row r="661">
          <cell r="A661" t="str">
            <v>BRA</v>
          </cell>
          <cell r="B661" t="str">
            <v>Middle</v>
          </cell>
          <cell r="C661" t="str">
            <v>2015 - 2022</v>
          </cell>
          <cell r="D661" t="str">
            <v>reg_iter</v>
          </cell>
          <cell r="E661" t="str">
            <v>prod_for_serv</v>
          </cell>
          <cell r="F661">
            <v>-0.28489288687705988</v>
          </cell>
        </row>
        <row r="662">
          <cell r="A662" t="str">
            <v>BRA</v>
          </cell>
          <cell r="B662" t="str">
            <v>Middle</v>
          </cell>
          <cell r="C662" t="str">
            <v>2015 - 2022</v>
          </cell>
          <cell r="D662" t="str">
            <v>reg_iter</v>
          </cell>
          <cell r="E662" t="str">
            <v>prod_inf_agri</v>
          </cell>
          <cell r="F662">
            <v>0.2070133239030838</v>
          </cell>
        </row>
        <row r="663">
          <cell r="A663" t="str">
            <v>BRA</v>
          </cell>
          <cell r="B663" t="str">
            <v>Middle</v>
          </cell>
          <cell r="C663" t="str">
            <v>2015 - 2022</v>
          </cell>
          <cell r="D663" t="str">
            <v>reg_iter</v>
          </cell>
          <cell r="E663" t="str">
            <v>prod_inf_ind</v>
          </cell>
          <cell r="F663">
            <v>-0.2012714147567749</v>
          </cell>
        </row>
        <row r="664">
          <cell r="A664" t="str">
            <v>BRA</v>
          </cell>
          <cell r="B664" t="str">
            <v>Middle</v>
          </cell>
          <cell r="C664" t="str">
            <v>2015 - 2022</v>
          </cell>
          <cell r="D664" t="str">
            <v>reg_iter</v>
          </cell>
          <cell r="E664" t="str">
            <v>prod_inf_serv</v>
          </cell>
          <cell r="F664">
            <v>0.2204690873622894</v>
          </cell>
        </row>
        <row r="665">
          <cell r="A665" t="str">
            <v>BRA</v>
          </cell>
          <cell r="B665" t="str">
            <v>Short</v>
          </cell>
          <cell r="C665" t="str">
            <v>2018 - 2022</v>
          </cell>
          <cell r="D665" t="str">
            <v>avg</v>
          </cell>
          <cell r="E665" t="str">
            <v>gdp_activity</v>
          </cell>
          <cell r="F665">
            <v>1.220201969146729</v>
          </cell>
        </row>
        <row r="666">
          <cell r="A666" t="str">
            <v>BRA</v>
          </cell>
          <cell r="B666" t="str">
            <v>Short</v>
          </cell>
          <cell r="C666" t="str">
            <v>2018 - 2022</v>
          </cell>
          <cell r="D666" t="str">
            <v>avg</v>
          </cell>
          <cell r="E666" t="str">
            <v>gdp_for_agri</v>
          </cell>
          <cell r="F666">
            <v>354.60079956054688</v>
          </cell>
        </row>
        <row r="667">
          <cell r="A667" t="str">
            <v>BRA</v>
          </cell>
          <cell r="B667" t="str">
            <v>Short</v>
          </cell>
          <cell r="C667" t="str">
            <v>2018 - 2022</v>
          </cell>
          <cell r="D667" t="str">
            <v>avg</v>
          </cell>
          <cell r="E667" t="str">
            <v>gdp_for_ind</v>
          </cell>
          <cell r="F667">
            <v>0.68765872716903687</v>
          </cell>
        </row>
        <row r="668">
          <cell r="A668" t="str">
            <v>BRA</v>
          </cell>
          <cell r="B668" t="str">
            <v>Short</v>
          </cell>
          <cell r="C668" t="str">
            <v>2018 - 2022</v>
          </cell>
          <cell r="D668" t="str">
            <v>avg</v>
          </cell>
          <cell r="E668" t="str">
            <v>gdp_for_serv</v>
          </cell>
          <cell r="F668">
            <v>1.0113428831100459</v>
          </cell>
        </row>
        <row r="669">
          <cell r="A669" t="str">
            <v>BRA</v>
          </cell>
          <cell r="B669" t="str">
            <v>Short</v>
          </cell>
          <cell r="C669" t="str">
            <v>2018 - 2022</v>
          </cell>
          <cell r="D669" t="str">
            <v>avg</v>
          </cell>
          <cell r="E669" t="str">
            <v>gdp_inf_agri</v>
          </cell>
          <cell r="F669">
            <v>764.34857177734375</v>
          </cell>
        </row>
        <row r="670">
          <cell r="A670" t="str">
            <v>BRA</v>
          </cell>
          <cell r="B670" t="str">
            <v>Short</v>
          </cell>
          <cell r="C670" t="str">
            <v>2018 - 2022</v>
          </cell>
          <cell r="D670" t="str">
            <v>avg</v>
          </cell>
          <cell r="E670" t="str">
            <v>gdp_inf_ind</v>
          </cell>
          <cell r="F670">
            <v>1.2662409543991091</v>
          </cell>
        </row>
        <row r="671">
          <cell r="A671" t="str">
            <v>BRA</v>
          </cell>
          <cell r="B671" t="str">
            <v>Short</v>
          </cell>
          <cell r="C671" t="str">
            <v>2018 - 2022</v>
          </cell>
          <cell r="D671" t="str">
            <v>avg</v>
          </cell>
          <cell r="E671" t="str">
            <v>gdp_inf_serv</v>
          </cell>
          <cell r="F671">
            <v>2.8532760143280029</v>
          </cell>
        </row>
        <row r="672">
          <cell r="A672" t="str">
            <v>BRA</v>
          </cell>
          <cell r="B672" t="str">
            <v>Short</v>
          </cell>
          <cell r="C672" t="str">
            <v>2018 - 2022</v>
          </cell>
          <cell r="D672" t="str">
            <v>avg</v>
          </cell>
          <cell r="E672" t="str">
            <v>prod_for_agri</v>
          </cell>
          <cell r="F672">
            <v>-0.39820671081542969</v>
          </cell>
        </row>
        <row r="673">
          <cell r="A673" t="str">
            <v>BRA</v>
          </cell>
          <cell r="B673" t="str">
            <v>Short</v>
          </cell>
          <cell r="C673" t="str">
            <v>2018 - 2022</v>
          </cell>
          <cell r="D673" t="str">
            <v>avg</v>
          </cell>
          <cell r="E673" t="str">
            <v>prod_for_ind</v>
          </cell>
          <cell r="F673">
            <v>7.7131481170654297</v>
          </cell>
        </row>
        <row r="674">
          <cell r="A674" t="str">
            <v>BRA</v>
          </cell>
          <cell r="B674" t="str">
            <v>Short</v>
          </cell>
          <cell r="C674" t="str">
            <v>2018 - 2022</v>
          </cell>
          <cell r="D674" t="str">
            <v>avg</v>
          </cell>
          <cell r="E674" t="str">
            <v>prod_for_serv</v>
          </cell>
          <cell r="F674">
            <v>-1.345499992370605</v>
          </cell>
        </row>
        <row r="675">
          <cell r="A675" t="str">
            <v>BRA</v>
          </cell>
          <cell r="B675" t="str">
            <v>Short</v>
          </cell>
          <cell r="C675" t="str">
            <v>2018 - 2022</v>
          </cell>
          <cell r="D675" t="str">
            <v>avg</v>
          </cell>
          <cell r="E675" t="str">
            <v>prod_inf_agri</v>
          </cell>
          <cell r="F675">
            <v>-6.9760046005249023</v>
          </cell>
        </row>
        <row r="676">
          <cell r="A676" t="str">
            <v>BRA</v>
          </cell>
          <cell r="B676" t="str">
            <v>Short</v>
          </cell>
          <cell r="C676" t="str">
            <v>2018 - 2022</v>
          </cell>
          <cell r="D676" t="str">
            <v>avg</v>
          </cell>
          <cell r="E676" t="str">
            <v>prod_inf_ind</v>
          </cell>
          <cell r="F676">
            <v>16.404340744018551</v>
          </cell>
        </row>
        <row r="677">
          <cell r="A677" t="str">
            <v>BRA</v>
          </cell>
          <cell r="B677" t="str">
            <v>Short</v>
          </cell>
          <cell r="C677" t="str">
            <v>2018 - 2022</v>
          </cell>
          <cell r="D677" t="str">
            <v>avg</v>
          </cell>
          <cell r="E677" t="str">
            <v>prod_inf_serv</v>
          </cell>
          <cell r="F677">
            <v>-2.2495574951171879</v>
          </cell>
        </row>
        <row r="678">
          <cell r="A678" t="str">
            <v>BRA</v>
          </cell>
          <cell r="B678" t="str">
            <v>Short</v>
          </cell>
          <cell r="C678" t="str">
            <v>2018 - 2022</v>
          </cell>
          <cell r="D678" t="str">
            <v>avg_1_99</v>
          </cell>
          <cell r="E678" t="str">
            <v>gdp_activity</v>
          </cell>
          <cell r="F678">
            <v>1.0471147298812871</v>
          </cell>
        </row>
        <row r="679">
          <cell r="A679" t="str">
            <v>BRA</v>
          </cell>
          <cell r="B679" t="str">
            <v>Short</v>
          </cell>
          <cell r="C679" t="str">
            <v>2018 - 2022</v>
          </cell>
          <cell r="D679" t="str">
            <v>avg_1_99</v>
          </cell>
          <cell r="E679" t="str">
            <v>gdp_for_agri</v>
          </cell>
          <cell r="F679">
            <v>1.6126390695571899</v>
          </cell>
        </row>
        <row r="680">
          <cell r="A680" t="str">
            <v>BRA</v>
          </cell>
          <cell r="B680" t="str">
            <v>Short</v>
          </cell>
          <cell r="C680" t="str">
            <v>2018 - 2022</v>
          </cell>
          <cell r="D680" t="str">
            <v>avg_1_99</v>
          </cell>
          <cell r="E680" t="str">
            <v>gdp_for_ind</v>
          </cell>
          <cell r="F680">
            <v>0.68765872716903687</v>
          </cell>
        </row>
        <row r="681">
          <cell r="A681" t="str">
            <v>BRA</v>
          </cell>
          <cell r="B681" t="str">
            <v>Short</v>
          </cell>
          <cell r="C681" t="str">
            <v>2018 - 2022</v>
          </cell>
          <cell r="D681" t="str">
            <v>avg_1_99</v>
          </cell>
          <cell r="E681" t="str">
            <v>gdp_for_serv</v>
          </cell>
          <cell r="F681">
            <v>1.0113428831100459</v>
          </cell>
        </row>
        <row r="682">
          <cell r="A682" t="str">
            <v>BRA</v>
          </cell>
          <cell r="B682" t="str">
            <v>Short</v>
          </cell>
          <cell r="C682" t="str">
            <v>2018 - 2022</v>
          </cell>
          <cell r="D682" t="str">
            <v>avg_1_99</v>
          </cell>
          <cell r="E682" t="str">
            <v>gdp_inf_agri</v>
          </cell>
          <cell r="F682">
            <v>-0.48906314373016357</v>
          </cell>
        </row>
        <row r="683">
          <cell r="A683" t="str">
            <v>BRA</v>
          </cell>
          <cell r="B683" t="str">
            <v>Short</v>
          </cell>
          <cell r="C683" t="str">
            <v>2018 - 2022</v>
          </cell>
          <cell r="D683" t="str">
            <v>avg_1_99</v>
          </cell>
          <cell r="E683" t="str">
            <v>gdp_inf_ind</v>
          </cell>
          <cell r="F683">
            <v>0.31237122416496282</v>
          </cell>
        </row>
        <row r="684">
          <cell r="A684" t="str">
            <v>BRA</v>
          </cell>
          <cell r="B684" t="str">
            <v>Short</v>
          </cell>
          <cell r="C684" t="str">
            <v>2018 - 2022</v>
          </cell>
          <cell r="D684" t="str">
            <v>avg_1_99</v>
          </cell>
          <cell r="E684" t="str">
            <v>gdp_inf_serv</v>
          </cell>
          <cell r="F684">
            <v>2.8532760143280029</v>
          </cell>
        </row>
        <row r="685">
          <cell r="A685" t="str">
            <v>BRA</v>
          </cell>
          <cell r="B685" t="str">
            <v>Short</v>
          </cell>
          <cell r="C685" t="str">
            <v>2018 - 2022</v>
          </cell>
          <cell r="D685" t="str">
            <v>avg_1_99</v>
          </cell>
          <cell r="E685" t="str">
            <v>prod_for_agri</v>
          </cell>
          <cell r="F685">
            <v>0.95827609300613403</v>
          </cell>
        </row>
        <row r="686">
          <cell r="A686" t="str">
            <v>BRA</v>
          </cell>
          <cell r="B686" t="str">
            <v>Short</v>
          </cell>
          <cell r="C686" t="str">
            <v>2018 - 2022</v>
          </cell>
          <cell r="D686" t="str">
            <v>avg_1_99</v>
          </cell>
          <cell r="E686" t="str">
            <v>prod_for_ind</v>
          </cell>
          <cell r="F686">
            <v>-0.14596876502037051</v>
          </cell>
        </row>
        <row r="687">
          <cell r="A687" t="str">
            <v>BRA</v>
          </cell>
          <cell r="B687" t="str">
            <v>Short</v>
          </cell>
          <cell r="C687" t="str">
            <v>2018 - 2022</v>
          </cell>
          <cell r="D687" t="str">
            <v>avg_1_99</v>
          </cell>
          <cell r="E687" t="str">
            <v>prod_for_serv</v>
          </cell>
          <cell r="F687">
            <v>-1.345499992370605</v>
          </cell>
        </row>
        <row r="688">
          <cell r="A688" t="str">
            <v>BRA</v>
          </cell>
          <cell r="B688" t="str">
            <v>Short</v>
          </cell>
          <cell r="C688" t="str">
            <v>2018 - 2022</v>
          </cell>
          <cell r="D688" t="str">
            <v>avg_1_99</v>
          </cell>
          <cell r="E688" t="str">
            <v>prod_inf_agri</v>
          </cell>
          <cell r="F688">
            <v>-4.4917821884155273</v>
          </cell>
        </row>
        <row r="689">
          <cell r="A689" t="str">
            <v>BRA</v>
          </cell>
          <cell r="B689" t="str">
            <v>Short</v>
          </cell>
          <cell r="C689" t="str">
            <v>2018 - 2022</v>
          </cell>
          <cell r="D689" t="str">
            <v>avg_1_99</v>
          </cell>
          <cell r="E689" t="str">
            <v>prod_inf_ind</v>
          </cell>
          <cell r="F689">
            <v>-6.5659701824188232E-2</v>
          </cell>
        </row>
        <row r="690">
          <cell r="A690" t="str">
            <v>BRA</v>
          </cell>
          <cell r="B690" t="str">
            <v>Short</v>
          </cell>
          <cell r="C690" t="str">
            <v>2018 - 2022</v>
          </cell>
          <cell r="D690" t="str">
            <v>avg_1_99</v>
          </cell>
          <cell r="E690" t="str">
            <v>prod_inf_serv</v>
          </cell>
          <cell r="F690">
            <v>-2.2495574951171879</v>
          </cell>
        </row>
        <row r="691">
          <cell r="A691" t="str">
            <v>BRA</v>
          </cell>
          <cell r="B691" t="str">
            <v>Short</v>
          </cell>
          <cell r="C691" t="str">
            <v>2018 - 2022</v>
          </cell>
          <cell r="D691" t="str">
            <v>avg_1_99_imp</v>
          </cell>
          <cell r="E691" t="str">
            <v>gdp_activity</v>
          </cell>
          <cell r="F691">
            <v>1.049837470054626</v>
          </cell>
        </row>
        <row r="692">
          <cell r="A692" t="str">
            <v>BRA</v>
          </cell>
          <cell r="B692" t="str">
            <v>Short</v>
          </cell>
          <cell r="C692" t="str">
            <v>2018 - 2022</v>
          </cell>
          <cell r="D692" t="str">
            <v>avg_1_99_imp</v>
          </cell>
          <cell r="E692" t="str">
            <v>gdp_for_agri</v>
          </cell>
          <cell r="F692">
            <v>1.71086585521698</v>
          </cell>
        </row>
        <row r="693">
          <cell r="A693" t="str">
            <v>BRA</v>
          </cell>
          <cell r="B693" t="str">
            <v>Short</v>
          </cell>
          <cell r="C693" t="str">
            <v>2018 - 2022</v>
          </cell>
          <cell r="D693" t="str">
            <v>avg_1_99_imp</v>
          </cell>
          <cell r="E693" t="str">
            <v>gdp_for_ind</v>
          </cell>
          <cell r="F693">
            <v>0.68765872716903687</v>
          </cell>
        </row>
        <row r="694">
          <cell r="A694" t="str">
            <v>BRA</v>
          </cell>
          <cell r="B694" t="str">
            <v>Short</v>
          </cell>
          <cell r="C694" t="str">
            <v>2018 - 2022</v>
          </cell>
          <cell r="D694" t="str">
            <v>avg_1_99_imp</v>
          </cell>
          <cell r="E694" t="str">
            <v>gdp_for_serv</v>
          </cell>
          <cell r="F694">
            <v>1.0113428831100459</v>
          </cell>
        </row>
        <row r="695">
          <cell r="A695" t="str">
            <v>BRA</v>
          </cell>
          <cell r="B695" t="str">
            <v>Short</v>
          </cell>
          <cell r="C695" t="str">
            <v>2018 - 2022</v>
          </cell>
          <cell r="D695" t="str">
            <v>avg_1_99_imp</v>
          </cell>
          <cell r="E695" t="str">
            <v>gdp_inf_agri</v>
          </cell>
          <cell r="F695">
            <v>-0.48901256918907171</v>
          </cell>
        </row>
        <row r="696">
          <cell r="A696" t="str">
            <v>BRA</v>
          </cell>
          <cell r="B696" t="str">
            <v>Short</v>
          </cell>
          <cell r="C696" t="str">
            <v>2018 - 2022</v>
          </cell>
          <cell r="D696" t="str">
            <v>avg_1_99_imp</v>
          </cell>
          <cell r="E696" t="str">
            <v>gdp_inf_ind</v>
          </cell>
          <cell r="F696">
            <v>0.31878259778022772</v>
          </cell>
        </row>
        <row r="697">
          <cell r="A697" t="str">
            <v>BRA</v>
          </cell>
          <cell r="B697" t="str">
            <v>Short</v>
          </cell>
          <cell r="C697" t="str">
            <v>2018 - 2022</v>
          </cell>
          <cell r="D697" t="str">
            <v>avg_1_99_imp</v>
          </cell>
          <cell r="E697" t="str">
            <v>gdp_inf_serv</v>
          </cell>
          <cell r="F697">
            <v>2.8532760143280029</v>
          </cell>
        </row>
        <row r="698">
          <cell r="A698" t="str">
            <v>BRA</v>
          </cell>
          <cell r="B698" t="str">
            <v>Short</v>
          </cell>
          <cell r="C698" t="str">
            <v>2018 - 2022</v>
          </cell>
          <cell r="D698" t="str">
            <v>avg_1_99_imp</v>
          </cell>
          <cell r="E698" t="str">
            <v>prod_for_agri</v>
          </cell>
          <cell r="F698">
            <v>0.86335134506225586</v>
          </cell>
        </row>
        <row r="699">
          <cell r="A699" t="str">
            <v>BRA</v>
          </cell>
          <cell r="B699" t="str">
            <v>Short</v>
          </cell>
          <cell r="C699" t="str">
            <v>2018 - 2022</v>
          </cell>
          <cell r="D699" t="str">
            <v>avg_1_99_imp</v>
          </cell>
          <cell r="E699" t="str">
            <v>prod_for_ind</v>
          </cell>
          <cell r="F699">
            <v>8.9312061667442322E-2</v>
          </cell>
        </row>
        <row r="700">
          <cell r="A700" t="str">
            <v>BRA</v>
          </cell>
          <cell r="B700" t="str">
            <v>Short</v>
          </cell>
          <cell r="C700" t="str">
            <v>2018 - 2022</v>
          </cell>
          <cell r="D700" t="str">
            <v>avg_1_99_imp</v>
          </cell>
          <cell r="E700" t="str">
            <v>prod_for_serv</v>
          </cell>
          <cell r="F700">
            <v>-0.16399320960044861</v>
          </cell>
        </row>
        <row r="701">
          <cell r="A701" t="str">
            <v>BRA</v>
          </cell>
          <cell r="B701" t="str">
            <v>Short</v>
          </cell>
          <cell r="C701" t="str">
            <v>2018 - 2022</v>
          </cell>
          <cell r="D701" t="str">
            <v>avg_1_99_imp</v>
          </cell>
          <cell r="E701" t="str">
            <v>prod_inf_agri</v>
          </cell>
          <cell r="F701">
            <v>-3.7965292930603032</v>
          </cell>
        </row>
        <row r="702">
          <cell r="A702" t="str">
            <v>BRA</v>
          </cell>
          <cell r="B702" t="str">
            <v>Short</v>
          </cell>
          <cell r="C702" t="str">
            <v>2018 - 2022</v>
          </cell>
          <cell r="D702" t="str">
            <v>avg_1_99_imp</v>
          </cell>
          <cell r="E702" t="str">
            <v>prod_inf_ind</v>
          </cell>
          <cell r="F702">
            <v>-4.7671295702457428E-2</v>
          </cell>
        </row>
        <row r="703">
          <cell r="A703" t="str">
            <v>BRA</v>
          </cell>
          <cell r="B703" t="str">
            <v>Short</v>
          </cell>
          <cell r="C703" t="str">
            <v>2018 - 2022</v>
          </cell>
          <cell r="D703" t="str">
            <v>avg_1_99_imp</v>
          </cell>
          <cell r="E703" t="str">
            <v>prod_inf_serv</v>
          </cell>
          <cell r="F703">
            <v>-2.2495574951171879</v>
          </cell>
        </row>
        <row r="704">
          <cell r="A704" t="str">
            <v>BRA</v>
          </cell>
          <cell r="B704" t="str">
            <v>Short</v>
          </cell>
          <cell r="C704" t="str">
            <v>2018 - 2022</v>
          </cell>
          <cell r="D704" t="str">
            <v>reg</v>
          </cell>
          <cell r="E704" t="str">
            <v>gdp_activity</v>
          </cell>
          <cell r="F704">
            <v>0.82994508743286133</v>
          </cell>
        </row>
        <row r="705">
          <cell r="A705" t="str">
            <v>BRA</v>
          </cell>
          <cell r="B705" t="str">
            <v>Short</v>
          </cell>
          <cell r="C705" t="str">
            <v>2018 - 2022</v>
          </cell>
          <cell r="D705" t="str">
            <v>reg</v>
          </cell>
          <cell r="E705" t="str">
            <v>gdp_for_agri</v>
          </cell>
          <cell r="F705">
            <v>0.57573592662811279</v>
          </cell>
        </row>
        <row r="706">
          <cell r="A706" t="str">
            <v>BRA</v>
          </cell>
          <cell r="B706" t="str">
            <v>Short</v>
          </cell>
          <cell r="C706" t="str">
            <v>2018 - 2022</v>
          </cell>
          <cell r="D706" t="str">
            <v>reg</v>
          </cell>
          <cell r="E706" t="str">
            <v>gdp_for_ind</v>
          </cell>
          <cell r="F706">
            <v>1.38015353679657</v>
          </cell>
        </row>
        <row r="707">
          <cell r="A707" t="str">
            <v>BRA</v>
          </cell>
          <cell r="B707" t="str">
            <v>Short</v>
          </cell>
          <cell r="C707" t="str">
            <v>2018 - 2022</v>
          </cell>
          <cell r="D707" t="str">
            <v>reg</v>
          </cell>
          <cell r="E707" t="str">
            <v>gdp_for_serv</v>
          </cell>
          <cell r="F707">
            <v>0.90231871604919434</v>
          </cell>
        </row>
        <row r="708">
          <cell r="A708" t="str">
            <v>BRA</v>
          </cell>
          <cell r="B708" t="str">
            <v>Short</v>
          </cell>
          <cell r="C708" t="str">
            <v>2018 - 2022</v>
          </cell>
          <cell r="D708" t="str">
            <v>reg</v>
          </cell>
          <cell r="E708" t="str">
            <v>gdp_inf_agri</v>
          </cell>
          <cell r="F708">
            <v>-0.58879989385604858</v>
          </cell>
        </row>
        <row r="709">
          <cell r="A709" t="str">
            <v>BRA</v>
          </cell>
          <cell r="B709" t="str">
            <v>Short</v>
          </cell>
          <cell r="C709" t="str">
            <v>2018 - 2022</v>
          </cell>
          <cell r="D709" t="str">
            <v>reg</v>
          </cell>
          <cell r="E709" t="str">
            <v>gdp_inf_ind</v>
          </cell>
          <cell r="F709">
            <v>2.3986811637878418</v>
          </cell>
        </row>
        <row r="710">
          <cell r="A710" t="str">
            <v>BRA</v>
          </cell>
          <cell r="B710" t="str">
            <v>Short</v>
          </cell>
          <cell r="C710" t="str">
            <v>2018 - 2022</v>
          </cell>
          <cell r="D710" t="str">
            <v>reg</v>
          </cell>
          <cell r="E710" t="str">
            <v>gdp_inf_serv</v>
          </cell>
          <cell r="F710">
            <v>2.1919887065887451</v>
          </cell>
        </row>
        <row r="711">
          <cell r="A711" t="str">
            <v>BRA</v>
          </cell>
          <cell r="B711" t="str">
            <v>Short</v>
          </cell>
          <cell r="C711" t="str">
            <v>2018 - 2022</v>
          </cell>
          <cell r="D711" t="str">
            <v>reg</v>
          </cell>
          <cell r="E711" t="str">
            <v>prod_for_agri</v>
          </cell>
          <cell r="F711">
            <v>0.28116947412490839</v>
          </cell>
        </row>
        <row r="712">
          <cell r="A712" t="str">
            <v>BRA</v>
          </cell>
          <cell r="B712" t="str">
            <v>Short</v>
          </cell>
          <cell r="C712" t="str">
            <v>2018 - 2022</v>
          </cell>
          <cell r="D712" t="str">
            <v>reg</v>
          </cell>
          <cell r="E712" t="str">
            <v>prod_for_ind</v>
          </cell>
          <cell r="F712">
            <v>0.46938371658325201</v>
          </cell>
        </row>
        <row r="713">
          <cell r="A713" t="str">
            <v>BRA</v>
          </cell>
          <cell r="B713" t="str">
            <v>Short</v>
          </cell>
          <cell r="C713" t="str">
            <v>2018 - 2022</v>
          </cell>
          <cell r="D713" t="str">
            <v>reg</v>
          </cell>
          <cell r="E713" t="str">
            <v>prod_for_serv</v>
          </cell>
          <cell r="F713">
            <v>-0.24648125469684601</v>
          </cell>
        </row>
        <row r="714">
          <cell r="A714" t="str">
            <v>BRA</v>
          </cell>
          <cell r="B714" t="str">
            <v>Short</v>
          </cell>
          <cell r="C714" t="str">
            <v>2018 - 2022</v>
          </cell>
          <cell r="D714" t="str">
            <v>reg</v>
          </cell>
          <cell r="E714" t="str">
            <v>prod_inf_agri</v>
          </cell>
          <cell r="F714">
            <v>-0.59688365459442139</v>
          </cell>
        </row>
        <row r="715">
          <cell r="A715" t="str">
            <v>BRA</v>
          </cell>
          <cell r="B715" t="str">
            <v>Short</v>
          </cell>
          <cell r="C715" t="str">
            <v>2018 - 2022</v>
          </cell>
          <cell r="D715" t="str">
            <v>reg</v>
          </cell>
          <cell r="E715" t="str">
            <v>prod_inf_ind</v>
          </cell>
          <cell r="F715">
            <v>6.1747901141643517E-2</v>
          </cell>
        </row>
        <row r="716">
          <cell r="A716" t="str">
            <v>BRA</v>
          </cell>
          <cell r="B716" t="str">
            <v>Short</v>
          </cell>
          <cell r="C716" t="str">
            <v>2018 - 2022</v>
          </cell>
          <cell r="D716" t="str">
            <v>reg</v>
          </cell>
          <cell r="E716" t="str">
            <v>prod_inf_serv</v>
          </cell>
          <cell r="F716">
            <v>-4.8935350030660629E-2</v>
          </cell>
        </row>
        <row r="717">
          <cell r="A717" t="str">
            <v>BRA</v>
          </cell>
          <cell r="B717" t="str">
            <v>Short</v>
          </cell>
          <cell r="C717" t="str">
            <v>2018 - 2022</v>
          </cell>
          <cell r="D717" t="str">
            <v>reg_gdp</v>
          </cell>
          <cell r="E717" t="str">
            <v>gdp_activity</v>
          </cell>
          <cell r="F717">
            <v>0.82994508743286133</v>
          </cell>
        </row>
        <row r="718">
          <cell r="A718" t="str">
            <v>BRA</v>
          </cell>
          <cell r="B718" t="str">
            <v>Short</v>
          </cell>
          <cell r="C718" t="str">
            <v>2018 - 2022</v>
          </cell>
          <cell r="D718" t="str">
            <v>reg_gdp</v>
          </cell>
          <cell r="E718" t="str">
            <v>gdp_for_agri</v>
          </cell>
          <cell r="F718">
            <v>0.42566722631454468</v>
          </cell>
        </row>
        <row r="719">
          <cell r="A719" t="str">
            <v>BRA</v>
          </cell>
          <cell r="B719" t="str">
            <v>Short</v>
          </cell>
          <cell r="C719" t="str">
            <v>2018 - 2022</v>
          </cell>
          <cell r="D719" t="str">
            <v>reg_gdp</v>
          </cell>
          <cell r="E719" t="str">
            <v>gdp_for_ind</v>
          </cell>
          <cell r="F719">
            <v>-1.225972652435303</v>
          </cell>
        </row>
        <row r="720">
          <cell r="A720" t="str">
            <v>BRA</v>
          </cell>
          <cell r="B720" t="str">
            <v>Short</v>
          </cell>
          <cell r="C720" t="str">
            <v>2018 - 2022</v>
          </cell>
          <cell r="D720" t="str">
            <v>reg_gdp</v>
          </cell>
          <cell r="E720" t="str">
            <v>gdp_for_serv</v>
          </cell>
          <cell r="F720">
            <v>6.9522800445556641</v>
          </cell>
        </row>
        <row r="721">
          <cell r="A721" t="str">
            <v>BRA</v>
          </cell>
          <cell r="B721" t="str">
            <v>Short</v>
          </cell>
          <cell r="C721" t="str">
            <v>2018 - 2022</v>
          </cell>
          <cell r="D721" t="str">
            <v>reg_gdp</v>
          </cell>
          <cell r="E721" t="str">
            <v>gdp_inf_agri</v>
          </cell>
          <cell r="F721">
            <v>-0.78315997123718262</v>
          </cell>
        </row>
        <row r="722">
          <cell r="A722" t="str">
            <v>BRA</v>
          </cell>
          <cell r="B722" t="str">
            <v>Short</v>
          </cell>
          <cell r="C722" t="str">
            <v>2018 - 2022</v>
          </cell>
          <cell r="D722" t="str">
            <v>reg_gdp</v>
          </cell>
          <cell r="E722" t="str">
            <v>gdp_inf_ind</v>
          </cell>
          <cell r="F722">
            <v>2.8087067604064941</v>
          </cell>
        </row>
        <row r="723">
          <cell r="A723" t="str">
            <v>BRA</v>
          </cell>
          <cell r="B723" t="str">
            <v>Short</v>
          </cell>
          <cell r="C723" t="str">
            <v>2018 - 2022</v>
          </cell>
          <cell r="D723" t="str">
            <v>reg_gdp</v>
          </cell>
          <cell r="E723" t="str">
            <v>gdp_inf_serv</v>
          </cell>
          <cell r="F723">
            <v>18.827129364013668</v>
          </cell>
        </row>
        <row r="724">
          <cell r="A724" t="str">
            <v>BRA</v>
          </cell>
          <cell r="B724" t="str">
            <v>Short</v>
          </cell>
          <cell r="C724" t="str">
            <v>2018 - 2022</v>
          </cell>
          <cell r="D724" t="str">
            <v>reg_gdp</v>
          </cell>
          <cell r="E724" t="str">
            <v>prod_for_agri</v>
          </cell>
          <cell r="F724">
            <v>0.97576463222503662</v>
          </cell>
        </row>
        <row r="725">
          <cell r="A725" t="str">
            <v>BRA</v>
          </cell>
          <cell r="B725" t="str">
            <v>Short</v>
          </cell>
          <cell r="C725" t="str">
            <v>2018 - 2022</v>
          </cell>
          <cell r="D725" t="str">
            <v>reg_gdp</v>
          </cell>
          <cell r="E725" t="str">
            <v>prod_for_ind</v>
          </cell>
          <cell r="F725">
            <v>-0.5006939172744751</v>
          </cell>
        </row>
        <row r="726">
          <cell r="A726" t="str">
            <v>BRA</v>
          </cell>
          <cell r="B726" t="str">
            <v>Short</v>
          </cell>
          <cell r="C726" t="str">
            <v>2018 - 2022</v>
          </cell>
          <cell r="D726" t="str">
            <v>reg_gdp</v>
          </cell>
          <cell r="E726" t="str">
            <v>prod_for_serv</v>
          </cell>
          <cell r="F726">
            <v>-0.38556504249572748</v>
          </cell>
        </row>
        <row r="727">
          <cell r="A727" t="str">
            <v>BRA</v>
          </cell>
          <cell r="B727" t="str">
            <v>Short</v>
          </cell>
          <cell r="C727" t="str">
            <v>2018 - 2022</v>
          </cell>
          <cell r="D727" t="str">
            <v>reg_gdp</v>
          </cell>
          <cell r="E727" t="str">
            <v>prod_inf_agri</v>
          </cell>
          <cell r="F727">
            <v>1.109009861946106</v>
          </cell>
        </row>
        <row r="728">
          <cell r="A728" t="str">
            <v>BRA</v>
          </cell>
          <cell r="B728" t="str">
            <v>Short</v>
          </cell>
          <cell r="C728" t="str">
            <v>2018 - 2022</v>
          </cell>
          <cell r="D728" t="str">
            <v>reg_gdp</v>
          </cell>
          <cell r="E728" t="str">
            <v>prod_inf_ind</v>
          </cell>
          <cell r="F728">
            <v>-1.06567907333374</v>
          </cell>
        </row>
        <row r="729">
          <cell r="A729" t="str">
            <v>BRA</v>
          </cell>
          <cell r="B729" t="str">
            <v>Short</v>
          </cell>
          <cell r="C729" t="str">
            <v>2018 - 2022</v>
          </cell>
          <cell r="D729" t="str">
            <v>reg_gdp</v>
          </cell>
          <cell r="E729" t="str">
            <v>prod_inf_serv</v>
          </cell>
          <cell r="F729">
            <v>-2.9405202716588971E-2</v>
          </cell>
        </row>
        <row r="730">
          <cell r="A730" t="str">
            <v>BRA</v>
          </cell>
          <cell r="B730" t="str">
            <v>Short</v>
          </cell>
          <cell r="C730" t="str">
            <v>2018 - 2022</v>
          </cell>
          <cell r="D730" t="str">
            <v>reg_iter</v>
          </cell>
          <cell r="E730" t="str">
            <v>gdp_activity</v>
          </cell>
          <cell r="F730">
            <v>0.30573776364326483</v>
          </cell>
        </row>
        <row r="731">
          <cell r="A731" t="str">
            <v>BRA</v>
          </cell>
          <cell r="B731" t="str">
            <v>Short</v>
          </cell>
          <cell r="C731" t="str">
            <v>2018 - 2022</v>
          </cell>
          <cell r="D731" t="str">
            <v>reg_iter</v>
          </cell>
          <cell r="E731" t="str">
            <v>gdp_for_agri</v>
          </cell>
          <cell r="F731">
            <v>1.807130694389343</v>
          </cell>
        </row>
        <row r="732">
          <cell r="A732" t="str">
            <v>BRA</v>
          </cell>
          <cell r="B732" t="str">
            <v>Short</v>
          </cell>
          <cell r="C732" t="str">
            <v>2018 - 2022</v>
          </cell>
          <cell r="D732" t="str">
            <v>reg_iter</v>
          </cell>
          <cell r="E732" t="str">
            <v>gdp_for_ind</v>
          </cell>
          <cell r="F732">
            <v>0.93636560440063477</v>
          </cell>
        </row>
        <row r="733">
          <cell r="A733" t="str">
            <v>BRA</v>
          </cell>
          <cell r="B733" t="str">
            <v>Short</v>
          </cell>
          <cell r="C733" t="str">
            <v>2018 - 2022</v>
          </cell>
          <cell r="D733" t="str">
            <v>reg_iter</v>
          </cell>
          <cell r="E733" t="str">
            <v>gdp_for_serv</v>
          </cell>
          <cell r="F733">
            <v>0.63649433851242065</v>
          </cell>
        </row>
        <row r="734">
          <cell r="A734" t="str">
            <v>BRA</v>
          </cell>
          <cell r="B734" t="str">
            <v>Short</v>
          </cell>
          <cell r="C734" t="str">
            <v>2018 - 2022</v>
          </cell>
          <cell r="D734" t="str">
            <v>reg_iter</v>
          </cell>
          <cell r="E734" t="str">
            <v>gdp_inf_agri</v>
          </cell>
          <cell r="F734">
            <v>1.075170516967773</v>
          </cell>
        </row>
        <row r="735">
          <cell r="A735" t="str">
            <v>BRA</v>
          </cell>
          <cell r="B735" t="str">
            <v>Short</v>
          </cell>
          <cell r="C735" t="str">
            <v>2018 - 2022</v>
          </cell>
          <cell r="D735" t="str">
            <v>reg_iter</v>
          </cell>
          <cell r="E735" t="str">
            <v>gdp_inf_ind</v>
          </cell>
          <cell r="F735">
            <v>0.44388306140899658</v>
          </cell>
        </row>
        <row r="736">
          <cell r="A736" t="str">
            <v>BRA</v>
          </cell>
          <cell r="B736" t="str">
            <v>Short</v>
          </cell>
          <cell r="C736" t="str">
            <v>2018 - 2022</v>
          </cell>
          <cell r="D736" t="str">
            <v>reg_iter</v>
          </cell>
          <cell r="E736" t="str">
            <v>gdp_inf_serv</v>
          </cell>
          <cell r="F736">
            <v>0.77178817987442017</v>
          </cell>
        </row>
        <row r="737">
          <cell r="A737" t="str">
            <v>BRA</v>
          </cell>
          <cell r="B737" t="str">
            <v>Short</v>
          </cell>
          <cell r="C737" t="str">
            <v>2018 - 2022</v>
          </cell>
          <cell r="D737" t="str">
            <v>reg_iter</v>
          </cell>
          <cell r="E737" t="str">
            <v>prod_for_agri</v>
          </cell>
          <cell r="F737">
            <v>2.566733598709106</v>
          </cell>
        </row>
        <row r="738">
          <cell r="A738" t="str">
            <v>BRA</v>
          </cell>
          <cell r="B738" t="str">
            <v>Short</v>
          </cell>
          <cell r="C738" t="str">
            <v>2018 - 2022</v>
          </cell>
          <cell r="D738" t="str">
            <v>reg_iter</v>
          </cell>
          <cell r="E738" t="str">
            <v>prod_for_ind</v>
          </cell>
          <cell r="F738">
            <v>-0.1420678794384003</v>
          </cell>
        </row>
        <row r="739">
          <cell r="A739" t="str">
            <v>BRA</v>
          </cell>
          <cell r="B739" t="str">
            <v>Short</v>
          </cell>
          <cell r="C739" t="str">
            <v>2018 - 2022</v>
          </cell>
          <cell r="D739" t="str">
            <v>reg_iter</v>
          </cell>
          <cell r="E739" t="str">
            <v>prod_for_serv</v>
          </cell>
          <cell r="F739">
            <v>-0.60463708639144897</v>
          </cell>
        </row>
        <row r="740">
          <cell r="A740" t="str">
            <v>BRA</v>
          </cell>
          <cell r="B740" t="str">
            <v>Short</v>
          </cell>
          <cell r="C740" t="str">
            <v>2018 - 2022</v>
          </cell>
          <cell r="D740" t="str">
            <v>reg_iter</v>
          </cell>
          <cell r="E740" t="str">
            <v>prod_inf_agri</v>
          </cell>
          <cell r="F740">
            <v>0.19136795401573181</v>
          </cell>
        </row>
        <row r="741">
          <cell r="A741" t="str">
            <v>BRA</v>
          </cell>
          <cell r="B741" t="str">
            <v>Short</v>
          </cell>
          <cell r="C741" t="str">
            <v>2018 - 2022</v>
          </cell>
          <cell r="D741" t="str">
            <v>reg_iter</v>
          </cell>
          <cell r="E741" t="str">
            <v>prod_inf_ind</v>
          </cell>
          <cell r="F741">
            <v>-2.465154647827148</v>
          </cell>
        </row>
        <row r="742">
          <cell r="A742" t="str">
            <v>BRA</v>
          </cell>
          <cell r="B742" t="str">
            <v>Short</v>
          </cell>
          <cell r="C742" t="str">
            <v>2018 - 2022</v>
          </cell>
          <cell r="D742" t="str">
            <v>reg_iter</v>
          </cell>
          <cell r="E742" t="str">
            <v>prod_inf_serv</v>
          </cell>
          <cell r="F742">
            <v>-0.41743680834770203</v>
          </cell>
        </row>
        <row r="743">
          <cell r="A743" t="str">
            <v>CHL</v>
          </cell>
          <cell r="B743" t="str">
            <v>Long</v>
          </cell>
          <cell r="C743" t="str">
            <v>2006 - 2022</v>
          </cell>
          <cell r="D743" t="str">
            <v>avg</v>
          </cell>
          <cell r="E743" t="str">
            <v>gdp_activity</v>
          </cell>
          <cell r="F743">
            <v>0.55484825372695923</v>
          </cell>
        </row>
        <row r="744">
          <cell r="A744" t="str">
            <v>CHL</v>
          </cell>
          <cell r="B744" t="str">
            <v>Long</v>
          </cell>
          <cell r="C744" t="str">
            <v>2006 - 2022</v>
          </cell>
          <cell r="D744" t="str">
            <v>avg</v>
          </cell>
          <cell r="E744" t="str">
            <v>gdp_for_agri</v>
          </cell>
          <cell r="F744">
            <v>-2.4532020092010498</v>
          </cell>
        </row>
        <row r="745">
          <cell r="A745" t="str">
            <v>CHL</v>
          </cell>
          <cell r="B745" t="str">
            <v>Long</v>
          </cell>
          <cell r="C745" t="str">
            <v>2006 - 2022</v>
          </cell>
          <cell r="D745" t="str">
            <v>avg</v>
          </cell>
          <cell r="E745" t="str">
            <v>gdp_for_ind</v>
          </cell>
          <cell r="F745">
            <v>0.20191061496734619</v>
          </cell>
        </row>
        <row r="746">
          <cell r="A746" t="str">
            <v>CHL</v>
          </cell>
          <cell r="B746" t="str">
            <v>Long</v>
          </cell>
          <cell r="C746" t="str">
            <v>2006 - 2022</v>
          </cell>
          <cell r="D746" t="str">
            <v>avg</v>
          </cell>
          <cell r="E746" t="str">
            <v>gdp_for_serv</v>
          </cell>
          <cell r="F746">
            <v>0.9893835186958313</v>
          </cell>
        </row>
        <row r="747">
          <cell r="A747" t="str">
            <v>CHL</v>
          </cell>
          <cell r="B747" t="str">
            <v>Long</v>
          </cell>
          <cell r="C747" t="str">
            <v>2006 - 2022</v>
          </cell>
          <cell r="D747" t="str">
            <v>avg</v>
          </cell>
          <cell r="E747" t="str">
            <v>gdp_inf_agri</v>
          </cell>
          <cell r="F747">
            <v>-10.75626373291016</v>
          </cell>
        </row>
        <row r="748">
          <cell r="A748" t="str">
            <v>CHL</v>
          </cell>
          <cell r="B748" t="str">
            <v>Long</v>
          </cell>
          <cell r="C748" t="str">
            <v>2006 - 2022</v>
          </cell>
          <cell r="D748" t="str">
            <v>avg</v>
          </cell>
          <cell r="E748" t="str">
            <v>gdp_inf_ind</v>
          </cell>
          <cell r="F748">
            <v>-0.54479604959487915</v>
          </cell>
        </row>
        <row r="749">
          <cell r="A749" t="str">
            <v>CHL</v>
          </cell>
          <cell r="B749" t="str">
            <v>Long</v>
          </cell>
          <cell r="C749" t="str">
            <v>2006 - 2022</v>
          </cell>
          <cell r="D749" t="str">
            <v>avg</v>
          </cell>
          <cell r="E749" t="str">
            <v>gdp_inf_serv</v>
          </cell>
          <cell r="F749">
            <v>2.2698183059692378</v>
          </cell>
        </row>
        <row r="750">
          <cell r="A750" t="str">
            <v>CHL</v>
          </cell>
          <cell r="B750" t="str">
            <v>Long</v>
          </cell>
          <cell r="C750" t="str">
            <v>2006 - 2022</v>
          </cell>
          <cell r="D750" t="str">
            <v>avg</v>
          </cell>
          <cell r="E750" t="str">
            <v>prod_for_agri</v>
          </cell>
          <cell r="F750">
            <v>0.11259029060602189</v>
          </cell>
        </row>
        <row r="751">
          <cell r="A751" t="str">
            <v>CHL</v>
          </cell>
          <cell r="B751" t="str">
            <v>Long</v>
          </cell>
          <cell r="C751" t="str">
            <v>2006 - 2022</v>
          </cell>
          <cell r="D751" t="str">
            <v>avg</v>
          </cell>
          <cell r="E751" t="str">
            <v>prod_for_ind</v>
          </cell>
          <cell r="F751">
            <v>3.816909551620483</v>
          </cell>
        </row>
        <row r="752">
          <cell r="A752" t="str">
            <v>CHL</v>
          </cell>
          <cell r="B752" t="str">
            <v>Long</v>
          </cell>
          <cell r="C752" t="str">
            <v>2006 - 2022</v>
          </cell>
          <cell r="D752" t="str">
            <v>avg</v>
          </cell>
          <cell r="E752" t="str">
            <v>prod_for_serv</v>
          </cell>
          <cell r="F752">
            <v>-2.292664766311646</v>
          </cell>
        </row>
        <row r="753">
          <cell r="A753" t="str">
            <v>CHL</v>
          </cell>
          <cell r="B753" t="str">
            <v>Long</v>
          </cell>
          <cell r="C753" t="str">
            <v>2006 - 2022</v>
          </cell>
          <cell r="D753" t="str">
            <v>avg</v>
          </cell>
          <cell r="E753" t="str">
            <v>prod_inf_agri</v>
          </cell>
          <cell r="F753">
            <v>10.357892990112299</v>
          </cell>
        </row>
        <row r="754">
          <cell r="A754" t="str">
            <v>CHL</v>
          </cell>
          <cell r="B754" t="str">
            <v>Long</v>
          </cell>
          <cell r="C754" t="str">
            <v>2006 - 2022</v>
          </cell>
          <cell r="D754" t="str">
            <v>avg</v>
          </cell>
          <cell r="E754" t="str">
            <v>prod_inf_ind</v>
          </cell>
          <cell r="F754">
            <v>18.313749313354489</v>
          </cell>
        </row>
        <row r="755">
          <cell r="A755" t="str">
            <v>CHL</v>
          </cell>
          <cell r="B755" t="str">
            <v>Long</v>
          </cell>
          <cell r="C755" t="str">
            <v>2006 - 2022</v>
          </cell>
          <cell r="D755" t="str">
            <v>avg</v>
          </cell>
          <cell r="E755" t="str">
            <v>prod_inf_serv</v>
          </cell>
          <cell r="F755">
            <v>-7.4348239898681641</v>
          </cell>
        </row>
        <row r="756">
          <cell r="A756" t="str">
            <v>CHL</v>
          </cell>
          <cell r="B756" t="str">
            <v>Long</v>
          </cell>
          <cell r="C756" t="str">
            <v>2006 - 2022</v>
          </cell>
          <cell r="D756" t="str">
            <v>avg_1_99</v>
          </cell>
          <cell r="E756" t="str">
            <v>gdp_activity</v>
          </cell>
          <cell r="F756">
            <v>0.59184759855270386</v>
          </cell>
        </row>
        <row r="757">
          <cell r="A757" t="str">
            <v>CHL</v>
          </cell>
          <cell r="B757" t="str">
            <v>Long</v>
          </cell>
          <cell r="C757" t="str">
            <v>2006 - 2022</v>
          </cell>
          <cell r="D757" t="str">
            <v>avg_1_99</v>
          </cell>
          <cell r="E757" t="str">
            <v>gdp_for_agri</v>
          </cell>
          <cell r="F757">
            <v>0.4964337944984436</v>
          </cell>
        </row>
        <row r="758">
          <cell r="A758" t="str">
            <v>CHL</v>
          </cell>
          <cell r="B758" t="str">
            <v>Long</v>
          </cell>
          <cell r="C758" t="str">
            <v>2006 - 2022</v>
          </cell>
          <cell r="D758" t="str">
            <v>avg_1_99</v>
          </cell>
          <cell r="E758" t="str">
            <v>gdp_for_ind</v>
          </cell>
          <cell r="F758">
            <v>1.1017249822616579</v>
          </cell>
        </row>
        <row r="759">
          <cell r="A759" t="str">
            <v>CHL</v>
          </cell>
          <cell r="B759" t="str">
            <v>Long</v>
          </cell>
          <cell r="C759" t="str">
            <v>2006 - 2022</v>
          </cell>
          <cell r="D759" t="str">
            <v>avg_1_99</v>
          </cell>
          <cell r="E759" t="str">
            <v>gdp_for_serv</v>
          </cell>
          <cell r="F759">
            <v>0.96443712711334229</v>
          </cell>
        </row>
        <row r="760">
          <cell r="A760" t="str">
            <v>CHL</v>
          </cell>
          <cell r="B760" t="str">
            <v>Long</v>
          </cell>
          <cell r="C760" t="str">
            <v>2006 - 2022</v>
          </cell>
          <cell r="D760" t="str">
            <v>avg_1_99</v>
          </cell>
          <cell r="E760" t="str">
            <v>gdp_inf_agri</v>
          </cell>
          <cell r="F760">
            <v>1.2167836427688601</v>
          </cell>
        </row>
        <row r="761">
          <cell r="A761" t="str">
            <v>CHL</v>
          </cell>
          <cell r="B761" t="str">
            <v>Long</v>
          </cell>
          <cell r="C761" t="str">
            <v>2006 - 2022</v>
          </cell>
          <cell r="D761" t="str">
            <v>avg_1_99</v>
          </cell>
          <cell r="E761" t="str">
            <v>gdp_inf_ind</v>
          </cell>
          <cell r="F761">
            <v>0.64487403631210327</v>
          </cell>
        </row>
        <row r="762">
          <cell r="A762" t="str">
            <v>CHL</v>
          </cell>
          <cell r="B762" t="str">
            <v>Long</v>
          </cell>
          <cell r="C762" t="str">
            <v>2006 - 2022</v>
          </cell>
          <cell r="D762" t="str">
            <v>avg_1_99</v>
          </cell>
          <cell r="E762" t="str">
            <v>gdp_inf_serv</v>
          </cell>
          <cell r="F762">
            <v>1.5384993553161621</v>
          </cell>
        </row>
        <row r="763">
          <cell r="A763" t="str">
            <v>CHL</v>
          </cell>
          <cell r="B763" t="str">
            <v>Long</v>
          </cell>
          <cell r="C763" t="str">
            <v>2006 - 2022</v>
          </cell>
          <cell r="D763" t="str">
            <v>avg_1_99</v>
          </cell>
          <cell r="E763" t="str">
            <v>prod_for_agri</v>
          </cell>
          <cell r="F763">
            <v>-0.1822526752948761</v>
          </cell>
        </row>
        <row r="764">
          <cell r="A764" t="str">
            <v>CHL</v>
          </cell>
          <cell r="B764" t="str">
            <v>Long</v>
          </cell>
          <cell r="C764" t="str">
            <v>2006 - 2022</v>
          </cell>
          <cell r="D764" t="str">
            <v>avg_1_99</v>
          </cell>
          <cell r="E764" t="str">
            <v>prod_for_ind</v>
          </cell>
          <cell r="F764">
            <v>0.64813721179962158</v>
          </cell>
        </row>
        <row r="765">
          <cell r="A765" t="str">
            <v>CHL</v>
          </cell>
          <cell r="B765" t="str">
            <v>Long</v>
          </cell>
          <cell r="C765" t="str">
            <v>2006 - 2022</v>
          </cell>
          <cell r="D765" t="str">
            <v>avg_1_99</v>
          </cell>
          <cell r="E765" t="str">
            <v>prod_for_serv</v>
          </cell>
          <cell r="F765">
            <v>-1.6840474605560301</v>
          </cell>
        </row>
        <row r="766">
          <cell r="A766" t="str">
            <v>CHL</v>
          </cell>
          <cell r="B766" t="str">
            <v>Long</v>
          </cell>
          <cell r="C766" t="str">
            <v>2006 - 2022</v>
          </cell>
          <cell r="D766" t="str">
            <v>avg_1_99</v>
          </cell>
          <cell r="E766" t="str">
            <v>prod_inf_agri</v>
          </cell>
          <cell r="F766">
            <v>1.0984184741973879</v>
          </cell>
        </row>
        <row r="767">
          <cell r="A767" t="str">
            <v>CHL</v>
          </cell>
          <cell r="B767" t="str">
            <v>Long</v>
          </cell>
          <cell r="C767" t="str">
            <v>2006 - 2022</v>
          </cell>
          <cell r="D767" t="str">
            <v>avg_1_99</v>
          </cell>
          <cell r="E767" t="str">
            <v>prod_inf_ind</v>
          </cell>
          <cell r="F767">
            <v>1.601892948150635</v>
          </cell>
        </row>
        <row r="768">
          <cell r="A768" t="str">
            <v>CHL</v>
          </cell>
          <cell r="B768" t="str">
            <v>Long</v>
          </cell>
          <cell r="C768" t="str">
            <v>2006 - 2022</v>
          </cell>
          <cell r="D768" t="str">
            <v>avg_1_99</v>
          </cell>
          <cell r="E768" t="str">
            <v>prod_inf_serv</v>
          </cell>
          <cell r="F768">
            <v>-3.4897820949554439</v>
          </cell>
        </row>
        <row r="769">
          <cell r="A769" t="str">
            <v>CHL</v>
          </cell>
          <cell r="B769" t="str">
            <v>Long</v>
          </cell>
          <cell r="C769" t="str">
            <v>2006 - 2022</v>
          </cell>
          <cell r="D769" t="str">
            <v>avg_1_99_imp</v>
          </cell>
          <cell r="E769" t="str">
            <v>gdp_activity</v>
          </cell>
          <cell r="F769">
            <v>0.54928719997406006</v>
          </cell>
        </row>
        <row r="770">
          <cell r="A770" t="str">
            <v>CHL</v>
          </cell>
          <cell r="B770" t="str">
            <v>Long</v>
          </cell>
          <cell r="C770" t="str">
            <v>2006 - 2022</v>
          </cell>
          <cell r="D770" t="str">
            <v>avg_1_99_imp</v>
          </cell>
          <cell r="E770" t="str">
            <v>gdp_for_agri</v>
          </cell>
          <cell r="F770">
            <v>0.36499020457267761</v>
          </cell>
        </row>
        <row r="771">
          <cell r="A771" t="str">
            <v>CHL</v>
          </cell>
          <cell r="B771" t="str">
            <v>Long</v>
          </cell>
          <cell r="C771" t="str">
            <v>2006 - 2022</v>
          </cell>
          <cell r="D771" t="str">
            <v>avg_1_99_imp</v>
          </cell>
          <cell r="E771" t="str">
            <v>gdp_for_ind</v>
          </cell>
          <cell r="F771">
            <v>1.208301424980164</v>
          </cell>
        </row>
        <row r="772">
          <cell r="A772" t="str">
            <v>CHL</v>
          </cell>
          <cell r="B772" t="str">
            <v>Long</v>
          </cell>
          <cell r="C772" t="str">
            <v>2006 - 2022</v>
          </cell>
          <cell r="D772" t="str">
            <v>avg_1_99_imp</v>
          </cell>
          <cell r="E772" t="str">
            <v>gdp_for_serv</v>
          </cell>
          <cell r="F772">
            <v>0.94851946830749512</v>
          </cell>
        </row>
        <row r="773">
          <cell r="A773" t="str">
            <v>CHL</v>
          </cell>
          <cell r="B773" t="str">
            <v>Long</v>
          </cell>
          <cell r="C773" t="str">
            <v>2006 - 2022</v>
          </cell>
          <cell r="D773" t="str">
            <v>avg_1_99_imp</v>
          </cell>
          <cell r="E773" t="str">
            <v>gdp_inf_agri</v>
          </cell>
          <cell r="F773">
            <v>1.2447060346603389</v>
          </cell>
        </row>
        <row r="774">
          <cell r="A774" t="str">
            <v>CHL</v>
          </cell>
          <cell r="B774" t="str">
            <v>Long</v>
          </cell>
          <cell r="C774" t="str">
            <v>2006 - 2022</v>
          </cell>
          <cell r="D774" t="str">
            <v>avg_1_99_imp</v>
          </cell>
          <cell r="E774" t="str">
            <v>gdp_inf_ind</v>
          </cell>
          <cell r="F774">
            <v>0.47518029808998108</v>
          </cell>
        </row>
        <row r="775">
          <cell r="A775" t="str">
            <v>CHL</v>
          </cell>
          <cell r="B775" t="str">
            <v>Long</v>
          </cell>
          <cell r="C775" t="str">
            <v>2006 - 2022</v>
          </cell>
          <cell r="D775" t="str">
            <v>avg_1_99_imp</v>
          </cell>
          <cell r="E775" t="str">
            <v>gdp_inf_serv</v>
          </cell>
          <cell r="F775">
            <v>1.5750467777252199</v>
          </cell>
        </row>
        <row r="776">
          <cell r="A776" t="str">
            <v>CHL</v>
          </cell>
          <cell r="B776" t="str">
            <v>Long</v>
          </cell>
          <cell r="C776" t="str">
            <v>2006 - 2022</v>
          </cell>
          <cell r="D776" t="str">
            <v>avg_1_99_imp</v>
          </cell>
          <cell r="E776" t="str">
            <v>prod_for_agri</v>
          </cell>
          <cell r="F776">
            <v>4.5894652605056763E-2</v>
          </cell>
        </row>
        <row r="777">
          <cell r="A777" t="str">
            <v>CHL</v>
          </cell>
          <cell r="B777" t="str">
            <v>Long</v>
          </cell>
          <cell r="C777" t="str">
            <v>2006 - 2022</v>
          </cell>
          <cell r="D777" t="str">
            <v>avg_1_99_imp</v>
          </cell>
          <cell r="E777" t="str">
            <v>prod_for_ind</v>
          </cell>
          <cell r="F777">
            <v>0.31992915272712708</v>
          </cell>
        </row>
        <row r="778">
          <cell r="A778" t="str">
            <v>CHL</v>
          </cell>
          <cell r="B778" t="str">
            <v>Long</v>
          </cell>
          <cell r="C778" t="str">
            <v>2006 - 2022</v>
          </cell>
          <cell r="D778" t="str">
            <v>avg_1_99_imp</v>
          </cell>
          <cell r="E778" t="str">
            <v>prod_for_serv</v>
          </cell>
          <cell r="F778">
            <v>0.16601660847663879</v>
          </cell>
        </row>
        <row r="779">
          <cell r="A779" t="str">
            <v>CHL</v>
          </cell>
          <cell r="B779" t="str">
            <v>Long</v>
          </cell>
          <cell r="C779" t="str">
            <v>2006 - 2022</v>
          </cell>
          <cell r="D779" t="str">
            <v>avg_1_99_imp</v>
          </cell>
          <cell r="E779" t="str">
            <v>prod_inf_agri</v>
          </cell>
          <cell r="F779">
            <v>0.84168350696563721</v>
          </cell>
        </row>
        <row r="780">
          <cell r="A780" t="str">
            <v>CHL</v>
          </cell>
          <cell r="B780" t="str">
            <v>Long</v>
          </cell>
          <cell r="C780" t="str">
            <v>2006 - 2022</v>
          </cell>
          <cell r="D780" t="str">
            <v>avg_1_99_imp</v>
          </cell>
          <cell r="E780" t="str">
            <v>prod_inf_ind</v>
          </cell>
          <cell r="F780">
            <v>0.95667445659637451</v>
          </cell>
        </row>
        <row r="781">
          <cell r="A781" t="str">
            <v>CHL</v>
          </cell>
          <cell r="B781" t="str">
            <v>Long</v>
          </cell>
          <cell r="C781" t="str">
            <v>2006 - 2022</v>
          </cell>
          <cell r="D781" t="str">
            <v>avg_1_99_imp</v>
          </cell>
          <cell r="E781" t="str">
            <v>prod_inf_serv</v>
          </cell>
          <cell r="F781">
            <v>-3.5606825351715088</v>
          </cell>
        </row>
        <row r="782">
          <cell r="A782" t="str">
            <v>CHL</v>
          </cell>
          <cell r="B782" t="str">
            <v>Long</v>
          </cell>
          <cell r="C782" t="str">
            <v>2006 - 2022</v>
          </cell>
          <cell r="D782" t="str">
            <v>reg</v>
          </cell>
          <cell r="E782" t="str">
            <v>gdp_activity</v>
          </cell>
          <cell r="F782">
            <v>0.67620670795440674</v>
          </cell>
        </row>
        <row r="783">
          <cell r="A783" t="str">
            <v>CHL</v>
          </cell>
          <cell r="B783" t="str">
            <v>Long</v>
          </cell>
          <cell r="C783" t="str">
            <v>2006 - 2022</v>
          </cell>
          <cell r="D783" t="str">
            <v>reg</v>
          </cell>
          <cell r="E783" t="str">
            <v>gdp_for_agri</v>
          </cell>
          <cell r="F783">
            <v>4.9704946577548981E-2</v>
          </cell>
        </row>
        <row r="784">
          <cell r="A784" t="str">
            <v>CHL</v>
          </cell>
          <cell r="B784" t="str">
            <v>Long</v>
          </cell>
          <cell r="C784" t="str">
            <v>2006 - 2022</v>
          </cell>
          <cell r="D784" t="str">
            <v>reg</v>
          </cell>
          <cell r="E784" t="str">
            <v>gdp_for_ind</v>
          </cell>
          <cell r="F784">
            <v>1.1060541868209841</v>
          </cell>
        </row>
        <row r="785">
          <cell r="A785" t="str">
            <v>CHL</v>
          </cell>
          <cell r="B785" t="str">
            <v>Long</v>
          </cell>
          <cell r="C785" t="str">
            <v>2006 - 2022</v>
          </cell>
          <cell r="D785" t="str">
            <v>reg</v>
          </cell>
          <cell r="E785" t="str">
            <v>gdp_for_serv</v>
          </cell>
          <cell r="F785">
            <v>1.0097647905349729</v>
          </cell>
        </row>
        <row r="786">
          <cell r="A786" t="str">
            <v>CHL</v>
          </cell>
          <cell r="B786" t="str">
            <v>Long</v>
          </cell>
          <cell r="C786" t="str">
            <v>2006 - 2022</v>
          </cell>
          <cell r="D786" t="str">
            <v>reg</v>
          </cell>
          <cell r="E786" t="str">
            <v>gdp_inf_agri</v>
          </cell>
          <cell r="F786">
            <v>-1.29857861995697</v>
          </cell>
        </row>
        <row r="787">
          <cell r="A787" t="str">
            <v>CHL</v>
          </cell>
          <cell r="B787" t="str">
            <v>Long</v>
          </cell>
          <cell r="C787" t="str">
            <v>2006 - 2022</v>
          </cell>
          <cell r="D787" t="str">
            <v>reg</v>
          </cell>
          <cell r="E787" t="str">
            <v>gdp_inf_ind</v>
          </cell>
          <cell r="F787">
            <v>0.63312381505966187</v>
          </cell>
        </row>
        <row r="788">
          <cell r="A788" t="str">
            <v>CHL</v>
          </cell>
          <cell r="B788" t="str">
            <v>Long</v>
          </cell>
          <cell r="C788" t="str">
            <v>2006 - 2022</v>
          </cell>
          <cell r="D788" t="str">
            <v>reg</v>
          </cell>
          <cell r="E788" t="str">
            <v>gdp_inf_serv</v>
          </cell>
          <cell r="F788">
            <v>0.33313357830047607</v>
          </cell>
        </row>
        <row r="789">
          <cell r="A789" t="str">
            <v>CHL</v>
          </cell>
          <cell r="B789" t="str">
            <v>Long</v>
          </cell>
          <cell r="C789" t="str">
            <v>2006 - 2022</v>
          </cell>
          <cell r="D789" t="str">
            <v>reg</v>
          </cell>
          <cell r="E789" t="str">
            <v>prod_for_agri</v>
          </cell>
          <cell r="F789">
            <v>1.0495603084564209</v>
          </cell>
        </row>
        <row r="790">
          <cell r="A790" t="str">
            <v>CHL</v>
          </cell>
          <cell r="B790" t="str">
            <v>Long</v>
          </cell>
          <cell r="C790" t="str">
            <v>2006 - 2022</v>
          </cell>
          <cell r="D790" t="str">
            <v>reg</v>
          </cell>
          <cell r="E790" t="str">
            <v>prod_for_ind</v>
          </cell>
          <cell r="F790">
            <v>-8.8768608868122101E-2</v>
          </cell>
        </row>
        <row r="791">
          <cell r="A791" t="str">
            <v>CHL</v>
          </cell>
          <cell r="B791" t="str">
            <v>Long</v>
          </cell>
          <cell r="C791" t="str">
            <v>2006 - 2022</v>
          </cell>
          <cell r="D791" t="str">
            <v>reg</v>
          </cell>
          <cell r="E791" t="str">
            <v>prod_for_serv</v>
          </cell>
          <cell r="F791">
            <v>2.7975227832794189</v>
          </cell>
        </row>
        <row r="792">
          <cell r="A792" t="str">
            <v>CHL</v>
          </cell>
          <cell r="B792" t="str">
            <v>Long</v>
          </cell>
          <cell r="C792" t="str">
            <v>2006 - 2022</v>
          </cell>
          <cell r="D792" t="str">
            <v>reg</v>
          </cell>
          <cell r="E792" t="str">
            <v>prod_inf_agri</v>
          </cell>
          <cell r="F792">
            <v>0.59814071655273438</v>
          </cell>
        </row>
        <row r="793">
          <cell r="A793" t="str">
            <v>CHL</v>
          </cell>
          <cell r="B793" t="str">
            <v>Long</v>
          </cell>
          <cell r="C793" t="str">
            <v>2006 - 2022</v>
          </cell>
          <cell r="D793" t="str">
            <v>reg</v>
          </cell>
          <cell r="E793" t="str">
            <v>prod_inf_ind</v>
          </cell>
          <cell r="F793">
            <v>-0.63385558128356934</v>
          </cell>
        </row>
        <row r="794">
          <cell r="A794" t="str">
            <v>CHL</v>
          </cell>
          <cell r="B794" t="str">
            <v>Long</v>
          </cell>
          <cell r="C794" t="str">
            <v>2006 - 2022</v>
          </cell>
          <cell r="D794" t="str">
            <v>reg</v>
          </cell>
          <cell r="E794" t="str">
            <v>prod_inf_serv</v>
          </cell>
          <cell r="F794">
            <v>0.40464061498641968</v>
          </cell>
        </row>
        <row r="795">
          <cell r="A795" t="str">
            <v>CHL</v>
          </cell>
          <cell r="B795" t="str">
            <v>Long</v>
          </cell>
          <cell r="C795" t="str">
            <v>2006 - 2022</v>
          </cell>
          <cell r="D795" t="str">
            <v>reg_gdp</v>
          </cell>
          <cell r="E795" t="str">
            <v>gdp_activity</v>
          </cell>
          <cell r="F795">
            <v>0.67620670795440674</v>
          </cell>
        </row>
        <row r="796">
          <cell r="A796" t="str">
            <v>CHL</v>
          </cell>
          <cell r="B796" t="str">
            <v>Long</v>
          </cell>
          <cell r="C796" t="str">
            <v>2006 - 2022</v>
          </cell>
          <cell r="D796" t="str">
            <v>reg_gdp</v>
          </cell>
          <cell r="E796" t="str">
            <v>gdp_for_agri</v>
          </cell>
          <cell r="F796">
            <v>0.19890560209751129</v>
          </cell>
        </row>
        <row r="797">
          <cell r="A797" t="str">
            <v>CHL</v>
          </cell>
          <cell r="B797" t="str">
            <v>Long</v>
          </cell>
          <cell r="C797" t="str">
            <v>2006 - 2022</v>
          </cell>
          <cell r="D797" t="str">
            <v>reg_gdp</v>
          </cell>
          <cell r="E797" t="str">
            <v>gdp_for_ind</v>
          </cell>
          <cell r="F797">
            <v>0.49459710717201227</v>
          </cell>
        </row>
        <row r="798">
          <cell r="A798" t="str">
            <v>CHL</v>
          </cell>
          <cell r="B798" t="str">
            <v>Long</v>
          </cell>
          <cell r="C798" t="str">
            <v>2006 - 2022</v>
          </cell>
          <cell r="D798" t="str">
            <v>reg_gdp</v>
          </cell>
          <cell r="E798" t="str">
            <v>gdp_for_serv</v>
          </cell>
          <cell r="F798">
            <v>-0.37396752834320068</v>
          </cell>
        </row>
        <row r="799">
          <cell r="A799" t="str">
            <v>CHL</v>
          </cell>
          <cell r="B799" t="str">
            <v>Long</v>
          </cell>
          <cell r="C799" t="str">
            <v>2006 - 2022</v>
          </cell>
          <cell r="D799" t="str">
            <v>reg_gdp</v>
          </cell>
          <cell r="E799" t="str">
            <v>gdp_inf_agri</v>
          </cell>
          <cell r="F799">
            <v>-1.976938843727112</v>
          </cell>
        </row>
        <row r="800">
          <cell r="A800" t="str">
            <v>CHL</v>
          </cell>
          <cell r="B800" t="str">
            <v>Long</v>
          </cell>
          <cell r="C800" t="str">
            <v>2006 - 2022</v>
          </cell>
          <cell r="D800" t="str">
            <v>reg_gdp</v>
          </cell>
          <cell r="E800" t="str">
            <v>gdp_inf_ind</v>
          </cell>
          <cell r="F800">
            <v>-2.86545729637146</v>
          </cell>
        </row>
        <row r="801">
          <cell r="A801" t="str">
            <v>CHL</v>
          </cell>
          <cell r="B801" t="str">
            <v>Long</v>
          </cell>
          <cell r="C801" t="str">
            <v>2006 - 2022</v>
          </cell>
          <cell r="D801" t="str">
            <v>reg_gdp</v>
          </cell>
          <cell r="E801" t="str">
            <v>gdp_inf_serv</v>
          </cell>
          <cell r="F801">
            <v>10.608357429504389</v>
          </cell>
        </row>
        <row r="802">
          <cell r="A802" t="str">
            <v>CHL</v>
          </cell>
          <cell r="B802" t="str">
            <v>Long</v>
          </cell>
          <cell r="C802" t="str">
            <v>2006 - 2022</v>
          </cell>
          <cell r="D802" t="str">
            <v>reg_gdp</v>
          </cell>
          <cell r="E802" t="str">
            <v>prod_for_agri</v>
          </cell>
          <cell r="F802">
            <v>0.43881413340568542</v>
          </cell>
        </row>
        <row r="803">
          <cell r="A803" t="str">
            <v>CHL</v>
          </cell>
          <cell r="B803" t="str">
            <v>Long</v>
          </cell>
          <cell r="C803" t="str">
            <v>2006 - 2022</v>
          </cell>
          <cell r="D803" t="str">
            <v>reg_gdp</v>
          </cell>
          <cell r="E803" t="str">
            <v>prod_for_ind</v>
          </cell>
          <cell r="F803">
            <v>7.697131484746933E-2</v>
          </cell>
        </row>
        <row r="804">
          <cell r="A804" t="str">
            <v>CHL</v>
          </cell>
          <cell r="B804" t="str">
            <v>Long</v>
          </cell>
          <cell r="C804" t="str">
            <v>2006 - 2022</v>
          </cell>
          <cell r="D804" t="str">
            <v>reg_gdp</v>
          </cell>
          <cell r="E804" t="str">
            <v>prod_for_serv</v>
          </cell>
          <cell r="F804">
            <v>1.2966771125793459</v>
          </cell>
        </row>
        <row r="805">
          <cell r="A805" t="str">
            <v>CHL</v>
          </cell>
          <cell r="B805" t="str">
            <v>Long</v>
          </cell>
          <cell r="C805" t="str">
            <v>2006 - 2022</v>
          </cell>
          <cell r="D805" t="str">
            <v>reg_gdp</v>
          </cell>
          <cell r="E805" t="str">
            <v>prod_inf_agri</v>
          </cell>
          <cell r="F805">
            <v>-0.55038493871688843</v>
          </cell>
        </row>
        <row r="806">
          <cell r="A806" t="str">
            <v>CHL</v>
          </cell>
          <cell r="B806" t="str">
            <v>Long</v>
          </cell>
          <cell r="C806" t="str">
            <v>2006 - 2022</v>
          </cell>
          <cell r="D806" t="str">
            <v>reg_gdp</v>
          </cell>
          <cell r="E806" t="str">
            <v>prod_inf_ind</v>
          </cell>
          <cell r="F806">
            <v>-0.55589401721954346</v>
          </cell>
        </row>
        <row r="807">
          <cell r="A807" t="str">
            <v>CHL</v>
          </cell>
          <cell r="B807" t="str">
            <v>Long</v>
          </cell>
          <cell r="C807" t="str">
            <v>2006 - 2022</v>
          </cell>
          <cell r="D807" t="str">
            <v>reg_gdp</v>
          </cell>
          <cell r="E807" t="str">
            <v>prod_inf_serv</v>
          </cell>
          <cell r="F807">
            <v>-1.7089430093765261</v>
          </cell>
        </row>
        <row r="808">
          <cell r="A808" t="str">
            <v>CHL</v>
          </cell>
          <cell r="B808" t="str">
            <v>Long</v>
          </cell>
          <cell r="C808" t="str">
            <v>2006 - 2022</v>
          </cell>
          <cell r="D808" t="str">
            <v>reg_iter</v>
          </cell>
          <cell r="E808" t="str">
            <v>gdp_activity</v>
          </cell>
          <cell r="F808">
            <v>0.66140228509902954</v>
          </cell>
        </row>
        <row r="809">
          <cell r="A809" t="str">
            <v>CHL</v>
          </cell>
          <cell r="B809" t="str">
            <v>Long</v>
          </cell>
          <cell r="C809" t="str">
            <v>2006 - 2022</v>
          </cell>
          <cell r="D809" t="str">
            <v>reg_iter</v>
          </cell>
          <cell r="E809" t="str">
            <v>gdp_for_agri</v>
          </cell>
          <cell r="F809">
            <v>7.1511708199977875E-2</v>
          </cell>
        </row>
        <row r="810">
          <cell r="A810" t="str">
            <v>CHL</v>
          </cell>
          <cell r="B810" t="str">
            <v>Long</v>
          </cell>
          <cell r="C810" t="str">
            <v>2006 - 2022</v>
          </cell>
          <cell r="D810" t="str">
            <v>reg_iter</v>
          </cell>
          <cell r="E810" t="str">
            <v>gdp_for_ind</v>
          </cell>
          <cell r="F810">
            <v>1.517455458641052</v>
          </cell>
        </row>
        <row r="811">
          <cell r="A811" t="str">
            <v>CHL</v>
          </cell>
          <cell r="B811" t="str">
            <v>Long</v>
          </cell>
          <cell r="C811" t="str">
            <v>2006 - 2022</v>
          </cell>
          <cell r="D811" t="str">
            <v>reg_iter</v>
          </cell>
          <cell r="E811" t="str">
            <v>gdp_for_serv</v>
          </cell>
          <cell r="F811">
            <v>0.93618535995483398</v>
          </cell>
        </row>
        <row r="812">
          <cell r="A812" t="str">
            <v>CHL</v>
          </cell>
          <cell r="B812" t="str">
            <v>Long</v>
          </cell>
          <cell r="C812" t="str">
            <v>2006 - 2022</v>
          </cell>
          <cell r="D812" t="str">
            <v>reg_iter</v>
          </cell>
          <cell r="E812" t="str">
            <v>gdp_inf_agri</v>
          </cell>
          <cell r="F812">
            <v>-0.41440856456756592</v>
          </cell>
        </row>
        <row r="813">
          <cell r="A813" t="str">
            <v>CHL</v>
          </cell>
          <cell r="B813" t="str">
            <v>Long</v>
          </cell>
          <cell r="C813" t="str">
            <v>2006 - 2022</v>
          </cell>
          <cell r="D813" t="str">
            <v>reg_iter</v>
          </cell>
          <cell r="E813" t="str">
            <v>gdp_inf_ind</v>
          </cell>
          <cell r="F813">
            <v>2.030402660369873</v>
          </cell>
        </row>
        <row r="814">
          <cell r="A814" t="str">
            <v>CHL</v>
          </cell>
          <cell r="B814" t="str">
            <v>Long</v>
          </cell>
          <cell r="C814" t="str">
            <v>2006 - 2022</v>
          </cell>
          <cell r="D814" t="str">
            <v>reg_iter</v>
          </cell>
          <cell r="E814" t="str">
            <v>gdp_inf_serv</v>
          </cell>
          <cell r="F814">
            <v>0.85481768846511841</v>
          </cell>
        </row>
        <row r="815">
          <cell r="A815" t="str">
            <v>CHL</v>
          </cell>
          <cell r="B815" t="str">
            <v>Long</v>
          </cell>
          <cell r="C815" t="str">
            <v>2006 - 2022</v>
          </cell>
          <cell r="D815" t="str">
            <v>reg_iter</v>
          </cell>
          <cell r="E815" t="str">
            <v>prod_for_agri</v>
          </cell>
          <cell r="F815">
            <v>0.78275972604751587</v>
          </cell>
        </row>
        <row r="816">
          <cell r="A816" t="str">
            <v>CHL</v>
          </cell>
          <cell r="B816" t="str">
            <v>Long</v>
          </cell>
          <cell r="C816" t="str">
            <v>2006 - 2022</v>
          </cell>
          <cell r="D816" t="str">
            <v>reg_iter</v>
          </cell>
          <cell r="E816" t="str">
            <v>prod_for_ind</v>
          </cell>
          <cell r="F816">
            <v>-0.61560738086700439</v>
          </cell>
        </row>
        <row r="817">
          <cell r="A817" t="str">
            <v>CHL</v>
          </cell>
          <cell r="B817" t="str">
            <v>Long</v>
          </cell>
          <cell r="C817" t="str">
            <v>2006 - 2022</v>
          </cell>
          <cell r="D817" t="str">
            <v>reg_iter</v>
          </cell>
          <cell r="E817" t="str">
            <v>prod_for_serv</v>
          </cell>
          <cell r="F817">
            <v>2.5376453399658199</v>
          </cell>
        </row>
        <row r="818">
          <cell r="A818" t="str">
            <v>CHL</v>
          </cell>
          <cell r="B818" t="str">
            <v>Long</v>
          </cell>
          <cell r="C818" t="str">
            <v>2006 - 2022</v>
          </cell>
          <cell r="D818" t="str">
            <v>reg_iter</v>
          </cell>
          <cell r="E818" t="str">
            <v>prod_inf_agri</v>
          </cell>
          <cell r="F818">
            <v>0.78842794895172119</v>
          </cell>
        </row>
        <row r="819">
          <cell r="A819" t="str">
            <v>CHL</v>
          </cell>
          <cell r="B819" t="str">
            <v>Long</v>
          </cell>
          <cell r="C819" t="str">
            <v>2006 - 2022</v>
          </cell>
          <cell r="D819" t="str">
            <v>reg_iter</v>
          </cell>
          <cell r="E819" t="str">
            <v>prod_inf_ind</v>
          </cell>
          <cell r="F819">
            <v>-0.76190418004989624</v>
          </cell>
        </row>
        <row r="820">
          <cell r="A820" t="str">
            <v>CHL</v>
          </cell>
          <cell r="B820" t="str">
            <v>Long</v>
          </cell>
          <cell r="C820" t="str">
            <v>2006 - 2022</v>
          </cell>
          <cell r="D820" t="str">
            <v>reg_iter</v>
          </cell>
          <cell r="E820" t="str">
            <v>prod_inf_serv</v>
          </cell>
          <cell r="F820">
            <v>0.94358313083648682</v>
          </cell>
        </row>
        <row r="821">
          <cell r="A821" t="str">
            <v>CHL</v>
          </cell>
          <cell r="B821" t="str">
            <v>Middle</v>
          </cell>
          <cell r="C821" t="str">
            <v>2015 - 2022</v>
          </cell>
          <cell r="D821" t="str">
            <v>avg</v>
          </cell>
          <cell r="E821" t="str">
            <v>gdp_activity</v>
          </cell>
          <cell r="F821">
            <v>0.63004380464553833</v>
          </cell>
        </row>
        <row r="822">
          <cell r="A822" t="str">
            <v>CHL</v>
          </cell>
          <cell r="B822" t="str">
            <v>Middle</v>
          </cell>
          <cell r="C822" t="str">
            <v>2015 - 2022</v>
          </cell>
          <cell r="D822" t="str">
            <v>avg</v>
          </cell>
          <cell r="E822" t="str">
            <v>gdp_for_agri</v>
          </cell>
          <cell r="F822">
            <v>-4.3984494209289551</v>
          </cell>
        </row>
        <row r="823">
          <cell r="A823" t="str">
            <v>CHL</v>
          </cell>
          <cell r="B823" t="str">
            <v>Middle</v>
          </cell>
          <cell r="C823" t="str">
            <v>2015 - 2022</v>
          </cell>
          <cell r="D823" t="str">
            <v>avg</v>
          </cell>
          <cell r="E823" t="str">
            <v>gdp_for_ind</v>
          </cell>
          <cell r="F823">
            <v>-0.97767949104309082</v>
          </cell>
        </row>
        <row r="824">
          <cell r="A824" t="str">
            <v>CHL</v>
          </cell>
          <cell r="B824" t="str">
            <v>Middle</v>
          </cell>
          <cell r="C824" t="str">
            <v>2015 - 2022</v>
          </cell>
          <cell r="D824" t="str">
            <v>avg</v>
          </cell>
          <cell r="E824" t="str">
            <v>gdp_for_serv</v>
          </cell>
          <cell r="F824">
            <v>0.96882015466690063</v>
          </cell>
        </row>
        <row r="825">
          <cell r="A825" t="str">
            <v>CHL</v>
          </cell>
          <cell r="B825" t="str">
            <v>Middle</v>
          </cell>
          <cell r="C825" t="str">
            <v>2015 - 2022</v>
          </cell>
          <cell r="D825" t="str">
            <v>avg</v>
          </cell>
          <cell r="E825" t="str">
            <v>gdp_inf_agri</v>
          </cell>
          <cell r="F825">
            <v>-16.662837982177731</v>
          </cell>
        </row>
        <row r="826">
          <cell r="A826" t="str">
            <v>CHL</v>
          </cell>
          <cell r="B826" t="str">
            <v>Middle</v>
          </cell>
          <cell r="C826" t="str">
            <v>2015 - 2022</v>
          </cell>
          <cell r="D826" t="str">
            <v>avg</v>
          </cell>
          <cell r="E826" t="str">
            <v>gdp_inf_ind</v>
          </cell>
          <cell r="F826">
            <v>-0.88509047031402588</v>
          </cell>
        </row>
        <row r="827">
          <cell r="A827" t="str">
            <v>CHL</v>
          </cell>
          <cell r="B827" t="str">
            <v>Middle</v>
          </cell>
          <cell r="C827" t="str">
            <v>2015 - 2022</v>
          </cell>
          <cell r="D827" t="str">
            <v>avg</v>
          </cell>
          <cell r="E827" t="str">
            <v>gdp_inf_serv</v>
          </cell>
          <cell r="F827">
            <v>3.5094494819641109</v>
          </cell>
        </row>
        <row r="828">
          <cell r="A828" t="str">
            <v>CHL</v>
          </cell>
          <cell r="B828" t="str">
            <v>Middle</v>
          </cell>
          <cell r="C828" t="str">
            <v>2015 - 2022</v>
          </cell>
          <cell r="D828" t="str">
            <v>avg</v>
          </cell>
          <cell r="E828" t="str">
            <v>prod_for_agri</v>
          </cell>
          <cell r="F828">
            <v>-1.486046314239502</v>
          </cell>
        </row>
        <row r="829">
          <cell r="A829" t="str">
            <v>CHL</v>
          </cell>
          <cell r="B829" t="str">
            <v>Middle</v>
          </cell>
          <cell r="C829" t="str">
            <v>2015 - 2022</v>
          </cell>
          <cell r="D829" t="str">
            <v>avg</v>
          </cell>
          <cell r="E829" t="str">
            <v>prod_for_ind</v>
          </cell>
          <cell r="F829">
            <v>5.2371916770935059</v>
          </cell>
        </row>
        <row r="830">
          <cell r="A830" t="str">
            <v>CHL</v>
          </cell>
          <cell r="B830" t="str">
            <v>Middle</v>
          </cell>
          <cell r="C830" t="str">
            <v>2015 - 2022</v>
          </cell>
          <cell r="D830" t="str">
            <v>avg</v>
          </cell>
          <cell r="E830" t="str">
            <v>prod_for_serv</v>
          </cell>
          <cell r="F830">
            <v>-4.0684094429016113</v>
          </cell>
        </row>
        <row r="831">
          <cell r="A831" t="str">
            <v>CHL</v>
          </cell>
          <cell r="B831" t="str">
            <v>Middle</v>
          </cell>
          <cell r="C831" t="str">
            <v>2015 - 2022</v>
          </cell>
          <cell r="D831" t="str">
            <v>avg</v>
          </cell>
          <cell r="E831" t="str">
            <v>prod_inf_agri</v>
          </cell>
          <cell r="F831">
            <v>14.297079086303709</v>
          </cell>
        </row>
        <row r="832">
          <cell r="A832" t="str">
            <v>CHL</v>
          </cell>
          <cell r="B832" t="str">
            <v>Middle</v>
          </cell>
          <cell r="C832" t="str">
            <v>2015 - 2022</v>
          </cell>
          <cell r="D832" t="str">
            <v>avg</v>
          </cell>
          <cell r="E832" t="str">
            <v>prod_inf_ind</v>
          </cell>
          <cell r="F832">
            <v>25.083713531494141</v>
          </cell>
        </row>
        <row r="833">
          <cell r="A833" t="str">
            <v>CHL</v>
          </cell>
          <cell r="B833" t="str">
            <v>Middle</v>
          </cell>
          <cell r="C833" t="str">
            <v>2015 - 2022</v>
          </cell>
          <cell r="D833" t="str">
            <v>avg</v>
          </cell>
          <cell r="E833" t="str">
            <v>prod_inf_serv</v>
          </cell>
          <cell r="F833">
            <v>-12.08978271484375</v>
          </cell>
        </row>
        <row r="834">
          <cell r="A834" t="str">
            <v>CHL</v>
          </cell>
          <cell r="B834" t="str">
            <v>Middle</v>
          </cell>
          <cell r="C834" t="str">
            <v>2015 - 2022</v>
          </cell>
          <cell r="D834" t="str">
            <v>avg_1_99</v>
          </cell>
          <cell r="E834" t="str">
            <v>gdp_activity</v>
          </cell>
          <cell r="F834">
            <v>0.77923804521560669</v>
          </cell>
        </row>
        <row r="835">
          <cell r="A835" t="str">
            <v>CHL</v>
          </cell>
          <cell r="B835" t="str">
            <v>Middle</v>
          </cell>
          <cell r="C835" t="str">
            <v>2015 - 2022</v>
          </cell>
          <cell r="D835" t="str">
            <v>avg_1_99</v>
          </cell>
          <cell r="E835" t="str">
            <v>gdp_for_agri</v>
          </cell>
          <cell r="F835">
            <v>-0.44442513585090643</v>
          </cell>
        </row>
        <row r="836">
          <cell r="A836" t="str">
            <v>CHL</v>
          </cell>
          <cell r="B836" t="str">
            <v>Middle</v>
          </cell>
          <cell r="C836" t="str">
            <v>2015 - 2022</v>
          </cell>
          <cell r="D836" t="str">
            <v>avg_1_99</v>
          </cell>
          <cell r="E836" t="str">
            <v>gdp_for_ind</v>
          </cell>
          <cell r="F836">
            <v>-0.35764074325561518</v>
          </cell>
        </row>
        <row r="837">
          <cell r="A837" t="str">
            <v>CHL</v>
          </cell>
          <cell r="B837" t="str">
            <v>Middle</v>
          </cell>
          <cell r="C837" t="str">
            <v>2015 - 2022</v>
          </cell>
          <cell r="D837" t="str">
            <v>avg_1_99</v>
          </cell>
          <cell r="E837" t="str">
            <v>gdp_for_serv</v>
          </cell>
          <cell r="F837">
            <v>0.89836394786834717</v>
          </cell>
        </row>
        <row r="838">
          <cell r="A838" t="str">
            <v>CHL</v>
          </cell>
          <cell r="B838" t="str">
            <v>Middle</v>
          </cell>
          <cell r="C838" t="str">
            <v>2015 - 2022</v>
          </cell>
          <cell r="D838" t="str">
            <v>avg_1_99</v>
          </cell>
          <cell r="E838" t="str">
            <v>gdp_inf_agri</v>
          </cell>
          <cell r="F838">
            <v>1.3766829967498779</v>
          </cell>
        </row>
        <row r="839">
          <cell r="A839" t="str">
            <v>CHL</v>
          </cell>
          <cell r="B839" t="str">
            <v>Middle</v>
          </cell>
          <cell r="C839" t="str">
            <v>2015 - 2022</v>
          </cell>
          <cell r="D839" t="str">
            <v>avg_1_99</v>
          </cell>
          <cell r="E839" t="str">
            <v>gdp_inf_ind</v>
          </cell>
          <cell r="F839">
            <v>1.153955221176147</v>
          </cell>
        </row>
        <row r="840">
          <cell r="A840" t="str">
            <v>CHL</v>
          </cell>
          <cell r="B840" t="str">
            <v>Middle</v>
          </cell>
          <cell r="C840" t="str">
            <v>2015 - 2022</v>
          </cell>
          <cell r="D840" t="str">
            <v>avg_1_99</v>
          </cell>
          <cell r="E840" t="str">
            <v>gdp_inf_serv</v>
          </cell>
          <cell r="F840">
            <v>1.868826270103455</v>
          </cell>
        </row>
        <row r="841">
          <cell r="A841" t="str">
            <v>CHL</v>
          </cell>
          <cell r="B841" t="str">
            <v>Middle</v>
          </cell>
          <cell r="C841" t="str">
            <v>2015 - 2022</v>
          </cell>
          <cell r="D841" t="str">
            <v>avg_1_99</v>
          </cell>
          <cell r="E841" t="str">
            <v>prod_for_agri</v>
          </cell>
          <cell r="F841">
            <v>-0.25985020399093628</v>
          </cell>
        </row>
        <row r="842">
          <cell r="A842" t="str">
            <v>CHL</v>
          </cell>
          <cell r="B842" t="str">
            <v>Middle</v>
          </cell>
          <cell r="C842" t="str">
            <v>2015 - 2022</v>
          </cell>
          <cell r="D842" t="str">
            <v>avg_1_99</v>
          </cell>
          <cell r="E842" t="str">
            <v>prod_for_ind</v>
          </cell>
          <cell r="F842">
            <v>0.31992915272712708</v>
          </cell>
        </row>
        <row r="843">
          <cell r="A843" t="str">
            <v>CHL</v>
          </cell>
          <cell r="B843" t="str">
            <v>Middle</v>
          </cell>
          <cell r="C843" t="str">
            <v>2015 - 2022</v>
          </cell>
          <cell r="D843" t="str">
            <v>avg_1_99</v>
          </cell>
          <cell r="E843" t="str">
            <v>prod_for_serv</v>
          </cell>
          <cell r="F843">
            <v>-2.2555222511291499</v>
          </cell>
        </row>
        <row r="844">
          <cell r="A844" t="str">
            <v>CHL</v>
          </cell>
          <cell r="B844" t="str">
            <v>Middle</v>
          </cell>
          <cell r="C844" t="str">
            <v>2015 - 2022</v>
          </cell>
          <cell r="D844" t="str">
            <v>avg_1_99</v>
          </cell>
          <cell r="E844" t="str">
            <v>prod_inf_agri</v>
          </cell>
          <cell r="F844">
            <v>-0.28268402814865112</v>
          </cell>
        </row>
        <row r="845">
          <cell r="A845" t="str">
            <v>CHL</v>
          </cell>
          <cell r="B845" t="str">
            <v>Middle</v>
          </cell>
          <cell r="C845" t="str">
            <v>2015 - 2022</v>
          </cell>
          <cell r="D845" t="str">
            <v>avg_1_99</v>
          </cell>
          <cell r="E845" t="str">
            <v>prod_inf_ind</v>
          </cell>
          <cell r="F845">
            <v>-1.570035457611084</v>
          </cell>
        </row>
        <row r="846">
          <cell r="A846" t="str">
            <v>CHL</v>
          </cell>
          <cell r="B846" t="str">
            <v>Middle</v>
          </cell>
          <cell r="C846" t="str">
            <v>2015 - 2022</v>
          </cell>
          <cell r="D846" t="str">
            <v>avg_1_99</v>
          </cell>
          <cell r="E846" t="str">
            <v>prod_inf_serv</v>
          </cell>
          <cell r="F846">
            <v>-5.0662789344787598</v>
          </cell>
        </row>
        <row r="847">
          <cell r="A847" t="str">
            <v>CHL</v>
          </cell>
          <cell r="B847" t="str">
            <v>Middle</v>
          </cell>
          <cell r="C847" t="str">
            <v>2015 - 2022</v>
          </cell>
          <cell r="D847" t="str">
            <v>avg_1_99_imp</v>
          </cell>
          <cell r="E847" t="str">
            <v>gdp_activity</v>
          </cell>
          <cell r="F847">
            <v>0.77923804521560669</v>
          </cell>
        </row>
        <row r="848">
          <cell r="A848" t="str">
            <v>CHL</v>
          </cell>
          <cell r="B848" t="str">
            <v>Middle</v>
          </cell>
          <cell r="C848" t="str">
            <v>2015 - 2022</v>
          </cell>
          <cell r="D848" t="str">
            <v>avg_1_99_imp</v>
          </cell>
          <cell r="E848" t="str">
            <v>gdp_for_agri</v>
          </cell>
          <cell r="F848">
            <v>-0.44442513585090643</v>
          </cell>
        </row>
        <row r="849">
          <cell r="A849" t="str">
            <v>CHL</v>
          </cell>
          <cell r="B849" t="str">
            <v>Middle</v>
          </cell>
          <cell r="C849" t="str">
            <v>2015 - 2022</v>
          </cell>
          <cell r="D849" t="str">
            <v>avg_1_99_imp</v>
          </cell>
          <cell r="E849" t="str">
            <v>gdp_for_ind</v>
          </cell>
          <cell r="F849">
            <v>-0.35764074325561518</v>
          </cell>
        </row>
        <row r="850">
          <cell r="A850" t="str">
            <v>CHL</v>
          </cell>
          <cell r="B850" t="str">
            <v>Middle</v>
          </cell>
          <cell r="C850" t="str">
            <v>2015 - 2022</v>
          </cell>
          <cell r="D850" t="str">
            <v>avg_1_99_imp</v>
          </cell>
          <cell r="E850" t="str">
            <v>gdp_for_serv</v>
          </cell>
          <cell r="F850">
            <v>0.89836394786834717</v>
          </cell>
        </row>
        <row r="851">
          <cell r="A851" t="str">
            <v>CHL</v>
          </cell>
          <cell r="B851" t="str">
            <v>Middle</v>
          </cell>
          <cell r="C851" t="str">
            <v>2015 - 2022</v>
          </cell>
          <cell r="D851" t="str">
            <v>avg_1_99_imp</v>
          </cell>
          <cell r="E851" t="str">
            <v>gdp_inf_agri</v>
          </cell>
          <cell r="F851">
            <v>1.3766829967498779</v>
          </cell>
        </row>
        <row r="852">
          <cell r="A852" t="str">
            <v>CHL</v>
          </cell>
          <cell r="B852" t="str">
            <v>Middle</v>
          </cell>
          <cell r="C852" t="str">
            <v>2015 - 2022</v>
          </cell>
          <cell r="D852" t="str">
            <v>avg_1_99_imp</v>
          </cell>
          <cell r="E852" t="str">
            <v>gdp_inf_ind</v>
          </cell>
          <cell r="F852">
            <v>1.153955221176147</v>
          </cell>
        </row>
        <row r="853">
          <cell r="A853" t="str">
            <v>CHL</v>
          </cell>
          <cell r="B853" t="str">
            <v>Middle</v>
          </cell>
          <cell r="C853" t="str">
            <v>2015 - 2022</v>
          </cell>
          <cell r="D853" t="str">
            <v>avg_1_99_imp</v>
          </cell>
          <cell r="E853" t="str">
            <v>gdp_inf_serv</v>
          </cell>
          <cell r="F853">
            <v>1.892505288124084</v>
          </cell>
        </row>
        <row r="854">
          <cell r="A854" t="str">
            <v>CHL</v>
          </cell>
          <cell r="B854" t="str">
            <v>Middle</v>
          </cell>
          <cell r="C854" t="str">
            <v>2015 - 2022</v>
          </cell>
          <cell r="D854" t="str">
            <v>avg_1_99_imp</v>
          </cell>
          <cell r="E854" t="str">
            <v>prod_for_agri</v>
          </cell>
          <cell r="F854">
            <v>4.1249401867389679E-2</v>
          </cell>
        </row>
        <row r="855">
          <cell r="A855" t="str">
            <v>CHL</v>
          </cell>
          <cell r="B855" t="str">
            <v>Middle</v>
          </cell>
          <cell r="C855" t="str">
            <v>2015 - 2022</v>
          </cell>
          <cell r="D855" t="str">
            <v>avg_1_99_imp</v>
          </cell>
          <cell r="E855" t="str">
            <v>prod_for_ind</v>
          </cell>
          <cell r="F855">
            <v>0.31992915272712708</v>
          </cell>
        </row>
        <row r="856">
          <cell r="A856" t="str">
            <v>CHL</v>
          </cell>
          <cell r="B856" t="str">
            <v>Middle</v>
          </cell>
          <cell r="C856" t="str">
            <v>2015 - 2022</v>
          </cell>
          <cell r="D856" t="str">
            <v>avg_1_99_imp</v>
          </cell>
          <cell r="E856" t="str">
            <v>prod_for_serv</v>
          </cell>
          <cell r="F856">
            <v>0.301656574010849</v>
          </cell>
        </row>
        <row r="857">
          <cell r="A857" t="str">
            <v>CHL</v>
          </cell>
          <cell r="B857" t="str">
            <v>Middle</v>
          </cell>
          <cell r="C857" t="str">
            <v>2015 - 2022</v>
          </cell>
          <cell r="D857" t="str">
            <v>avg_1_99_imp</v>
          </cell>
          <cell r="E857" t="str">
            <v>prod_inf_agri</v>
          </cell>
          <cell r="F857">
            <v>-0.28268402814865112</v>
          </cell>
        </row>
        <row r="858">
          <cell r="A858" t="str">
            <v>CHL</v>
          </cell>
          <cell r="B858" t="str">
            <v>Middle</v>
          </cell>
          <cell r="C858" t="str">
            <v>2015 - 2022</v>
          </cell>
          <cell r="D858" t="str">
            <v>avg_1_99_imp</v>
          </cell>
          <cell r="E858" t="str">
            <v>prod_inf_ind</v>
          </cell>
          <cell r="F858">
            <v>-1.570035457611084</v>
          </cell>
        </row>
        <row r="859">
          <cell r="A859" t="str">
            <v>CHL</v>
          </cell>
          <cell r="B859" t="str">
            <v>Middle</v>
          </cell>
          <cell r="C859" t="str">
            <v>2015 - 2022</v>
          </cell>
          <cell r="D859" t="str">
            <v>avg_1_99_imp</v>
          </cell>
          <cell r="E859" t="str">
            <v>prod_inf_serv</v>
          </cell>
          <cell r="F859">
            <v>-4.743802547454834</v>
          </cell>
        </row>
        <row r="860">
          <cell r="A860" t="str">
            <v>CHL</v>
          </cell>
          <cell r="B860" t="str">
            <v>Middle</v>
          </cell>
          <cell r="C860" t="str">
            <v>2015 - 2022</v>
          </cell>
          <cell r="D860" t="str">
            <v>reg</v>
          </cell>
          <cell r="E860" t="str">
            <v>gdp_activity</v>
          </cell>
          <cell r="F860">
            <v>0.68849319219589233</v>
          </cell>
        </row>
        <row r="861">
          <cell r="A861" t="str">
            <v>CHL</v>
          </cell>
          <cell r="B861" t="str">
            <v>Middle</v>
          </cell>
          <cell r="C861" t="str">
            <v>2015 - 2022</v>
          </cell>
          <cell r="D861" t="str">
            <v>reg</v>
          </cell>
          <cell r="E861" t="str">
            <v>gdp_for_agri</v>
          </cell>
          <cell r="F861">
            <v>-1.119803667068481</v>
          </cell>
        </row>
        <row r="862">
          <cell r="A862" t="str">
            <v>CHL</v>
          </cell>
          <cell r="B862" t="str">
            <v>Middle</v>
          </cell>
          <cell r="C862" t="str">
            <v>2015 - 2022</v>
          </cell>
          <cell r="D862" t="str">
            <v>reg</v>
          </cell>
          <cell r="E862" t="str">
            <v>gdp_for_ind</v>
          </cell>
          <cell r="F862">
            <v>2.8511297702789311</v>
          </cell>
        </row>
        <row r="863">
          <cell r="A863" t="str">
            <v>CHL</v>
          </cell>
          <cell r="B863" t="str">
            <v>Middle</v>
          </cell>
          <cell r="C863" t="str">
            <v>2015 - 2022</v>
          </cell>
          <cell r="D863" t="str">
            <v>reg</v>
          </cell>
          <cell r="E863" t="str">
            <v>gdp_for_serv</v>
          </cell>
          <cell r="F863">
            <v>0.74390286207199097</v>
          </cell>
        </row>
        <row r="864">
          <cell r="A864" t="str">
            <v>CHL</v>
          </cell>
          <cell r="B864" t="str">
            <v>Middle</v>
          </cell>
          <cell r="C864" t="str">
            <v>2015 - 2022</v>
          </cell>
          <cell r="D864" t="str">
            <v>reg</v>
          </cell>
          <cell r="E864" t="str">
            <v>gdp_inf_agri</v>
          </cell>
          <cell r="F864">
            <v>-1.7401865720748899</v>
          </cell>
        </row>
        <row r="865">
          <cell r="A865" t="str">
            <v>CHL</v>
          </cell>
          <cell r="B865" t="str">
            <v>Middle</v>
          </cell>
          <cell r="C865" t="str">
            <v>2015 - 2022</v>
          </cell>
          <cell r="D865" t="str">
            <v>reg</v>
          </cell>
          <cell r="E865" t="str">
            <v>gdp_inf_ind</v>
          </cell>
          <cell r="F865">
            <v>5.2428293228149414</v>
          </cell>
        </row>
        <row r="866">
          <cell r="A866" t="str">
            <v>CHL</v>
          </cell>
          <cell r="B866" t="str">
            <v>Middle</v>
          </cell>
          <cell r="C866" t="str">
            <v>2015 - 2022</v>
          </cell>
          <cell r="D866" t="str">
            <v>reg</v>
          </cell>
          <cell r="E866" t="str">
            <v>gdp_inf_serv</v>
          </cell>
          <cell r="F866">
            <v>1.2097113132476811</v>
          </cell>
        </row>
        <row r="867">
          <cell r="A867" t="str">
            <v>CHL</v>
          </cell>
          <cell r="B867" t="str">
            <v>Middle</v>
          </cell>
          <cell r="C867" t="str">
            <v>2015 - 2022</v>
          </cell>
          <cell r="D867" t="str">
            <v>reg</v>
          </cell>
          <cell r="E867" t="str">
            <v>prod_for_agri</v>
          </cell>
          <cell r="F867">
            <v>0.71757966279983521</v>
          </cell>
        </row>
        <row r="868">
          <cell r="A868" t="str">
            <v>CHL</v>
          </cell>
          <cell r="B868" t="str">
            <v>Middle</v>
          </cell>
          <cell r="C868" t="str">
            <v>2015 - 2022</v>
          </cell>
          <cell r="D868" t="str">
            <v>reg</v>
          </cell>
          <cell r="E868" t="str">
            <v>prod_for_ind</v>
          </cell>
          <cell r="F868">
            <v>-0.51924020051956177</v>
          </cell>
        </row>
        <row r="869">
          <cell r="A869" t="str">
            <v>CHL</v>
          </cell>
          <cell r="B869" t="str">
            <v>Middle</v>
          </cell>
          <cell r="C869" t="str">
            <v>2015 - 2022</v>
          </cell>
          <cell r="D869" t="str">
            <v>reg</v>
          </cell>
          <cell r="E869" t="str">
            <v>prod_for_serv</v>
          </cell>
          <cell r="F869">
            <v>1.2797279357910161</v>
          </cell>
        </row>
        <row r="870">
          <cell r="A870" t="str">
            <v>CHL</v>
          </cell>
          <cell r="B870" t="str">
            <v>Middle</v>
          </cell>
          <cell r="C870" t="str">
            <v>2015 - 2022</v>
          </cell>
          <cell r="D870" t="str">
            <v>reg</v>
          </cell>
          <cell r="E870" t="str">
            <v>prod_inf_agri</v>
          </cell>
          <cell r="F870">
            <v>-3.5302400588989258E-2</v>
          </cell>
        </row>
        <row r="871">
          <cell r="A871" t="str">
            <v>CHL</v>
          </cell>
          <cell r="B871" t="str">
            <v>Middle</v>
          </cell>
          <cell r="C871" t="str">
            <v>2015 - 2022</v>
          </cell>
          <cell r="D871" t="str">
            <v>reg</v>
          </cell>
          <cell r="E871" t="str">
            <v>prod_inf_ind</v>
          </cell>
          <cell r="F871">
            <v>-1.364283084869385</v>
          </cell>
        </row>
        <row r="872">
          <cell r="A872" t="str">
            <v>CHL</v>
          </cell>
          <cell r="B872" t="str">
            <v>Middle</v>
          </cell>
          <cell r="C872" t="str">
            <v>2015 - 2022</v>
          </cell>
          <cell r="D872" t="str">
            <v>reg</v>
          </cell>
          <cell r="E872" t="str">
            <v>prod_inf_serv</v>
          </cell>
          <cell r="F872">
            <v>-3.0045821666717529</v>
          </cell>
        </row>
        <row r="873">
          <cell r="A873" t="str">
            <v>CHL</v>
          </cell>
          <cell r="B873" t="str">
            <v>Middle</v>
          </cell>
          <cell r="C873" t="str">
            <v>2015 - 2022</v>
          </cell>
          <cell r="D873" t="str">
            <v>reg_gdp</v>
          </cell>
          <cell r="E873" t="str">
            <v>gdp_activity</v>
          </cell>
          <cell r="F873">
            <v>0.68849319219589233</v>
          </cell>
        </row>
        <row r="874">
          <cell r="A874" t="str">
            <v>CHL</v>
          </cell>
          <cell r="B874" t="str">
            <v>Middle</v>
          </cell>
          <cell r="C874" t="str">
            <v>2015 - 2022</v>
          </cell>
          <cell r="D874" t="str">
            <v>reg_gdp</v>
          </cell>
          <cell r="E874" t="str">
            <v>gdp_for_agri</v>
          </cell>
          <cell r="F874">
            <v>-0.81410092115402222</v>
          </cell>
        </row>
        <row r="875">
          <cell r="A875" t="str">
            <v>CHL</v>
          </cell>
          <cell r="B875" t="str">
            <v>Middle</v>
          </cell>
          <cell r="C875" t="str">
            <v>2015 - 2022</v>
          </cell>
          <cell r="D875" t="str">
            <v>reg_gdp</v>
          </cell>
          <cell r="E875" t="str">
            <v>gdp_for_ind</v>
          </cell>
          <cell r="F875">
            <v>1.266076326370239</v>
          </cell>
        </row>
        <row r="876">
          <cell r="A876" t="str">
            <v>CHL</v>
          </cell>
          <cell r="B876" t="str">
            <v>Middle</v>
          </cell>
          <cell r="C876" t="str">
            <v>2015 - 2022</v>
          </cell>
          <cell r="D876" t="str">
            <v>reg_gdp</v>
          </cell>
          <cell r="E876" t="str">
            <v>gdp_for_serv</v>
          </cell>
          <cell r="F876">
            <v>0.95888739824295044</v>
          </cell>
        </row>
        <row r="877">
          <cell r="A877" t="str">
            <v>CHL</v>
          </cell>
          <cell r="B877" t="str">
            <v>Middle</v>
          </cell>
          <cell r="C877" t="str">
            <v>2015 - 2022</v>
          </cell>
          <cell r="D877" t="str">
            <v>reg_gdp</v>
          </cell>
          <cell r="E877" t="str">
            <v>gdp_inf_agri</v>
          </cell>
          <cell r="F877">
            <v>-4.3066473007202148</v>
          </cell>
        </row>
        <row r="878">
          <cell r="A878" t="str">
            <v>CHL</v>
          </cell>
          <cell r="B878" t="str">
            <v>Middle</v>
          </cell>
          <cell r="C878" t="str">
            <v>2015 - 2022</v>
          </cell>
          <cell r="D878" t="str">
            <v>reg_gdp</v>
          </cell>
          <cell r="E878" t="str">
            <v>gdp_inf_ind</v>
          </cell>
          <cell r="F878">
            <v>-0.45757734775543207</v>
          </cell>
        </row>
        <row r="879">
          <cell r="A879" t="str">
            <v>CHL</v>
          </cell>
          <cell r="B879" t="str">
            <v>Middle</v>
          </cell>
          <cell r="C879" t="str">
            <v>2015 - 2022</v>
          </cell>
          <cell r="D879" t="str">
            <v>reg_gdp</v>
          </cell>
          <cell r="E879" t="str">
            <v>gdp_inf_serv</v>
          </cell>
          <cell r="F879">
            <v>26.446016311645511</v>
          </cell>
        </row>
        <row r="880">
          <cell r="A880" t="str">
            <v>CHL</v>
          </cell>
          <cell r="B880" t="str">
            <v>Middle</v>
          </cell>
          <cell r="C880" t="str">
            <v>2015 - 2022</v>
          </cell>
          <cell r="D880" t="str">
            <v>reg_gdp</v>
          </cell>
          <cell r="E880" t="str">
            <v>prod_for_agri</v>
          </cell>
          <cell r="F880">
            <v>0.79385703802108765</v>
          </cell>
        </row>
        <row r="881">
          <cell r="A881" t="str">
            <v>CHL</v>
          </cell>
          <cell r="B881" t="str">
            <v>Middle</v>
          </cell>
          <cell r="C881" t="str">
            <v>2015 - 2022</v>
          </cell>
          <cell r="D881" t="str">
            <v>reg_gdp</v>
          </cell>
          <cell r="E881" t="str">
            <v>prod_for_ind</v>
          </cell>
          <cell r="F881">
            <v>0.1035230755805969</v>
          </cell>
        </row>
        <row r="882">
          <cell r="A882" t="str">
            <v>CHL</v>
          </cell>
          <cell r="B882" t="str">
            <v>Middle</v>
          </cell>
          <cell r="C882" t="str">
            <v>2015 - 2022</v>
          </cell>
          <cell r="D882" t="str">
            <v>reg_gdp</v>
          </cell>
          <cell r="E882" t="str">
            <v>prod_for_serv</v>
          </cell>
          <cell r="F882">
            <v>0.78295952081680298</v>
          </cell>
        </row>
        <row r="883">
          <cell r="A883" t="str">
            <v>CHL</v>
          </cell>
          <cell r="B883" t="str">
            <v>Middle</v>
          </cell>
          <cell r="C883" t="str">
            <v>2015 - 2022</v>
          </cell>
          <cell r="D883" t="str">
            <v>reg_gdp</v>
          </cell>
          <cell r="E883" t="str">
            <v>prod_inf_agri</v>
          </cell>
          <cell r="F883">
            <v>-0.64206308126449585</v>
          </cell>
        </row>
        <row r="884">
          <cell r="A884" t="str">
            <v>CHL</v>
          </cell>
          <cell r="B884" t="str">
            <v>Middle</v>
          </cell>
          <cell r="C884" t="str">
            <v>2015 - 2022</v>
          </cell>
          <cell r="D884" t="str">
            <v>reg_gdp</v>
          </cell>
          <cell r="E884" t="str">
            <v>prod_inf_ind</v>
          </cell>
          <cell r="F884">
            <v>-2.2550368309021001</v>
          </cell>
        </row>
        <row r="885">
          <cell r="A885" t="str">
            <v>CHL</v>
          </cell>
          <cell r="B885" t="str">
            <v>Middle</v>
          </cell>
          <cell r="C885" t="str">
            <v>2015 - 2022</v>
          </cell>
          <cell r="D885" t="str">
            <v>reg_gdp</v>
          </cell>
          <cell r="E885" t="str">
            <v>prod_inf_serv</v>
          </cell>
          <cell r="F885">
            <v>-4.0785379409790039</v>
          </cell>
        </row>
        <row r="886">
          <cell r="A886" t="str">
            <v>CHL</v>
          </cell>
          <cell r="B886" t="str">
            <v>Middle</v>
          </cell>
          <cell r="C886" t="str">
            <v>2015 - 2022</v>
          </cell>
          <cell r="D886" t="str">
            <v>reg_iter</v>
          </cell>
          <cell r="E886" t="str">
            <v>gdp_activity</v>
          </cell>
          <cell r="F886">
            <v>0.78992360830307007</v>
          </cell>
        </row>
        <row r="887">
          <cell r="A887" t="str">
            <v>CHL</v>
          </cell>
          <cell r="B887" t="str">
            <v>Middle</v>
          </cell>
          <cell r="C887" t="str">
            <v>2015 - 2022</v>
          </cell>
          <cell r="D887" t="str">
            <v>reg_iter</v>
          </cell>
          <cell r="E887" t="str">
            <v>gdp_for_agri</v>
          </cell>
          <cell r="F887">
            <v>-1.099631071090698</v>
          </cell>
        </row>
        <row r="888">
          <cell r="A888" t="str">
            <v>CHL</v>
          </cell>
          <cell r="B888" t="str">
            <v>Middle</v>
          </cell>
          <cell r="C888" t="str">
            <v>2015 - 2022</v>
          </cell>
          <cell r="D888" t="str">
            <v>reg_iter</v>
          </cell>
          <cell r="E888" t="str">
            <v>gdp_for_ind</v>
          </cell>
          <cell r="F888">
            <v>2.1578719615936279</v>
          </cell>
        </row>
        <row r="889">
          <cell r="A889" t="str">
            <v>CHL</v>
          </cell>
          <cell r="B889" t="str">
            <v>Middle</v>
          </cell>
          <cell r="C889" t="str">
            <v>2015 - 2022</v>
          </cell>
          <cell r="D889" t="str">
            <v>reg_iter</v>
          </cell>
          <cell r="E889" t="str">
            <v>gdp_for_serv</v>
          </cell>
          <cell r="F889">
            <v>0.77051180601119995</v>
          </cell>
        </row>
        <row r="890">
          <cell r="A890" t="str">
            <v>CHL</v>
          </cell>
          <cell r="B890" t="str">
            <v>Middle</v>
          </cell>
          <cell r="C890" t="str">
            <v>2015 - 2022</v>
          </cell>
          <cell r="D890" t="str">
            <v>reg_iter</v>
          </cell>
          <cell r="E890" t="str">
            <v>gdp_inf_agri</v>
          </cell>
          <cell r="F890">
            <v>-1.589103698730469</v>
          </cell>
        </row>
        <row r="891">
          <cell r="A891" t="str">
            <v>CHL</v>
          </cell>
          <cell r="B891" t="str">
            <v>Middle</v>
          </cell>
          <cell r="C891" t="str">
            <v>2015 - 2022</v>
          </cell>
          <cell r="D891" t="str">
            <v>reg_iter</v>
          </cell>
          <cell r="E891" t="str">
            <v>gdp_inf_ind</v>
          </cell>
          <cell r="F891">
            <v>4.0134158134460449</v>
          </cell>
        </row>
        <row r="892">
          <cell r="A892" t="str">
            <v>CHL</v>
          </cell>
          <cell r="B892" t="str">
            <v>Middle</v>
          </cell>
          <cell r="C892" t="str">
            <v>2015 - 2022</v>
          </cell>
          <cell r="D892" t="str">
            <v>reg_iter</v>
          </cell>
          <cell r="E892" t="str">
            <v>gdp_inf_serv</v>
          </cell>
          <cell r="F892">
            <v>0.63263553380966187</v>
          </cell>
        </row>
        <row r="893">
          <cell r="A893" t="str">
            <v>CHL</v>
          </cell>
          <cell r="B893" t="str">
            <v>Middle</v>
          </cell>
          <cell r="C893" t="str">
            <v>2015 - 2022</v>
          </cell>
          <cell r="D893" t="str">
            <v>reg_iter</v>
          </cell>
          <cell r="E893" t="str">
            <v>prod_for_agri</v>
          </cell>
          <cell r="F893">
            <v>0.64140784740447998</v>
          </cell>
        </row>
        <row r="894">
          <cell r="A894" t="str">
            <v>CHL</v>
          </cell>
          <cell r="B894" t="str">
            <v>Middle</v>
          </cell>
          <cell r="C894" t="str">
            <v>2015 - 2022</v>
          </cell>
          <cell r="D894" t="str">
            <v>reg_iter</v>
          </cell>
          <cell r="E894" t="str">
            <v>prod_for_ind</v>
          </cell>
          <cell r="F894">
            <v>-1.9698278903961179</v>
          </cell>
        </row>
        <row r="895">
          <cell r="A895" t="str">
            <v>CHL</v>
          </cell>
          <cell r="B895" t="str">
            <v>Middle</v>
          </cell>
          <cell r="C895" t="str">
            <v>2015 - 2022</v>
          </cell>
          <cell r="D895" t="str">
            <v>reg_iter</v>
          </cell>
          <cell r="E895" t="str">
            <v>prod_for_serv</v>
          </cell>
          <cell r="F895">
            <v>1.732963442802429</v>
          </cell>
        </row>
        <row r="896">
          <cell r="A896" t="str">
            <v>CHL</v>
          </cell>
          <cell r="B896" t="str">
            <v>Middle</v>
          </cell>
          <cell r="C896" t="str">
            <v>2015 - 2022</v>
          </cell>
          <cell r="D896" t="str">
            <v>reg_iter</v>
          </cell>
          <cell r="E896" t="str">
            <v>prod_inf_agri</v>
          </cell>
          <cell r="F896">
            <v>0.44641482830047607</v>
          </cell>
        </row>
        <row r="897">
          <cell r="A897" t="str">
            <v>CHL</v>
          </cell>
          <cell r="B897" t="str">
            <v>Middle</v>
          </cell>
          <cell r="C897" t="str">
            <v>2015 - 2022</v>
          </cell>
          <cell r="D897" t="str">
            <v>reg_iter</v>
          </cell>
          <cell r="E897" t="str">
            <v>prod_inf_ind</v>
          </cell>
          <cell r="F897">
            <v>1.4025000333786011</v>
          </cell>
        </row>
        <row r="898">
          <cell r="A898" t="str">
            <v>CHL</v>
          </cell>
          <cell r="B898" t="str">
            <v>Middle</v>
          </cell>
          <cell r="C898" t="str">
            <v>2015 - 2022</v>
          </cell>
          <cell r="D898" t="str">
            <v>reg_iter</v>
          </cell>
          <cell r="E898" t="str">
            <v>prod_inf_serv</v>
          </cell>
          <cell r="F898">
            <v>-1.522366046905518</v>
          </cell>
        </row>
        <row r="899">
          <cell r="A899" t="str">
            <v>CHL</v>
          </cell>
          <cell r="B899" t="str">
            <v>Short</v>
          </cell>
          <cell r="C899" t="str">
            <v>2017 - 2022</v>
          </cell>
          <cell r="D899" t="str">
            <v>avg</v>
          </cell>
          <cell r="E899" t="str">
            <v>gdp_activity</v>
          </cell>
          <cell r="F899">
            <v>0.47381237149238592</v>
          </cell>
        </row>
        <row r="900">
          <cell r="A900" t="str">
            <v>CHL</v>
          </cell>
          <cell r="B900" t="str">
            <v>Short</v>
          </cell>
          <cell r="C900" t="str">
            <v>2017 - 2022</v>
          </cell>
          <cell r="D900" t="str">
            <v>avg</v>
          </cell>
          <cell r="E900" t="str">
            <v>gdp_for_agri</v>
          </cell>
          <cell r="F900">
            <v>-7.6250429153442383</v>
          </cell>
        </row>
        <row r="901">
          <cell r="A901" t="str">
            <v>CHL</v>
          </cell>
          <cell r="B901" t="str">
            <v>Short</v>
          </cell>
          <cell r="C901" t="str">
            <v>2017 - 2022</v>
          </cell>
          <cell r="D901" t="str">
            <v>avg</v>
          </cell>
          <cell r="E901" t="str">
            <v>gdp_for_ind</v>
          </cell>
          <cell r="F901">
            <v>-0.39309272170066828</v>
          </cell>
        </row>
        <row r="902">
          <cell r="A902" t="str">
            <v>CHL</v>
          </cell>
          <cell r="B902" t="str">
            <v>Short</v>
          </cell>
          <cell r="C902" t="str">
            <v>2017 - 2022</v>
          </cell>
          <cell r="D902" t="str">
            <v>avg</v>
          </cell>
          <cell r="E902" t="str">
            <v>gdp_for_serv</v>
          </cell>
          <cell r="F902">
            <v>0.82016026973724365</v>
          </cell>
        </row>
        <row r="903">
          <cell r="A903" t="str">
            <v>CHL</v>
          </cell>
          <cell r="B903" t="str">
            <v>Short</v>
          </cell>
          <cell r="C903" t="str">
            <v>2017 - 2022</v>
          </cell>
          <cell r="D903" t="str">
            <v>avg</v>
          </cell>
          <cell r="E903" t="str">
            <v>gdp_inf_agri</v>
          </cell>
          <cell r="F903">
            <v>-23.26458740234375</v>
          </cell>
        </row>
        <row r="904">
          <cell r="A904" t="str">
            <v>CHL</v>
          </cell>
          <cell r="B904" t="str">
            <v>Short</v>
          </cell>
          <cell r="C904" t="str">
            <v>2017 - 2022</v>
          </cell>
          <cell r="D904" t="str">
            <v>avg</v>
          </cell>
          <cell r="E904" t="str">
            <v>gdp_inf_ind</v>
          </cell>
          <cell r="F904">
            <v>-2.5660827159881592</v>
          </cell>
        </row>
        <row r="905">
          <cell r="A905" t="str">
            <v>CHL</v>
          </cell>
          <cell r="B905" t="str">
            <v>Short</v>
          </cell>
          <cell r="C905" t="str">
            <v>2017 - 2022</v>
          </cell>
          <cell r="D905" t="str">
            <v>avg</v>
          </cell>
          <cell r="E905" t="str">
            <v>gdp_inf_serv</v>
          </cell>
          <cell r="F905">
            <v>4.0247516632080078</v>
          </cell>
        </row>
        <row r="906">
          <cell r="A906" t="str">
            <v>CHL</v>
          </cell>
          <cell r="B906" t="str">
            <v>Short</v>
          </cell>
          <cell r="C906" t="str">
            <v>2017 - 2022</v>
          </cell>
          <cell r="D906" t="str">
            <v>avg</v>
          </cell>
          <cell r="E906" t="str">
            <v>prod_for_agri</v>
          </cell>
          <cell r="F906">
            <v>-1.3762573003768921</v>
          </cell>
        </row>
        <row r="907">
          <cell r="A907" t="str">
            <v>CHL</v>
          </cell>
          <cell r="B907" t="str">
            <v>Short</v>
          </cell>
          <cell r="C907" t="str">
            <v>2017 - 2022</v>
          </cell>
          <cell r="D907" t="str">
            <v>avg</v>
          </cell>
          <cell r="E907" t="str">
            <v>prod_for_ind</v>
          </cell>
          <cell r="F907">
            <v>6.7745170593261719</v>
          </cell>
        </row>
        <row r="908">
          <cell r="A908" t="str">
            <v>CHL</v>
          </cell>
          <cell r="B908" t="str">
            <v>Short</v>
          </cell>
          <cell r="C908" t="str">
            <v>2017 - 2022</v>
          </cell>
          <cell r="D908" t="str">
            <v>avg</v>
          </cell>
          <cell r="E908" t="str">
            <v>prod_for_serv</v>
          </cell>
          <cell r="F908">
            <v>-5.5802445411682129</v>
          </cell>
        </row>
        <row r="909">
          <cell r="A909" t="str">
            <v>CHL</v>
          </cell>
          <cell r="B909" t="str">
            <v>Short</v>
          </cell>
          <cell r="C909" t="str">
            <v>2017 - 2022</v>
          </cell>
          <cell r="D909" t="str">
            <v>avg</v>
          </cell>
          <cell r="E909" t="str">
            <v>prod_inf_agri</v>
          </cell>
          <cell r="F909">
            <v>19.517158508300781</v>
          </cell>
        </row>
        <row r="910">
          <cell r="A910" t="str">
            <v>CHL</v>
          </cell>
          <cell r="B910" t="str">
            <v>Short</v>
          </cell>
          <cell r="C910" t="str">
            <v>2017 - 2022</v>
          </cell>
          <cell r="D910" t="str">
            <v>avg</v>
          </cell>
          <cell r="E910" t="str">
            <v>prod_inf_ind</v>
          </cell>
          <cell r="F910">
            <v>34.020099639892578</v>
          </cell>
        </row>
        <row r="911">
          <cell r="A911" t="str">
            <v>CHL</v>
          </cell>
          <cell r="B911" t="str">
            <v>Short</v>
          </cell>
          <cell r="C911" t="str">
            <v>2017 - 2022</v>
          </cell>
          <cell r="D911" t="str">
            <v>avg</v>
          </cell>
          <cell r="E911" t="str">
            <v>prod_inf_serv</v>
          </cell>
          <cell r="F911">
            <v>-14.91017913818359</v>
          </cell>
        </row>
        <row r="912">
          <cell r="A912" t="str">
            <v>CHL</v>
          </cell>
          <cell r="B912" t="str">
            <v>Short</v>
          </cell>
          <cell r="C912" t="str">
            <v>2017 - 2022</v>
          </cell>
          <cell r="D912" t="str">
            <v>avg_1_99</v>
          </cell>
          <cell r="E912" t="str">
            <v>gdp_activity</v>
          </cell>
          <cell r="F912">
            <v>0.45973801612853998</v>
          </cell>
        </row>
        <row r="913">
          <cell r="A913" t="str">
            <v>CHL</v>
          </cell>
          <cell r="B913" t="str">
            <v>Short</v>
          </cell>
          <cell r="C913" t="str">
            <v>2017 - 2022</v>
          </cell>
          <cell r="D913" t="str">
            <v>avg_1_99</v>
          </cell>
          <cell r="E913" t="str">
            <v>gdp_for_agri</v>
          </cell>
          <cell r="F913">
            <v>-0.44442513585090643</v>
          </cell>
        </row>
        <row r="914">
          <cell r="A914" t="str">
            <v>CHL</v>
          </cell>
          <cell r="B914" t="str">
            <v>Short</v>
          </cell>
          <cell r="C914" t="str">
            <v>2017 - 2022</v>
          </cell>
          <cell r="D914" t="str">
            <v>avg_1_99</v>
          </cell>
          <cell r="E914" t="str">
            <v>gdp_for_ind</v>
          </cell>
          <cell r="F914">
            <v>2.0161583423614502</v>
          </cell>
        </row>
        <row r="915">
          <cell r="A915" t="str">
            <v>CHL</v>
          </cell>
          <cell r="B915" t="str">
            <v>Short</v>
          </cell>
          <cell r="C915" t="str">
            <v>2017 - 2022</v>
          </cell>
          <cell r="D915" t="str">
            <v>avg_1_99</v>
          </cell>
          <cell r="E915" t="str">
            <v>gdp_for_serv</v>
          </cell>
          <cell r="F915">
            <v>0.89836394786834717</v>
          </cell>
        </row>
        <row r="916">
          <cell r="A916" t="str">
            <v>CHL</v>
          </cell>
          <cell r="B916" t="str">
            <v>Short</v>
          </cell>
          <cell r="C916" t="str">
            <v>2017 - 2022</v>
          </cell>
          <cell r="D916" t="str">
            <v>avg_1_99</v>
          </cell>
          <cell r="E916" t="str">
            <v>gdp_inf_agri</v>
          </cell>
          <cell r="F916">
            <v>-0.38904684782028198</v>
          </cell>
        </row>
        <row r="917">
          <cell r="A917" t="str">
            <v>CHL</v>
          </cell>
          <cell r="B917" t="str">
            <v>Short</v>
          </cell>
          <cell r="C917" t="str">
            <v>2017 - 2022</v>
          </cell>
          <cell r="D917" t="str">
            <v>avg_1_99</v>
          </cell>
          <cell r="E917" t="str">
            <v>gdp_inf_ind</v>
          </cell>
          <cell r="F917">
            <v>-1.8499759435653691</v>
          </cell>
        </row>
        <row r="918">
          <cell r="A918" t="str">
            <v>CHL</v>
          </cell>
          <cell r="B918" t="str">
            <v>Short</v>
          </cell>
          <cell r="C918" t="str">
            <v>2017 - 2022</v>
          </cell>
          <cell r="D918" t="str">
            <v>avg_1_99</v>
          </cell>
          <cell r="E918" t="str">
            <v>gdp_inf_serv</v>
          </cell>
          <cell r="F918">
            <v>1.8214681148529051</v>
          </cell>
        </row>
        <row r="919">
          <cell r="A919" t="str">
            <v>CHL</v>
          </cell>
          <cell r="B919" t="str">
            <v>Short</v>
          </cell>
          <cell r="C919" t="str">
            <v>2017 - 2022</v>
          </cell>
          <cell r="D919" t="str">
            <v>avg_1_99</v>
          </cell>
          <cell r="E919" t="str">
            <v>prod_for_agri</v>
          </cell>
          <cell r="F919">
            <v>0.51793134212493896</v>
          </cell>
        </row>
        <row r="920">
          <cell r="A920" t="str">
            <v>CHL</v>
          </cell>
          <cell r="B920" t="str">
            <v>Short</v>
          </cell>
          <cell r="C920" t="str">
            <v>2017 - 2022</v>
          </cell>
          <cell r="D920" t="str">
            <v>avg_1_99</v>
          </cell>
          <cell r="E920" t="str">
            <v>prod_for_ind</v>
          </cell>
          <cell r="F920">
            <v>1.464232709258795E-2</v>
          </cell>
        </row>
        <row r="921">
          <cell r="A921" t="str">
            <v>CHL</v>
          </cell>
          <cell r="B921" t="str">
            <v>Short</v>
          </cell>
          <cell r="C921" t="str">
            <v>2017 - 2022</v>
          </cell>
          <cell r="D921" t="str">
            <v>avg_1_99</v>
          </cell>
          <cell r="E921" t="str">
            <v>prod_for_serv</v>
          </cell>
          <cell r="F921">
            <v>-3.6168313026428218</v>
          </cell>
        </row>
        <row r="922">
          <cell r="A922" t="str">
            <v>CHL</v>
          </cell>
          <cell r="B922" t="str">
            <v>Short</v>
          </cell>
          <cell r="C922" t="str">
            <v>2017 - 2022</v>
          </cell>
          <cell r="D922" t="str">
            <v>avg_1_99</v>
          </cell>
          <cell r="E922" t="str">
            <v>prod_inf_agri</v>
          </cell>
          <cell r="F922">
            <v>-0.28268402814865112</v>
          </cell>
        </row>
        <row r="923">
          <cell r="A923" t="str">
            <v>CHL</v>
          </cell>
          <cell r="B923" t="str">
            <v>Short</v>
          </cell>
          <cell r="C923" t="str">
            <v>2017 - 2022</v>
          </cell>
          <cell r="D923" t="str">
            <v>avg_1_99</v>
          </cell>
          <cell r="E923" t="str">
            <v>prod_inf_ind</v>
          </cell>
          <cell r="F923">
            <v>-1.414631843566895</v>
          </cell>
        </row>
        <row r="924">
          <cell r="A924" t="str">
            <v>CHL</v>
          </cell>
          <cell r="B924" t="str">
            <v>Short</v>
          </cell>
          <cell r="C924" t="str">
            <v>2017 - 2022</v>
          </cell>
          <cell r="D924" t="str">
            <v>avg_1_99</v>
          </cell>
          <cell r="E924" t="str">
            <v>prod_inf_serv</v>
          </cell>
          <cell r="F924">
            <v>-5.7851219177246094</v>
          </cell>
        </row>
        <row r="925">
          <cell r="A925" t="str">
            <v>CHL</v>
          </cell>
          <cell r="B925" t="str">
            <v>Short</v>
          </cell>
          <cell r="C925" t="str">
            <v>2017 - 2022</v>
          </cell>
          <cell r="D925" t="str">
            <v>avg_1_99_imp</v>
          </cell>
          <cell r="E925" t="str">
            <v>gdp_activity</v>
          </cell>
          <cell r="F925">
            <v>0.45973801612853998</v>
          </cell>
        </row>
        <row r="926">
          <cell r="A926" t="str">
            <v>CHL</v>
          </cell>
          <cell r="B926" t="str">
            <v>Short</v>
          </cell>
          <cell r="C926" t="str">
            <v>2017 - 2022</v>
          </cell>
          <cell r="D926" t="str">
            <v>avg_1_99_imp</v>
          </cell>
          <cell r="E926" t="str">
            <v>gdp_for_agri</v>
          </cell>
          <cell r="F926">
            <v>-0.44442513585090643</v>
          </cell>
        </row>
        <row r="927">
          <cell r="A927" t="str">
            <v>CHL</v>
          </cell>
          <cell r="B927" t="str">
            <v>Short</v>
          </cell>
          <cell r="C927" t="str">
            <v>2017 - 2022</v>
          </cell>
          <cell r="D927" t="str">
            <v>avg_1_99_imp</v>
          </cell>
          <cell r="E927" t="str">
            <v>gdp_for_ind</v>
          </cell>
          <cell r="F927">
            <v>2.0161583423614502</v>
          </cell>
        </row>
        <row r="928">
          <cell r="A928" t="str">
            <v>CHL</v>
          </cell>
          <cell r="B928" t="str">
            <v>Short</v>
          </cell>
          <cell r="C928" t="str">
            <v>2017 - 2022</v>
          </cell>
          <cell r="D928" t="str">
            <v>avg_1_99_imp</v>
          </cell>
          <cell r="E928" t="str">
            <v>gdp_for_serv</v>
          </cell>
          <cell r="F928">
            <v>0.89836394786834717</v>
          </cell>
        </row>
        <row r="929">
          <cell r="A929" t="str">
            <v>CHL</v>
          </cell>
          <cell r="B929" t="str">
            <v>Short</v>
          </cell>
          <cell r="C929" t="str">
            <v>2017 - 2022</v>
          </cell>
          <cell r="D929" t="str">
            <v>avg_1_99_imp</v>
          </cell>
          <cell r="E929" t="str">
            <v>gdp_inf_agri</v>
          </cell>
          <cell r="F929">
            <v>-0.38904684782028198</v>
          </cell>
        </row>
        <row r="930">
          <cell r="A930" t="str">
            <v>CHL</v>
          </cell>
          <cell r="B930" t="str">
            <v>Short</v>
          </cell>
          <cell r="C930" t="str">
            <v>2017 - 2022</v>
          </cell>
          <cell r="D930" t="str">
            <v>avg_1_99_imp</v>
          </cell>
          <cell r="E930" t="str">
            <v>gdp_inf_ind</v>
          </cell>
          <cell r="F930">
            <v>-1.8499759435653691</v>
          </cell>
        </row>
        <row r="931">
          <cell r="A931" t="str">
            <v>CHL</v>
          </cell>
          <cell r="B931" t="str">
            <v>Short</v>
          </cell>
          <cell r="C931" t="str">
            <v>2017 - 2022</v>
          </cell>
          <cell r="D931" t="str">
            <v>avg_1_99_imp</v>
          </cell>
          <cell r="E931" t="str">
            <v>gdp_inf_serv</v>
          </cell>
          <cell r="F931">
            <v>1.8214681148529051</v>
          </cell>
        </row>
        <row r="932">
          <cell r="A932" t="str">
            <v>CHL</v>
          </cell>
          <cell r="B932" t="str">
            <v>Short</v>
          </cell>
          <cell r="C932" t="str">
            <v>2017 - 2022</v>
          </cell>
          <cell r="D932" t="str">
            <v>avg_1_99_imp</v>
          </cell>
          <cell r="E932" t="str">
            <v>prod_for_agri</v>
          </cell>
          <cell r="F932">
            <v>0.51793134212493896</v>
          </cell>
        </row>
        <row r="933">
          <cell r="A933" t="str">
            <v>CHL</v>
          </cell>
          <cell r="B933" t="str">
            <v>Short</v>
          </cell>
          <cell r="C933" t="str">
            <v>2017 - 2022</v>
          </cell>
          <cell r="D933" t="str">
            <v>avg_1_99_imp</v>
          </cell>
          <cell r="E933" t="str">
            <v>prod_for_ind</v>
          </cell>
          <cell r="F933">
            <v>1.464232709258795E-2</v>
          </cell>
        </row>
        <row r="934">
          <cell r="A934" t="str">
            <v>CHL</v>
          </cell>
          <cell r="B934" t="str">
            <v>Short</v>
          </cell>
          <cell r="C934" t="str">
            <v>2017 - 2022</v>
          </cell>
          <cell r="D934" t="str">
            <v>avg_1_99_imp</v>
          </cell>
          <cell r="E934" t="str">
            <v>prod_for_serv</v>
          </cell>
          <cell r="F934">
            <v>-3.6168313026428218</v>
          </cell>
        </row>
        <row r="935">
          <cell r="A935" t="str">
            <v>CHL</v>
          </cell>
          <cell r="B935" t="str">
            <v>Short</v>
          </cell>
          <cell r="C935" t="str">
            <v>2017 - 2022</v>
          </cell>
          <cell r="D935" t="str">
            <v>avg_1_99_imp</v>
          </cell>
          <cell r="E935" t="str">
            <v>prod_inf_agri</v>
          </cell>
          <cell r="F935">
            <v>-0.28268402814865112</v>
          </cell>
        </row>
        <row r="936">
          <cell r="A936" t="str">
            <v>CHL</v>
          </cell>
          <cell r="B936" t="str">
            <v>Short</v>
          </cell>
          <cell r="C936" t="str">
            <v>2017 - 2022</v>
          </cell>
          <cell r="D936" t="str">
            <v>avg_1_99_imp</v>
          </cell>
          <cell r="E936" t="str">
            <v>prod_inf_ind</v>
          </cell>
          <cell r="F936">
            <v>-1.414631843566895</v>
          </cell>
        </row>
        <row r="937">
          <cell r="A937" t="str">
            <v>CHL</v>
          </cell>
          <cell r="B937" t="str">
            <v>Short</v>
          </cell>
          <cell r="C937" t="str">
            <v>2017 - 2022</v>
          </cell>
          <cell r="D937" t="str">
            <v>avg_1_99_imp</v>
          </cell>
          <cell r="E937" t="str">
            <v>prod_inf_serv</v>
          </cell>
          <cell r="F937">
            <v>-5.7851219177246094</v>
          </cell>
        </row>
        <row r="938">
          <cell r="A938" t="str">
            <v>CHL</v>
          </cell>
          <cell r="B938" t="str">
            <v>Short</v>
          </cell>
          <cell r="C938" t="str">
            <v>2017 - 2022</v>
          </cell>
          <cell r="D938" t="str">
            <v>reg</v>
          </cell>
          <cell r="E938" t="str">
            <v>gdp_activity</v>
          </cell>
          <cell r="F938">
            <v>0.5361517071723938</v>
          </cell>
        </row>
        <row r="939">
          <cell r="A939" t="str">
            <v>CHL</v>
          </cell>
          <cell r="B939" t="str">
            <v>Short</v>
          </cell>
          <cell r="C939" t="str">
            <v>2017 - 2022</v>
          </cell>
          <cell r="D939" t="str">
            <v>reg</v>
          </cell>
          <cell r="E939" t="str">
            <v>gdp_for_agri</v>
          </cell>
          <cell r="F939">
            <v>-1.929109573364258</v>
          </cell>
        </row>
        <row r="940">
          <cell r="A940" t="str">
            <v>CHL</v>
          </cell>
          <cell r="B940" t="str">
            <v>Short</v>
          </cell>
          <cell r="C940" t="str">
            <v>2017 - 2022</v>
          </cell>
          <cell r="D940" t="str">
            <v>reg</v>
          </cell>
          <cell r="E940" t="str">
            <v>gdp_for_ind</v>
          </cell>
          <cell r="F940">
            <v>3.0026423931121831</v>
          </cell>
        </row>
        <row r="941">
          <cell r="A941" t="str">
            <v>CHL</v>
          </cell>
          <cell r="B941" t="str">
            <v>Short</v>
          </cell>
          <cell r="C941" t="str">
            <v>2017 - 2022</v>
          </cell>
          <cell r="D941" t="str">
            <v>reg</v>
          </cell>
          <cell r="E941" t="str">
            <v>gdp_for_serv</v>
          </cell>
          <cell r="F941">
            <v>0.68861126899719238</v>
          </cell>
        </row>
        <row r="942">
          <cell r="A942" t="str">
            <v>CHL</v>
          </cell>
          <cell r="B942" t="str">
            <v>Short</v>
          </cell>
          <cell r="C942" t="str">
            <v>2017 - 2022</v>
          </cell>
          <cell r="D942" t="str">
            <v>reg</v>
          </cell>
          <cell r="E942" t="str">
            <v>gdp_inf_agri</v>
          </cell>
          <cell r="F942">
            <v>4.5351874083280563E-2</v>
          </cell>
        </row>
        <row r="943">
          <cell r="A943" t="str">
            <v>CHL</v>
          </cell>
          <cell r="B943" t="str">
            <v>Short</v>
          </cell>
          <cell r="C943" t="str">
            <v>2017 - 2022</v>
          </cell>
          <cell r="D943" t="str">
            <v>reg</v>
          </cell>
          <cell r="E943" t="str">
            <v>gdp_inf_ind</v>
          </cell>
          <cell r="F943">
            <v>5.2969832420349121</v>
          </cell>
        </row>
        <row r="944">
          <cell r="A944" t="str">
            <v>CHL</v>
          </cell>
          <cell r="B944" t="str">
            <v>Short</v>
          </cell>
          <cell r="C944" t="str">
            <v>2017 - 2022</v>
          </cell>
          <cell r="D944" t="str">
            <v>reg</v>
          </cell>
          <cell r="E944" t="str">
            <v>gdp_inf_serv</v>
          </cell>
          <cell r="F944">
            <v>1.6028332710266111</v>
          </cell>
        </row>
        <row r="945">
          <cell r="A945" t="str">
            <v>CHL</v>
          </cell>
          <cell r="B945" t="str">
            <v>Short</v>
          </cell>
          <cell r="C945" t="str">
            <v>2017 - 2022</v>
          </cell>
          <cell r="D945" t="str">
            <v>reg</v>
          </cell>
          <cell r="E945" t="str">
            <v>prod_for_agri</v>
          </cell>
          <cell r="F945">
            <v>0.906444251537323</v>
          </cell>
        </row>
        <row r="946">
          <cell r="A946" t="str">
            <v>CHL</v>
          </cell>
          <cell r="B946" t="str">
            <v>Short</v>
          </cell>
          <cell r="C946" t="str">
            <v>2017 - 2022</v>
          </cell>
          <cell r="D946" t="str">
            <v>reg</v>
          </cell>
          <cell r="E946" t="str">
            <v>prod_for_ind</v>
          </cell>
          <cell r="F946">
            <v>-0.57262295484542847</v>
          </cell>
        </row>
        <row r="947">
          <cell r="A947" t="str">
            <v>CHL</v>
          </cell>
          <cell r="B947" t="str">
            <v>Short</v>
          </cell>
          <cell r="C947" t="str">
            <v>2017 - 2022</v>
          </cell>
          <cell r="D947" t="str">
            <v>reg</v>
          </cell>
          <cell r="E947" t="str">
            <v>prod_for_serv</v>
          </cell>
          <cell r="F947">
            <v>0.6053396463394165</v>
          </cell>
        </row>
        <row r="948">
          <cell r="A948" t="str">
            <v>CHL</v>
          </cell>
          <cell r="B948" t="str">
            <v>Short</v>
          </cell>
          <cell r="C948" t="str">
            <v>2017 - 2022</v>
          </cell>
          <cell r="D948" t="str">
            <v>reg</v>
          </cell>
          <cell r="E948" t="str">
            <v>prod_inf_agri</v>
          </cell>
          <cell r="F948">
            <v>-7.2289042174816132E-2</v>
          </cell>
        </row>
        <row r="949">
          <cell r="A949" t="str">
            <v>CHL</v>
          </cell>
          <cell r="B949" t="str">
            <v>Short</v>
          </cell>
          <cell r="C949" t="str">
            <v>2017 - 2022</v>
          </cell>
          <cell r="D949" t="str">
            <v>reg</v>
          </cell>
          <cell r="E949" t="str">
            <v>prod_inf_ind</v>
          </cell>
          <cell r="F949">
            <v>-1.3424744606018071</v>
          </cell>
        </row>
        <row r="950">
          <cell r="A950" t="str">
            <v>CHL</v>
          </cell>
          <cell r="B950" t="str">
            <v>Short</v>
          </cell>
          <cell r="C950" t="str">
            <v>2017 - 2022</v>
          </cell>
          <cell r="D950" t="str">
            <v>reg</v>
          </cell>
          <cell r="E950" t="str">
            <v>prod_inf_serv</v>
          </cell>
          <cell r="F950">
            <v>-3.3382613658905029</v>
          </cell>
        </row>
        <row r="951">
          <cell r="A951" t="str">
            <v>CHL</v>
          </cell>
          <cell r="B951" t="str">
            <v>Short</v>
          </cell>
          <cell r="C951" t="str">
            <v>2017 - 2022</v>
          </cell>
          <cell r="D951" t="str">
            <v>reg_gdp</v>
          </cell>
          <cell r="E951" t="str">
            <v>gdp_activity</v>
          </cell>
          <cell r="F951">
            <v>0.5361517071723938</v>
          </cell>
        </row>
        <row r="952">
          <cell r="A952" t="str">
            <v>CHL</v>
          </cell>
          <cell r="B952" t="str">
            <v>Short</v>
          </cell>
          <cell r="C952" t="str">
            <v>2017 - 2022</v>
          </cell>
          <cell r="D952" t="str">
            <v>reg_gdp</v>
          </cell>
          <cell r="E952" t="str">
            <v>gdp_for_agri</v>
          </cell>
          <cell r="F952">
            <v>-9.9048910140991211</v>
          </cell>
        </row>
        <row r="953">
          <cell r="A953" t="str">
            <v>CHL</v>
          </cell>
          <cell r="B953" t="str">
            <v>Short</v>
          </cell>
          <cell r="C953" t="str">
            <v>2017 - 2022</v>
          </cell>
          <cell r="D953" t="str">
            <v>reg_gdp</v>
          </cell>
          <cell r="E953" t="str">
            <v>gdp_for_ind</v>
          </cell>
          <cell r="F953">
            <v>-4.6732044219970703</v>
          </cell>
        </row>
        <row r="954">
          <cell r="A954" t="str">
            <v>CHL</v>
          </cell>
          <cell r="B954" t="str">
            <v>Short</v>
          </cell>
          <cell r="C954" t="str">
            <v>2017 - 2022</v>
          </cell>
          <cell r="D954" t="str">
            <v>reg_gdp</v>
          </cell>
          <cell r="E954" t="str">
            <v>gdp_for_serv</v>
          </cell>
          <cell r="F954">
            <v>0.58937972784042358</v>
          </cell>
        </row>
        <row r="955">
          <cell r="A955" t="str">
            <v>CHL</v>
          </cell>
          <cell r="B955" t="str">
            <v>Short</v>
          </cell>
          <cell r="C955" t="str">
            <v>2017 - 2022</v>
          </cell>
          <cell r="D955" t="str">
            <v>reg_gdp</v>
          </cell>
          <cell r="E955" t="str">
            <v>gdp_inf_agri</v>
          </cell>
          <cell r="F955">
            <v>-32.847805023193359</v>
          </cell>
        </row>
        <row r="956">
          <cell r="A956" t="str">
            <v>CHL</v>
          </cell>
          <cell r="B956" t="str">
            <v>Short</v>
          </cell>
          <cell r="C956" t="str">
            <v>2017 - 2022</v>
          </cell>
          <cell r="D956" t="str">
            <v>reg_gdp</v>
          </cell>
          <cell r="E956" t="str">
            <v>gdp_inf_ind</v>
          </cell>
          <cell r="F956">
            <v>-9.8328094482421875</v>
          </cell>
        </row>
        <row r="957">
          <cell r="A957" t="str">
            <v>CHL</v>
          </cell>
          <cell r="B957" t="str">
            <v>Short</v>
          </cell>
          <cell r="C957" t="str">
            <v>2017 - 2022</v>
          </cell>
          <cell r="D957" t="str">
            <v>reg_gdp</v>
          </cell>
          <cell r="E957" t="str">
            <v>gdp_inf_serv</v>
          </cell>
          <cell r="F957">
            <v>29.58188438415527</v>
          </cell>
        </row>
        <row r="958">
          <cell r="A958" t="str">
            <v>CHL</v>
          </cell>
          <cell r="B958" t="str">
            <v>Short</v>
          </cell>
          <cell r="C958" t="str">
            <v>2017 - 2022</v>
          </cell>
          <cell r="D958" t="str">
            <v>reg_gdp</v>
          </cell>
          <cell r="E958" t="str">
            <v>prod_for_agri</v>
          </cell>
          <cell r="F958">
            <v>0.97353184223175049</v>
          </cell>
        </row>
        <row r="959">
          <cell r="A959" t="str">
            <v>CHL</v>
          </cell>
          <cell r="B959" t="str">
            <v>Short</v>
          </cell>
          <cell r="C959" t="str">
            <v>2017 - 2022</v>
          </cell>
          <cell r="D959" t="str">
            <v>reg_gdp</v>
          </cell>
          <cell r="E959" t="str">
            <v>prod_for_ind</v>
          </cell>
          <cell r="F959">
            <v>0.17810903489589691</v>
          </cell>
        </row>
        <row r="960">
          <cell r="A960" t="str">
            <v>CHL</v>
          </cell>
          <cell r="B960" t="str">
            <v>Short</v>
          </cell>
          <cell r="C960" t="str">
            <v>2017 - 2022</v>
          </cell>
          <cell r="D960" t="str">
            <v>reg_gdp</v>
          </cell>
          <cell r="E960" t="str">
            <v>prod_for_serv</v>
          </cell>
          <cell r="F960">
            <v>0.39127245545387268</v>
          </cell>
        </row>
        <row r="961">
          <cell r="A961" t="str">
            <v>CHL</v>
          </cell>
          <cell r="B961" t="str">
            <v>Short</v>
          </cell>
          <cell r="C961" t="str">
            <v>2017 - 2022</v>
          </cell>
          <cell r="D961" t="str">
            <v>reg_gdp</v>
          </cell>
          <cell r="E961" t="str">
            <v>prod_inf_agri</v>
          </cell>
          <cell r="F961">
            <v>-0.64177006483078003</v>
          </cell>
        </row>
        <row r="962">
          <cell r="A962" t="str">
            <v>CHL</v>
          </cell>
          <cell r="B962" t="str">
            <v>Short</v>
          </cell>
          <cell r="C962" t="str">
            <v>2017 - 2022</v>
          </cell>
          <cell r="D962" t="str">
            <v>reg_gdp</v>
          </cell>
          <cell r="E962" t="str">
            <v>prod_inf_ind</v>
          </cell>
          <cell r="F962">
            <v>-3.318722009658813</v>
          </cell>
        </row>
        <row r="963">
          <cell r="A963" t="str">
            <v>CHL</v>
          </cell>
          <cell r="B963" t="str">
            <v>Short</v>
          </cell>
          <cell r="C963" t="str">
            <v>2017 - 2022</v>
          </cell>
          <cell r="D963" t="str">
            <v>reg_gdp</v>
          </cell>
          <cell r="E963" t="str">
            <v>prod_inf_serv</v>
          </cell>
          <cell r="F963">
            <v>-4.072441577911377</v>
          </cell>
        </row>
        <row r="964">
          <cell r="A964" t="str">
            <v>CHL</v>
          </cell>
          <cell r="B964" t="str">
            <v>Short</v>
          </cell>
          <cell r="C964" t="str">
            <v>2017 - 2022</v>
          </cell>
          <cell r="D964" t="str">
            <v>reg_iter</v>
          </cell>
          <cell r="E964" t="str">
            <v>gdp_activity</v>
          </cell>
          <cell r="F964">
            <v>0.63633829355239868</v>
          </cell>
        </row>
        <row r="965">
          <cell r="A965" t="str">
            <v>CHL</v>
          </cell>
          <cell r="B965" t="str">
            <v>Short</v>
          </cell>
          <cell r="C965" t="str">
            <v>2017 - 2022</v>
          </cell>
          <cell r="D965" t="str">
            <v>reg_iter</v>
          </cell>
          <cell r="E965" t="str">
            <v>gdp_for_agri</v>
          </cell>
          <cell r="F965">
            <v>-2.6422333717346191</v>
          </cell>
        </row>
        <row r="966">
          <cell r="A966" t="str">
            <v>CHL</v>
          </cell>
          <cell r="B966" t="str">
            <v>Short</v>
          </cell>
          <cell r="C966" t="str">
            <v>2017 - 2022</v>
          </cell>
          <cell r="D966" t="str">
            <v>reg_iter</v>
          </cell>
          <cell r="E966" t="str">
            <v>gdp_for_ind</v>
          </cell>
          <cell r="F966">
            <v>2.1896741390228271</v>
          </cell>
        </row>
        <row r="967">
          <cell r="A967" t="str">
            <v>CHL</v>
          </cell>
          <cell r="B967" t="str">
            <v>Short</v>
          </cell>
          <cell r="C967" t="str">
            <v>2017 - 2022</v>
          </cell>
          <cell r="D967" t="str">
            <v>reg_iter</v>
          </cell>
          <cell r="E967" t="str">
            <v>gdp_for_serv</v>
          </cell>
          <cell r="F967">
            <v>0.69227784872055054</v>
          </cell>
        </row>
        <row r="968">
          <cell r="A968" t="str">
            <v>CHL</v>
          </cell>
          <cell r="B968" t="str">
            <v>Short</v>
          </cell>
          <cell r="C968" t="str">
            <v>2017 - 2022</v>
          </cell>
          <cell r="D968" t="str">
            <v>reg_iter</v>
          </cell>
          <cell r="E968" t="str">
            <v>gdp_inf_agri</v>
          </cell>
          <cell r="F968">
            <v>-2.8956632614135742</v>
          </cell>
        </row>
        <row r="969">
          <cell r="A969" t="str">
            <v>CHL</v>
          </cell>
          <cell r="B969" t="str">
            <v>Short</v>
          </cell>
          <cell r="C969" t="str">
            <v>2017 - 2022</v>
          </cell>
          <cell r="D969" t="str">
            <v>reg_iter</v>
          </cell>
          <cell r="E969" t="str">
            <v>gdp_inf_ind</v>
          </cell>
          <cell r="F969">
            <v>3.6945490837097168</v>
          </cell>
        </row>
        <row r="970">
          <cell r="A970" t="str">
            <v>CHL</v>
          </cell>
          <cell r="B970" t="str">
            <v>Short</v>
          </cell>
          <cell r="C970" t="str">
            <v>2017 - 2022</v>
          </cell>
          <cell r="D970" t="str">
            <v>reg_iter</v>
          </cell>
          <cell r="E970" t="str">
            <v>gdp_inf_serv</v>
          </cell>
          <cell r="F970">
            <v>0.56901353597640991</v>
          </cell>
        </row>
        <row r="971">
          <cell r="A971" t="str">
            <v>CHL</v>
          </cell>
          <cell r="B971" t="str">
            <v>Short</v>
          </cell>
          <cell r="C971" t="str">
            <v>2017 - 2022</v>
          </cell>
          <cell r="D971" t="str">
            <v>reg_iter</v>
          </cell>
          <cell r="E971" t="str">
            <v>prod_for_agri</v>
          </cell>
          <cell r="F971">
            <v>0.82523626089096069</v>
          </cell>
        </row>
        <row r="972">
          <cell r="A972" t="str">
            <v>CHL</v>
          </cell>
          <cell r="B972" t="str">
            <v>Short</v>
          </cell>
          <cell r="C972" t="str">
            <v>2017 - 2022</v>
          </cell>
          <cell r="D972" t="str">
            <v>reg_iter</v>
          </cell>
          <cell r="E972" t="str">
            <v>prod_for_ind</v>
          </cell>
          <cell r="F972">
            <v>-1.7557826042175291</v>
          </cell>
        </row>
        <row r="973">
          <cell r="A973" t="str">
            <v>CHL</v>
          </cell>
          <cell r="B973" t="str">
            <v>Short</v>
          </cell>
          <cell r="C973" t="str">
            <v>2017 - 2022</v>
          </cell>
          <cell r="D973" t="str">
            <v>reg_iter</v>
          </cell>
          <cell r="E973" t="str">
            <v>prod_for_serv</v>
          </cell>
          <cell r="F973">
            <v>1.0417816638946531</v>
          </cell>
        </row>
        <row r="974">
          <cell r="A974" t="str">
            <v>CHL</v>
          </cell>
          <cell r="B974" t="str">
            <v>Short</v>
          </cell>
          <cell r="C974" t="str">
            <v>2017 - 2022</v>
          </cell>
          <cell r="D974" t="str">
            <v>reg_iter</v>
          </cell>
          <cell r="E974" t="str">
            <v>prod_inf_agri</v>
          </cell>
          <cell r="F974">
            <v>0.61705398559570313</v>
          </cell>
        </row>
        <row r="975">
          <cell r="A975" t="str">
            <v>CHL</v>
          </cell>
          <cell r="B975" t="str">
            <v>Short</v>
          </cell>
          <cell r="C975" t="str">
            <v>2017 - 2022</v>
          </cell>
          <cell r="D975" t="str">
            <v>reg_iter</v>
          </cell>
          <cell r="E975" t="str">
            <v>prod_inf_ind</v>
          </cell>
          <cell r="F975">
            <v>1.7721073627471919</v>
          </cell>
        </row>
        <row r="976">
          <cell r="A976" t="str">
            <v>CHL</v>
          </cell>
          <cell r="B976" t="str">
            <v>Short</v>
          </cell>
          <cell r="C976" t="str">
            <v>2017 - 2022</v>
          </cell>
          <cell r="D976" t="str">
            <v>reg_iter</v>
          </cell>
          <cell r="E976" t="str">
            <v>prod_inf_serv</v>
          </cell>
          <cell r="F976">
            <v>-1.8414087295532231</v>
          </cell>
        </row>
        <row r="977">
          <cell r="A977" t="str">
            <v>COL</v>
          </cell>
          <cell r="B977" t="str">
            <v>Long</v>
          </cell>
          <cell r="C977" t="str">
            <v>2008 - 2022</v>
          </cell>
          <cell r="D977" t="str">
            <v>avg</v>
          </cell>
          <cell r="E977" t="str">
            <v>gdp_activity</v>
          </cell>
          <cell r="F977">
            <v>0.92342871427536011</v>
          </cell>
        </row>
        <row r="978">
          <cell r="A978" t="str">
            <v>COL</v>
          </cell>
          <cell r="B978" t="str">
            <v>Long</v>
          </cell>
          <cell r="C978" t="str">
            <v>2008 - 2022</v>
          </cell>
          <cell r="D978" t="str">
            <v>avg</v>
          </cell>
          <cell r="E978" t="str">
            <v>gdp_for_agri</v>
          </cell>
          <cell r="F978">
            <v>3.1621100902557369</v>
          </cell>
        </row>
        <row r="979">
          <cell r="A979" t="str">
            <v>COL</v>
          </cell>
          <cell r="B979" t="str">
            <v>Long</v>
          </cell>
          <cell r="C979" t="str">
            <v>2008 - 2022</v>
          </cell>
          <cell r="D979" t="str">
            <v>avg</v>
          </cell>
          <cell r="E979" t="str">
            <v>gdp_for_ind</v>
          </cell>
          <cell r="F979">
            <v>2.417963027954102</v>
          </cell>
        </row>
        <row r="980">
          <cell r="A980" t="str">
            <v>COL</v>
          </cell>
          <cell r="B980" t="str">
            <v>Long</v>
          </cell>
          <cell r="C980" t="str">
            <v>2008 - 2022</v>
          </cell>
          <cell r="D980" t="str">
            <v>avg</v>
          </cell>
          <cell r="E980" t="str">
            <v>gdp_for_serv</v>
          </cell>
          <cell r="F980">
            <v>1.296119809150696</v>
          </cell>
        </row>
        <row r="981">
          <cell r="A981" t="str">
            <v>COL</v>
          </cell>
          <cell r="B981" t="str">
            <v>Long</v>
          </cell>
          <cell r="C981" t="str">
            <v>2008 - 2022</v>
          </cell>
          <cell r="D981" t="str">
            <v>avg</v>
          </cell>
          <cell r="E981" t="str">
            <v>gdp_inf_agri</v>
          </cell>
          <cell r="F981">
            <v>-3.4009191989898682</v>
          </cell>
        </row>
        <row r="982">
          <cell r="A982" t="str">
            <v>COL</v>
          </cell>
          <cell r="B982" t="str">
            <v>Long</v>
          </cell>
          <cell r="C982" t="str">
            <v>2008 - 2022</v>
          </cell>
          <cell r="D982" t="str">
            <v>avg</v>
          </cell>
          <cell r="E982" t="str">
            <v>gdp_inf_ind</v>
          </cell>
          <cell r="F982">
            <v>1.405956029891968</v>
          </cell>
        </row>
        <row r="983">
          <cell r="A983" t="str">
            <v>COL</v>
          </cell>
          <cell r="B983" t="str">
            <v>Long</v>
          </cell>
          <cell r="C983" t="str">
            <v>2008 - 2022</v>
          </cell>
          <cell r="D983" t="str">
            <v>avg</v>
          </cell>
          <cell r="E983" t="str">
            <v>gdp_inf_serv</v>
          </cell>
          <cell r="F983">
            <v>0.60305589437484741</v>
          </cell>
        </row>
        <row r="984">
          <cell r="A984" t="str">
            <v>COL</v>
          </cell>
          <cell r="B984" t="str">
            <v>Long</v>
          </cell>
          <cell r="C984" t="str">
            <v>2008 - 2022</v>
          </cell>
          <cell r="D984" t="str">
            <v>avg</v>
          </cell>
          <cell r="E984" t="str">
            <v>prod_for_agri</v>
          </cell>
          <cell r="F984">
            <v>1.97949755191803</v>
          </cell>
        </row>
        <row r="985">
          <cell r="A985" t="str">
            <v>COL</v>
          </cell>
          <cell r="B985" t="str">
            <v>Long</v>
          </cell>
          <cell r="C985" t="str">
            <v>2008 - 2022</v>
          </cell>
          <cell r="D985" t="str">
            <v>avg</v>
          </cell>
          <cell r="E985" t="str">
            <v>prod_for_ind</v>
          </cell>
          <cell r="F985">
            <v>-2.5782585144042969</v>
          </cell>
        </row>
        <row r="986">
          <cell r="A986" t="str">
            <v>COL</v>
          </cell>
          <cell r="B986" t="str">
            <v>Long</v>
          </cell>
          <cell r="C986" t="str">
            <v>2008 - 2022</v>
          </cell>
          <cell r="D986" t="str">
            <v>avg</v>
          </cell>
          <cell r="E986" t="str">
            <v>prod_for_serv</v>
          </cell>
          <cell r="F986">
            <v>2.210652112960815</v>
          </cell>
        </row>
        <row r="987">
          <cell r="A987" t="str">
            <v>COL</v>
          </cell>
          <cell r="B987" t="str">
            <v>Long</v>
          </cell>
          <cell r="C987" t="str">
            <v>2008 - 2022</v>
          </cell>
          <cell r="D987" t="str">
            <v>avg</v>
          </cell>
          <cell r="E987" t="str">
            <v>prod_inf_agri</v>
          </cell>
          <cell r="F987">
            <v>0.45682388544082642</v>
          </cell>
        </row>
        <row r="988">
          <cell r="A988" t="str">
            <v>COL</v>
          </cell>
          <cell r="B988" t="str">
            <v>Long</v>
          </cell>
          <cell r="C988" t="str">
            <v>2008 - 2022</v>
          </cell>
          <cell r="D988" t="str">
            <v>avg</v>
          </cell>
          <cell r="E988" t="str">
            <v>prod_inf_ind</v>
          </cell>
          <cell r="F988">
            <v>-0.87658768892288208</v>
          </cell>
        </row>
        <row r="989">
          <cell r="A989" t="str">
            <v>COL</v>
          </cell>
          <cell r="B989" t="str">
            <v>Long</v>
          </cell>
          <cell r="C989" t="str">
            <v>2008 - 2022</v>
          </cell>
          <cell r="D989" t="str">
            <v>avg</v>
          </cell>
          <cell r="E989" t="str">
            <v>prod_inf_serv</v>
          </cell>
          <cell r="F989">
            <v>1.5237458944320681</v>
          </cell>
        </row>
        <row r="990">
          <cell r="A990" t="str">
            <v>COL</v>
          </cell>
          <cell r="B990" t="str">
            <v>Long</v>
          </cell>
          <cell r="C990" t="str">
            <v>2008 - 2022</v>
          </cell>
          <cell r="D990" t="str">
            <v>avg_1_99</v>
          </cell>
          <cell r="E990" t="str">
            <v>gdp_activity</v>
          </cell>
          <cell r="F990">
            <v>0.54035937786102295</v>
          </cell>
        </row>
        <row r="991">
          <cell r="A991" t="str">
            <v>COL</v>
          </cell>
          <cell r="B991" t="str">
            <v>Long</v>
          </cell>
          <cell r="C991" t="str">
            <v>2008 - 2022</v>
          </cell>
          <cell r="D991" t="str">
            <v>avg_1_99</v>
          </cell>
          <cell r="E991" t="str">
            <v>gdp_for_agri</v>
          </cell>
          <cell r="F991">
            <v>0.31125828623771667</v>
          </cell>
        </row>
        <row r="992">
          <cell r="A992" t="str">
            <v>COL</v>
          </cell>
          <cell r="B992" t="str">
            <v>Long</v>
          </cell>
          <cell r="C992" t="str">
            <v>2008 - 2022</v>
          </cell>
          <cell r="D992" t="str">
            <v>avg_1_99</v>
          </cell>
          <cell r="E992" t="str">
            <v>gdp_for_ind</v>
          </cell>
          <cell r="F992">
            <v>1.450993418693542</v>
          </cell>
        </row>
        <row r="993">
          <cell r="A993" t="str">
            <v>COL</v>
          </cell>
          <cell r="B993" t="str">
            <v>Long</v>
          </cell>
          <cell r="C993" t="str">
            <v>2008 - 2022</v>
          </cell>
          <cell r="D993" t="str">
            <v>avg_1_99</v>
          </cell>
          <cell r="E993" t="str">
            <v>gdp_for_serv</v>
          </cell>
          <cell r="F993">
            <v>1.286640405654907</v>
          </cell>
        </row>
        <row r="994">
          <cell r="A994" t="str">
            <v>COL</v>
          </cell>
          <cell r="B994" t="str">
            <v>Long</v>
          </cell>
          <cell r="C994" t="str">
            <v>2008 - 2022</v>
          </cell>
          <cell r="D994" t="str">
            <v>avg_1_99</v>
          </cell>
          <cell r="E994" t="str">
            <v>gdp_inf_agri</v>
          </cell>
          <cell r="F994">
            <v>4.2936239391565323E-2</v>
          </cell>
        </row>
        <row r="995">
          <cell r="A995" t="str">
            <v>COL</v>
          </cell>
          <cell r="B995" t="str">
            <v>Long</v>
          </cell>
          <cell r="C995" t="str">
            <v>2008 - 2022</v>
          </cell>
          <cell r="D995" t="str">
            <v>avg_1_99</v>
          </cell>
          <cell r="E995" t="str">
            <v>gdp_inf_ind</v>
          </cell>
          <cell r="F995">
            <v>0.88113468885421753</v>
          </cell>
        </row>
        <row r="996">
          <cell r="A996" t="str">
            <v>COL</v>
          </cell>
          <cell r="B996" t="str">
            <v>Long</v>
          </cell>
          <cell r="C996" t="str">
            <v>2008 - 2022</v>
          </cell>
          <cell r="D996" t="str">
            <v>avg_1_99</v>
          </cell>
          <cell r="E996" t="str">
            <v>gdp_inf_serv</v>
          </cell>
          <cell r="F996">
            <v>0.45031464099884028</v>
          </cell>
        </row>
        <row r="997">
          <cell r="A997" t="str">
            <v>COL</v>
          </cell>
          <cell r="B997" t="str">
            <v>Long</v>
          </cell>
          <cell r="C997" t="str">
            <v>2008 - 2022</v>
          </cell>
          <cell r="D997" t="str">
            <v>avg_1_99</v>
          </cell>
          <cell r="E997" t="str">
            <v>prod_for_agri</v>
          </cell>
          <cell r="F997">
            <v>0.7176128625869751</v>
          </cell>
        </row>
        <row r="998">
          <cell r="A998" t="str">
            <v>COL</v>
          </cell>
          <cell r="B998" t="str">
            <v>Long</v>
          </cell>
          <cell r="C998" t="str">
            <v>2008 - 2022</v>
          </cell>
          <cell r="D998" t="str">
            <v>avg_1_99</v>
          </cell>
          <cell r="E998" t="str">
            <v>prod_for_ind</v>
          </cell>
          <cell r="F998">
            <v>-3.1392099857330318</v>
          </cell>
        </row>
        <row r="999">
          <cell r="A999" t="str">
            <v>COL</v>
          </cell>
          <cell r="B999" t="str">
            <v>Long</v>
          </cell>
          <cell r="C999" t="str">
            <v>2008 - 2022</v>
          </cell>
          <cell r="D999" t="str">
            <v>avg_1_99</v>
          </cell>
          <cell r="E999" t="str">
            <v>prod_for_serv</v>
          </cell>
          <cell r="F999">
            <v>0.67356711626052856</v>
          </cell>
        </row>
        <row r="1000">
          <cell r="A1000" t="str">
            <v>COL</v>
          </cell>
          <cell r="B1000" t="str">
            <v>Long</v>
          </cell>
          <cell r="C1000" t="str">
            <v>2008 - 2022</v>
          </cell>
          <cell r="D1000" t="str">
            <v>avg_1_99</v>
          </cell>
          <cell r="E1000" t="str">
            <v>prod_inf_agri</v>
          </cell>
          <cell r="F1000">
            <v>0.36713477969169622</v>
          </cell>
        </row>
        <row r="1001">
          <cell r="A1001" t="str">
            <v>COL</v>
          </cell>
          <cell r="B1001" t="str">
            <v>Long</v>
          </cell>
          <cell r="C1001" t="str">
            <v>2008 - 2022</v>
          </cell>
          <cell r="D1001" t="str">
            <v>avg_1_99</v>
          </cell>
          <cell r="E1001" t="str">
            <v>prod_inf_ind</v>
          </cell>
          <cell r="F1001">
            <v>0.14526085555553439</v>
          </cell>
        </row>
        <row r="1002">
          <cell r="A1002" t="str">
            <v>COL</v>
          </cell>
          <cell r="B1002" t="str">
            <v>Long</v>
          </cell>
          <cell r="C1002" t="str">
            <v>2008 - 2022</v>
          </cell>
          <cell r="D1002" t="str">
            <v>avg_1_99</v>
          </cell>
          <cell r="E1002" t="str">
            <v>prod_inf_serv</v>
          </cell>
          <cell r="F1002">
            <v>-0.23779936134815219</v>
          </cell>
        </row>
        <row r="1003">
          <cell r="A1003" t="str">
            <v>COL</v>
          </cell>
          <cell r="B1003" t="str">
            <v>Long</v>
          </cell>
          <cell r="C1003" t="str">
            <v>2008 - 2022</v>
          </cell>
          <cell r="D1003" t="str">
            <v>avg_1_99_imp</v>
          </cell>
          <cell r="E1003" t="str">
            <v>gdp_activity</v>
          </cell>
          <cell r="F1003">
            <v>0.53038299083709717</v>
          </cell>
        </row>
        <row r="1004">
          <cell r="A1004" t="str">
            <v>COL</v>
          </cell>
          <cell r="B1004" t="str">
            <v>Long</v>
          </cell>
          <cell r="C1004" t="str">
            <v>2008 - 2022</v>
          </cell>
          <cell r="D1004" t="str">
            <v>avg_1_99_imp</v>
          </cell>
          <cell r="E1004" t="str">
            <v>gdp_for_agri</v>
          </cell>
          <cell r="F1004">
            <v>0.34849897027015692</v>
          </cell>
        </row>
        <row r="1005">
          <cell r="A1005" t="str">
            <v>COL</v>
          </cell>
          <cell r="B1005" t="str">
            <v>Long</v>
          </cell>
          <cell r="C1005" t="str">
            <v>2008 - 2022</v>
          </cell>
          <cell r="D1005" t="str">
            <v>avg_1_99_imp</v>
          </cell>
          <cell r="E1005" t="str">
            <v>gdp_for_ind</v>
          </cell>
          <cell r="F1005">
            <v>1.4227195978164671</v>
          </cell>
        </row>
        <row r="1006">
          <cell r="A1006" t="str">
            <v>COL</v>
          </cell>
          <cell r="B1006" t="str">
            <v>Long</v>
          </cell>
          <cell r="C1006" t="str">
            <v>2008 - 2022</v>
          </cell>
          <cell r="D1006" t="str">
            <v>avg_1_99_imp</v>
          </cell>
          <cell r="E1006" t="str">
            <v>gdp_for_serv</v>
          </cell>
          <cell r="F1006">
            <v>1.3181817531585689</v>
          </cell>
        </row>
        <row r="1007">
          <cell r="A1007" t="str">
            <v>COL</v>
          </cell>
          <cell r="B1007" t="str">
            <v>Long</v>
          </cell>
          <cell r="C1007" t="str">
            <v>2008 - 2022</v>
          </cell>
          <cell r="D1007" t="str">
            <v>avg_1_99_imp</v>
          </cell>
          <cell r="E1007" t="str">
            <v>gdp_inf_agri</v>
          </cell>
          <cell r="F1007">
            <v>3.4388437867164612E-2</v>
          </cell>
        </row>
        <row r="1008">
          <cell r="A1008" t="str">
            <v>COL</v>
          </cell>
          <cell r="B1008" t="str">
            <v>Long</v>
          </cell>
          <cell r="C1008" t="str">
            <v>2008 - 2022</v>
          </cell>
          <cell r="D1008" t="str">
            <v>avg_1_99_imp</v>
          </cell>
          <cell r="E1008" t="str">
            <v>gdp_inf_ind</v>
          </cell>
          <cell r="F1008">
            <v>0.87567788362503052</v>
          </cell>
        </row>
        <row r="1009">
          <cell r="A1009" t="str">
            <v>COL</v>
          </cell>
          <cell r="B1009" t="str">
            <v>Long</v>
          </cell>
          <cell r="C1009" t="str">
            <v>2008 - 2022</v>
          </cell>
          <cell r="D1009" t="str">
            <v>avg_1_99_imp</v>
          </cell>
          <cell r="E1009" t="str">
            <v>gdp_inf_serv</v>
          </cell>
          <cell r="F1009">
            <v>0.44493627548217768</v>
          </cell>
        </row>
        <row r="1010">
          <cell r="A1010" t="str">
            <v>COL</v>
          </cell>
          <cell r="B1010" t="str">
            <v>Long</v>
          </cell>
          <cell r="C1010" t="str">
            <v>2008 - 2022</v>
          </cell>
          <cell r="D1010" t="str">
            <v>avg_1_99_imp</v>
          </cell>
          <cell r="E1010" t="str">
            <v>prod_for_agri</v>
          </cell>
          <cell r="F1010">
            <v>0.14188410341739649</v>
          </cell>
        </row>
        <row r="1011">
          <cell r="A1011" t="str">
            <v>COL</v>
          </cell>
          <cell r="B1011" t="str">
            <v>Long</v>
          </cell>
          <cell r="C1011" t="str">
            <v>2008 - 2022</v>
          </cell>
          <cell r="D1011" t="str">
            <v>avg_1_99_imp</v>
          </cell>
          <cell r="E1011" t="str">
            <v>prod_for_ind</v>
          </cell>
          <cell r="F1011">
            <v>-0.84617257118225098</v>
          </cell>
        </row>
        <row r="1012">
          <cell r="A1012" t="str">
            <v>COL</v>
          </cell>
          <cell r="B1012" t="str">
            <v>Long</v>
          </cell>
          <cell r="C1012" t="str">
            <v>2008 - 2022</v>
          </cell>
          <cell r="D1012" t="str">
            <v>avg_1_99_imp</v>
          </cell>
          <cell r="E1012" t="str">
            <v>prod_for_serv</v>
          </cell>
          <cell r="F1012">
            <v>6.9036364555358887E-2</v>
          </cell>
        </row>
        <row r="1013">
          <cell r="A1013" t="str">
            <v>COL</v>
          </cell>
          <cell r="B1013" t="str">
            <v>Long</v>
          </cell>
          <cell r="C1013" t="str">
            <v>2008 - 2022</v>
          </cell>
          <cell r="D1013" t="str">
            <v>avg_1_99_imp</v>
          </cell>
          <cell r="E1013" t="str">
            <v>prod_inf_agri</v>
          </cell>
          <cell r="F1013">
            <v>0.32062768936157232</v>
          </cell>
        </row>
        <row r="1014">
          <cell r="A1014" t="str">
            <v>COL</v>
          </cell>
          <cell r="B1014" t="str">
            <v>Long</v>
          </cell>
          <cell r="C1014" t="str">
            <v>2008 - 2022</v>
          </cell>
          <cell r="D1014" t="str">
            <v>avg_1_99_imp</v>
          </cell>
          <cell r="E1014" t="str">
            <v>prod_inf_ind</v>
          </cell>
          <cell r="F1014">
            <v>0.18104612827301031</v>
          </cell>
        </row>
        <row r="1015">
          <cell r="A1015" t="str">
            <v>COL</v>
          </cell>
          <cell r="B1015" t="str">
            <v>Long</v>
          </cell>
          <cell r="C1015" t="str">
            <v>2008 - 2022</v>
          </cell>
          <cell r="D1015" t="str">
            <v>avg_1_99_imp</v>
          </cell>
          <cell r="E1015" t="str">
            <v>prod_inf_serv</v>
          </cell>
          <cell r="F1015">
            <v>-0.13246104121208191</v>
          </cell>
        </row>
        <row r="1016">
          <cell r="A1016" t="str">
            <v>COL</v>
          </cell>
          <cell r="B1016" t="str">
            <v>Long</v>
          </cell>
          <cell r="C1016" t="str">
            <v>2008 - 2022</v>
          </cell>
          <cell r="D1016" t="str">
            <v>med_reg</v>
          </cell>
          <cell r="E1016" t="str">
            <v>gdp_activity</v>
          </cell>
          <cell r="F1016">
            <v>0.4496171772480011</v>
          </cell>
        </row>
        <row r="1017">
          <cell r="A1017" t="str">
            <v>COL</v>
          </cell>
          <cell r="B1017" t="str">
            <v>Long</v>
          </cell>
          <cell r="C1017" t="str">
            <v>2008 - 2022</v>
          </cell>
          <cell r="D1017" t="str">
            <v>med_reg</v>
          </cell>
          <cell r="E1017" t="str">
            <v>gdp_for_agri</v>
          </cell>
          <cell r="F1017">
            <v>0.61539822816848755</v>
          </cell>
        </row>
        <row r="1018">
          <cell r="A1018" t="str">
            <v>COL</v>
          </cell>
          <cell r="B1018" t="str">
            <v>Long</v>
          </cell>
          <cell r="C1018" t="str">
            <v>2008 - 2022</v>
          </cell>
          <cell r="D1018" t="str">
            <v>med_reg</v>
          </cell>
          <cell r="E1018" t="str">
            <v>gdp_for_ind</v>
          </cell>
          <cell r="F1018">
            <v>1.445492625236511</v>
          </cell>
        </row>
        <row r="1019">
          <cell r="A1019" t="str">
            <v>COL</v>
          </cell>
          <cell r="B1019" t="str">
            <v>Long</v>
          </cell>
          <cell r="C1019" t="str">
            <v>2008 - 2022</v>
          </cell>
          <cell r="D1019" t="str">
            <v>med_reg</v>
          </cell>
          <cell r="E1019" t="str">
            <v>gdp_for_serv</v>
          </cell>
          <cell r="F1019">
            <v>1.038615465164185</v>
          </cell>
        </row>
        <row r="1020">
          <cell r="A1020" t="str">
            <v>COL</v>
          </cell>
          <cell r="B1020" t="str">
            <v>Long</v>
          </cell>
          <cell r="C1020" t="str">
            <v>2008 - 2022</v>
          </cell>
          <cell r="D1020" t="str">
            <v>med_reg</v>
          </cell>
          <cell r="E1020" t="str">
            <v>gdp_inf_agri</v>
          </cell>
          <cell r="F1020">
            <v>-4.5788165181875229E-2</v>
          </cell>
        </row>
        <row r="1021">
          <cell r="A1021" t="str">
            <v>COL</v>
          </cell>
          <cell r="B1021" t="str">
            <v>Long</v>
          </cell>
          <cell r="C1021" t="str">
            <v>2008 - 2022</v>
          </cell>
          <cell r="D1021" t="str">
            <v>med_reg</v>
          </cell>
          <cell r="E1021" t="str">
            <v>gdp_inf_ind</v>
          </cell>
          <cell r="F1021">
            <v>0.25243696570396418</v>
          </cell>
        </row>
        <row r="1022">
          <cell r="A1022" t="str">
            <v>COL</v>
          </cell>
          <cell r="B1022" t="str">
            <v>Long</v>
          </cell>
          <cell r="C1022" t="str">
            <v>2008 - 2022</v>
          </cell>
          <cell r="D1022" t="str">
            <v>med_reg</v>
          </cell>
          <cell r="E1022" t="str">
            <v>gdp_inf_serv</v>
          </cell>
          <cell r="F1022">
            <v>6.3851192593574524E-2</v>
          </cell>
        </row>
        <row r="1023">
          <cell r="A1023" t="str">
            <v>COL</v>
          </cell>
          <cell r="B1023" t="str">
            <v>Long</v>
          </cell>
          <cell r="C1023" t="str">
            <v>2008 - 2022</v>
          </cell>
          <cell r="D1023" t="str">
            <v>med_reg</v>
          </cell>
          <cell r="E1023" t="str">
            <v>prod_for_agri</v>
          </cell>
          <cell r="F1023">
            <v>6.8014852702617645E-2</v>
          </cell>
        </row>
        <row r="1024">
          <cell r="A1024" t="str">
            <v>COL</v>
          </cell>
          <cell r="B1024" t="str">
            <v>Long</v>
          </cell>
          <cell r="C1024" t="str">
            <v>2008 - 2022</v>
          </cell>
          <cell r="D1024" t="str">
            <v>med_reg</v>
          </cell>
          <cell r="E1024" t="str">
            <v>prod_for_ind</v>
          </cell>
          <cell r="F1024">
            <v>0.2974693775177002</v>
          </cell>
        </row>
        <row r="1025">
          <cell r="A1025" t="str">
            <v>COL</v>
          </cell>
          <cell r="B1025" t="str">
            <v>Long</v>
          </cell>
          <cell r="C1025" t="str">
            <v>2008 - 2022</v>
          </cell>
          <cell r="D1025" t="str">
            <v>med_reg</v>
          </cell>
          <cell r="E1025" t="str">
            <v>prod_for_serv</v>
          </cell>
          <cell r="F1025">
            <v>0.23886871337890631</v>
          </cell>
        </row>
        <row r="1026">
          <cell r="A1026" t="str">
            <v>COL</v>
          </cell>
          <cell r="B1026" t="str">
            <v>Long</v>
          </cell>
          <cell r="C1026" t="str">
            <v>2008 - 2022</v>
          </cell>
          <cell r="D1026" t="str">
            <v>med_reg</v>
          </cell>
          <cell r="E1026" t="str">
            <v>prod_inf_agri</v>
          </cell>
          <cell r="F1026">
            <v>2.5860436260700229E-2</v>
          </cell>
        </row>
        <row r="1027">
          <cell r="A1027" t="str">
            <v>COL</v>
          </cell>
          <cell r="B1027" t="str">
            <v>Long</v>
          </cell>
          <cell r="C1027" t="str">
            <v>2008 - 2022</v>
          </cell>
          <cell r="D1027" t="str">
            <v>med_reg</v>
          </cell>
          <cell r="E1027" t="str">
            <v>prod_inf_ind</v>
          </cell>
          <cell r="F1027">
            <v>0.65130144357681274</v>
          </cell>
        </row>
        <row r="1028">
          <cell r="A1028" t="str">
            <v>COL</v>
          </cell>
          <cell r="B1028" t="str">
            <v>Long</v>
          </cell>
          <cell r="C1028" t="str">
            <v>2008 - 2022</v>
          </cell>
          <cell r="D1028" t="str">
            <v>med_reg</v>
          </cell>
          <cell r="E1028" t="str">
            <v>prod_inf_serv</v>
          </cell>
          <cell r="F1028">
            <v>-0.24473583698272711</v>
          </cell>
        </row>
        <row r="1029">
          <cell r="A1029" t="str">
            <v>COL</v>
          </cell>
          <cell r="B1029" t="str">
            <v>Long</v>
          </cell>
          <cell r="C1029" t="str">
            <v>2008 - 2022</v>
          </cell>
          <cell r="D1029" t="str">
            <v>reg</v>
          </cell>
          <cell r="E1029" t="str">
            <v>gdp_activity</v>
          </cell>
          <cell r="F1029">
            <v>0.45885312557220459</v>
          </cell>
        </row>
        <row r="1030">
          <cell r="A1030" t="str">
            <v>COL</v>
          </cell>
          <cell r="B1030" t="str">
            <v>Long</v>
          </cell>
          <cell r="C1030" t="str">
            <v>2008 - 2022</v>
          </cell>
          <cell r="D1030" t="str">
            <v>reg</v>
          </cell>
          <cell r="E1030" t="str">
            <v>gdp_for_agri</v>
          </cell>
          <cell r="F1030">
            <v>0.68119728565216064</v>
          </cell>
        </row>
        <row r="1031">
          <cell r="A1031" t="str">
            <v>COL</v>
          </cell>
          <cell r="B1031" t="str">
            <v>Long</v>
          </cell>
          <cell r="C1031" t="str">
            <v>2008 - 2022</v>
          </cell>
          <cell r="D1031" t="str">
            <v>reg</v>
          </cell>
          <cell r="E1031" t="str">
            <v>gdp_for_ind</v>
          </cell>
          <cell r="F1031">
            <v>1.370642304420471</v>
          </cell>
        </row>
        <row r="1032">
          <cell r="A1032" t="str">
            <v>COL</v>
          </cell>
          <cell r="B1032" t="str">
            <v>Long</v>
          </cell>
          <cell r="C1032" t="str">
            <v>2008 - 2022</v>
          </cell>
          <cell r="D1032" t="str">
            <v>reg</v>
          </cell>
          <cell r="E1032" t="str">
            <v>gdp_for_serv</v>
          </cell>
          <cell r="F1032">
            <v>0.94629400968551636</v>
          </cell>
        </row>
        <row r="1033">
          <cell r="A1033" t="str">
            <v>COL</v>
          </cell>
          <cell r="B1033" t="str">
            <v>Long</v>
          </cell>
          <cell r="C1033" t="str">
            <v>2008 - 2022</v>
          </cell>
          <cell r="D1033" t="str">
            <v>reg</v>
          </cell>
          <cell r="E1033" t="str">
            <v>gdp_inf_agri</v>
          </cell>
          <cell r="F1033">
            <v>-3.1584572046995163E-2</v>
          </cell>
        </row>
        <row r="1034">
          <cell r="A1034" t="str">
            <v>COL</v>
          </cell>
          <cell r="B1034" t="str">
            <v>Long</v>
          </cell>
          <cell r="C1034" t="str">
            <v>2008 - 2022</v>
          </cell>
          <cell r="D1034" t="str">
            <v>reg</v>
          </cell>
          <cell r="E1034" t="str">
            <v>gdp_inf_ind</v>
          </cell>
          <cell r="F1034">
            <v>0.34544819593429571</v>
          </cell>
        </row>
        <row r="1035">
          <cell r="A1035" t="str">
            <v>COL</v>
          </cell>
          <cell r="B1035" t="str">
            <v>Long</v>
          </cell>
          <cell r="C1035" t="str">
            <v>2008 - 2022</v>
          </cell>
          <cell r="D1035" t="str">
            <v>reg</v>
          </cell>
          <cell r="E1035" t="str">
            <v>gdp_inf_serv</v>
          </cell>
          <cell r="F1035">
            <v>8.626016229391098E-2</v>
          </cell>
        </row>
        <row r="1036">
          <cell r="A1036" t="str">
            <v>COL</v>
          </cell>
          <cell r="B1036" t="str">
            <v>Long</v>
          </cell>
          <cell r="C1036" t="str">
            <v>2008 - 2022</v>
          </cell>
          <cell r="D1036" t="str">
            <v>reg</v>
          </cell>
          <cell r="E1036" t="str">
            <v>prod_for_agri</v>
          </cell>
          <cell r="F1036">
            <v>0.15628218650817871</v>
          </cell>
        </row>
        <row r="1037">
          <cell r="A1037" t="str">
            <v>COL</v>
          </cell>
          <cell r="B1037" t="str">
            <v>Long</v>
          </cell>
          <cell r="C1037" t="str">
            <v>2008 - 2022</v>
          </cell>
          <cell r="D1037" t="str">
            <v>reg</v>
          </cell>
          <cell r="E1037" t="str">
            <v>prod_for_ind</v>
          </cell>
          <cell r="F1037">
            <v>6.163899227976799E-2</v>
          </cell>
        </row>
        <row r="1038">
          <cell r="A1038" t="str">
            <v>COL</v>
          </cell>
          <cell r="B1038" t="str">
            <v>Long</v>
          </cell>
          <cell r="C1038" t="str">
            <v>2008 - 2022</v>
          </cell>
          <cell r="D1038" t="str">
            <v>reg</v>
          </cell>
          <cell r="E1038" t="str">
            <v>prod_for_serv</v>
          </cell>
          <cell r="F1038">
            <v>0.31363901495933533</v>
          </cell>
        </row>
        <row r="1039">
          <cell r="A1039" t="str">
            <v>COL</v>
          </cell>
          <cell r="B1039" t="str">
            <v>Long</v>
          </cell>
          <cell r="C1039" t="str">
            <v>2008 - 2022</v>
          </cell>
          <cell r="D1039" t="str">
            <v>reg</v>
          </cell>
          <cell r="E1039" t="str">
            <v>prod_inf_agri</v>
          </cell>
          <cell r="F1039">
            <v>-3.2228406518697739E-2</v>
          </cell>
        </row>
        <row r="1040">
          <cell r="A1040" t="str">
            <v>COL</v>
          </cell>
          <cell r="B1040" t="str">
            <v>Long</v>
          </cell>
          <cell r="C1040" t="str">
            <v>2008 - 2022</v>
          </cell>
          <cell r="D1040" t="str">
            <v>reg</v>
          </cell>
          <cell r="E1040" t="str">
            <v>prod_inf_ind</v>
          </cell>
          <cell r="F1040">
            <v>0.98757785558700562</v>
          </cell>
        </row>
        <row r="1041">
          <cell r="A1041" t="str">
            <v>COL</v>
          </cell>
          <cell r="B1041" t="str">
            <v>Long</v>
          </cell>
          <cell r="C1041" t="str">
            <v>2008 - 2022</v>
          </cell>
          <cell r="D1041" t="str">
            <v>reg</v>
          </cell>
          <cell r="E1041" t="str">
            <v>prod_inf_serv</v>
          </cell>
          <cell r="F1041">
            <v>-0.27211675047874451</v>
          </cell>
        </row>
        <row r="1042">
          <cell r="A1042" t="str">
            <v>COL</v>
          </cell>
          <cell r="B1042" t="str">
            <v>Long</v>
          </cell>
          <cell r="C1042" t="str">
            <v>2008 - 2022</v>
          </cell>
          <cell r="D1042" t="str">
            <v>reg_gdp</v>
          </cell>
          <cell r="E1042" t="str">
            <v>gdp_activity</v>
          </cell>
          <cell r="F1042">
            <v>0.45885312557220459</v>
          </cell>
        </row>
        <row r="1043">
          <cell r="A1043" t="str">
            <v>COL</v>
          </cell>
          <cell r="B1043" t="str">
            <v>Long</v>
          </cell>
          <cell r="C1043" t="str">
            <v>2008 - 2022</v>
          </cell>
          <cell r="D1043" t="str">
            <v>reg_gdp</v>
          </cell>
          <cell r="E1043" t="str">
            <v>gdp_for_agri</v>
          </cell>
          <cell r="F1043">
            <v>-3.5599827766418457E-2</v>
          </cell>
        </row>
        <row r="1044">
          <cell r="A1044" t="str">
            <v>COL</v>
          </cell>
          <cell r="B1044" t="str">
            <v>Long</v>
          </cell>
          <cell r="C1044" t="str">
            <v>2008 - 2022</v>
          </cell>
          <cell r="D1044" t="str">
            <v>reg_gdp</v>
          </cell>
          <cell r="E1044" t="str">
            <v>gdp_for_ind</v>
          </cell>
          <cell r="F1044">
            <v>0.58585530519485474</v>
          </cell>
        </row>
        <row r="1045">
          <cell r="A1045" t="str">
            <v>COL</v>
          </cell>
          <cell r="B1045" t="str">
            <v>Long</v>
          </cell>
          <cell r="C1045" t="str">
            <v>2008 - 2022</v>
          </cell>
          <cell r="D1045" t="str">
            <v>reg_gdp</v>
          </cell>
          <cell r="E1045" t="str">
            <v>gdp_for_serv</v>
          </cell>
          <cell r="F1045">
            <v>-1.9708840847015381</v>
          </cell>
        </row>
        <row r="1046">
          <cell r="A1046" t="str">
            <v>COL</v>
          </cell>
          <cell r="B1046" t="str">
            <v>Long</v>
          </cell>
          <cell r="C1046" t="str">
            <v>2008 - 2022</v>
          </cell>
          <cell r="D1046" t="str">
            <v>reg_gdp</v>
          </cell>
          <cell r="E1046" t="str">
            <v>gdp_inf_agri</v>
          </cell>
          <cell r="F1046">
            <v>-0.49399879574775701</v>
          </cell>
        </row>
        <row r="1047">
          <cell r="A1047" t="str">
            <v>COL</v>
          </cell>
          <cell r="B1047" t="str">
            <v>Long</v>
          </cell>
          <cell r="C1047" t="str">
            <v>2008 - 2022</v>
          </cell>
          <cell r="D1047" t="str">
            <v>reg_gdp</v>
          </cell>
          <cell r="E1047" t="str">
            <v>gdp_inf_ind</v>
          </cell>
          <cell r="F1047">
            <v>0.67670762538909912</v>
          </cell>
        </row>
        <row r="1048">
          <cell r="A1048" t="str">
            <v>COL</v>
          </cell>
          <cell r="B1048" t="str">
            <v>Long</v>
          </cell>
          <cell r="C1048" t="str">
            <v>2008 - 2022</v>
          </cell>
          <cell r="D1048" t="str">
            <v>reg_gdp</v>
          </cell>
          <cell r="E1048" t="str">
            <v>gdp_inf_serv</v>
          </cell>
          <cell r="F1048">
            <v>-3.0686535835266109</v>
          </cell>
        </row>
        <row r="1049">
          <cell r="A1049" t="str">
            <v>COL</v>
          </cell>
          <cell r="B1049" t="str">
            <v>Long</v>
          </cell>
          <cell r="C1049" t="str">
            <v>2008 - 2022</v>
          </cell>
          <cell r="D1049" t="str">
            <v>reg_gdp</v>
          </cell>
          <cell r="E1049" t="str">
            <v>prod_for_agri</v>
          </cell>
          <cell r="F1049">
            <v>-5.198143795132637E-2</v>
          </cell>
        </row>
        <row r="1050">
          <cell r="A1050" t="str">
            <v>COL</v>
          </cell>
          <cell r="B1050" t="str">
            <v>Long</v>
          </cell>
          <cell r="C1050" t="str">
            <v>2008 - 2022</v>
          </cell>
          <cell r="D1050" t="str">
            <v>reg_gdp</v>
          </cell>
          <cell r="E1050" t="str">
            <v>prod_for_ind</v>
          </cell>
          <cell r="F1050">
            <v>-0.13795310258865359</v>
          </cell>
        </row>
        <row r="1051">
          <cell r="A1051" t="str">
            <v>COL</v>
          </cell>
          <cell r="B1051" t="str">
            <v>Long</v>
          </cell>
          <cell r="C1051" t="str">
            <v>2008 - 2022</v>
          </cell>
          <cell r="D1051" t="str">
            <v>reg_gdp</v>
          </cell>
          <cell r="E1051" t="str">
            <v>prod_for_serv</v>
          </cell>
          <cell r="F1051">
            <v>0.31510907411575317</v>
          </cell>
        </row>
        <row r="1052">
          <cell r="A1052" t="str">
            <v>COL</v>
          </cell>
          <cell r="B1052" t="str">
            <v>Long</v>
          </cell>
          <cell r="C1052" t="str">
            <v>2008 - 2022</v>
          </cell>
          <cell r="D1052" t="str">
            <v>reg_gdp</v>
          </cell>
          <cell r="E1052" t="str">
            <v>prod_inf_agri</v>
          </cell>
          <cell r="F1052">
            <v>-0.16121576726436609</v>
          </cell>
        </row>
        <row r="1053">
          <cell r="A1053" t="str">
            <v>COL</v>
          </cell>
          <cell r="B1053" t="str">
            <v>Long</v>
          </cell>
          <cell r="C1053" t="str">
            <v>2008 - 2022</v>
          </cell>
          <cell r="D1053" t="str">
            <v>reg_gdp</v>
          </cell>
          <cell r="E1053" t="str">
            <v>prod_inf_ind</v>
          </cell>
          <cell r="F1053">
            <v>1.2177028656005859</v>
          </cell>
        </row>
        <row r="1054">
          <cell r="A1054" t="str">
            <v>COL</v>
          </cell>
          <cell r="B1054" t="str">
            <v>Long</v>
          </cell>
          <cell r="C1054" t="str">
            <v>2008 - 2022</v>
          </cell>
          <cell r="D1054" t="str">
            <v>reg_gdp</v>
          </cell>
          <cell r="E1054" t="str">
            <v>prod_inf_serv</v>
          </cell>
          <cell r="F1054">
            <v>-0.47527369856834412</v>
          </cell>
        </row>
        <row r="1055">
          <cell r="A1055" t="str">
            <v>COL</v>
          </cell>
          <cell r="B1055" t="str">
            <v>Long</v>
          </cell>
          <cell r="C1055" t="str">
            <v>2008 - 2022</v>
          </cell>
          <cell r="D1055" t="str">
            <v>reg_iter</v>
          </cell>
          <cell r="E1055" t="str">
            <v>gdp_activity</v>
          </cell>
          <cell r="F1055">
            <v>0.6591489315032959</v>
          </cell>
        </row>
        <row r="1056">
          <cell r="A1056" t="str">
            <v>COL</v>
          </cell>
          <cell r="B1056" t="str">
            <v>Long</v>
          </cell>
          <cell r="C1056" t="str">
            <v>2008 - 2022</v>
          </cell>
          <cell r="D1056" t="str">
            <v>reg_iter</v>
          </cell>
          <cell r="E1056" t="str">
            <v>gdp_for_agri</v>
          </cell>
          <cell r="F1056">
            <v>0.46091291308403021</v>
          </cell>
        </row>
        <row r="1057">
          <cell r="A1057" t="str">
            <v>COL</v>
          </cell>
          <cell r="B1057" t="str">
            <v>Long</v>
          </cell>
          <cell r="C1057" t="str">
            <v>2008 - 2022</v>
          </cell>
          <cell r="D1057" t="str">
            <v>reg_iter</v>
          </cell>
          <cell r="E1057" t="str">
            <v>gdp_for_ind</v>
          </cell>
          <cell r="F1057">
            <v>0.8292229175567627</v>
          </cell>
        </row>
        <row r="1058">
          <cell r="A1058" t="str">
            <v>COL</v>
          </cell>
          <cell r="B1058" t="str">
            <v>Long</v>
          </cell>
          <cell r="C1058" t="str">
            <v>2008 - 2022</v>
          </cell>
          <cell r="D1058" t="str">
            <v>reg_iter</v>
          </cell>
          <cell r="E1058" t="str">
            <v>gdp_for_serv</v>
          </cell>
          <cell r="F1058">
            <v>0.53996109962463379</v>
          </cell>
        </row>
        <row r="1059">
          <cell r="A1059" t="str">
            <v>COL</v>
          </cell>
          <cell r="B1059" t="str">
            <v>Long</v>
          </cell>
          <cell r="C1059" t="str">
            <v>2008 - 2022</v>
          </cell>
          <cell r="D1059" t="str">
            <v>reg_iter</v>
          </cell>
          <cell r="E1059" t="str">
            <v>gdp_inf_agri</v>
          </cell>
          <cell r="F1059">
            <v>0.21058182418346411</v>
          </cell>
        </row>
        <row r="1060">
          <cell r="A1060" t="str">
            <v>COL</v>
          </cell>
          <cell r="B1060" t="str">
            <v>Long</v>
          </cell>
          <cell r="C1060" t="str">
            <v>2008 - 2022</v>
          </cell>
          <cell r="D1060" t="str">
            <v>reg_iter</v>
          </cell>
          <cell r="E1060" t="str">
            <v>gdp_inf_ind</v>
          </cell>
          <cell r="F1060">
            <v>0.69960039854049683</v>
          </cell>
        </row>
        <row r="1061">
          <cell r="A1061" t="str">
            <v>COL</v>
          </cell>
          <cell r="B1061" t="str">
            <v>Long</v>
          </cell>
          <cell r="C1061" t="str">
            <v>2008 - 2022</v>
          </cell>
          <cell r="D1061" t="str">
            <v>reg_iter</v>
          </cell>
          <cell r="E1061" t="str">
            <v>gdp_inf_serv</v>
          </cell>
          <cell r="F1061">
            <v>0.43985363841056818</v>
          </cell>
        </row>
        <row r="1062">
          <cell r="A1062" t="str">
            <v>COL</v>
          </cell>
          <cell r="B1062" t="str">
            <v>Long</v>
          </cell>
          <cell r="C1062" t="str">
            <v>2008 - 2022</v>
          </cell>
          <cell r="D1062" t="str">
            <v>reg_iter</v>
          </cell>
          <cell r="E1062" t="str">
            <v>prod_for_agri</v>
          </cell>
          <cell r="F1062">
            <v>-4.1288789361715317E-2</v>
          </cell>
        </row>
        <row r="1063">
          <cell r="A1063" t="str">
            <v>COL</v>
          </cell>
          <cell r="B1063" t="str">
            <v>Long</v>
          </cell>
          <cell r="C1063" t="str">
            <v>2008 - 2022</v>
          </cell>
          <cell r="D1063" t="str">
            <v>reg_iter</v>
          </cell>
          <cell r="E1063" t="str">
            <v>prod_for_ind</v>
          </cell>
          <cell r="F1063">
            <v>-4.5949104242026806E-3</v>
          </cell>
        </row>
        <row r="1064">
          <cell r="A1064" t="str">
            <v>COL</v>
          </cell>
          <cell r="B1064" t="str">
            <v>Long</v>
          </cell>
          <cell r="C1064" t="str">
            <v>2008 - 2022</v>
          </cell>
          <cell r="D1064" t="str">
            <v>reg_iter</v>
          </cell>
          <cell r="E1064" t="str">
            <v>prod_for_serv</v>
          </cell>
          <cell r="F1064">
            <v>0.55100089311599731</v>
          </cell>
        </row>
        <row r="1065">
          <cell r="A1065" t="str">
            <v>COL</v>
          </cell>
          <cell r="B1065" t="str">
            <v>Long</v>
          </cell>
          <cell r="C1065" t="str">
            <v>2008 - 2022</v>
          </cell>
          <cell r="D1065" t="str">
            <v>reg_iter</v>
          </cell>
          <cell r="E1065" t="str">
            <v>prod_inf_agri</v>
          </cell>
          <cell r="F1065">
            <v>-0.32033327221870422</v>
          </cell>
        </row>
        <row r="1066">
          <cell r="A1066" t="str">
            <v>COL</v>
          </cell>
          <cell r="B1066" t="str">
            <v>Long</v>
          </cell>
          <cell r="C1066" t="str">
            <v>2008 - 2022</v>
          </cell>
          <cell r="D1066" t="str">
            <v>reg_iter</v>
          </cell>
          <cell r="E1066" t="str">
            <v>prod_inf_ind</v>
          </cell>
          <cell r="F1066">
            <v>1.374062657356262</v>
          </cell>
        </row>
        <row r="1067">
          <cell r="A1067" t="str">
            <v>COL</v>
          </cell>
          <cell r="B1067" t="str">
            <v>Long</v>
          </cell>
          <cell r="C1067" t="str">
            <v>2008 - 2022</v>
          </cell>
          <cell r="D1067" t="str">
            <v>reg_iter</v>
          </cell>
          <cell r="E1067" t="str">
            <v>prod_inf_serv</v>
          </cell>
          <cell r="F1067">
            <v>-0.34931761026382452</v>
          </cell>
        </row>
        <row r="1068">
          <cell r="A1068" t="str">
            <v>COL</v>
          </cell>
          <cell r="B1068" t="str">
            <v>Middle</v>
          </cell>
          <cell r="C1068" t="str">
            <v>2015 - 2022</v>
          </cell>
          <cell r="D1068" t="str">
            <v>avg</v>
          </cell>
          <cell r="E1068" t="str">
            <v>gdp_activity</v>
          </cell>
          <cell r="F1068">
            <v>0.48969322443008417</v>
          </cell>
        </row>
        <row r="1069">
          <cell r="A1069" t="str">
            <v>COL</v>
          </cell>
          <cell r="B1069" t="str">
            <v>Middle</v>
          </cell>
          <cell r="C1069" t="str">
            <v>2015 - 2022</v>
          </cell>
          <cell r="D1069" t="str">
            <v>avg</v>
          </cell>
          <cell r="E1069" t="str">
            <v>gdp_for_agri</v>
          </cell>
          <cell r="F1069">
            <v>-1.0299868583679199</v>
          </cell>
        </row>
        <row r="1070">
          <cell r="A1070" t="str">
            <v>COL</v>
          </cell>
          <cell r="B1070" t="str">
            <v>Middle</v>
          </cell>
          <cell r="C1070" t="str">
            <v>2015 - 2022</v>
          </cell>
          <cell r="D1070" t="str">
            <v>avg</v>
          </cell>
          <cell r="E1070" t="str">
            <v>gdp_for_ind</v>
          </cell>
          <cell r="F1070">
            <v>3.3002984523773189</v>
          </cell>
        </row>
        <row r="1071">
          <cell r="A1071" t="str">
            <v>COL</v>
          </cell>
          <cell r="B1071" t="str">
            <v>Middle</v>
          </cell>
          <cell r="C1071" t="str">
            <v>2015 - 2022</v>
          </cell>
          <cell r="D1071" t="str">
            <v>avg</v>
          </cell>
          <cell r="E1071" t="str">
            <v>gdp_for_serv</v>
          </cell>
          <cell r="F1071">
            <v>1.18769383430481</v>
          </cell>
        </row>
        <row r="1072">
          <cell r="A1072" t="str">
            <v>COL</v>
          </cell>
          <cell r="B1072" t="str">
            <v>Middle</v>
          </cell>
          <cell r="C1072" t="str">
            <v>2015 - 2022</v>
          </cell>
          <cell r="D1072" t="str">
            <v>avg</v>
          </cell>
          <cell r="E1072" t="str">
            <v>gdp_inf_agri</v>
          </cell>
          <cell r="F1072">
            <v>6.5654866397380829E-2</v>
          </cell>
        </row>
        <row r="1073">
          <cell r="A1073" t="str">
            <v>COL</v>
          </cell>
          <cell r="B1073" t="str">
            <v>Middle</v>
          </cell>
          <cell r="C1073" t="str">
            <v>2015 - 2022</v>
          </cell>
          <cell r="D1073" t="str">
            <v>avg</v>
          </cell>
          <cell r="E1073" t="str">
            <v>gdp_inf_ind</v>
          </cell>
          <cell r="F1073">
            <v>1.1822890043258669</v>
          </cell>
        </row>
        <row r="1074">
          <cell r="A1074" t="str">
            <v>COL</v>
          </cell>
          <cell r="B1074" t="str">
            <v>Middle</v>
          </cell>
          <cell r="C1074" t="str">
            <v>2015 - 2022</v>
          </cell>
          <cell r="D1074" t="str">
            <v>avg</v>
          </cell>
          <cell r="E1074" t="str">
            <v>gdp_inf_serv</v>
          </cell>
          <cell r="F1074">
            <v>0.31011641025543207</v>
          </cell>
        </row>
        <row r="1075">
          <cell r="A1075" t="str">
            <v>COL</v>
          </cell>
          <cell r="B1075" t="str">
            <v>Middle</v>
          </cell>
          <cell r="C1075" t="str">
            <v>2015 - 2022</v>
          </cell>
          <cell r="D1075" t="str">
            <v>avg</v>
          </cell>
          <cell r="E1075" t="str">
            <v>prod_for_agri</v>
          </cell>
          <cell r="F1075">
            <v>0.67063581943511963</v>
          </cell>
        </row>
        <row r="1076">
          <cell r="A1076" t="str">
            <v>COL</v>
          </cell>
          <cell r="B1076" t="str">
            <v>Middle</v>
          </cell>
          <cell r="C1076" t="str">
            <v>2015 - 2022</v>
          </cell>
          <cell r="D1076" t="str">
            <v>avg</v>
          </cell>
          <cell r="E1076" t="str">
            <v>prod_for_ind</v>
          </cell>
          <cell r="F1076">
            <v>-2.4097731113433838</v>
          </cell>
        </row>
        <row r="1077">
          <cell r="A1077" t="str">
            <v>COL</v>
          </cell>
          <cell r="B1077" t="str">
            <v>Middle</v>
          </cell>
          <cell r="C1077" t="str">
            <v>2015 - 2022</v>
          </cell>
          <cell r="D1077" t="str">
            <v>avg</v>
          </cell>
          <cell r="E1077" t="str">
            <v>prod_for_serv</v>
          </cell>
          <cell r="F1077">
            <v>-0.93364089727401733</v>
          </cell>
        </row>
        <row r="1078">
          <cell r="A1078" t="str">
            <v>COL</v>
          </cell>
          <cell r="B1078" t="str">
            <v>Middle</v>
          </cell>
          <cell r="C1078" t="str">
            <v>2015 - 2022</v>
          </cell>
          <cell r="D1078" t="str">
            <v>avg</v>
          </cell>
          <cell r="E1078" t="str">
            <v>prod_inf_agri</v>
          </cell>
          <cell r="F1078">
            <v>2.0588152408599849</v>
          </cell>
        </row>
        <row r="1079">
          <cell r="A1079" t="str">
            <v>COL</v>
          </cell>
          <cell r="B1079" t="str">
            <v>Middle</v>
          </cell>
          <cell r="C1079" t="str">
            <v>2015 - 2022</v>
          </cell>
          <cell r="D1079" t="str">
            <v>avg</v>
          </cell>
          <cell r="E1079" t="str">
            <v>prod_inf_ind</v>
          </cell>
          <cell r="F1079">
            <v>1.205700278282166</v>
          </cell>
        </row>
        <row r="1080">
          <cell r="A1080" t="str">
            <v>COL</v>
          </cell>
          <cell r="B1080" t="str">
            <v>Middle</v>
          </cell>
          <cell r="C1080" t="str">
            <v>2015 - 2022</v>
          </cell>
          <cell r="D1080" t="str">
            <v>avg</v>
          </cell>
          <cell r="E1080" t="str">
            <v>prod_inf_serv</v>
          </cell>
          <cell r="F1080">
            <v>-1.7527656555175779</v>
          </cell>
        </row>
        <row r="1081">
          <cell r="A1081" t="str">
            <v>COL</v>
          </cell>
          <cell r="B1081" t="str">
            <v>Middle</v>
          </cell>
          <cell r="C1081" t="str">
            <v>2015 - 2022</v>
          </cell>
          <cell r="D1081" t="str">
            <v>avg_1_99</v>
          </cell>
          <cell r="E1081" t="str">
            <v>gdp_activity</v>
          </cell>
          <cell r="F1081">
            <v>0.54957473278045654</v>
          </cell>
        </row>
        <row r="1082">
          <cell r="A1082" t="str">
            <v>COL</v>
          </cell>
          <cell r="B1082" t="str">
            <v>Middle</v>
          </cell>
          <cell r="C1082" t="str">
            <v>2015 - 2022</v>
          </cell>
          <cell r="D1082" t="str">
            <v>avg_1_99</v>
          </cell>
          <cell r="E1082" t="str">
            <v>gdp_for_agri</v>
          </cell>
          <cell r="F1082">
            <v>0.12130317091941829</v>
          </cell>
        </row>
        <row r="1083">
          <cell r="A1083" t="str">
            <v>COL</v>
          </cell>
          <cell r="B1083" t="str">
            <v>Middle</v>
          </cell>
          <cell r="C1083" t="str">
            <v>2015 - 2022</v>
          </cell>
          <cell r="D1083" t="str">
            <v>avg_1_99</v>
          </cell>
          <cell r="E1083" t="str">
            <v>gdp_for_ind</v>
          </cell>
          <cell r="F1083">
            <v>1.660471439361572</v>
          </cell>
        </row>
        <row r="1084">
          <cell r="A1084" t="str">
            <v>COL</v>
          </cell>
          <cell r="B1084" t="str">
            <v>Middle</v>
          </cell>
          <cell r="C1084" t="str">
            <v>2015 - 2022</v>
          </cell>
          <cell r="D1084" t="str">
            <v>avg_1_99</v>
          </cell>
          <cell r="E1084" t="str">
            <v>gdp_for_serv</v>
          </cell>
          <cell r="F1084">
            <v>1.132592916488647</v>
          </cell>
        </row>
        <row r="1085">
          <cell r="A1085" t="str">
            <v>COL</v>
          </cell>
          <cell r="B1085" t="str">
            <v>Middle</v>
          </cell>
          <cell r="C1085" t="str">
            <v>2015 - 2022</v>
          </cell>
          <cell r="D1085" t="str">
            <v>avg_1_99</v>
          </cell>
          <cell r="E1085" t="str">
            <v>gdp_inf_agri</v>
          </cell>
          <cell r="F1085">
            <v>6.5654866397380829E-2</v>
          </cell>
        </row>
        <row r="1086">
          <cell r="A1086" t="str">
            <v>COL</v>
          </cell>
          <cell r="B1086" t="str">
            <v>Middle</v>
          </cell>
          <cell r="C1086" t="str">
            <v>2015 - 2022</v>
          </cell>
          <cell r="D1086" t="str">
            <v>avg_1_99</v>
          </cell>
          <cell r="E1086" t="str">
            <v>gdp_inf_ind</v>
          </cell>
          <cell r="F1086">
            <v>5.8090616017580032E-2</v>
          </cell>
        </row>
        <row r="1087">
          <cell r="A1087" t="str">
            <v>COL</v>
          </cell>
          <cell r="B1087" t="str">
            <v>Middle</v>
          </cell>
          <cell r="C1087" t="str">
            <v>2015 - 2022</v>
          </cell>
          <cell r="D1087" t="str">
            <v>avg_1_99</v>
          </cell>
          <cell r="E1087" t="str">
            <v>gdp_inf_serv</v>
          </cell>
          <cell r="F1087">
            <v>0.45026481151580811</v>
          </cell>
        </row>
        <row r="1088">
          <cell r="A1088" t="str">
            <v>COL</v>
          </cell>
          <cell r="B1088" t="str">
            <v>Middle</v>
          </cell>
          <cell r="C1088" t="str">
            <v>2015 - 2022</v>
          </cell>
          <cell r="D1088" t="str">
            <v>avg_1_99</v>
          </cell>
          <cell r="E1088" t="str">
            <v>prod_for_agri</v>
          </cell>
          <cell r="F1088">
            <v>0.67063581943511963</v>
          </cell>
        </row>
        <row r="1089">
          <cell r="A1089" t="str">
            <v>COL</v>
          </cell>
          <cell r="B1089" t="str">
            <v>Middle</v>
          </cell>
          <cell r="C1089" t="str">
            <v>2015 - 2022</v>
          </cell>
          <cell r="D1089" t="str">
            <v>avg_1_99</v>
          </cell>
          <cell r="E1089" t="str">
            <v>prod_for_ind</v>
          </cell>
          <cell r="F1089">
            <v>-2.4097731113433838</v>
          </cell>
        </row>
        <row r="1090">
          <cell r="A1090" t="str">
            <v>COL</v>
          </cell>
          <cell r="B1090" t="str">
            <v>Middle</v>
          </cell>
          <cell r="C1090" t="str">
            <v>2015 - 2022</v>
          </cell>
          <cell r="D1090" t="str">
            <v>avg_1_99</v>
          </cell>
          <cell r="E1090" t="str">
            <v>prod_for_serv</v>
          </cell>
          <cell r="F1090">
            <v>0.25176548957824713</v>
          </cell>
        </row>
        <row r="1091">
          <cell r="A1091" t="str">
            <v>COL</v>
          </cell>
          <cell r="B1091" t="str">
            <v>Middle</v>
          </cell>
          <cell r="C1091" t="str">
            <v>2015 - 2022</v>
          </cell>
          <cell r="D1091" t="str">
            <v>avg_1_99</v>
          </cell>
          <cell r="E1091" t="str">
            <v>prod_inf_agri</v>
          </cell>
          <cell r="F1091">
            <v>0.7370225191116333</v>
          </cell>
        </row>
        <row r="1092">
          <cell r="A1092" t="str">
            <v>COL</v>
          </cell>
          <cell r="B1092" t="str">
            <v>Middle</v>
          </cell>
          <cell r="C1092" t="str">
            <v>2015 - 2022</v>
          </cell>
          <cell r="D1092" t="str">
            <v>avg_1_99</v>
          </cell>
          <cell r="E1092" t="str">
            <v>prod_inf_ind</v>
          </cell>
          <cell r="F1092">
            <v>0.79290676116943359</v>
          </cell>
        </row>
        <row r="1093">
          <cell r="A1093" t="str">
            <v>COL</v>
          </cell>
          <cell r="B1093" t="str">
            <v>Middle</v>
          </cell>
          <cell r="C1093" t="str">
            <v>2015 - 2022</v>
          </cell>
          <cell r="D1093" t="str">
            <v>avg_1_99</v>
          </cell>
          <cell r="E1093" t="str">
            <v>prod_inf_serv</v>
          </cell>
          <cell r="F1093">
            <v>-1.002333998680115</v>
          </cell>
        </row>
        <row r="1094">
          <cell r="A1094" t="str">
            <v>COL</v>
          </cell>
          <cell r="B1094" t="str">
            <v>Middle</v>
          </cell>
          <cell r="C1094" t="str">
            <v>2015 - 2022</v>
          </cell>
          <cell r="D1094" t="str">
            <v>avg_1_99_imp</v>
          </cell>
          <cell r="E1094" t="str">
            <v>gdp_activity</v>
          </cell>
          <cell r="F1094">
            <v>0.54136228561401367</v>
          </cell>
        </row>
        <row r="1095">
          <cell r="A1095" t="str">
            <v>COL</v>
          </cell>
          <cell r="B1095" t="str">
            <v>Middle</v>
          </cell>
          <cell r="C1095" t="str">
            <v>2015 - 2022</v>
          </cell>
          <cell r="D1095" t="str">
            <v>avg_1_99_imp</v>
          </cell>
          <cell r="E1095" t="str">
            <v>gdp_for_agri</v>
          </cell>
          <cell r="F1095">
            <v>0.16776612401008609</v>
          </cell>
        </row>
        <row r="1096">
          <cell r="A1096" t="str">
            <v>COL</v>
          </cell>
          <cell r="B1096" t="str">
            <v>Middle</v>
          </cell>
          <cell r="C1096" t="str">
            <v>2015 - 2022</v>
          </cell>
          <cell r="D1096" t="str">
            <v>avg_1_99_imp</v>
          </cell>
          <cell r="E1096" t="str">
            <v>gdp_for_ind</v>
          </cell>
          <cell r="F1096">
            <v>1.47929859161377</v>
          </cell>
        </row>
        <row r="1097">
          <cell r="A1097" t="str">
            <v>COL</v>
          </cell>
          <cell r="B1097" t="str">
            <v>Middle</v>
          </cell>
          <cell r="C1097" t="str">
            <v>2015 - 2022</v>
          </cell>
          <cell r="D1097" t="str">
            <v>avg_1_99_imp</v>
          </cell>
          <cell r="E1097" t="str">
            <v>gdp_for_serv</v>
          </cell>
          <cell r="F1097">
            <v>1.1782494783401489</v>
          </cell>
        </row>
        <row r="1098">
          <cell r="A1098" t="str">
            <v>COL</v>
          </cell>
          <cell r="B1098" t="str">
            <v>Middle</v>
          </cell>
          <cell r="C1098" t="str">
            <v>2015 - 2022</v>
          </cell>
          <cell r="D1098" t="str">
            <v>avg_1_99_imp</v>
          </cell>
          <cell r="E1098" t="str">
            <v>gdp_inf_agri</v>
          </cell>
          <cell r="F1098">
            <v>6.5654866397380829E-2</v>
          </cell>
        </row>
        <row r="1099">
          <cell r="A1099" t="str">
            <v>COL</v>
          </cell>
          <cell r="B1099" t="str">
            <v>Middle</v>
          </cell>
          <cell r="C1099" t="str">
            <v>2015 - 2022</v>
          </cell>
          <cell r="D1099" t="str">
            <v>avg_1_99_imp</v>
          </cell>
          <cell r="E1099" t="str">
            <v>gdp_inf_ind</v>
          </cell>
          <cell r="F1099">
            <v>0.25604709982872009</v>
          </cell>
        </row>
        <row r="1100">
          <cell r="A1100" t="str">
            <v>COL</v>
          </cell>
          <cell r="B1100" t="str">
            <v>Middle</v>
          </cell>
          <cell r="C1100" t="str">
            <v>2015 - 2022</v>
          </cell>
          <cell r="D1100" t="str">
            <v>avg_1_99_imp</v>
          </cell>
          <cell r="E1100" t="str">
            <v>gdp_inf_serv</v>
          </cell>
          <cell r="F1100">
            <v>0.39862757921218872</v>
          </cell>
        </row>
        <row r="1101">
          <cell r="A1101" t="str">
            <v>COL</v>
          </cell>
          <cell r="B1101" t="str">
            <v>Middle</v>
          </cell>
          <cell r="C1101" t="str">
            <v>2015 - 2022</v>
          </cell>
          <cell r="D1101" t="str">
            <v>avg_1_99_imp</v>
          </cell>
          <cell r="E1101" t="str">
            <v>prod_for_agri</v>
          </cell>
          <cell r="F1101">
            <v>-3.3924166113138199E-2</v>
          </cell>
        </row>
        <row r="1102">
          <cell r="A1102" t="str">
            <v>COL</v>
          </cell>
          <cell r="B1102" t="str">
            <v>Middle</v>
          </cell>
          <cell r="C1102" t="str">
            <v>2015 - 2022</v>
          </cell>
          <cell r="D1102" t="str">
            <v>avg_1_99_imp</v>
          </cell>
          <cell r="E1102" t="str">
            <v>prod_for_ind</v>
          </cell>
          <cell r="F1102">
            <v>-0.84617257118225098</v>
          </cell>
        </row>
        <row r="1103">
          <cell r="A1103" t="str">
            <v>COL</v>
          </cell>
          <cell r="B1103" t="str">
            <v>Middle</v>
          </cell>
          <cell r="C1103" t="str">
            <v>2015 - 2022</v>
          </cell>
          <cell r="D1103" t="str">
            <v>avg_1_99_imp</v>
          </cell>
          <cell r="E1103" t="str">
            <v>prod_for_serv</v>
          </cell>
          <cell r="F1103">
            <v>0.232509970664978</v>
          </cell>
        </row>
        <row r="1104">
          <cell r="A1104" t="str">
            <v>COL</v>
          </cell>
          <cell r="B1104" t="str">
            <v>Middle</v>
          </cell>
          <cell r="C1104" t="str">
            <v>2015 - 2022</v>
          </cell>
          <cell r="D1104" t="str">
            <v>avg_1_99_imp</v>
          </cell>
          <cell r="E1104" t="str">
            <v>prod_inf_agri</v>
          </cell>
          <cell r="F1104">
            <v>0.70369428396224976</v>
          </cell>
        </row>
        <row r="1105">
          <cell r="A1105" t="str">
            <v>COL</v>
          </cell>
          <cell r="B1105" t="str">
            <v>Middle</v>
          </cell>
          <cell r="C1105" t="str">
            <v>2015 - 2022</v>
          </cell>
          <cell r="D1105" t="str">
            <v>avg_1_99_imp</v>
          </cell>
          <cell r="E1105" t="str">
            <v>prod_inf_ind</v>
          </cell>
          <cell r="F1105">
            <v>0.75691157579421997</v>
          </cell>
        </row>
        <row r="1106">
          <cell r="A1106" t="str">
            <v>COL</v>
          </cell>
          <cell r="B1106" t="str">
            <v>Middle</v>
          </cell>
          <cell r="C1106" t="str">
            <v>2015 - 2022</v>
          </cell>
          <cell r="D1106" t="str">
            <v>avg_1_99_imp</v>
          </cell>
          <cell r="E1106" t="str">
            <v>prod_inf_serv</v>
          </cell>
          <cell r="F1106">
            <v>-0.9603620171546936</v>
          </cell>
        </row>
        <row r="1107">
          <cell r="A1107" t="str">
            <v>COL</v>
          </cell>
          <cell r="B1107" t="str">
            <v>Middle</v>
          </cell>
          <cell r="C1107" t="str">
            <v>2015 - 2022</v>
          </cell>
          <cell r="D1107" t="str">
            <v>reg</v>
          </cell>
          <cell r="E1107" t="str">
            <v>gdp_activity</v>
          </cell>
          <cell r="F1107">
            <v>0.10957925766706469</v>
          </cell>
        </row>
        <row r="1108">
          <cell r="A1108" t="str">
            <v>COL</v>
          </cell>
          <cell r="B1108" t="str">
            <v>Middle</v>
          </cell>
          <cell r="C1108" t="str">
            <v>2015 - 2022</v>
          </cell>
          <cell r="D1108" t="str">
            <v>reg</v>
          </cell>
          <cell r="E1108" t="str">
            <v>gdp_for_agri</v>
          </cell>
          <cell r="F1108">
            <v>0.24020187556743619</v>
          </cell>
        </row>
        <row r="1109">
          <cell r="A1109" t="str">
            <v>COL</v>
          </cell>
          <cell r="B1109" t="str">
            <v>Middle</v>
          </cell>
          <cell r="C1109" t="str">
            <v>2015 - 2022</v>
          </cell>
          <cell r="D1109" t="str">
            <v>reg</v>
          </cell>
          <cell r="E1109" t="str">
            <v>gdp_for_ind</v>
          </cell>
          <cell r="F1109">
            <v>0.39673736691474909</v>
          </cell>
        </row>
        <row r="1110">
          <cell r="A1110" t="str">
            <v>COL</v>
          </cell>
          <cell r="B1110" t="str">
            <v>Middle</v>
          </cell>
          <cell r="C1110" t="str">
            <v>2015 - 2022</v>
          </cell>
          <cell r="D1110" t="str">
            <v>reg</v>
          </cell>
          <cell r="E1110" t="str">
            <v>gdp_for_serv</v>
          </cell>
          <cell r="F1110">
            <v>0.28533336520195007</v>
          </cell>
        </row>
        <row r="1111">
          <cell r="A1111" t="str">
            <v>COL</v>
          </cell>
          <cell r="B1111" t="str">
            <v>Middle</v>
          </cell>
          <cell r="C1111" t="str">
            <v>2015 - 2022</v>
          </cell>
          <cell r="D1111" t="str">
            <v>reg</v>
          </cell>
          <cell r="E1111" t="str">
            <v>gdp_inf_agri</v>
          </cell>
          <cell r="F1111">
            <v>-0.46875742077827448</v>
          </cell>
        </row>
        <row r="1112">
          <cell r="A1112" t="str">
            <v>COL</v>
          </cell>
          <cell r="B1112" t="str">
            <v>Middle</v>
          </cell>
          <cell r="C1112" t="str">
            <v>2015 - 2022</v>
          </cell>
          <cell r="D1112" t="str">
            <v>reg</v>
          </cell>
          <cell r="E1112" t="str">
            <v>gdp_inf_ind</v>
          </cell>
          <cell r="F1112">
            <v>0.78622657060623169</v>
          </cell>
        </row>
        <row r="1113">
          <cell r="A1113" t="str">
            <v>COL</v>
          </cell>
          <cell r="B1113" t="str">
            <v>Middle</v>
          </cell>
          <cell r="C1113" t="str">
            <v>2015 - 2022</v>
          </cell>
          <cell r="D1113" t="str">
            <v>reg</v>
          </cell>
          <cell r="E1113" t="str">
            <v>gdp_inf_serv</v>
          </cell>
          <cell r="F1113">
            <v>-0.39714577794075012</v>
          </cell>
        </row>
        <row r="1114">
          <cell r="A1114" t="str">
            <v>COL</v>
          </cell>
          <cell r="B1114" t="str">
            <v>Middle</v>
          </cell>
          <cell r="C1114" t="str">
            <v>2015 - 2022</v>
          </cell>
          <cell r="D1114" t="str">
            <v>reg</v>
          </cell>
          <cell r="E1114" t="str">
            <v>prod_for_agri</v>
          </cell>
          <cell r="F1114">
            <v>0.1220880150794983</v>
          </cell>
        </row>
        <row r="1115">
          <cell r="A1115" t="str">
            <v>COL</v>
          </cell>
          <cell r="B1115" t="str">
            <v>Middle</v>
          </cell>
          <cell r="C1115" t="str">
            <v>2015 - 2022</v>
          </cell>
          <cell r="D1115" t="str">
            <v>reg</v>
          </cell>
          <cell r="E1115" t="str">
            <v>prod_for_ind</v>
          </cell>
          <cell r="F1115">
            <v>-0.14790187776088709</v>
          </cell>
        </row>
        <row r="1116">
          <cell r="A1116" t="str">
            <v>COL</v>
          </cell>
          <cell r="B1116" t="str">
            <v>Middle</v>
          </cell>
          <cell r="C1116" t="str">
            <v>2015 - 2022</v>
          </cell>
          <cell r="D1116" t="str">
            <v>reg</v>
          </cell>
          <cell r="E1116" t="str">
            <v>prod_for_serv</v>
          </cell>
          <cell r="F1116">
            <v>0.55769574642181396</v>
          </cell>
        </row>
        <row r="1117">
          <cell r="A1117" t="str">
            <v>COL</v>
          </cell>
          <cell r="B1117" t="str">
            <v>Middle</v>
          </cell>
          <cell r="C1117" t="str">
            <v>2015 - 2022</v>
          </cell>
          <cell r="D1117" t="str">
            <v>reg</v>
          </cell>
          <cell r="E1117" t="str">
            <v>prod_inf_agri</v>
          </cell>
          <cell r="F1117">
            <v>-0.2429101765155792</v>
          </cell>
        </row>
        <row r="1118">
          <cell r="A1118" t="str">
            <v>COL</v>
          </cell>
          <cell r="B1118" t="str">
            <v>Middle</v>
          </cell>
          <cell r="C1118" t="str">
            <v>2015 - 2022</v>
          </cell>
          <cell r="D1118" t="str">
            <v>reg</v>
          </cell>
          <cell r="E1118" t="str">
            <v>prod_inf_ind</v>
          </cell>
          <cell r="F1118">
            <v>2.1407301425933838</v>
          </cell>
        </row>
        <row r="1119">
          <cell r="A1119" t="str">
            <v>COL</v>
          </cell>
          <cell r="B1119" t="str">
            <v>Middle</v>
          </cell>
          <cell r="C1119" t="str">
            <v>2015 - 2022</v>
          </cell>
          <cell r="D1119" t="str">
            <v>reg</v>
          </cell>
          <cell r="E1119" t="str">
            <v>prod_inf_serv</v>
          </cell>
          <cell r="F1119">
            <v>-0.24780018627643591</v>
          </cell>
        </row>
        <row r="1120">
          <cell r="A1120" t="str">
            <v>COL</v>
          </cell>
          <cell r="B1120" t="str">
            <v>Middle</v>
          </cell>
          <cell r="C1120" t="str">
            <v>2015 - 2022</v>
          </cell>
          <cell r="D1120" t="str">
            <v>reg_gdp</v>
          </cell>
          <cell r="E1120" t="str">
            <v>gdp_activity</v>
          </cell>
          <cell r="F1120">
            <v>0.10957925766706469</v>
          </cell>
        </row>
        <row r="1121">
          <cell r="A1121" t="str">
            <v>COL</v>
          </cell>
          <cell r="B1121" t="str">
            <v>Middle</v>
          </cell>
          <cell r="C1121" t="str">
            <v>2015 - 2022</v>
          </cell>
          <cell r="D1121" t="str">
            <v>reg_gdp</v>
          </cell>
          <cell r="E1121" t="str">
            <v>gdp_for_agri</v>
          </cell>
          <cell r="F1121">
            <v>-0.14802518486976621</v>
          </cell>
        </row>
        <row r="1122">
          <cell r="A1122" t="str">
            <v>COL</v>
          </cell>
          <cell r="B1122" t="str">
            <v>Middle</v>
          </cell>
          <cell r="C1122" t="str">
            <v>2015 - 2022</v>
          </cell>
          <cell r="D1122" t="str">
            <v>reg_gdp</v>
          </cell>
          <cell r="E1122" t="str">
            <v>gdp_for_ind</v>
          </cell>
          <cell r="F1122">
            <v>0.37847140431404108</v>
          </cell>
        </row>
        <row r="1123">
          <cell r="A1123" t="str">
            <v>COL</v>
          </cell>
          <cell r="B1123" t="str">
            <v>Middle</v>
          </cell>
          <cell r="C1123" t="str">
            <v>2015 - 2022</v>
          </cell>
          <cell r="D1123" t="str">
            <v>reg_gdp</v>
          </cell>
          <cell r="E1123" t="str">
            <v>gdp_for_serv</v>
          </cell>
          <cell r="F1123">
            <v>-2.1264328956603999</v>
          </cell>
        </row>
        <row r="1124">
          <cell r="A1124" t="str">
            <v>COL</v>
          </cell>
          <cell r="B1124" t="str">
            <v>Middle</v>
          </cell>
          <cell r="C1124" t="str">
            <v>2015 - 2022</v>
          </cell>
          <cell r="D1124" t="str">
            <v>reg_gdp</v>
          </cell>
          <cell r="E1124" t="str">
            <v>gdp_inf_agri</v>
          </cell>
          <cell r="F1124">
            <v>-0.32111811637878418</v>
          </cell>
        </row>
        <row r="1125">
          <cell r="A1125" t="str">
            <v>COL</v>
          </cell>
          <cell r="B1125" t="str">
            <v>Middle</v>
          </cell>
          <cell r="C1125" t="str">
            <v>2015 - 2022</v>
          </cell>
          <cell r="D1125" t="str">
            <v>reg_gdp</v>
          </cell>
          <cell r="E1125" t="str">
            <v>gdp_inf_ind</v>
          </cell>
          <cell r="F1125">
            <v>0.78075230121612549</v>
          </cell>
        </row>
        <row r="1126">
          <cell r="A1126" t="str">
            <v>COL</v>
          </cell>
          <cell r="B1126" t="str">
            <v>Middle</v>
          </cell>
          <cell r="C1126" t="str">
            <v>2015 - 2022</v>
          </cell>
          <cell r="D1126" t="str">
            <v>reg_gdp</v>
          </cell>
          <cell r="E1126" t="str">
            <v>gdp_inf_serv</v>
          </cell>
          <cell r="F1126">
            <v>-2.6926836967468262</v>
          </cell>
        </row>
        <row r="1127">
          <cell r="A1127" t="str">
            <v>COL</v>
          </cell>
          <cell r="B1127" t="str">
            <v>Middle</v>
          </cell>
          <cell r="C1127" t="str">
            <v>2015 - 2022</v>
          </cell>
          <cell r="D1127" t="str">
            <v>reg_gdp</v>
          </cell>
          <cell r="E1127" t="str">
            <v>prod_for_agri</v>
          </cell>
          <cell r="F1127">
            <v>0.1001820862293243</v>
          </cell>
        </row>
        <row r="1128">
          <cell r="A1128" t="str">
            <v>COL</v>
          </cell>
          <cell r="B1128" t="str">
            <v>Middle</v>
          </cell>
          <cell r="C1128" t="str">
            <v>2015 - 2022</v>
          </cell>
          <cell r="D1128" t="str">
            <v>reg_gdp</v>
          </cell>
          <cell r="E1128" t="str">
            <v>prod_for_ind</v>
          </cell>
          <cell r="F1128">
            <v>0.27094539999961847</v>
          </cell>
        </row>
        <row r="1129">
          <cell r="A1129" t="str">
            <v>COL</v>
          </cell>
          <cell r="B1129" t="str">
            <v>Middle</v>
          </cell>
          <cell r="C1129" t="str">
            <v>2015 - 2022</v>
          </cell>
          <cell r="D1129" t="str">
            <v>reg_gdp</v>
          </cell>
          <cell r="E1129" t="str">
            <v>prod_for_serv</v>
          </cell>
          <cell r="F1129">
            <v>0.2065237760543823</v>
          </cell>
        </row>
        <row r="1130">
          <cell r="A1130" t="str">
            <v>COL</v>
          </cell>
          <cell r="B1130" t="str">
            <v>Middle</v>
          </cell>
          <cell r="C1130" t="str">
            <v>2015 - 2022</v>
          </cell>
          <cell r="D1130" t="str">
            <v>reg_gdp</v>
          </cell>
          <cell r="E1130" t="str">
            <v>prod_inf_agri</v>
          </cell>
          <cell r="F1130">
            <v>-0.44184991717338562</v>
          </cell>
        </row>
        <row r="1131">
          <cell r="A1131" t="str">
            <v>COL</v>
          </cell>
          <cell r="B1131" t="str">
            <v>Middle</v>
          </cell>
          <cell r="C1131" t="str">
            <v>2015 - 2022</v>
          </cell>
          <cell r="D1131" t="str">
            <v>reg_gdp</v>
          </cell>
          <cell r="E1131" t="str">
            <v>prod_inf_ind</v>
          </cell>
          <cell r="F1131">
            <v>2.2474105358123779</v>
          </cell>
        </row>
        <row r="1132">
          <cell r="A1132" t="str">
            <v>COL</v>
          </cell>
          <cell r="B1132" t="str">
            <v>Middle</v>
          </cell>
          <cell r="C1132" t="str">
            <v>2015 - 2022</v>
          </cell>
          <cell r="D1132" t="str">
            <v>reg_gdp</v>
          </cell>
          <cell r="E1132" t="str">
            <v>prod_inf_serv</v>
          </cell>
          <cell r="F1132">
            <v>-0.83870583772659302</v>
          </cell>
        </row>
        <row r="1133">
          <cell r="A1133" t="str">
            <v>COL</v>
          </cell>
          <cell r="B1133" t="str">
            <v>Middle</v>
          </cell>
          <cell r="C1133" t="str">
            <v>2015 - 2022</v>
          </cell>
          <cell r="D1133" t="str">
            <v>reg_iter</v>
          </cell>
          <cell r="E1133" t="str">
            <v>gdp_activity</v>
          </cell>
          <cell r="F1133">
            <v>0.1032555028796196</v>
          </cell>
        </row>
        <row r="1134">
          <cell r="A1134" t="str">
            <v>COL</v>
          </cell>
          <cell r="B1134" t="str">
            <v>Middle</v>
          </cell>
          <cell r="C1134" t="str">
            <v>2015 - 2022</v>
          </cell>
          <cell r="D1134" t="str">
            <v>reg_iter</v>
          </cell>
          <cell r="E1134" t="str">
            <v>gdp_for_agri</v>
          </cell>
          <cell r="F1134">
            <v>-1.286663394421339E-2</v>
          </cell>
        </row>
        <row r="1135">
          <cell r="A1135" t="str">
            <v>COL</v>
          </cell>
          <cell r="B1135" t="str">
            <v>Middle</v>
          </cell>
          <cell r="C1135" t="str">
            <v>2015 - 2022</v>
          </cell>
          <cell r="D1135" t="str">
            <v>reg_iter</v>
          </cell>
          <cell r="E1135" t="str">
            <v>gdp_for_ind</v>
          </cell>
          <cell r="F1135">
            <v>0.4697413444519043</v>
          </cell>
        </row>
        <row r="1136">
          <cell r="A1136" t="str">
            <v>COL</v>
          </cell>
          <cell r="B1136" t="str">
            <v>Middle</v>
          </cell>
          <cell r="C1136" t="str">
            <v>2015 - 2022</v>
          </cell>
          <cell r="D1136" t="str">
            <v>reg_iter</v>
          </cell>
          <cell r="E1136" t="str">
            <v>gdp_for_serv</v>
          </cell>
          <cell r="F1136">
            <v>-0.13228955864906311</v>
          </cell>
        </row>
        <row r="1137">
          <cell r="A1137" t="str">
            <v>COL</v>
          </cell>
          <cell r="B1137" t="str">
            <v>Middle</v>
          </cell>
          <cell r="C1137" t="str">
            <v>2015 - 2022</v>
          </cell>
          <cell r="D1137" t="str">
            <v>reg_iter</v>
          </cell>
          <cell r="E1137" t="str">
            <v>gdp_inf_agri</v>
          </cell>
          <cell r="F1137">
            <v>-0.36024108529090881</v>
          </cell>
        </row>
        <row r="1138">
          <cell r="A1138" t="str">
            <v>COL</v>
          </cell>
          <cell r="B1138" t="str">
            <v>Middle</v>
          </cell>
          <cell r="C1138" t="str">
            <v>2015 - 2022</v>
          </cell>
          <cell r="D1138" t="str">
            <v>reg_iter</v>
          </cell>
          <cell r="E1138" t="str">
            <v>gdp_inf_ind</v>
          </cell>
          <cell r="F1138">
            <v>0.79094880819320679</v>
          </cell>
        </row>
        <row r="1139">
          <cell r="A1139" t="str">
            <v>COL</v>
          </cell>
          <cell r="B1139" t="str">
            <v>Middle</v>
          </cell>
          <cell r="C1139" t="str">
            <v>2015 - 2022</v>
          </cell>
          <cell r="D1139" t="str">
            <v>reg_iter</v>
          </cell>
          <cell r="E1139" t="str">
            <v>gdp_inf_serv</v>
          </cell>
          <cell r="F1139">
            <v>-0.22650571167469019</v>
          </cell>
        </row>
        <row r="1140">
          <cell r="A1140" t="str">
            <v>COL</v>
          </cell>
          <cell r="B1140" t="str">
            <v>Middle</v>
          </cell>
          <cell r="C1140" t="str">
            <v>2015 - 2022</v>
          </cell>
          <cell r="D1140" t="str">
            <v>reg_iter</v>
          </cell>
          <cell r="E1140" t="str">
            <v>prod_for_agri</v>
          </cell>
          <cell r="F1140">
            <v>7.4281647801399231E-2</v>
          </cell>
        </row>
        <row r="1141">
          <cell r="A1141" t="str">
            <v>COL</v>
          </cell>
          <cell r="B1141" t="str">
            <v>Middle</v>
          </cell>
          <cell r="C1141" t="str">
            <v>2015 - 2022</v>
          </cell>
          <cell r="D1141" t="str">
            <v>reg_iter</v>
          </cell>
          <cell r="E1141" t="str">
            <v>prod_for_ind</v>
          </cell>
          <cell r="F1141">
            <v>0.17141106724739069</v>
          </cell>
        </row>
        <row r="1142">
          <cell r="A1142" t="str">
            <v>COL</v>
          </cell>
          <cell r="B1142" t="str">
            <v>Middle</v>
          </cell>
          <cell r="C1142" t="str">
            <v>2015 - 2022</v>
          </cell>
          <cell r="D1142" t="str">
            <v>reg_iter</v>
          </cell>
          <cell r="E1142" t="str">
            <v>prod_for_serv</v>
          </cell>
          <cell r="F1142">
            <v>0.56839615106582642</v>
          </cell>
        </row>
        <row r="1143">
          <cell r="A1143" t="str">
            <v>COL</v>
          </cell>
          <cell r="B1143" t="str">
            <v>Middle</v>
          </cell>
          <cell r="C1143" t="str">
            <v>2015 - 2022</v>
          </cell>
          <cell r="D1143" t="str">
            <v>reg_iter</v>
          </cell>
          <cell r="E1143" t="str">
            <v>prod_inf_agri</v>
          </cell>
          <cell r="F1143">
            <v>-0.39943042397499079</v>
          </cell>
        </row>
        <row r="1144">
          <cell r="A1144" t="str">
            <v>COL</v>
          </cell>
          <cell r="B1144" t="str">
            <v>Middle</v>
          </cell>
          <cell r="C1144" t="str">
            <v>2015 - 2022</v>
          </cell>
          <cell r="D1144" t="str">
            <v>reg_iter</v>
          </cell>
          <cell r="E1144" t="str">
            <v>prod_inf_ind</v>
          </cell>
          <cell r="F1144">
            <v>2.1992638111114502</v>
          </cell>
        </row>
        <row r="1145">
          <cell r="A1145" t="str">
            <v>COL</v>
          </cell>
          <cell r="B1145" t="str">
            <v>Middle</v>
          </cell>
          <cell r="C1145" t="str">
            <v>2015 - 2022</v>
          </cell>
          <cell r="D1145" t="str">
            <v>reg_iter</v>
          </cell>
          <cell r="E1145" t="str">
            <v>prod_inf_serv</v>
          </cell>
          <cell r="F1145">
            <v>-0.38845890760421747</v>
          </cell>
        </row>
        <row r="1146">
          <cell r="A1146" t="str">
            <v>COL</v>
          </cell>
          <cell r="B1146" t="str">
            <v>Short</v>
          </cell>
          <cell r="C1146" t="str">
            <v>2018 - 2022</v>
          </cell>
          <cell r="D1146" t="str">
            <v>avg</v>
          </cell>
          <cell r="E1146" t="str">
            <v>gdp_activity</v>
          </cell>
          <cell r="F1146">
            <v>0.36338600516319269</v>
          </cell>
        </row>
        <row r="1147">
          <cell r="A1147" t="str">
            <v>COL</v>
          </cell>
          <cell r="B1147" t="str">
            <v>Short</v>
          </cell>
          <cell r="C1147" t="str">
            <v>2018 - 2022</v>
          </cell>
          <cell r="D1147" t="str">
            <v>avg</v>
          </cell>
          <cell r="E1147" t="str">
            <v>gdp_for_agri</v>
          </cell>
          <cell r="F1147">
            <v>-2.376620769500732</v>
          </cell>
        </row>
        <row r="1148">
          <cell r="A1148" t="str">
            <v>COL</v>
          </cell>
          <cell r="B1148" t="str">
            <v>Short</v>
          </cell>
          <cell r="C1148" t="str">
            <v>2018 - 2022</v>
          </cell>
          <cell r="D1148" t="str">
            <v>avg</v>
          </cell>
          <cell r="E1148" t="str">
            <v>gdp_for_ind</v>
          </cell>
          <cell r="F1148">
            <v>5.0081758499145508</v>
          </cell>
        </row>
        <row r="1149">
          <cell r="A1149" t="str">
            <v>COL</v>
          </cell>
          <cell r="B1149" t="str">
            <v>Short</v>
          </cell>
          <cell r="C1149" t="str">
            <v>2018 - 2022</v>
          </cell>
          <cell r="D1149" t="str">
            <v>avg</v>
          </cell>
          <cell r="E1149" t="str">
            <v>gdp_for_serv</v>
          </cell>
          <cell r="F1149">
            <v>1.0452079772949221</v>
          </cell>
        </row>
        <row r="1150">
          <cell r="A1150" t="str">
            <v>COL</v>
          </cell>
          <cell r="B1150" t="str">
            <v>Short</v>
          </cell>
          <cell r="C1150" t="str">
            <v>2018 - 2022</v>
          </cell>
          <cell r="D1150" t="str">
            <v>avg</v>
          </cell>
          <cell r="E1150" t="str">
            <v>gdp_inf_agri</v>
          </cell>
          <cell r="F1150">
            <v>-0.1453743577003479</v>
          </cell>
        </row>
        <row r="1151">
          <cell r="A1151" t="str">
            <v>COL</v>
          </cell>
          <cell r="B1151" t="str">
            <v>Short</v>
          </cell>
          <cell r="C1151" t="str">
            <v>2018 - 2022</v>
          </cell>
          <cell r="D1151" t="str">
            <v>avg</v>
          </cell>
          <cell r="E1151" t="str">
            <v>gdp_inf_ind</v>
          </cell>
          <cell r="F1151">
            <v>2.3493349552154541</v>
          </cell>
        </row>
        <row r="1152">
          <cell r="A1152" t="str">
            <v>COL</v>
          </cell>
          <cell r="B1152" t="str">
            <v>Short</v>
          </cell>
          <cell r="C1152" t="str">
            <v>2018 - 2022</v>
          </cell>
          <cell r="D1152" t="str">
            <v>avg</v>
          </cell>
          <cell r="E1152" t="str">
            <v>gdp_inf_serv</v>
          </cell>
          <cell r="F1152">
            <v>0.6088557243347168</v>
          </cell>
        </row>
        <row r="1153">
          <cell r="A1153" t="str">
            <v>COL</v>
          </cell>
          <cell r="B1153" t="str">
            <v>Short</v>
          </cell>
          <cell r="C1153" t="str">
            <v>2018 - 2022</v>
          </cell>
          <cell r="D1153" t="str">
            <v>avg</v>
          </cell>
          <cell r="E1153" t="str">
            <v>prod_for_agri</v>
          </cell>
          <cell r="F1153">
            <v>1.4218529462814331</v>
          </cell>
        </row>
        <row r="1154">
          <cell r="A1154" t="str">
            <v>COL</v>
          </cell>
          <cell r="B1154" t="str">
            <v>Short</v>
          </cell>
          <cell r="C1154" t="str">
            <v>2018 - 2022</v>
          </cell>
          <cell r="D1154" t="str">
            <v>avg</v>
          </cell>
          <cell r="E1154" t="str">
            <v>prod_for_ind</v>
          </cell>
          <cell r="F1154">
            <v>-8.533855527639389E-2</v>
          </cell>
        </row>
        <row r="1155">
          <cell r="A1155" t="str">
            <v>COL</v>
          </cell>
          <cell r="B1155" t="str">
            <v>Short</v>
          </cell>
          <cell r="C1155" t="str">
            <v>2018 - 2022</v>
          </cell>
          <cell r="D1155" t="str">
            <v>avg</v>
          </cell>
          <cell r="E1155" t="str">
            <v>prod_for_serv</v>
          </cell>
          <cell r="F1155">
            <v>0.81365483999252319</v>
          </cell>
        </row>
        <row r="1156">
          <cell r="A1156" t="str">
            <v>COL</v>
          </cell>
          <cell r="B1156" t="str">
            <v>Short</v>
          </cell>
          <cell r="C1156" t="str">
            <v>2018 - 2022</v>
          </cell>
          <cell r="D1156" t="str">
            <v>avg</v>
          </cell>
          <cell r="E1156" t="str">
            <v>prod_inf_agri</v>
          </cell>
          <cell r="F1156">
            <v>2.6884832382202148</v>
          </cell>
        </row>
        <row r="1157">
          <cell r="A1157" t="str">
            <v>COL</v>
          </cell>
          <cell r="B1157" t="str">
            <v>Short</v>
          </cell>
          <cell r="C1157" t="str">
            <v>2018 - 2022</v>
          </cell>
          <cell r="D1157" t="str">
            <v>avg</v>
          </cell>
          <cell r="E1157" t="str">
            <v>prod_inf_ind</v>
          </cell>
          <cell r="F1157">
            <v>1.9211864471435549</v>
          </cell>
        </row>
        <row r="1158">
          <cell r="A1158" t="str">
            <v>COL</v>
          </cell>
          <cell r="B1158" t="str">
            <v>Short</v>
          </cell>
          <cell r="C1158" t="str">
            <v>2018 - 2022</v>
          </cell>
          <cell r="D1158" t="str">
            <v>avg</v>
          </cell>
          <cell r="E1158" t="str">
            <v>prod_inf_serv</v>
          </cell>
          <cell r="F1158">
            <v>-1.0827921628952031</v>
          </cell>
        </row>
        <row r="1159">
          <cell r="A1159" t="str">
            <v>COL</v>
          </cell>
          <cell r="B1159" t="str">
            <v>Short</v>
          </cell>
          <cell r="C1159" t="str">
            <v>2018 - 2022</v>
          </cell>
          <cell r="D1159" t="str">
            <v>avg_1_99</v>
          </cell>
          <cell r="E1159" t="str">
            <v>gdp_activity</v>
          </cell>
          <cell r="F1159">
            <v>0.43660187721252441</v>
          </cell>
        </row>
        <row r="1160">
          <cell r="A1160" t="str">
            <v>COL</v>
          </cell>
          <cell r="B1160" t="str">
            <v>Short</v>
          </cell>
          <cell r="C1160" t="str">
            <v>2018 - 2022</v>
          </cell>
          <cell r="D1160" t="str">
            <v>avg_1_99</v>
          </cell>
          <cell r="E1160" t="str">
            <v>gdp_for_agri</v>
          </cell>
          <cell r="F1160">
            <v>-0.69852173328399658</v>
          </cell>
        </row>
        <row r="1161">
          <cell r="A1161" t="str">
            <v>COL</v>
          </cell>
          <cell r="B1161" t="str">
            <v>Short</v>
          </cell>
          <cell r="C1161" t="str">
            <v>2018 - 2022</v>
          </cell>
          <cell r="D1161" t="str">
            <v>avg_1_99</v>
          </cell>
          <cell r="E1161" t="str">
            <v>gdp_for_ind</v>
          </cell>
          <cell r="F1161">
            <v>2.867106676101685</v>
          </cell>
        </row>
        <row r="1162">
          <cell r="A1162" t="str">
            <v>COL</v>
          </cell>
          <cell r="B1162" t="str">
            <v>Short</v>
          </cell>
          <cell r="C1162" t="str">
            <v>2018 - 2022</v>
          </cell>
          <cell r="D1162" t="str">
            <v>avg_1_99</v>
          </cell>
          <cell r="E1162" t="str">
            <v>gdp_for_serv</v>
          </cell>
          <cell r="F1162">
            <v>0.84001564979553223</v>
          </cell>
        </row>
        <row r="1163">
          <cell r="A1163" t="str">
            <v>COL</v>
          </cell>
          <cell r="B1163" t="str">
            <v>Short</v>
          </cell>
          <cell r="C1163" t="str">
            <v>2018 - 2022</v>
          </cell>
          <cell r="D1163" t="str">
            <v>avg_1_99</v>
          </cell>
          <cell r="E1163" t="str">
            <v>gdp_inf_agri</v>
          </cell>
          <cell r="F1163">
            <v>-0.1453743577003479</v>
          </cell>
        </row>
        <row r="1164">
          <cell r="A1164" t="str">
            <v>COL</v>
          </cell>
          <cell r="B1164" t="str">
            <v>Short</v>
          </cell>
          <cell r="C1164" t="str">
            <v>2018 - 2022</v>
          </cell>
          <cell r="D1164" t="str">
            <v>avg_1_99</v>
          </cell>
          <cell r="E1164" t="str">
            <v>gdp_inf_ind</v>
          </cell>
          <cell r="F1164">
            <v>0.87896889448165894</v>
          </cell>
        </row>
        <row r="1165">
          <cell r="A1165" t="str">
            <v>COL</v>
          </cell>
          <cell r="B1165" t="str">
            <v>Short</v>
          </cell>
          <cell r="C1165" t="str">
            <v>2018 - 2022</v>
          </cell>
          <cell r="D1165" t="str">
            <v>avg_1_99</v>
          </cell>
          <cell r="E1165" t="str">
            <v>gdp_inf_serv</v>
          </cell>
          <cell r="F1165">
            <v>0.6088557243347168</v>
          </cell>
        </row>
        <row r="1166">
          <cell r="A1166" t="str">
            <v>COL</v>
          </cell>
          <cell r="B1166" t="str">
            <v>Short</v>
          </cell>
          <cell r="C1166" t="str">
            <v>2018 - 2022</v>
          </cell>
          <cell r="D1166" t="str">
            <v>avg_1_99</v>
          </cell>
          <cell r="E1166" t="str">
            <v>prod_for_agri</v>
          </cell>
          <cell r="F1166">
            <v>1.4218529462814331</v>
          </cell>
        </row>
        <row r="1167">
          <cell r="A1167" t="str">
            <v>COL</v>
          </cell>
          <cell r="B1167" t="str">
            <v>Short</v>
          </cell>
          <cell r="C1167" t="str">
            <v>2018 - 2022</v>
          </cell>
          <cell r="D1167" t="str">
            <v>avg_1_99</v>
          </cell>
          <cell r="E1167" t="str">
            <v>prod_for_ind</v>
          </cell>
          <cell r="F1167">
            <v>-8.533855527639389E-2</v>
          </cell>
        </row>
        <row r="1168">
          <cell r="A1168" t="str">
            <v>COL</v>
          </cell>
          <cell r="B1168" t="str">
            <v>Short</v>
          </cell>
          <cell r="C1168" t="str">
            <v>2018 - 2022</v>
          </cell>
          <cell r="D1168" t="str">
            <v>avg_1_99</v>
          </cell>
          <cell r="E1168" t="str">
            <v>prod_for_serv</v>
          </cell>
          <cell r="F1168">
            <v>0.81365483999252319</v>
          </cell>
        </row>
        <row r="1169">
          <cell r="A1169" t="str">
            <v>COL</v>
          </cell>
          <cell r="B1169" t="str">
            <v>Short</v>
          </cell>
          <cell r="C1169" t="str">
            <v>2018 - 2022</v>
          </cell>
          <cell r="D1169" t="str">
            <v>avg_1_99</v>
          </cell>
          <cell r="E1169" t="str">
            <v>prod_inf_agri</v>
          </cell>
          <cell r="F1169">
            <v>0.53276288509368896</v>
          </cell>
        </row>
        <row r="1170">
          <cell r="A1170" t="str">
            <v>COL</v>
          </cell>
          <cell r="B1170" t="str">
            <v>Short</v>
          </cell>
          <cell r="C1170" t="str">
            <v>2018 - 2022</v>
          </cell>
          <cell r="D1170" t="str">
            <v>avg_1_99</v>
          </cell>
          <cell r="E1170" t="str">
            <v>prod_inf_ind</v>
          </cell>
          <cell r="F1170">
            <v>1.3776693344116211</v>
          </cell>
        </row>
        <row r="1171">
          <cell r="A1171" t="str">
            <v>COL</v>
          </cell>
          <cell r="B1171" t="str">
            <v>Short</v>
          </cell>
          <cell r="C1171" t="str">
            <v>2018 - 2022</v>
          </cell>
          <cell r="D1171" t="str">
            <v>avg_1_99</v>
          </cell>
          <cell r="E1171" t="str">
            <v>prod_inf_serv</v>
          </cell>
          <cell r="F1171">
            <v>-1.0827921628952031</v>
          </cell>
        </row>
        <row r="1172">
          <cell r="A1172" t="str">
            <v>COL</v>
          </cell>
          <cell r="B1172" t="str">
            <v>Short</v>
          </cell>
          <cell r="C1172" t="str">
            <v>2018 - 2022</v>
          </cell>
          <cell r="D1172" t="str">
            <v>avg_1_99_imp</v>
          </cell>
          <cell r="E1172" t="str">
            <v>gdp_activity</v>
          </cell>
          <cell r="F1172">
            <v>0.43454846739768982</v>
          </cell>
        </row>
        <row r="1173">
          <cell r="A1173" t="str">
            <v>COL</v>
          </cell>
          <cell r="B1173" t="str">
            <v>Short</v>
          </cell>
          <cell r="C1173" t="str">
            <v>2018 - 2022</v>
          </cell>
          <cell r="D1173" t="str">
            <v>avg_1_99_imp</v>
          </cell>
          <cell r="E1173" t="str">
            <v>gdp_for_agri</v>
          </cell>
          <cell r="F1173">
            <v>-0.62245786190032959</v>
          </cell>
        </row>
        <row r="1174">
          <cell r="A1174" t="str">
            <v>COL</v>
          </cell>
          <cell r="B1174" t="str">
            <v>Short</v>
          </cell>
          <cell r="C1174" t="str">
            <v>2018 - 2022</v>
          </cell>
          <cell r="D1174" t="str">
            <v>avg_1_99_imp</v>
          </cell>
          <cell r="E1174" t="str">
            <v>gdp_for_ind</v>
          </cell>
          <cell r="F1174">
            <v>2.5285227298736568</v>
          </cell>
        </row>
        <row r="1175">
          <cell r="A1175" t="str">
            <v>COL</v>
          </cell>
          <cell r="B1175" t="str">
            <v>Short</v>
          </cell>
          <cell r="C1175" t="str">
            <v>2018 - 2022</v>
          </cell>
          <cell r="D1175" t="str">
            <v>avg_1_99_imp</v>
          </cell>
          <cell r="E1175" t="str">
            <v>gdp_for_serv</v>
          </cell>
          <cell r="F1175">
            <v>0.58532428741455078</v>
          </cell>
        </row>
        <row r="1176">
          <cell r="A1176" t="str">
            <v>COL</v>
          </cell>
          <cell r="B1176" t="str">
            <v>Short</v>
          </cell>
          <cell r="C1176" t="str">
            <v>2018 - 2022</v>
          </cell>
          <cell r="D1176" t="str">
            <v>avg_1_99_imp</v>
          </cell>
          <cell r="E1176" t="str">
            <v>gdp_inf_agri</v>
          </cell>
          <cell r="F1176">
            <v>-0.1453743577003479</v>
          </cell>
        </row>
        <row r="1177">
          <cell r="A1177" t="str">
            <v>COL</v>
          </cell>
          <cell r="B1177" t="str">
            <v>Short</v>
          </cell>
          <cell r="C1177" t="str">
            <v>2018 - 2022</v>
          </cell>
          <cell r="D1177" t="str">
            <v>avg_1_99_imp</v>
          </cell>
          <cell r="E1177" t="str">
            <v>gdp_inf_ind</v>
          </cell>
          <cell r="F1177">
            <v>0.87546443939208984</v>
          </cell>
        </row>
        <row r="1178">
          <cell r="A1178" t="str">
            <v>COL</v>
          </cell>
          <cell r="B1178" t="str">
            <v>Short</v>
          </cell>
          <cell r="C1178" t="str">
            <v>2018 - 2022</v>
          </cell>
          <cell r="D1178" t="str">
            <v>avg_1_99_imp</v>
          </cell>
          <cell r="E1178" t="str">
            <v>gdp_inf_serv</v>
          </cell>
          <cell r="F1178">
            <v>0.6088557243347168</v>
          </cell>
        </row>
        <row r="1179">
          <cell r="A1179" t="str">
            <v>COL</v>
          </cell>
          <cell r="B1179" t="str">
            <v>Short</v>
          </cell>
          <cell r="C1179" t="str">
            <v>2018 - 2022</v>
          </cell>
          <cell r="D1179" t="str">
            <v>avg_1_99_imp</v>
          </cell>
          <cell r="E1179" t="str">
            <v>prod_for_agri</v>
          </cell>
          <cell r="F1179">
            <v>-2.2818021476268768E-2</v>
          </cell>
        </row>
        <row r="1180">
          <cell r="A1180" t="str">
            <v>COL</v>
          </cell>
          <cell r="B1180" t="str">
            <v>Short</v>
          </cell>
          <cell r="C1180" t="str">
            <v>2018 - 2022</v>
          </cell>
          <cell r="D1180" t="str">
            <v>avg_1_99_imp</v>
          </cell>
          <cell r="E1180" t="str">
            <v>prod_for_ind</v>
          </cell>
          <cell r="F1180">
            <v>-0.8291974663734436</v>
          </cell>
        </row>
        <row r="1181">
          <cell r="A1181" t="str">
            <v>COL</v>
          </cell>
          <cell r="B1181" t="str">
            <v>Short</v>
          </cell>
          <cell r="C1181" t="str">
            <v>2018 - 2022</v>
          </cell>
          <cell r="D1181" t="str">
            <v>avg_1_99_imp</v>
          </cell>
          <cell r="E1181" t="str">
            <v>prod_for_serv</v>
          </cell>
          <cell r="F1181">
            <v>0.77241420745849609</v>
          </cell>
        </row>
        <row r="1182">
          <cell r="A1182" t="str">
            <v>COL</v>
          </cell>
          <cell r="B1182" t="str">
            <v>Short</v>
          </cell>
          <cell r="C1182" t="str">
            <v>2018 - 2022</v>
          </cell>
          <cell r="D1182" t="str">
            <v>avg_1_99_imp</v>
          </cell>
          <cell r="E1182" t="str">
            <v>prod_inf_agri</v>
          </cell>
          <cell r="F1182">
            <v>0.38446885347366327</v>
          </cell>
        </row>
        <row r="1183">
          <cell r="A1183" t="str">
            <v>COL</v>
          </cell>
          <cell r="B1183" t="str">
            <v>Short</v>
          </cell>
          <cell r="C1183" t="str">
            <v>2018 - 2022</v>
          </cell>
          <cell r="D1183" t="str">
            <v>avg_1_99_imp</v>
          </cell>
          <cell r="E1183" t="str">
            <v>prod_inf_ind</v>
          </cell>
          <cell r="F1183">
            <v>1.444953083992004</v>
          </cell>
        </row>
        <row r="1184">
          <cell r="A1184" t="str">
            <v>COL</v>
          </cell>
          <cell r="B1184" t="str">
            <v>Short</v>
          </cell>
          <cell r="C1184" t="str">
            <v>2018 - 2022</v>
          </cell>
          <cell r="D1184" t="str">
            <v>avg_1_99_imp</v>
          </cell>
          <cell r="E1184" t="str">
            <v>prod_inf_serv</v>
          </cell>
          <cell r="F1184">
            <v>-1.0827921628952031</v>
          </cell>
        </row>
        <row r="1185">
          <cell r="A1185" t="str">
            <v>COL</v>
          </cell>
          <cell r="B1185" t="str">
            <v>Short</v>
          </cell>
          <cell r="C1185" t="str">
            <v>2018 - 2022</v>
          </cell>
          <cell r="D1185" t="str">
            <v>reg</v>
          </cell>
          <cell r="E1185" t="str">
            <v>gdp_activity</v>
          </cell>
          <cell r="F1185">
            <v>0.15877498686313629</v>
          </cell>
        </row>
        <row r="1186">
          <cell r="A1186" t="str">
            <v>COL</v>
          </cell>
          <cell r="B1186" t="str">
            <v>Short</v>
          </cell>
          <cell r="C1186" t="str">
            <v>2018 - 2022</v>
          </cell>
          <cell r="D1186" t="str">
            <v>reg</v>
          </cell>
          <cell r="E1186" t="str">
            <v>gdp_for_agri</v>
          </cell>
          <cell r="F1186">
            <v>-1.0866832733154299</v>
          </cell>
        </row>
        <row r="1187">
          <cell r="A1187" t="str">
            <v>COL</v>
          </cell>
          <cell r="B1187" t="str">
            <v>Short</v>
          </cell>
          <cell r="C1187" t="str">
            <v>2018 - 2022</v>
          </cell>
          <cell r="D1187" t="str">
            <v>reg</v>
          </cell>
          <cell r="E1187" t="str">
            <v>gdp_for_ind</v>
          </cell>
          <cell r="F1187">
            <v>0.61807399988174438</v>
          </cell>
        </row>
        <row r="1188">
          <cell r="A1188" t="str">
            <v>COL</v>
          </cell>
          <cell r="B1188" t="str">
            <v>Short</v>
          </cell>
          <cell r="C1188" t="str">
            <v>2018 - 2022</v>
          </cell>
          <cell r="D1188" t="str">
            <v>reg</v>
          </cell>
          <cell r="E1188" t="str">
            <v>gdp_for_serv</v>
          </cell>
          <cell r="F1188">
            <v>0.56703042984008789</v>
          </cell>
        </row>
        <row r="1189">
          <cell r="A1189" t="str">
            <v>COL</v>
          </cell>
          <cell r="B1189" t="str">
            <v>Short</v>
          </cell>
          <cell r="C1189" t="str">
            <v>2018 - 2022</v>
          </cell>
          <cell r="D1189" t="str">
            <v>reg</v>
          </cell>
          <cell r="E1189" t="str">
            <v>gdp_inf_agri</v>
          </cell>
          <cell r="F1189">
            <v>-1.4324090480804439</v>
          </cell>
        </row>
        <row r="1190">
          <cell r="A1190" t="str">
            <v>COL</v>
          </cell>
          <cell r="B1190" t="str">
            <v>Short</v>
          </cell>
          <cell r="C1190" t="str">
            <v>2018 - 2022</v>
          </cell>
          <cell r="D1190" t="str">
            <v>reg</v>
          </cell>
          <cell r="E1190" t="str">
            <v>gdp_inf_ind</v>
          </cell>
          <cell r="F1190">
            <v>0.94968855381011963</v>
          </cell>
        </row>
        <row r="1191">
          <cell r="A1191" t="str">
            <v>COL</v>
          </cell>
          <cell r="B1191" t="str">
            <v>Short</v>
          </cell>
          <cell r="C1191" t="str">
            <v>2018 - 2022</v>
          </cell>
          <cell r="D1191" t="str">
            <v>reg</v>
          </cell>
          <cell r="E1191" t="str">
            <v>gdp_inf_serv</v>
          </cell>
          <cell r="F1191">
            <v>-6.7495852708816528E-2</v>
          </cell>
        </row>
        <row r="1192">
          <cell r="A1192" t="str">
            <v>COL</v>
          </cell>
          <cell r="B1192" t="str">
            <v>Short</v>
          </cell>
          <cell r="C1192" t="str">
            <v>2018 - 2022</v>
          </cell>
          <cell r="D1192" t="str">
            <v>reg</v>
          </cell>
          <cell r="E1192" t="str">
            <v>prod_for_agri</v>
          </cell>
          <cell r="F1192">
            <v>0.2182684242725372</v>
          </cell>
        </row>
        <row r="1193">
          <cell r="A1193" t="str">
            <v>COL</v>
          </cell>
          <cell r="B1193" t="str">
            <v>Short</v>
          </cell>
          <cell r="C1193" t="str">
            <v>2018 - 2022</v>
          </cell>
          <cell r="D1193" t="str">
            <v>reg</v>
          </cell>
          <cell r="E1193" t="str">
            <v>prod_for_ind</v>
          </cell>
          <cell r="F1193">
            <v>1.491660475730896</v>
          </cell>
        </row>
        <row r="1194">
          <cell r="A1194" t="str">
            <v>COL</v>
          </cell>
          <cell r="B1194" t="str">
            <v>Short</v>
          </cell>
          <cell r="C1194" t="str">
            <v>2018 - 2022</v>
          </cell>
          <cell r="D1194" t="str">
            <v>reg</v>
          </cell>
          <cell r="E1194" t="str">
            <v>prod_for_serv</v>
          </cell>
          <cell r="F1194">
            <v>0.71735399961471558</v>
          </cell>
        </row>
        <row r="1195">
          <cell r="A1195" t="str">
            <v>COL</v>
          </cell>
          <cell r="B1195" t="str">
            <v>Short</v>
          </cell>
          <cell r="C1195" t="str">
            <v>2018 - 2022</v>
          </cell>
          <cell r="D1195" t="str">
            <v>reg</v>
          </cell>
          <cell r="E1195" t="str">
            <v>prod_inf_agri</v>
          </cell>
          <cell r="F1195">
            <v>-0.24973164498806</v>
          </cell>
        </row>
        <row r="1196">
          <cell r="A1196" t="str">
            <v>COL</v>
          </cell>
          <cell r="B1196" t="str">
            <v>Short</v>
          </cell>
          <cell r="C1196" t="str">
            <v>2018 - 2022</v>
          </cell>
          <cell r="D1196" t="str">
            <v>reg</v>
          </cell>
          <cell r="E1196" t="str">
            <v>prod_inf_ind</v>
          </cell>
          <cell r="F1196">
            <v>3.1499581336975102</v>
          </cell>
        </row>
        <row r="1197">
          <cell r="A1197" t="str">
            <v>COL</v>
          </cell>
          <cell r="B1197" t="str">
            <v>Short</v>
          </cell>
          <cell r="C1197" t="str">
            <v>2018 - 2022</v>
          </cell>
          <cell r="D1197" t="str">
            <v>reg</v>
          </cell>
          <cell r="E1197" t="str">
            <v>prod_inf_serv</v>
          </cell>
          <cell r="F1197">
            <v>-0.23116578161716461</v>
          </cell>
        </row>
        <row r="1198">
          <cell r="A1198" t="str">
            <v>COL</v>
          </cell>
          <cell r="B1198" t="str">
            <v>Short</v>
          </cell>
          <cell r="C1198" t="str">
            <v>2018 - 2022</v>
          </cell>
          <cell r="D1198" t="str">
            <v>reg_gdp</v>
          </cell>
          <cell r="E1198" t="str">
            <v>gdp_activity</v>
          </cell>
          <cell r="F1198">
            <v>0.15877498686313629</v>
          </cell>
        </row>
        <row r="1199">
          <cell r="A1199" t="str">
            <v>COL</v>
          </cell>
          <cell r="B1199" t="str">
            <v>Short</v>
          </cell>
          <cell r="C1199" t="str">
            <v>2018 - 2022</v>
          </cell>
          <cell r="D1199" t="str">
            <v>reg_gdp</v>
          </cell>
          <cell r="E1199" t="str">
            <v>gdp_for_agri</v>
          </cell>
          <cell r="F1199">
            <v>-2.1395266056060791</v>
          </cell>
        </row>
        <row r="1200">
          <cell r="A1200" t="str">
            <v>COL</v>
          </cell>
          <cell r="B1200" t="str">
            <v>Short</v>
          </cell>
          <cell r="C1200" t="str">
            <v>2018 - 2022</v>
          </cell>
          <cell r="D1200" t="str">
            <v>reg_gdp</v>
          </cell>
          <cell r="E1200" t="str">
            <v>gdp_for_ind</v>
          </cell>
          <cell r="F1200">
            <v>0.57143867015838623</v>
          </cell>
        </row>
        <row r="1201">
          <cell r="A1201" t="str">
            <v>COL</v>
          </cell>
          <cell r="B1201" t="str">
            <v>Short</v>
          </cell>
          <cell r="C1201" t="str">
            <v>2018 - 2022</v>
          </cell>
          <cell r="D1201" t="str">
            <v>reg_gdp</v>
          </cell>
          <cell r="E1201" t="str">
            <v>gdp_for_serv</v>
          </cell>
          <cell r="F1201">
            <v>-2.8064520359039311</v>
          </cell>
        </row>
        <row r="1202">
          <cell r="A1202" t="str">
            <v>COL</v>
          </cell>
          <cell r="B1202" t="str">
            <v>Short</v>
          </cell>
          <cell r="C1202" t="str">
            <v>2018 - 2022</v>
          </cell>
          <cell r="D1202" t="str">
            <v>reg_gdp</v>
          </cell>
          <cell r="E1202" t="str">
            <v>gdp_inf_agri</v>
          </cell>
          <cell r="F1202">
            <v>-1.5184551477432251</v>
          </cell>
        </row>
        <row r="1203">
          <cell r="A1203" t="str">
            <v>COL</v>
          </cell>
          <cell r="B1203" t="str">
            <v>Short</v>
          </cell>
          <cell r="C1203" t="str">
            <v>2018 - 2022</v>
          </cell>
          <cell r="D1203" t="str">
            <v>reg_gdp</v>
          </cell>
          <cell r="E1203" t="str">
            <v>gdp_inf_ind</v>
          </cell>
          <cell r="F1203">
            <v>1.0198806524276729</v>
          </cell>
        </row>
        <row r="1204">
          <cell r="A1204" t="str">
            <v>COL</v>
          </cell>
          <cell r="B1204" t="str">
            <v>Short</v>
          </cell>
          <cell r="C1204" t="str">
            <v>2018 - 2022</v>
          </cell>
          <cell r="D1204" t="str">
            <v>reg_gdp</v>
          </cell>
          <cell r="E1204" t="str">
            <v>gdp_inf_serv</v>
          </cell>
          <cell r="F1204">
            <v>-3.0866649150848389</v>
          </cell>
        </row>
        <row r="1205">
          <cell r="A1205" t="str">
            <v>COL</v>
          </cell>
          <cell r="B1205" t="str">
            <v>Short</v>
          </cell>
          <cell r="C1205" t="str">
            <v>2018 - 2022</v>
          </cell>
          <cell r="D1205" t="str">
            <v>reg_gdp</v>
          </cell>
          <cell r="E1205" t="str">
            <v>prod_for_agri</v>
          </cell>
          <cell r="F1205">
            <v>0.17888160049915311</v>
          </cell>
        </row>
        <row r="1206">
          <cell r="A1206" t="str">
            <v>COL</v>
          </cell>
          <cell r="B1206" t="str">
            <v>Short</v>
          </cell>
          <cell r="C1206" t="str">
            <v>2018 - 2022</v>
          </cell>
          <cell r="D1206" t="str">
            <v>reg_gdp</v>
          </cell>
          <cell r="E1206" t="str">
            <v>prod_for_ind</v>
          </cell>
          <cell r="F1206">
            <v>0.5546761155128479</v>
          </cell>
        </row>
        <row r="1207">
          <cell r="A1207" t="str">
            <v>COL</v>
          </cell>
          <cell r="B1207" t="str">
            <v>Short</v>
          </cell>
          <cell r="C1207" t="str">
            <v>2018 - 2022</v>
          </cell>
          <cell r="D1207" t="str">
            <v>reg_gdp</v>
          </cell>
          <cell r="E1207" t="str">
            <v>prod_for_serv</v>
          </cell>
          <cell r="F1207">
            <v>0.36920079588890081</v>
          </cell>
        </row>
        <row r="1208">
          <cell r="A1208" t="str">
            <v>COL</v>
          </cell>
          <cell r="B1208" t="str">
            <v>Short</v>
          </cell>
          <cell r="C1208" t="str">
            <v>2018 - 2022</v>
          </cell>
          <cell r="D1208" t="str">
            <v>reg_gdp</v>
          </cell>
          <cell r="E1208" t="str">
            <v>prod_inf_agri</v>
          </cell>
          <cell r="F1208">
            <v>-0.40297397971153259</v>
          </cell>
        </row>
        <row r="1209">
          <cell r="A1209" t="str">
            <v>COL</v>
          </cell>
          <cell r="B1209" t="str">
            <v>Short</v>
          </cell>
          <cell r="C1209" t="str">
            <v>2018 - 2022</v>
          </cell>
          <cell r="D1209" t="str">
            <v>reg_gdp</v>
          </cell>
          <cell r="E1209" t="str">
            <v>prod_inf_ind</v>
          </cell>
          <cell r="F1209">
            <v>2.8896818161010742</v>
          </cell>
        </row>
        <row r="1210">
          <cell r="A1210" t="str">
            <v>COL</v>
          </cell>
          <cell r="B1210" t="str">
            <v>Short</v>
          </cell>
          <cell r="C1210" t="str">
            <v>2018 - 2022</v>
          </cell>
          <cell r="D1210" t="str">
            <v>reg_gdp</v>
          </cell>
          <cell r="E1210" t="str">
            <v>prod_inf_serv</v>
          </cell>
          <cell r="F1210">
            <v>-0.78294551372528076</v>
          </cell>
        </row>
        <row r="1211">
          <cell r="A1211" t="str">
            <v>COL</v>
          </cell>
          <cell r="B1211" t="str">
            <v>Short</v>
          </cell>
          <cell r="C1211" t="str">
            <v>2018 - 2022</v>
          </cell>
          <cell r="D1211" t="str">
            <v>reg_iter</v>
          </cell>
          <cell r="E1211" t="str">
            <v>gdp_activity</v>
          </cell>
          <cell r="F1211">
            <v>0.16467757523059839</v>
          </cell>
        </row>
        <row r="1212">
          <cell r="A1212" t="str">
            <v>COL</v>
          </cell>
          <cell r="B1212" t="str">
            <v>Short</v>
          </cell>
          <cell r="C1212" t="str">
            <v>2018 - 2022</v>
          </cell>
          <cell r="D1212" t="str">
            <v>reg_iter</v>
          </cell>
          <cell r="E1212" t="str">
            <v>gdp_for_agri</v>
          </cell>
          <cell r="F1212">
            <v>-1.308321952819824</v>
          </cell>
        </row>
        <row r="1213">
          <cell r="A1213" t="str">
            <v>COL</v>
          </cell>
          <cell r="B1213" t="str">
            <v>Short</v>
          </cell>
          <cell r="C1213" t="str">
            <v>2018 - 2022</v>
          </cell>
          <cell r="D1213" t="str">
            <v>reg_iter</v>
          </cell>
          <cell r="E1213" t="str">
            <v>gdp_for_ind</v>
          </cell>
          <cell r="F1213">
            <v>0.54304063320159912</v>
          </cell>
        </row>
        <row r="1214">
          <cell r="A1214" t="str">
            <v>COL</v>
          </cell>
          <cell r="B1214" t="str">
            <v>Short</v>
          </cell>
          <cell r="C1214" t="str">
            <v>2018 - 2022</v>
          </cell>
          <cell r="D1214" t="str">
            <v>reg_iter</v>
          </cell>
          <cell r="E1214" t="str">
            <v>gdp_for_serv</v>
          </cell>
          <cell r="F1214">
            <v>0.18537801504135129</v>
          </cell>
        </row>
        <row r="1215">
          <cell r="A1215" t="str">
            <v>COL</v>
          </cell>
          <cell r="B1215" t="str">
            <v>Short</v>
          </cell>
          <cell r="C1215" t="str">
            <v>2018 - 2022</v>
          </cell>
          <cell r="D1215" t="str">
            <v>reg_iter</v>
          </cell>
          <cell r="E1215" t="str">
            <v>gdp_inf_agri</v>
          </cell>
          <cell r="F1215">
            <v>-1.2985460758209231</v>
          </cell>
        </row>
        <row r="1216">
          <cell r="A1216" t="str">
            <v>COL</v>
          </cell>
          <cell r="B1216" t="str">
            <v>Short</v>
          </cell>
          <cell r="C1216" t="str">
            <v>2018 - 2022</v>
          </cell>
          <cell r="D1216" t="str">
            <v>reg_iter</v>
          </cell>
          <cell r="E1216" t="str">
            <v>gdp_inf_ind</v>
          </cell>
          <cell r="F1216">
            <v>0.96404588222503662</v>
          </cell>
        </row>
        <row r="1217">
          <cell r="A1217" t="str">
            <v>COL</v>
          </cell>
          <cell r="B1217" t="str">
            <v>Short</v>
          </cell>
          <cell r="C1217" t="str">
            <v>2018 - 2022</v>
          </cell>
          <cell r="D1217" t="str">
            <v>reg_iter</v>
          </cell>
          <cell r="E1217" t="str">
            <v>gdp_inf_serv</v>
          </cell>
          <cell r="F1217">
            <v>0.12595134973526001</v>
          </cell>
        </row>
        <row r="1218">
          <cell r="A1218" t="str">
            <v>COL</v>
          </cell>
          <cell r="B1218" t="str">
            <v>Short</v>
          </cell>
          <cell r="C1218" t="str">
            <v>2018 - 2022</v>
          </cell>
          <cell r="D1218" t="str">
            <v>reg_iter</v>
          </cell>
          <cell r="E1218" t="str">
            <v>prod_for_agri</v>
          </cell>
          <cell r="F1218">
            <v>0.1535203754901886</v>
          </cell>
        </row>
        <row r="1219">
          <cell r="A1219" t="str">
            <v>COL</v>
          </cell>
          <cell r="B1219" t="str">
            <v>Short</v>
          </cell>
          <cell r="C1219" t="str">
            <v>2018 - 2022</v>
          </cell>
          <cell r="D1219" t="str">
            <v>reg_iter</v>
          </cell>
          <cell r="E1219" t="str">
            <v>prod_for_ind</v>
          </cell>
          <cell r="F1219">
            <v>2.1340234279632568</v>
          </cell>
        </row>
        <row r="1220">
          <cell r="A1220" t="str">
            <v>COL</v>
          </cell>
          <cell r="B1220" t="str">
            <v>Short</v>
          </cell>
          <cell r="C1220" t="str">
            <v>2018 - 2022</v>
          </cell>
          <cell r="D1220" t="str">
            <v>reg_iter</v>
          </cell>
          <cell r="E1220" t="str">
            <v>prod_for_serv</v>
          </cell>
          <cell r="F1220">
            <v>0.68986725807189941</v>
          </cell>
        </row>
        <row r="1221">
          <cell r="A1221" t="str">
            <v>COL</v>
          </cell>
          <cell r="B1221" t="str">
            <v>Short</v>
          </cell>
          <cell r="C1221" t="str">
            <v>2018 - 2022</v>
          </cell>
          <cell r="D1221" t="str">
            <v>reg_iter</v>
          </cell>
          <cell r="E1221" t="str">
            <v>prod_inf_agri</v>
          </cell>
          <cell r="F1221">
            <v>-0.3565116822719574</v>
          </cell>
        </row>
        <row r="1222">
          <cell r="A1222" t="str">
            <v>COL</v>
          </cell>
          <cell r="B1222" t="str">
            <v>Short</v>
          </cell>
          <cell r="C1222" t="str">
            <v>2018 - 2022</v>
          </cell>
          <cell r="D1222" t="str">
            <v>reg_iter</v>
          </cell>
          <cell r="E1222" t="str">
            <v>prod_inf_ind</v>
          </cell>
          <cell r="F1222">
            <v>3.555626392364502</v>
          </cell>
        </row>
        <row r="1223">
          <cell r="A1223" t="str">
            <v>COL</v>
          </cell>
          <cell r="B1223" t="str">
            <v>Short</v>
          </cell>
          <cell r="C1223" t="str">
            <v>2018 - 2022</v>
          </cell>
          <cell r="D1223" t="str">
            <v>reg_iter</v>
          </cell>
          <cell r="E1223" t="str">
            <v>prod_inf_serv</v>
          </cell>
          <cell r="F1223">
            <v>-0.36748814582824713</v>
          </cell>
        </row>
        <row r="1224">
          <cell r="A1224" t="str">
            <v>CRI</v>
          </cell>
          <cell r="B1224" t="str">
            <v>Long</v>
          </cell>
          <cell r="C1224" t="str">
            <v>2006 - 2023</v>
          </cell>
          <cell r="D1224" t="str">
            <v>avg</v>
          </cell>
          <cell r="E1224" t="str">
            <v>gdp_activity</v>
          </cell>
          <cell r="F1224">
            <v>-0.44070780277252197</v>
          </cell>
        </row>
        <row r="1225">
          <cell r="A1225" t="str">
            <v>CRI</v>
          </cell>
          <cell r="B1225" t="str">
            <v>Long</v>
          </cell>
          <cell r="C1225" t="str">
            <v>2006 - 2023</v>
          </cell>
          <cell r="D1225" t="str">
            <v>avg</v>
          </cell>
          <cell r="E1225" t="str">
            <v>gdp_for_agri</v>
          </cell>
          <cell r="F1225">
            <v>-22.351594924926761</v>
          </cell>
        </row>
        <row r="1226">
          <cell r="A1226" t="str">
            <v>CRI</v>
          </cell>
          <cell r="B1226" t="str">
            <v>Long</v>
          </cell>
          <cell r="C1226" t="str">
            <v>2006 - 2023</v>
          </cell>
          <cell r="D1226" t="str">
            <v>avg</v>
          </cell>
          <cell r="E1226" t="str">
            <v>gdp_for_ind</v>
          </cell>
          <cell r="F1226">
            <v>-0.63423222303390503</v>
          </cell>
        </row>
        <row r="1227">
          <cell r="A1227" t="str">
            <v>CRI</v>
          </cell>
          <cell r="B1227" t="str">
            <v>Long</v>
          </cell>
          <cell r="C1227" t="str">
            <v>2006 - 2023</v>
          </cell>
          <cell r="D1227" t="str">
            <v>avg</v>
          </cell>
          <cell r="E1227" t="str">
            <v>gdp_for_serv</v>
          </cell>
          <cell r="F1227">
            <v>1.209948658943176</v>
          </cell>
        </row>
        <row r="1228">
          <cell r="A1228" t="str">
            <v>CRI</v>
          </cell>
          <cell r="B1228" t="str">
            <v>Long</v>
          </cell>
          <cell r="C1228" t="str">
            <v>2006 - 2023</v>
          </cell>
          <cell r="D1228" t="str">
            <v>avg</v>
          </cell>
          <cell r="E1228" t="str">
            <v>gdp_inf_agri</v>
          </cell>
          <cell r="F1228">
            <v>-62.793548583984382</v>
          </cell>
        </row>
        <row r="1229">
          <cell r="A1229" t="str">
            <v>CRI</v>
          </cell>
          <cell r="B1229" t="str">
            <v>Long</v>
          </cell>
          <cell r="C1229" t="str">
            <v>2006 - 2023</v>
          </cell>
          <cell r="D1229" t="str">
            <v>avg</v>
          </cell>
          <cell r="E1229" t="str">
            <v>gdp_inf_ind</v>
          </cell>
          <cell r="F1229">
            <v>-1.31237256526947</v>
          </cell>
        </row>
        <row r="1230">
          <cell r="A1230" t="str">
            <v>CRI</v>
          </cell>
          <cell r="B1230" t="str">
            <v>Long</v>
          </cell>
          <cell r="C1230" t="str">
            <v>2006 - 2023</v>
          </cell>
          <cell r="D1230" t="str">
            <v>avg</v>
          </cell>
          <cell r="E1230" t="str">
            <v>gdp_inf_serv</v>
          </cell>
          <cell r="F1230">
            <v>0.75104576349258423</v>
          </cell>
        </row>
        <row r="1231">
          <cell r="A1231" t="str">
            <v>CRI</v>
          </cell>
          <cell r="B1231" t="str">
            <v>Long</v>
          </cell>
          <cell r="C1231" t="str">
            <v>2006 - 2023</v>
          </cell>
          <cell r="D1231" t="str">
            <v>avg</v>
          </cell>
          <cell r="E1231" t="str">
            <v>prod_for_agri</v>
          </cell>
          <cell r="F1231">
            <v>-5.156099796295166</v>
          </cell>
        </row>
        <row r="1232">
          <cell r="A1232" t="str">
            <v>CRI</v>
          </cell>
          <cell r="B1232" t="str">
            <v>Long</v>
          </cell>
          <cell r="C1232" t="str">
            <v>2006 - 2023</v>
          </cell>
          <cell r="D1232" t="str">
            <v>avg</v>
          </cell>
          <cell r="E1232" t="str">
            <v>prod_for_ind</v>
          </cell>
          <cell r="F1232">
            <v>0.42594051361083979</v>
          </cell>
        </row>
        <row r="1233">
          <cell r="A1233" t="str">
            <v>CRI</v>
          </cell>
          <cell r="B1233" t="str">
            <v>Long</v>
          </cell>
          <cell r="C1233" t="str">
            <v>2006 - 2023</v>
          </cell>
          <cell r="D1233" t="str">
            <v>avg</v>
          </cell>
          <cell r="E1233" t="str">
            <v>prod_for_serv</v>
          </cell>
          <cell r="F1233">
            <v>0.46119961142539978</v>
          </cell>
        </row>
        <row r="1234">
          <cell r="A1234" t="str">
            <v>CRI</v>
          </cell>
          <cell r="B1234" t="str">
            <v>Long</v>
          </cell>
          <cell r="C1234" t="str">
            <v>2006 - 2023</v>
          </cell>
          <cell r="D1234" t="str">
            <v>avg</v>
          </cell>
          <cell r="E1234" t="str">
            <v>prod_inf_agri</v>
          </cell>
          <cell r="F1234">
            <v>10.1680908203125</v>
          </cell>
        </row>
        <row r="1235">
          <cell r="A1235" t="str">
            <v>CRI</v>
          </cell>
          <cell r="B1235" t="str">
            <v>Long</v>
          </cell>
          <cell r="C1235" t="str">
            <v>2006 - 2023</v>
          </cell>
          <cell r="D1235" t="str">
            <v>avg</v>
          </cell>
          <cell r="E1235" t="str">
            <v>prod_inf_ind</v>
          </cell>
          <cell r="F1235">
            <v>0.36961877346038818</v>
          </cell>
        </row>
        <row r="1236">
          <cell r="A1236" t="str">
            <v>CRI</v>
          </cell>
          <cell r="B1236" t="str">
            <v>Long</v>
          </cell>
          <cell r="C1236" t="str">
            <v>2006 - 2023</v>
          </cell>
          <cell r="D1236" t="str">
            <v>avg</v>
          </cell>
          <cell r="E1236" t="str">
            <v>prod_inf_serv</v>
          </cell>
          <cell r="F1236">
            <v>0.61228340864181519</v>
          </cell>
        </row>
        <row r="1237">
          <cell r="A1237" t="str">
            <v>CRI</v>
          </cell>
          <cell r="B1237" t="str">
            <v>Long</v>
          </cell>
          <cell r="C1237" t="str">
            <v>2006 - 2023</v>
          </cell>
          <cell r="D1237" t="str">
            <v>avg_1_99</v>
          </cell>
          <cell r="E1237" t="str">
            <v>gdp_activity</v>
          </cell>
          <cell r="F1237">
            <v>0.27494135499000549</v>
          </cell>
        </row>
        <row r="1238">
          <cell r="A1238" t="str">
            <v>CRI</v>
          </cell>
          <cell r="B1238" t="str">
            <v>Long</v>
          </cell>
          <cell r="C1238" t="str">
            <v>2006 - 2023</v>
          </cell>
          <cell r="D1238" t="str">
            <v>avg_1_99</v>
          </cell>
          <cell r="E1238" t="str">
            <v>gdp_for_agri</v>
          </cell>
          <cell r="F1238">
            <v>-2.8226259164512162E-3</v>
          </cell>
        </row>
        <row r="1239">
          <cell r="A1239" t="str">
            <v>CRI</v>
          </cell>
          <cell r="B1239" t="str">
            <v>Long</v>
          </cell>
          <cell r="C1239" t="str">
            <v>2006 - 2023</v>
          </cell>
          <cell r="D1239" t="str">
            <v>avg_1_99</v>
          </cell>
          <cell r="E1239" t="str">
            <v>gdp_for_ind</v>
          </cell>
          <cell r="F1239">
            <v>-0.34885194897651672</v>
          </cell>
        </row>
        <row r="1240">
          <cell r="A1240" t="str">
            <v>CRI</v>
          </cell>
          <cell r="B1240" t="str">
            <v>Long</v>
          </cell>
          <cell r="C1240" t="str">
            <v>2006 - 2023</v>
          </cell>
          <cell r="D1240" t="str">
            <v>avg_1_99</v>
          </cell>
          <cell r="E1240" t="str">
            <v>gdp_for_serv</v>
          </cell>
          <cell r="F1240">
            <v>0.88762933015823364</v>
          </cell>
        </row>
        <row r="1241">
          <cell r="A1241" t="str">
            <v>CRI</v>
          </cell>
          <cell r="B1241" t="str">
            <v>Long</v>
          </cell>
          <cell r="C1241" t="str">
            <v>2006 - 2023</v>
          </cell>
          <cell r="D1241" t="str">
            <v>avg_1_99</v>
          </cell>
          <cell r="E1241" t="str">
            <v>gdp_inf_agri</v>
          </cell>
          <cell r="F1241">
            <v>-2.9309582710266109</v>
          </cell>
        </row>
        <row r="1242">
          <cell r="A1242" t="str">
            <v>CRI</v>
          </cell>
          <cell r="B1242" t="str">
            <v>Long</v>
          </cell>
          <cell r="C1242" t="str">
            <v>2006 - 2023</v>
          </cell>
          <cell r="D1242" t="str">
            <v>avg_1_99</v>
          </cell>
          <cell r="E1242" t="str">
            <v>gdp_inf_ind</v>
          </cell>
          <cell r="F1242">
            <v>-1.2731384038925171</v>
          </cell>
        </row>
        <row r="1243">
          <cell r="A1243" t="str">
            <v>CRI</v>
          </cell>
          <cell r="B1243" t="str">
            <v>Long</v>
          </cell>
          <cell r="C1243" t="str">
            <v>2006 - 2023</v>
          </cell>
          <cell r="D1243" t="str">
            <v>avg_1_99</v>
          </cell>
          <cell r="E1243" t="str">
            <v>gdp_inf_serv</v>
          </cell>
          <cell r="F1243">
            <v>0.54306876659393311</v>
          </cell>
        </row>
        <row r="1244">
          <cell r="A1244" t="str">
            <v>CRI</v>
          </cell>
          <cell r="B1244" t="str">
            <v>Long</v>
          </cell>
          <cell r="C1244" t="str">
            <v>2006 - 2023</v>
          </cell>
          <cell r="D1244" t="str">
            <v>avg_1_99</v>
          </cell>
          <cell r="E1244" t="str">
            <v>prod_for_agri</v>
          </cell>
          <cell r="F1244">
            <v>-1.011736989021301</v>
          </cell>
        </row>
        <row r="1245">
          <cell r="A1245" t="str">
            <v>CRI</v>
          </cell>
          <cell r="B1245" t="str">
            <v>Long</v>
          </cell>
          <cell r="C1245" t="str">
            <v>2006 - 2023</v>
          </cell>
          <cell r="D1245" t="str">
            <v>avg_1_99</v>
          </cell>
          <cell r="E1245" t="str">
            <v>prod_for_ind</v>
          </cell>
          <cell r="F1245">
            <v>0.24874414503574371</v>
          </cell>
        </row>
        <row r="1246">
          <cell r="A1246" t="str">
            <v>CRI</v>
          </cell>
          <cell r="B1246" t="str">
            <v>Long</v>
          </cell>
          <cell r="C1246" t="str">
            <v>2006 - 2023</v>
          </cell>
          <cell r="D1246" t="str">
            <v>avg_1_99</v>
          </cell>
          <cell r="E1246" t="str">
            <v>prod_for_serv</v>
          </cell>
          <cell r="F1246">
            <v>-0.19723564386367801</v>
          </cell>
        </row>
        <row r="1247">
          <cell r="A1247" t="str">
            <v>CRI</v>
          </cell>
          <cell r="B1247" t="str">
            <v>Long</v>
          </cell>
          <cell r="C1247" t="str">
            <v>2006 - 2023</v>
          </cell>
          <cell r="D1247" t="str">
            <v>avg_1_99</v>
          </cell>
          <cell r="E1247" t="str">
            <v>prod_inf_agri</v>
          </cell>
          <cell r="F1247">
            <v>6.4857177734375</v>
          </cell>
        </row>
        <row r="1248">
          <cell r="A1248" t="str">
            <v>CRI</v>
          </cell>
          <cell r="B1248" t="str">
            <v>Long</v>
          </cell>
          <cell r="C1248" t="str">
            <v>2006 - 2023</v>
          </cell>
          <cell r="D1248" t="str">
            <v>avg_1_99</v>
          </cell>
          <cell r="E1248" t="str">
            <v>prod_inf_ind</v>
          </cell>
          <cell r="F1248">
            <v>0.23607313632965091</v>
          </cell>
        </row>
        <row r="1249">
          <cell r="A1249" t="str">
            <v>CRI</v>
          </cell>
          <cell r="B1249" t="str">
            <v>Long</v>
          </cell>
          <cell r="C1249" t="str">
            <v>2006 - 2023</v>
          </cell>
          <cell r="D1249" t="str">
            <v>avg_1_99</v>
          </cell>
          <cell r="E1249" t="str">
            <v>prod_inf_serv</v>
          </cell>
          <cell r="F1249">
            <v>0.61298340559005737</v>
          </cell>
        </row>
        <row r="1250">
          <cell r="A1250" t="str">
            <v>CRI</v>
          </cell>
          <cell r="B1250" t="str">
            <v>Long</v>
          </cell>
          <cell r="C1250" t="str">
            <v>2006 - 2023</v>
          </cell>
          <cell r="D1250" t="str">
            <v>avg_1_99_imp</v>
          </cell>
          <cell r="E1250" t="str">
            <v>gdp_activity</v>
          </cell>
          <cell r="F1250">
            <v>0.27496713399887079</v>
          </cell>
        </row>
        <row r="1251">
          <cell r="A1251" t="str">
            <v>CRI</v>
          </cell>
          <cell r="B1251" t="str">
            <v>Long</v>
          </cell>
          <cell r="C1251" t="str">
            <v>2006 - 2023</v>
          </cell>
          <cell r="D1251" t="str">
            <v>avg_1_99_imp</v>
          </cell>
          <cell r="E1251" t="str">
            <v>gdp_for_agri</v>
          </cell>
          <cell r="F1251">
            <v>5.6678470224142068E-2</v>
          </cell>
        </row>
        <row r="1252">
          <cell r="A1252" t="str">
            <v>CRI</v>
          </cell>
          <cell r="B1252" t="str">
            <v>Long</v>
          </cell>
          <cell r="C1252" t="str">
            <v>2006 - 2023</v>
          </cell>
          <cell r="D1252" t="str">
            <v>avg_1_99_imp</v>
          </cell>
          <cell r="E1252" t="str">
            <v>gdp_for_ind</v>
          </cell>
          <cell r="F1252">
            <v>-0.26772227883338928</v>
          </cell>
        </row>
        <row r="1253">
          <cell r="A1253" t="str">
            <v>CRI</v>
          </cell>
          <cell r="B1253" t="str">
            <v>Long</v>
          </cell>
          <cell r="C1253" t="str">
            <v>2006 - 2023</v>
          </cell>
          <cell r="D1253" t="str">
            <v>avg_1_99_imp</v>
          </cell>
          <cell r="E1253" t="str">
            <v>gdp_for_serv</v>
          </cell>
          <cell r="F1253">
            <v>0.85532659292221069</v>
          </cell>
        </row>
        <row r="1254">
          <cell r="A1254" t="str">
            <v>CRI</v>
          </cell>
          <cell r="B1254" t="str">
            <v>Long</v>
          </cell>
          <cell r="C1254" t="str">
            <v>2006 - 2023</v>
          </cell>
          <cell r="D1254" t="str">
            <v>avg_1_99_imp</v>
          </cell>
          <cell r="E1254" t="str">
            <v>gdp_inf_agri</v>
          </cell>
          <cell r="F1254">
            <v>-2.651508092880249</v>
          </cell>
        </row>
        <row r="1255">
          <cell r="A1255" t="str">
            <v>CRI</v>
          </cell>
          <cell r="B1255" t="str">
            <v>Long</v>
          </cell>
          <cell r="C1255" t="str">
            <v>2006 - 2023</v>
          </cell>
          <cell r="D1255" t="str">
            <v>avg_1_99_imp</v>
          </cell>
          <cell r="E1255" t="str">
            <v>gdp_inf_ind</v>
          </cell>
          <cell r="F1255">
            <v>-1.2258666753768921</v>
          </cell>
        </row>
        <row r="1256">
          <cell r="A1256" t="str">
            <v>CRI</v>
          </cell>
          <cell r="B1256" t="str">
            <v>Long</v>
          </cell>
          <cell r="C1256" t="str">
            <v>2006 - 2023</v>
          </cell>
          <cell r="D1256" t="str">
            <v>avg_1_99_imp</v>
          </cell>
          <cell r="E1256" t="str">
            <v>gdp_inf_serv</v>
          </cell>
          <cell r="F1256">
            <v>0.47933951020240778</v>
          </cell>
        </row>
        <row r="1257">
          <cell r="A1257" t="str">
            <v>CRI</v>
          </cell>
          <cell r="B1257" t="str">
            <v>Long</v>
          </cell>
          <cell r="C1257" t="str">
            <v>2006 - 2023</v>
          </cell>
          <cell r="D1257" t="str">
            <v>avg_1_99_imp</v>
          </cell>
          <cell r="E1257" t="str">
            <v>prod_for_agri</v>
          </cell>
          <cell r="F1257">
            <v>-0.30286198854446411</v>
          </cell>
        </row>
        <row r="1258">
          <cell r="A1258" t="str">
            <v>CRI</v>
          </cell>
          <cell r="B1258" t="str">
            <v>Long</v>
          </cell>
          <cell r="C1258" t="str">
            <v>2006 - 2023</v>
          </cell>
          <cell r="D1258" t="str">
            <v>avg_1_99_imp</v>
          </cell>
          <cell r="E1258" t="str">
            <v>prod_for_ind</v>
          </cell>
          <cell r="F1258">
            <v>-0.35655778646469122</v>
          </cell>
        </row>
        <row r="1259">
          <cell r="A1259" t="str">
            <v>CRI</v>
          </cell>
          <cell r="B1259" t="str">
            <v>Long</v>
          </cell>
          <cell r="C1259" t="str">
            <v>2006 - 2023</v>
          </cell>
          <cell r="D1259" t="str">
            <v>avg_1_99_imp</v>
          </cell>
          <cell r="E1259" t="str">
            <v>prod_for_serv</v>
          </cell>
          <cell r="F1259">
            <v>-0.40904355049133301</v>
          </cell>
        </row>
        <row r="1260">
          <cell r="A1260" t="str">
            <v>CRI</v>
          </cell>
          <cell r="B1260" t="str">
            <v>Long</v>
          </cell>
          <cell r="C1260" t="str">
            <v>2006 - 2023</v>
          </cell>
          <cell r="D1260" t="str">
            <v>avg_1_99_imp</v>
          </cell>
          <cell r="E1260" t="str">
            <v>prod_inf_agri</v>
          </cell>
          <cell r="F1260">
            <v>5.8386125564575204</v>
          </cell>
        </row>
        <row r="1261">
          <cell r="A1261" t="str">
            <v>CRI</v>
          </cell>
          <cell r="B1261" t="str">
            <v>Long</v>
          </cell>
          <cell r="C1261" t="str">
            <v>2006 - 2023</v>
          </cell>
          <cell r="D1261" t="str">
            <v>avg_1_99_imp</v>
          </cell>
          <cell r="E1261" t="str">
            <v>prod_inf_ind</v>
          </cell>
          <cell r="F1261">
            <v>0.1988903284072876</v>
          </cell>
        </row>
        <row r="1262">
          <cell r="A1262" t="str">
            <v>CRI</v>
          </cell>
          <cell r="B1262" t="str">
            <v>Long</v>
          </cell>
          <cell r="C1262" t="str">
            <v>2006 - 2023</v>
          </cell>
          <cell r="D1262" t="str">
            <v>avg_1_99_imp</v>
          </cell>
          <cell r="E1262" t="str">
            <v>prod_inf_serv</v>
          </cell>
          <cell r="F1262">
            <v>0.53028690814971924</v>
          </cell>
        </row>
        <row r="1263">
          <cell r="A1263" t="str">
            <v>CRI</v>
          </cell>
          <cell r="B1263" t="str">
            <v>Long</v>
          </cell>
          <cell r="C1263" t="str">
            <v>2006 - 2023</v>
          </cell>
          <cell r="D1263" t="str">
            <v>med_reg</v>
          </cell>
          <cell r="E1263" t="str">
            <v>gdp_activity</v>
          </cell>
          <cell r="F1263">
            <v>0.34377720952034002</v>
          </cell>
        </row>
        <row r="1264">
          <cell r="A1264" t="str">
            <v>CRI</v>
          </cell>
          <cell r="B1264" t="str">
            <v>Long</v>
          </cell>
          <cell r="C1264" t="str">
            <v>2006 - 2023</v>
          </cell>
          <cell r="D1264" t="str">
            <v>med_reg</v>
          </cell>
          <cell r="E1264" t="str">
            <v>gdp_for_agri</v>
          </cell>
          <cell r="F1264">
            <v>0.1214182078838348</v>
          </cell>
        </row>
        <row r="1265">
          <cell r="A1265" t="str">
            <v>CRI</v>
          </cell>
          <cell r="B1265" t="str">
            <v>Long</v>
          </cell>
          <cell r="C1265" t="str">
            <v>2006 - 2023</v>
          </cell>
          <cell r="D1265" t="str">
            <v>med_reg</v>
          </cell>
          <cell r="E1265" t="str">
            <v>gdp_for_ind</v>
          </cell>
          <cell r="F1265">
            <v>0.40974551439285278</v>
          </cell>
        </row>
        <row r="1266">
          <cell r="A1266" t="str">
            <v>CRI</v>
          </cell>
          <cell r="B1266" t="str">
            <v>Long</v>
          </cell>
          <cell r="C1266" t="str">
            <v>2006 - 2023</v>
          </cell>
          <cell r="D1266" t="str">
            <v>med_reg</v>
          </cell>
          <cell r="E1266" t="str">
            <v>gdp_for_serv</v>
          </cell>
          <cell r="F1266">
            <v>0.51293480396270752</v>
          </cell>
        </row>
        <row r="1267">
          <cell r="A1267" t="str">
            <v>CRI</v>
          </cell>
          <cell r="B1267" t="str">
            <v>Long</v>
          </cell>
          <cell r="C1267" t="str">
            <v>2006 - 2023</v>
          </cell>
          <cell r="D1267" t="str">
            <v>med_reg</v>
          </cell>
          <cell r="E1267" t="str">
            <v>gdp_inf_agri</v>
          </cell>
          <cell r="F1267">
            <v>-0.86868745088577271</v>
          </cell>
        </row>
        <row r="1268">
          <cell r="A1268" t="str">
            <v>CRI</v>
          </cell>
          <cell r="B1268" t="str">
            <v>Long</v>
          </cell>
          <cell r="C1268" t="str">
            <v>2006 - 2023</v>
          </cell>
          <cell r="D1268" t="str">
            <v>med_reg</v>
          </cell>
          <cell r="E1268" t="str">
            <v>gdp_inf_ind</v>
          </cell>
          <cell r="F1268">
            <v>-0.23046623170375821</v>
          </cell>
        </row>
        <row r="1269">
          <cell r="A1269" t="str">
            <v>CRI</v>
          </cell>
          <cell r="B1269" t="str">
            <v>Long</v>
          </cell>
          <cell r="C1269" t="str">
            <v>2006 - 2023</v>
          </cell>
          <cell r="D1269" t="str">
            <v>med_reg</v>
          </cell>
          <cell r="E1269" t="str">
            <v>gdp_inf_serv</v>
          </cell>
          <cell r="F1269">
            <v>1.2406011112034321E-2</v>
          </cell>
        </row>
        <row r="1270">
          <cell r="A1270" t="str">
            <v>CRI</v>
          </cell>
          <cell r="B1270" t="str">
            <v>Long</v>
          </cell>
          <cell r="C1270" t="str">
            <v>2006 - 2023</v>
          </cell>
          <cell r="D1270" t="str">
            <v>med_reg</v>
          </cell>
          <cell r="E1270" t="str">
            <v>prod_for_agri</v>
          </cell>
          <cell r="F1270">
            <v>0.18426087498664859</v>
          </cell>
        </row>
        <row r="1271">
          <cell r="A1271" t="str">
            <v>CRI</v>
          </cell>
          <cell r="B1271" t="str">
            <v>Long</v>
          </cell>
          <cell r="C1271" t="str">
            <v>2006 - 2023</v>
          </cell>
          <cell r="D1271" t="str">
            <v>med_reg</v>
          </cell>
          <cell r="E1271" t="str">
            <v>prod_for_ind</v>
          </cell>
          <cell r="F1271">
            <v>1.6255775466561321E-2</v>
          </cell>
        </row>
        <row r="1272">
          <cell r="A1272" t="str">
            <v>CRI</v>
          </cell>
          <cell r="B1272" t="str">
            <v>Long</v>
          </cell>
          <cell r="C1272" t="str">
            <v>2006 - 2023</v>
          </cell>
          <cell r="D1272" t="str">
            <v>med_reg</v>
          </cell>
          <cell r="E1272" t="str">
            <v>prod_for_serv</v>
          </cell>
          <cell r="F1272">
            <v>0.1618968844413757</v>
          </cell>
        </row>
        <row r="1273">
          <cell r="A1273" t="str">
            <v>CRI</v>
          </cell>
          <cell r="B1273" t="str">
            <v>Long</v>
          </cell>
          <cell r="C1273" t="str">
            <v>2006 - 2023</v>
          </cell>
          <cell r="D1273" t="str">
            <v>med_reg</v>
          </cell>
          <cell r="E1273" t="str">
            <v>prod_inf_agri</v>
          </cell>
          <cell r="F1273">
            <v>0.2327904403209686</v>
          </cell>
        </row>
        <row r="1274">
          <cell r="A1274" t="str">
            <v>CRI</v>
          </cell>
          <cell r="B1274" t="str">
            <v>Long</v>
          </cell>
          <cell r="C1274" t="str">
            <v>2006 - 2023</v>
          </cell>
          <cell r="D1274" t="str">
            <v>med_reg</v>
          </cell>
          <cell r="E1274" t="str">
            <v>prod_inf_ind</v>
          </cell>
          <cell r="F1274">
            <v>-8.6540780961513519E-2</v>
          </cell>
        </row>
        <row r="1275">
          <cell r="A1275" t="str">
            <v>CRI</v>
          </cell>
          <cell r="B1275" t="str">
            <v>Long</v>
          </cell>
          <cell r="C1275" t="str">
            <v>2006 - 2023</v>
          </cell>
          <cell r="D1275" t="str">
            <v>med_reg</v>
          </cell>
          <cell r="E1275" t="str">
            <v>prod_inf_serv</v>
          </cell>
          <cell r="F1275">
            <v>-0.53489238023757935</v>
          </cell>
        </row>
        <row r="1276">
          <cell r="A1276" t="str">
            <v>CRI</v>
          </cell>
          <cell r="B1276" t="str">
            <v>Long</v>
          </cell>
          <cell r="C1276" t="str">
            <v>2006 - 2023</v>
          </cell>
          <cell r="D1276" t="str">
            <v>reg</v>
          </cell>
          <cell r="E1276" t="str">
            <v>gdp_activity</v>
          </cell>
          <cell r="F1276">
            <v>0.39289641380310059</v>
          </cell>
        </row>
        <row r="1277">
          <cell r="A1277" t="str">
            <v>CRI</v>
          </cell>
          <cell r="B1277" t="str">
            <v>Long</v>
          </cell>
          <cell r="C1277" t="str">
            <v>2006 - 2023</v>
          </cell>
          <cell r="D1277" t="str">
            <v>reg</v>
          </cell>
          <cell r="E1277" t="str">
            <v>gdp_for_agri</v>
          </cell>
          <cell r="F1277">
            <v>2.2912338376045231E-2</v>
          </cell>
        </row>
        <row r="1278">
          <cell r="A1278" t="str">
            <v>CRI</v>
          </cell>
          <cell r="B1278" t="str">
            <v>Long</v>
          </cell>
          <cell r="C1278" t="str">
            <v>2006 - 2023</v>
          </cell>
          <cell r="D1278" t="str">
            <v>reg</v>
          </cell>
          <cell r="E1278" t="str">
            <v>gdp_for_ind</v>
          </cell>
          <cell r="F1278">
            <v>0.32311758399009699</v>
          </cell>
        </row>
        <row r="1279">
          <cell r="A1279" t="str">
            <v>CRI</v>
          </cell>
          <cell r="B1279" t="str">
            <v>Long</v>
          </cell>
          <cell r="C1279" t="str">
            <v>2006 - 2023</v>
          </cell>
          <cell r="D1279" t="str">
            <v>reg</v>
          </cell>
          <cell r="E1279" t="str">
            <v>gdp_for_serv</v>
          </cell>
          <cell r="F1279">
            <v>0.58580708503723145</v>
          </cell>
        </row>
        <row r="1280">
          <cell r="A1280" t="str">
            <v>CRI</v>
          </cell>
          <cell r="B1280" t="str">
            <v>Long</v>
          </cell>
          <cell r="C1280" t="str">
            <v>2006 - 2023</v>
          </cell>
          <cell r="D1280" t="str">
            <v>reg</v>
          </cell>
          <cell r="E1280" t="str">
            <v>gdp_inf_agri</v>
          </cell>
          <cell r="F1280">
            <v>-0.84159517288208008</v>
          </cell>
        </row>
        <row r="1281">
          <cell r="A1281" t="str">
            <v>CRI</v>
          </cell>
          <cell r="B1281" t="str">
            <v>Long</v>
          </cell>
          <cell r="C1281" t="str">
            <v>2006 - 2023</v>
          </cell>
          <cell r="D1281" t="str">
            <v>reg</v>
          </cell>
          <cell r="E1281" t="str">
            <v>gdp_inf_ind</v>
          </cell>
          <cell r="F1281">
            <v>-0.28564473986625671</v>
          </cell>
        </row>
        <row r="1282">
          <cell r="A1282" t="str">
            <v>CRI</v>
          </cell>
          <cell r="B1282" t="str">
            <v>Long</v>
          </cell>
          <cell r="C1282" t="str">
            <v>2006 - 2023</v>
          </cell>
          <cell r="D1282" t="str">
            <v>reg</v>
          </cell>
          <cell r="E1282" t="str">
            <v>gdp_inf_serv</v>
          </cell>
          <cell r="F1282">
            <v>-9.9761083722114563E-2</v>
          </cell>
        </row>
        <row r="1283">
          <cell r="A1283" t="str">
            <v>CRI</v>
          </cell>
          <cell r="B1283" t="str">
            <v>Long</v>
          </cell>
          <cell r="C1283" t="str">
            <v>2006 - 2023</v>
          </cell>
          <cell r="D1283" t="str">
            <v>reg</v>
          </cell>
          <cell r="E1283" t="str">
            <v>prod_for_agri</v>
          </cell>
          <cell r="F1283">
            <v>0.2253713458776474</v>
          </cell>
        </row>
        <row r="1284">
          <cell r="A1284" t="str">
            <v>CRI</v>
          </cell>
          <cell r="B1284" t="str">
            <v>Long</v>
          </cell>
          <cell r="C1284" t="str">
            <v>2006 - 2023</v>
          </cell>
          <cell r="D1284" t="str">
            <v>reg</v>
          </cell>
          <cell r="E1284" t="str">
            <v>prod_for_ind</v>
          </cell>
          <cell r="F1284">
            <v>2.888882718980312E-2</v>
          </cell>
        </row>
        <row r="1285">
          <cell r="A1285" t="str">
            <v>CRI</v>
          </cell>
          <cell r="B1285" t="str">
            <v>Long</v>
          </cell>
          <cell r="C1285" t="str">
            <v>2006 - 2023</v>
          </cell>
          <cell r="D1285" t="str">
            <v>reg</v>
          </cell>
          <cell r="E1285" t="str">
            <v>prod_for_serv</v>
          </cell>
          <cell r="F1285">
            <v>0.144386887550354</v>
          </cell>
        </row>
        <row r="1286">
          <cell r="A1286" t="str">
            <v>CRI</v>
          </cell>
          <cell r="B1286" t="str">
            <v>Long</v>
          </cell>
          <cell r="C1286" t="str">
            <v>2006 - 2023</v>
          </cell>
          <cell r="D1286" t="str">
            <v>reg</v>
          </cell>
          <cell r="E1286" t="str">
            <v>prod_inf_agri</v>
          </cell>
          <cell r="F1286">
            <v>0.43592259287834167</v>
          </cell>
        </row>
        <row r="1287">
          <cell r="A1287" t="str">
            <v>CRI</v>
          </cell>
          <cell r="B1287" t="str">
            <v>Long</v>
          </cell>
          <cell r="C1287" t="str">
            <v>2006 - 2023</v>
          </cell>
          <cell r="D1287" t="str">
            <v>reg</v>
          </cell>
          <cell r="E1287" t="str">
            <v>prod_inf_ind</v>
          </cell>
          <cell r="F1287">
            <v>-0.33204898238182068</v>
          </cell>
        </row>
        <row r="1288">
          <cell r="A1288" t="str">
            <v>CRI</v>
          </cell>
          <cell r="B1288" t="str">
            <v>Long</v>
          </cell>
          <cell r="C1288" t="str">
            <v>2006 - 2023</v>
          </cell>
          <cell r="D1288" t="str">
            <v>reg</v>
          </cell>
          <cell r="E1288" t="str">
            <v>prod_inf_serv</v>
          </cell>
          <cell r="F1288">
            <v>-0.60380905866622925</v>
          </cell>
        </row>
        <row r="1289">
          <cell r="A1289" t="str">
            <v>CRI</v>
          </cell>
          <cell r="B1289" t="str">
            <v>Long</v>
          </cell>
          <cell r="C1289" t="str">
            <v>2006 - 2023</v>
          </cell>
          <cell r="D1289" t="str">
            <v>reg_gdp</v>
          </cell>
          <cell r="E1289" t="str">
            <v>gdp_activity</v>
          </cell>
          <cell r="F1289">
            <v>0.39289641380310059</v>
          </cell>
        </row>
        <row r="1290">
          <cell r="A1290" t="str">
            <v>CRI</v>
          </cell>
          <cell r="B1290" t="str">
            <v>Long</v>
          </cell>
          <cell r="C1290" t="str">
            <v>2006 - 2023</v>
          </cell>
          <cell r="D1290" t="str">
            <v>reg_gdp</v>
          </cell>
          <cell r="E1290" t="str">
            <v>gdp_for_agri</v>
          </cell>
          <cell r="F1290">
            <v>0.41500774025917048</v>
          </cell>
        </row>
        <row r="1291">
          <cell r="A1291" t="str">
            <v>CRI</v>
          </cell>
          <cell r="B1291" t="str">
            <v>Long</v>
          </cell>
          <cell r="C1291" t="str">
            <v>2006 - 2023</v>
          </cell>
          <cell r="D1291" t="str">
            <v>reg_gdp</v>
          </cell>
          <cell r="E1291" t="str">
            <v>gdp_for_ind</v>
          </cell>
          <cell r="F1291">
            <v>0.27310490608215332</v>
          </cell>
        </row>
        <row r="1292">
          <cell r="A1292" t="str">
            <v>CRI</v>
          </cell>
          <cell r="B1292" t="str">
            <v>Long</v>
          </cell>
          <cell r="C1292" t="str">
            <v>2006 - 2023</v>
          </cell>
          <cell r="D1292" t="str">
            <v>reg_gdp</v>
          </cell>
          <cell r="E1292" t="str">
            <v>gdp_for_serv</v>
          </cell>
          <cell r="F1292">
            <v>1.6904599666595459</v>
          </cell>
        </row>
        <row r="1293">
          <cell r="A1293" t="str">
            <v>CRI</v>
          </cell>
          <cell r="B1293" t="str">
            <v>Long</v>
          </cell>
          <cell r="C1293" t="str">
            <v>2006 - 2023</v>
          </cell>
          <cell r="D1293" t="str">
            <v>reg_gdp</v>
          </cell>
          <cell r="E1293" t="str">
            <v>gdp_inf_agri</v>
          </cell>
          <cell r="F1293">
            <v>-0.32082965970039368</v>
          </cell>
        </row>
        <row r="1294">
          <cell r="A1294" t="str">
            <v>CRI</v>
          </cell>
          <cell r="B1294" t="str">
            <v>Long</v>
          </cell>
          <cell r="C1294" t="str">
            <v>2006 - 2023</v>
          </cell>
          <cell r="D1294" t="str">
            <v>reg_gdp</v>
          </cell>
          <cell r="E1294" t="str">
            <v>gdp_inf_ind</v>
          </cell>
          <cell r="F1294">
            <v>0.2184160053730011</v>
          </cell>
        </row>
        <row r="1295">
          <cell r="A1295" t="str">
            <v>CRI</v>
          </cell>
          <cell r="B1295" t="str">
            <v>Long</v>
          </cell>
          <cell r="C1295" t="str">
            <v>2006 - 2023</v>
          </cell>
          <cell r="D1295" t="str">
            <v>reg_gdp</v>
          </cell>
          <cell r="E1295" t="str">
            <v>gdp_inf_serv</v>
          </cell>
          <cell r="F1295">
            <v>1.4072419404983521</v>
          </cell>
        </row>
        <row r="1296">
          <cell r="A1296" t="str">
            <v>CRI</v>
          </cell>
          <cell r="B1296" t="str">
            <v>Long</v>
          </cell>
          <cell r="C1296" t="str">
            <v>2006 - 2023</v>
          </cell>
          <cell r="D1296" t="str">
            <v>reg_gdp</v>
          </cell>
          <cell r="E1296" t="str">
            <v>prod_for_agri</v>
          </cell>
          <cell r="F1296">
            <v>-0.37048932909965521</v>
          </cell>
        </row>
        <row r="1297">
          <cell r="A1297" t="str">
            <v>CRI</v>
          </cell>
          <cell r="B1297" t="str">
            <v>Long</v>
          </cell>
          <cell r="C1297" t="str">
            <v>2006 - 2023</v>
          </cell>
          <cell r="D1297" t="str">
            <v>reg_gdp</v>
          </cell>
          <cell r="E1297" t="str">
            <v>prod_for_ind</v>
          </cell>
          <cell r="F1297">
            <v>-0.67546409368515015</v>
          </cell>
        </row>
        <row r="1298">
          <cell r="A1298" t="str">
            <v>CRI</v>
          </cell>
          <cell r="B1298" t="str">
            <v>Long</v>
          </cell>
          <cell r="C1298" t="str">
            <v>2006 - 2023</v>
          </cell>
          <cell r="D1298" t="str">
            <v>reg_gdp</v>
          </cell>
          <cell r="E1298" t="str">
            <v>prod_for_serv</v>
          </cell>
          <cell r="F1298">
            <v>-0.23808744549751279</v>
          </cell>
        </row>
        <row r="1299">
          <cell r="A1299" t="str">
            <v>CRI</v>
          </cell>
          <cell r="B1299" t="str">
            <v>Long</v>
          </cell>
          <cell r="C1299" t="str">
            <v>2006 - 2023</v>
          </cell>
          <cell r="D1299" t="str">
            <v>reg_gdp</v>
          </cell>
          <cell r="E1299" t="str">
            <v>prod_inf_agri</v>
          </cell>
          <cell r="F1299">
            <v>0.44310903549194341</v>
          </cell>
        </row>
        <row r="1300">
          <cell r="A1300" t="str">
            <v>CRI</v>
          </cell>
          <cell r="B1300" t="str">
            <v>Long</v>
          </cell>
          <cell r="C1300" t="str">
            <v>2006 - 2023</v>
          </cell>
          <cell r="D1300" t="str">
            <v>reg_gdp</v>
          </cell>
          <cell r="E1300" t="str">
            <v>prod_inf_ind</v>
          </cell>
          <cell r="F1300">
            <v>0.37379592657089228</v>
          </cell>
        </row>
        <row r="1301">
          <cell r="A1301" t="str">
            <v>CRI</v>
          </cell>
          <cell r="B1301" t="str">
            <v>Long</v>
          </cell>
          <cell r="C1301" t="str">
            <v>2006 - 2023</v>
          </cell>
          <cell r="D1301" t="str">
            <v>reg_gdp</v>
          </cell>
          <cell r="E1301" t="str">
            <v>prod_inf_serv</v>
          </cell>
          <cell r="F1301">
            <v>-0.2375396937131882</v>
          </cell>
        </row>
        <row r="1302">
          <cell r="A1302" t="str">
            <v>CRI</v>
          </cell>
          <cell r="B1302" t="str">
            <v>Long</v>
          </cell>
          <cell r="C1302" t="str">
            <v>2006 - 2023</v>
          </cell>
          <cell r="D1302" t="str">
            <v>reg_iter</v>
          </cell>
          <cell r="E1302" t="str">
            <v>gdp_activity</v>
          </cell>
          <cell r="F1302">
            <v>0.33400580286979681</v>
          </cell>
        </row>
        <row r="1303">
          <cell r="A1303" t="str">
            <v>CRI</v>
          </cell>
          <cell r="B1303" t="str">
            <v>Long</v>
          </cell>
          <cell r="C1303" t="str">
            <v>2006 - 2023</v>
          </cell>
          <cell r="D1303" t="str">
            <v>reg_iter</v>
          </cell>
          <cell r="E1303" t="str">
            <v>gdp_for_agri</v>
          </cell>
          <cell r="F1303">
            <v>0.12520453333854681</v>
          </cell>
        </row>
        <row r="1304">
          <cell r="A1304" t="str">
            <v>CRI</v>
          </cell>
          <cell r="B1304" t="str">
            <v>Long</v>
          </cell>
          <cell r="C1304" t="str">
            <v>2006 - 2023</v>
          </cell>
          <cell r="D1304" t="str">
            <v>reg_iter</v>
          </cell>
          <cell r="E1304" t="str">
            <v>gdp_for_ind</v>
          </cell>
          <cell r="F1304">
            <v>0.23638108372688291</v>
          </cell>
        </row>
        <row r="1305">
          <cell r="A1305" t="str">
            <v>CRI</v>
          </cell>
          <cell r="B1305" t="str">
            <v>Long</v>
          </cell>
          <cell r="C1305" t="str">
            <v>2006 - 2023</v>
          </cell>
          <cell r="D1305" t="str">
            <v>reg_iter</v>
          </cell>
          <cell r="E1305" t="str">
            <v>gdp_for_serv</v>
          </cell>
          <cell r="F1305">
            <v>0.46216201782226563</v>
          </cell>
        </row>
        <row r="1306">
          <cell r="A1306" t="str">
            <v>CRI</v>
          </cell>
          <cell r="B1306" t="str">
            <v>Long</v>
          </cell>
          <cell r="C1306" t="str">
            <v>2006 - 2023</v>
          </cell>
          <cell r="D1306" t="str">
            <v>reg_iter</v>
          </cell>
          <cell r="E1306" t="str">
            <v>gdp_inf_agri</v>
          </cell>
          <cell r="F1306">
            <v>-4.9417591653764248E-3</v>
          </cell>
        </row>
        <row r="1307">
          <cell r="A1307" t="str">
            <v>CRI</v>
          </cell>
          <cell r="B1307" t="str">
            <v>Long</v>
          </cell>
          <cell r="C1307" t="str">
            <v>2006 - 2023</v>
          </cell>
          <cell r="D1307" t="str">
            <v>reg_iter</v>
          </cell>
          <cell r="E1307" t="str">
            <v>gdp_inf_ind</v>
          </cell>
          <cell r="F1307">
            <v>0.3022007942199707</v>
          </cell>
        </row>
        <row r="1308">
          <cell r="A1308" t="str">
            <v>CRI</v>
          </cell>
          <cell r="B1308" t="str">
            <v>Long</v>
          </cell>
          <cell r="C1308" t="str">
            <v>2006 - 2023</v>
          </cell>
          <cell r="D1308" t="str">
            <v>reg_iter</v>
          </cell>
          <cell r="E1308" t="str">
            <v>gdp_inf_serv</v>
          </cell>
          <cell r="F1308">
            <v>0.37773588299751282</v>
          </cell>
        </row>
        <row r="1309">
          <cell r="A1309" t="str">
            <v>CRI</v>
          </cell>
          <cell r="B1309" t="str">
            <v>Long</v>
          </cell>
          <cell r="C1309" t="str">
            <v>2006 - 2023</v>
          </cell>
          <cell r="D1309" t="str">
            <v>reg_iter</v>
          </cell>
          <cell r="E1309" t="str">
            <v>prod_for_agri</v>
          </cell>
          <cell r="F1309">
            <v>-9.509584866464138E-3</v>
          </cell>
        </row>
        <row r="1310">
          <cell r="A1310" t="str">
            <v>CRI</v>
          </cell>
          <cell r="B1310" t="str">
            <v>Long</v>
          </cell>
          <cell r="C1310" t="str">
            <v>2006 - 2023</v>
          </cell>
          <cell r="D1310" t="str">
            <v>reg_iter</v>
          </cell>
          <cell r="E1310" t="str">
            <v>prod_for_ind</v>
          </cell>
          <cell r="F1310">
            <v>-9.7402282059192657E-2</v>
          </cell>
        </row>
        <row r="1311">
          <cell r="A1311" t="str">
            <v>CRI</v>
          </cell>
          <cell r="B1311" t="str">
            <v>Long</v>
          </cell>
          <cell r="C1311" t="str">
            <v>2006 - 2023</v>
          </cell>
          <cell r="D1311" t="str">
            <v>reg_iter</v>
          </cell>
          <cell r="E1311" t="str">
            <v>prod_for_serv</v>
          </cell>
          <cell r="F1311">
            <v>0.1141082793474197</v>
          </cell>
        </row>
        <row r="1312">
          <cell r="A1312" t="str">
            <v>CRI</v>
          </cell>
          <cell r="B1312" t="str">
            <v>Long</v>
          </cell>
          <cell r="C1312" t="str">
            <v>2006 - 2023</v>
          </cell>
          <cell r="D1312" t="str">
            <v>reg_iter</v>
          </cell>
          <cell r="E1312" t="str">
            <v>prod_inf_agri</v>
          </cell>
          <cell r="F1312">
            <v>0.35520827770233149</v>
          </cell>
        </row>
        <row r="1313">
          <cell r="A1313" t="str">
            <v>CRI</v>
          </cell>
          <cell r="B1313" t="str">
            <v>Long</v>
          </cell>
          <cell r="C1313" t="str">
            <v>2006 - 2023</v>
          </cell>
          <cell r="D1313" t="str">
            <v>reg_iter</v>
          </cell>
          <cell r="E1313" t="str">
            <v>prod_inf_ind</v>
          </cell>
          <cell r="F1313">
            <v>0.1866390258073807</v>
          </cell>
        </row>
        <row r="1314">
          <cell r="A1314" t="str">
            <v>CRI</v>
          </cell>
          <cell r="B1314" t="str">
            <v>Long</v>
          </cell>
          <cell r="C1314" t="str">
            <v>2006 - 2023</v>
          </cell>
          <cell r="D1314" t="str">
            <v>reg_iter</v>
          </cell>
          <cell r="E1314" t="str">
            <v>prod_inf_serv</v>
          </cell>
          <cell r="F1314">
            <v>-0.36920922994613647</v>
          </cell>
        </row>
        <row r="1315">
          <cell r="A1315" t="str">
            <v>CRI</v>
          </cell>
          <cell r="B1315" t="str">
            <v>Middle</v>
          </cell>
          <cell r="C1315" t="str">
            <v>2015 - 2023</v>
          </cell>
          <cell r="D1315" t="str">
            <v>avg</v>
          </cell>
          <cell r="E1315" t="str">
            <v>gdp_activity</v>
          </cell>
          <cell r="F1315">
            <v>0.33055359125137329</v>
          </cell>
        </row>
        <row r="1316">
          <cell r="A1316" t="str">
            <v>CRI</v>
          </cell>
          <cell r="B1316" t="str">
            <v>Middle</v>
          </cell>
          <cell r="C1316" t="str">
            <v>2015 - 2023</v>
          </cell>
          <cell r="D1316" t="str">
            <v>avg</v>
          </cell>
          <cell r="E1316" t="str">
            <v>gdp_for_agri</v>
          </cell>
          <cell r="F1316">
            <v>-0.52009493112564087</v>
          </cell>
        </row>
        <row r="1317">
          <cell r="A1317" t="str">
            <v>CRI</v>
          </cell>
          <cell r="B1317" t="str">
            <v>Middle</v>
          </cell>
          <cell r="C1317" t="str">
            <v>2015 - 2023</v>
          </cell>
          <cell r="D1317" t="str">
            <v>avg</v>
          </cell>
          <cell r="E1317" t="str">
            <v>gdp_for_ind</v>
          </cell>
          <cell r="F1317">
            <v>-1.6277730464935301</v>
          </cell>
        </row>
        <row r="1318">
          <cell r="A1318" t="str">
            <v>CRI</v>
          </cell>
          <cell r="B1318" t="str">
            <v>Middle</v>
          </cell>
          <cell r="C1318" t="str">
            <v>2015 - 2023</v>
          </cell>
          <cell r="D1318" t="str">
            <v>avg</v>
          </cell>
          <cell r="E1318" t="str">
            <v>gdp_for_serv</v>
          </cell>
          <cell r="F1318">
            <v>0.89511531591415405</v>
          </cell>
        </row>
        <row r="1319">
          <cell r="A1319" t="str">
            <v>CRI</v>
          </cell>
          <cell r="B1319" t="str">
            <v>Middle</v>
          </cell>
          <cell r="C1319" t="str">
            <v>2015 - 2023</v>
          </cell>
          <cell r="D1319" t="str">
            <v>avg</v>
          </cell>
          <cell r="E1319" t="str">
            <v>gdp_inf_agri</v>
          </cell>
          <cell r="F1319">
            <v>7.3067126274108887</v>
          </cell>
        </row>
        <row r="1320">
          <cell r="A1320" t="str">
            <v>CRI</v>
          </cell>
          <cell r="B1320" t="str">
            <v>Middle</v>
          </cell>
          <cell r="C1320" t="str">
            <v>2015 - 2023</v>
          </cell>
          <cell r="D1320" t="str">
            <v>avg</v>
          </cell>
          <cell r="E1320" t="str">
            <v>gdp_inf_ind</v>
          </cell>
          <cell r="F1320">
            <v>-1.729823231697083</v>
          </cell>
        </row>
        <row r="1321">
          <cell r="A1321" t="str">
            <v>CRI</v>
          </cell>
          <cell r="B1321" t="str">
            <v>Middle</v>
          </cell>
          <cell r="C1321" t="str">
            <v>2015 - 2023</v>
          </cell>
          <cell r="D1321" t="str">
            <v>avg</v>
          </cell>
          <cell r="E1321" t="str">
            <v>gdp_inf_serv</v>
          </cell>
          <cell r="F1321">
            <v>1.11287522315979</v>
          </cell>
        </row>
        <row r="1322">
          <cell r="A1322" t="str">
            <v>CRI</v>
          </cell>
          <cell r="B1322" t="str">
            <v>Middle</v>
          </cell>
          <cell r="C1322" t="str">
            <v>2015 - 2023</v>
          </cell>
          <cell r="D1322" t="str">
            <v>avg</v>
          </cell>
          <cell r="E1322" t="str">
            <v>prod_for_agri</v>
          </cell>
          <cell r="F1322">
            <v>-1.234671831130981</v>
          </cell>
        </row>
        <row r="1323">
          <cell r="A1323" t="str">
            <v>CRI</v>
          </cell>
          <cell r="B1323" t="str">
            <v>Middle</v>
          </cell>
          <cell r="C1323" t="str">
            <v>2015 - 2023</v>
          </cell>
          <cell r="D1323" t="str">
            <v>avg</v>
          </cell>
          <cell r="E1323" t="str">
            <v>prod_for_ind</v>
          </cell>
          <cell r="F1323">
            <v>1.931523203849792</v>
          </cell>
        </row>
        <row r="1324">
          <cell r="A1324" t="str">
            <v>CRI</v>
          </cell>
          <cell r="B1324" t="str">
            <v>Middle</v>
          </cell>
          <cell r="C1324" t="str">
            <v>2015 - 2023</v>
          </cell>
          <cell r="D1324" t="str">
            <v>avg</v>
          </cell>
          <cell r="E1324" t="str">
            <v>prod_for_serv</v>
          </cell>
          <cell r="F1324">
            <v>1.381091237068176</v>
          </cell>
        </row>
        <row r="1325">
          <cell r="A1325" t="str">
            <v>CRI</v>
          </cell>
          <cell r="B1325" t="str">
            <v>Middle</v>
          </cell>
          <cell r="C1325" t="str">
            <v>2015 - 2023</v>
          </cell>
          <cell r="D1325" t="str">
            <v>avg</v>
          </cell>
          <cell r="E1325" t="str">
            <v>prod_inf_agri</v>
          </cell>
          <cell r="F1325">
            <v>13.46274375915527</v>
          </cell>
        </row>
        <row r="1326">
          <cell r="A1326" t="str">
            <v>CRI</v>
          </cell>
          <cell r="B1326" t="str">
            <v>Middle</v>
          </cell>
          <cell r="C1326" t="str">
            <v>2015 - 2023</v>
          </cell>
          <cell r="D1326" t="str">
            <v>avg</v>
          </cell>
          <cell r="E1326" t="str">
            <v>prod_inf_ind</v>
          </cell>
          <cell r="F1326">
            <v>1.261574268341064</v>
          </cell>
        </row>
        <row r="1327">
          <cell r="A1327" t="str">
            <v>CRI</v>
          </cell>
          <cell r="B1327" t="str">
            <v>Middle</v>
          </cell>
          <cell r="C1327" t="str">
            <v>2015 - 2023</v>
          </cell>
          <cell r="D1327" t="str">
            <v>avg</v>
          </cell>
          <cell r="E1327" t="str">
            <v>prod_inf_serv</v>
          </cell>
          <cell r="F1327">
            <v>1.31540310382843</v>
          </cell>
        </row>
        <row r="1328">
          <cell r="A1328" t="str">
            <v>CRI</v>
          </cell>
          <cell r="B1328" t="str">
            <v>Middle</v>
          </cell>
          <cell r="C1328" t="str">
            <v>2015 - 2023</v>
          </cell>
          <cell r="D1328" t="str">
            <v>avg_1_99</v>
          </cell>
          <cell r="E1328" t="str">
            <v>gdp_activity</v>
          </cell>
          <cell r="F1328">
            <v>0.21042606234550479</v>
          </cell>
        </row>
        <row r="1329">
          <cell r="A1329" t="str">
            <v>CRI</v>
          </cell>
          <cell r="B1329" t="str">
            <v>Middle</v>
          </cell>
          <cell r="C1329" t="str">
            <v>2015 - 2023</v>
          </cell>
          <cell r="D1329" t="str">
            <v>avg_1_99</v>
          </cell>
          <cell r="E1329" t="str">
            <v>gdp_for_agri</v>
          </cell>
          <cell r="F1329">
            <v>-0.52009493112564087</v>
          </cell>
        </row>
        <row r="1330">
          <cell r="A1330" t="str">
            <v>CRI</v>
          </cell>
          <cell r="B1330" t="str">
            <v>Middle</v>
          </cell>
          <cell r="C1330" t="str">
            <v>2015 - 2023</v>
          </cell>
          <cell r="D1330" t="str">
            <v>avg_1_99</v>
          </cell>
          <cell r="E1330" t="str">
            <v>gdp_for_ind</v>
          </cell>
          <cell r="F1330">
            <v>-0.70008289813995361</v>
          </cell>
        </row>
        <row r="1331">
          <cell r="A1331" t="str">
            <v>CRI</v>
          </cell>
          <cell r="B1331" t="str">
            <v>Middle</v>
          </cell>
          <cell r="C1331" t="str">
            <v>2015 - 2023</v>
          </cell>
          <cell r="D1331" t="str">
            <v>avg_1_99</v>
          </cell>
          <cell r="E1331" t="str">
            <v>gdp_for_serv</v>
          </cell>
          <cell r="F1331">
            <v>1.0710289478302</v>
          </cell>
        </row>
        <row r="1332">
          <cell r="A1332" t="str">
            <v>CRI</v>
          </cell>
          <cell r="B1332" t="str">
            <v>Middle</v>
          </cell>
          <cell r="C1332" t="str">
            <v>2015 - 2023</v>
          </cell>
          <cell r="D1332" t="str">
            <v>avg_1_99</v>
          </cell>
          <cell r="E1332" t="str">
            <v>gdp_inf_agri</v>
          </cell>
          <cell r="F1332">
            <v>-2.0788295269012451</v>
          </cell>
        </row>
        <row r="1333">
          <cell r="A1333" t="str">
            <v>CRI</v>
          </cell>
          <cell r="B1333" t="str">
            <v>Middle</v>
          </cell>
          <cell r="C1333" t="str">
            <v>2015 - 2023</v>
          </cell>
          <cell r="D1333" t="str">
            <v>avg_1_99</v>
          </cell>
          <cell r="E1333" t="str">
            <v>gdp_inf_ind</v>
          </cell>
          <cell r="F1333">
            <v>-0.60193991661071777</v>
          </cell>
        </row>
        <row r="1334">
          <cell r="A1334" t="str">
            <v>CRI</v>
          </cell>
          <cell r="B1334" t="str">
            <v>Middle</v>
          </cell>
          <cell r="C1334" t="str">
            <v>2015 - 2023</v>
          </cell>
          <cell r="D1334" t="str">
            <v>avg_1_99</v>
          </cell>
          <cell r="E1334" t="str">
            <v>gdp_inf_serv</v>
          </cell>
          <cell r="F1334">
            <v>0.80030107498168945</v>
          </cell>
        </row>
        <row r="1335">
          <cell r="A1335" t="str">
            <v>CRI</v>
          </cell>
          <cell r="B1335" t="str">
            <v>Middle</v>
          </cell>
          <cell r="C1335" t="str">
            <v>2015 - 2023</v>
          </cell>
          <cell r="D1335" t="str">
            <v>avg_1_99</v>
          </cell>
          <cell r="E1335" t="str">
            <v>prod_for_agri</v>
          </cell>
          <cell r="F1335">
            <v>-1.234671831130981</v>
          </cell>
        </row>
        <row r="1336">
          <cell r="A1336" t="str">
            <v>CRI</v>
          </cell>
          <cell r="B1336" t="str">
            <v>Middle</v>
          </cell>
          <cell r="C1336" t="str">
            <v>2015 - 2023</v>
          </cell>
          <cell r="D1336" t="str">
            <v>avg_1_99</v>
          </cell>
          <cell r="E1336" t="str">
            <v>prod_for_ind</v>
          </cell>
          <cell r="F1336">
            <v>1.264162540435791</v>
          </cell>
        </row>
        <row r="1337">
          <cell r="A1337" t="str">
            <v>CRI</v>
          </cell>
          <cell r="B1337" t="str">
            <v>Middle</v>
          </cell>
          <cell r="C1337" t="str">
            <v>2015 - 2023</v>
          </cell>
          <cell r="D1337" t="str">
            <v>avg_1_99</v>
          </cell>
          <cell r="E1337" t="str">
            <v>prod_for_serv</v>
          </cell>
          <cell r="F1337">
            <v>-0.19008119404315951</v>
          </cell>
        </row>
        <row r="1338">
          <cell r="A1338" t="str">
            <v>CRI</v>
          </cell>
          <cell r="B1338" t="str">
            <v>Middle</v>
          </cell>
          <cell r="C1338" t="str">
            <v>2015 - 2023</v>
          </cell>
          <cell r="D1338" t="str">
            <v>avg_1_99</v>
          </cell>
          <cell r="E1338" t="str">
            <v>prod_inf_agri</v>
          </cell>
          <cell r="F1338">
            <v>5.5951218605041504</v>
          </cell>
        </row>
        <row r="1339">
          <cell r="A1339" t="str">
            <v>CRI</v>
          </cell>
          <cell r="B1339" t="str">
            <v>Middle</v>
          </cell>
          <cell r="C1339" t="str">
            <v>2015 - 2023</v>
          </cell>
          <cell r="D1339" t="str">
            <v>avg_1_99</v>
          </cell>
          <cell r="E1339" t="str">
            <v>prod_inf_ind</v>
          </cell>
          <cell r="F1339">
            <v>-0.17896319925785059</v>
          </cell>
        </row>
        <row r="1340">
          <cell r="A1340" t="str">
            <v>CRI</v>
          </cell>
          <cell r="B1340" t="str">
            <v>Middle</v>
          </cell>
          <cell r="C1340" t="str">
            <v>2015 - 2023</v>
          </cell>
          <cell r="D1340" t="str">
            <v>avg_1_99</v>
          </cell>
          <cell r="E1340" t="str">
            <v>prod_inf_serv</v>
          </cell>
          <cell r="F1340">
            <v>0.66981005668640137</v>
          </cell>
        </row>
        <row r="1341">
          <cell r="A1341" t="str">
            <v>CRI</v>
          </cell>
          <cell r="B1341" t="str">
            <v>Middle</v>
          </cell>
          <cell r="C1341" t="str">
            <v>2015 - 2023</v>
          </cell>
          <cell r="D1341" t="str">
            <v>avg_1_99_imp</v>
          </cell>
          <cell r="E1341" t="str">
            <v>gdp_activity</v>
          </cell>
          <cell r="F1341">
            <v>0.21761734783649439</v>
          </cell>
        </row>
        <row r="1342">
          <cell r="A1342" t="str">
            <v>CRI</v>
          </cell>
          <cell r="B1342" t="str">
            <v>Middle</v>
          </cell>
          <cell r="C1342" t="str">
            <v>2015 - 2023</v>
          </cell>
          <cell r="D1342" t="str">
            <v>avg_1_99_imp</v>
          </cell>
          <cell r="E1342" t="str">
            <v>gdp_for_agri</v>
          </cell>
          <cell r="F1342">
            <v>-0.52009493112564087</v>
          </cell>
        </row>
        <row r="1343">
          <cell r="A1343" t="str">
            <v>CRI</v>
          </cell>
          <cell r="B1343" t="str">
            <v>Middle</v>
          </cell>
          <cell r="C1343" t="str">
            <v>2015 - 2023</v>
          </cell>
          <cell r="D1343" t="str">
            <v>avg_1_99_imp</v>
          </cell>
          <cell r="E1343" t="str">
            <v>gdp_for_ind</v>
          </cell>
          <cell r="F1343">
            <v>-0.5843360424041748</v>
          </cell>
        </row>
        <row r="1344">
          <cell r="A1344" t="str">
            <v>CRI</v>
          </cell>
          <cell r="B1344" t="str">
            <v>Middle</v>
          </cell>
          <cell r="C1344" t="str">
            <v>2015 - 2023</v>
          </cell>
          <cell r="D1344" t="str">
            <v>avg_1_99_imp</v>
          </cell>
          <cell r="E1344" t="str">
            <v>gdp_for_serv</v>
          </cell>
          <cell r="F1344">
            <v>1.042025566101074</v>
          </cell>
        </row>
        <row r="1345">
          <cell r="A1345" t="str">
            <v>CRI</v>
          </cell>
          <cell r="B1345" t="str">
            <v>Middle</v>
          </cell>
          <cell r="C1345" t="str">
            <v>2015 - 2023</v>
          </cell>
          <cell r="D1345" t="str">
            <v>avg_1_99_imp</v>
          </cell>
          <cell r="E1345" t="str">
            <v>gdp_inf_agri</v>
          </cell>
          <cell r="F1345">
            <v>-1.927273750305176</v>
          </cell>
        </row>
        <row r="1346">
          <cell r="A1346" t="str">
            <v>CRI</v>
          </cell>
          <cell r="B1346" t="str">
            <v>Middle</v>
          </cell>
          <cell r="C1346" t="str">
            <v>2015 - 2023</v>
          </cell>
          <cell r="D1346" t="str">
            <v>avg_1_99_imp</v>
          </cell>
          <cell r="E1346" t="str">
            <v>gdp_inf_ind</v>
          </cell>
          <cell r="F1346">
            <v>-0.59790629148483276</v>
          </cell>
        </row>
        <row r="1347">
          <cell r="A1347" t="str">
            <v>CRI</v>
          </cell>
          <cell r="B1347" t="str">
            <v>Middle</v>
          </cell>
          <cell r="C1347" t="str">
            <v>2015 - 2023</v>
          </cell>
          <cell r="D1347" t="str">
            <v>avg_1_99_imp</v>
          </cell>
          <cell r="E1347" t="str">
            <v>gdp_inf_serv</v>
          </cell>
          <cell r="F1347">
            <v>0.64690083265304565</v>
          </cell>
        </row>
        <row r="1348">
          <cell r="A1348" t="str">
            <v>CRI</v>
          </cell>
          <cell r="B1348" t="str">
            <v>Middle</v>
          </cell>
          <cell r="C1348" t="str">
            <v>2015 - 2023</v>
          </cell>
          <cell r="D1348" t="str">
            <v>avg_1_99_imp</v>
          </cell>
          <cell r="E1348" t="str">
            <v>prod_for_agri</v>
          </cell>
          <cell r="F1348">
            <v>-0.37648561596870422</v>
          </cell>
        </row>
        <row r="1349">
          <cell r="A1349" t="str">
            <v>CRI</v>
          </cell>
          <cell r="B1349" t="str">
            <v>Middle</v>
          </cell>
          <cell r="C1349" t="str">
            <v>2015 - 2023</v>
          </cell>
          <cell r="D1349" t="str">
            <v>avg_1_99_imp</v>
          </cell>
          <cell r="E1349" t="str">
            <v>prod_for_ind</v>
          </cell>
          <cell r="F1349">
            <v>0.90047281980514526</v>
          </cell>
        </row>
        <row r="1350">
          <cell r="A1350" t="str">
            <v>CRI</v>
          </cell>
          <cell r="B1350" t="str">
            <v>Middle</v>
          </cell>
          <cell r="C1350" t="str">
            <v>2015 - 2023</v>
          </cell>
          <cell r="D1350" t="str">
            <v>avg_1_99_imp</v>
          </cell>
          <cell r="E1350" t="str">
            <v>prod_for_serv</v>
          </cell>
          <cell r="F1350">
            <v>-0.26803267002105707</v>
          </cell>
        </row>
        <row r="1351">
          <cell r="A1351" t="str">
            <v>CRI</v>
          </cell>
          <cell r="B1351" t="str">
            <v>Middle</v>
          </cell>
          <cell r="C1351" t="str">
            <v>2015 - 2023</v>
          </cell>
          <cell r="D1351" t="str">
            <v>avg_1_99_imp</v>
          </cell>
          <cell r="E1351" t="str">
            <v>prod_inf_agri</v>
          </cell>
          <cell r="F1351">
            <v>5.070098876953125</v>
          </cell>
        </row>
        <row r="1352">
          <cell r="A1352" t="str">
            <v>CRI</v>
          </cell>
          <cell r="B1352" t="str">
            <v>Middle</v>
          </cell>
          <cell r="C1352" t="str">
            <v>2015 - 2023</v>
          </cell>
          <cell r="D1352" t="str">
            <v>avg_1_99_imp</v>
          </cell>
          <cell r="E1352" t="str">
            <v>prod_inf_ind</v>
          </cell>
          <cell r="F1352">
            <v>-0.15527503192424769</v>
          </cell>
        </row>
        <row r="1353">
          <cell r="A1353" t="str">
            <v>CRI</v>
          </cell>
          <cell r="B1353" t="str">
            <v>Middle</v>
          </cell>
          <cell r="C1353" t="str">
            <v>2015 - 2023</v>
          </cell>
          <cell r="D1353" t="str">
            <v>avg_1_99_imp</v>
          </cell>
          <cell r="E1353" t="str">
            <v>prod_inf_serv</v>
          </cell>
          <cell r="F1353">
            <v>0.58435648679733276</v>
          </cell>
        </row>
        <row r="1354">
          <cell r="A1354" t="str">
            <v>CRI</v>
          </cell>
          <cell r="B1354" t="str">
            <v>Middle</v>
          </cell>
          <cell r="C1354" t="str">
            <v>2015 - 2023</v>
          </cell>
          <cell r="D1354" t="str">
            <v>reg</v>
          </cell>
          <cell r="E1354" t="str">
            <v>gdp_activity</v>
          </cell>
          <cell r="F1354">
            <v>0.1076851487159729</v>
          </cell>
        </row>
        <row r="1355">
          <cell r="A1355" t="str">
            <v>CRI</v>
          </cell>
          <cell r="B1355" t="str">
            <v>Middle</v>
          </cell>
          <cell r="C1355" t="str">
            <v>2015 - 2023</v>
          </cell>
          <cell r="D1355" t="str">
            <v>reg</v>
          </cell>
          <cell r="E1355" t="str">
            <v>gdp_for_agri</v>
          </cell>
          <cell r="F1355">
            <v>-0.68903112411499023</v>
          </cell>
        </row>
        <row r="1356">
          <cell r="A1356" t="str">
            <v>CRI</v>
          </cell>
          <cell r="B1356" t="str">
            <v>Middle</v>
          </cell>
          <cell r="C1356" t="str">
            <v>2015 - 2023</v>
          </cell>
          <cell r="D1356" t="str">
            <v>reg</v>
          </cell>
          <cell r="E1356" t="str">
            <v>gdp_for_ind</v>
          </cell>
          <cell r="F1356">
            <v>0.42334172129631042</v>
          </cell>
        </row>
        <row r="1357">
          <cell r="A1357" t="str">
            <v>CRI</v>
          </cell>
          <cell r="B1357" t="str">
            <v>Middle</v>
          </cell>
          <cell r="C1357" t="str">
            <v>2015 - 2023</v>
          </cell>
          <cell r="D1357" t="str">
            <v>reg</v>
          </cell>
          <cell r="E1357" t="str">
            <v>gdp_for_serv</v>
          </cell>
          <cell r="F1357">
            <v>0.60237377882003784</v>
          </cell>
        </row>
        <row r="1358">
          <cell r="A1358" t="str">
            <v>CRI</v>
          </cell>
          <cell r="B1358" t="str">
            <v>Middle</v>
          </cell>
          <cell r="C1358" t="str">
            <v>2015 - 2023</v>
          </cell>
          <cell r="D1358" t="str">
            <v>reg</v>
          </cell>
          <cell r="E1358" t="str">
            <v>gdp_inf_agri</v>
          </cell>
          <cell r="F1358">
            <v>-1.429658889770508</v>
          </cell>
        </row>
        <row r="1359">
          <cell r="A1359" t="str">
            <v>CRI</v>
          </cell>
          <cell r="B1359" t="str">
            <v>Middle</v>
          </cell>
          <cell r="C1359" t="str">
            <v>2015 - 2023</v>
          </cell>
          <cell r="D1359" t="str">
            <v>reg</v>
          </cell>
          <cell r="E1359" t="str">
            <v>gdp_inf_ind</v>
          </cell>
          <cell r="F1359">
            <v>-0.24602870643138891</v>
          </cell>
        </row>
        <row r="1360">
          <cell r="A1360" t="str">
            <v>CRI</v>
          </cell>
          <cell r="B1360" t="str">
            <v>Middle</v>
          </cell>
          <cell r="C1360" t="str">
            <v>2015 - 2023</v>
          </cell>
          <cell r="D1360" t="str">
            <v>reg</v>
          </cell>
          <cell r="E1360" t="str">
            <v>gdp_inf_serv</v>
          </cell>
          <cell r="F1360">
            <v>-0.88424891233444214</v>
          </cell>
        </row>
        <row r="1361">
          <cell r="A1361" t="str">
            <v>CRI</v>
          </cell>
          <cell r="B1361" t="str">
            <v>Middle</v>
          </cell>
          <cell r="C1361" t="str">
            <v>2015 - 2023</v>
          </cell>
          <cell r="D1361" t="str">
            <v>reg</v>
          </cell>
          <cell r="E1361" t="str">
            <v>prod_for_agri</v>
          </cell>
          <cell r="F1361">
            <v>-8.6248189210891724E-2</v>
          </cell>
        </row>
        <row r="1362">
          <cell r="A1362" t="str">
            <v>CRI</v>
          </cell>
          <cell r="B1362" t="str">
            <v>Middle</v>
          </cell>
          <cell r="C1362" t="str">
            <v>2015 - 2023</v>
          </cell>
          <cell r="D1362" t="str">
            <v>reg</v>
          </cell>
          <cell r="E1362" t="str">
            <v>prod_for_ind</v>
          </cell>
          <cell r="F1362">
            <v>-0.35383954644203192</v>
          </cell>
        </row>
        <row r="1363">
          <cell r="A1363" t="str">
            <v>CRI</v>
          </cell>
          <cell r="B1363" t="str">
            <v>Middle</v>
          </cell>
          <cell r="C1363" t="str">
            <v>2015 - 2023</v>
          </cell>
          <cell r="D1363" t="str">
            <v>reg</v>
          </cell>
          <cell r="E1363" t="str">
            <v>prod_for_serv</v>
          </cell>
          <cell r="F1363">
            <v>-0.19475620985031131</v>
          </cell>
        </row>
        <row r="1364">
          <cell r="A1364" t="str">
            <v>CRI</v>
          </cell>
          <cell r="B1364" t="str">
            <v>Middle</v>
          </cell>
          <cell r="C1364" t="str">
            <v>2015 - 2023</v>
          </cell>
          <cell r="D1364" t="str">
            <v>reg</v>
          </cell>
          <cell r="E1364" t="str">
            <v>prod_inf_agri</v>
          </cell>
          <cell r="F1364">
            <v>0.70515269041061401</v>
          </cell>
        </row>
        <row r="1365">
          <cell r="A1365" t="str">
            <v>CRI</v>
          </cell>
          <cell r="B1365" t="str">
            <v>Middle</v>
          </cell>
          <cell r="C1365" t="str">
            <v>2015 - 2023</v>
          </cell>
          <cell r="D1365" t="str">
            <v>reg</v>
          </cell>
          <cell r="E1365" t="str">
            <v>prod_inf_ind</v>
          </cell>
          <cell r="F1365">
            <v>6.0957510024309158E-2</v>
          </cell>
        </row>
        <row r="1366">
          <cell r="A1366" t="str">
            <v>CRI</v>
          </cell>
          <cell r="B1366" t="str">
            <v>Middle</v>
          </cell>
          <cell r="C1366" t="str">
            <v>2015 - 2023</v>
          </cell>
          <cell r="D1366" t="str">
            <v>reg</v>
          </cell>
          <cell r="E1366" t="str">
            <v>prod_inf_serv</v>
          </cell>
          <cell r="F1366">
            <v>-0.45169547200202942</v>
          </cell>
        </row>
        <row r="1367">
          <cell r="A1367" t="str">
            <v>CRI</v>
          </cell>
          <cell r="B1367" t="str">
            <v>Middle</v>
          </cell>
          <cell r="C1367" t="str">
            <v>2015 - 2023</v>
          </cell>
          <cell r="D1367" t="str">
            <v>reg_gdp</v>
          </cell>
          <cell r="E1367" t="str">
            <v>gdp_activity</v>
          </cell>
          <cell r="F1367">
            <v>0.1076851487159729</v>
          </cell>
        </row>
        <row r="1368">
          <cell r="A1368" t="str">
            <v>CRI</v>
          </cell>
          <cell r="B1368" t="str">
            <v>Middle</v>
          </cell>
          <cell r="C1368" t="str">
            <v>2015 - 2023</v>
          </cell>
          <cell r="D1368" t="str">
            <v>reg_gdp</v>
          </cell>
          <cell r="E1368" t="str">
            <v>gdp_for_agri</v>
          </cell>
          <cell r="F1368">
            <v>0.1246838644146919</v>
          </cell>
        </row>
        <row r="1369">
          <cell r="A1369" t="str">
            <v>CRI</v>
          </cell>
          <cell r="B1369" t="str">
            <v>Middle</v>
          </cell>
          <cell r="C1369" t="str">
            <v>2015 - 2023</v>
          </cell>
          <cell r="D1369" t="str">
            <v>reg_gdp</v>
          </cell>
          <cell r="E1369" t="str">
            <v>gdp_for_ind</v>
          </cell>
          <cell r="F1369">
            <v>0.31412571668624878</v>
          </cell>
        </row>
        <row r="1370">
          <cell r="A1370" t="str">
            <v>CRI</v>
          </cell>
          <cell r="B1370" t="str">
            <v>Middle</v>
          </cell>
          <cell r="C1370" t="str">
            <v>2015 - 2023</v>
          </cell>
          <cell r="D1370" t="str">
            <v>reg_gdp</v>
          </cell>
          <cell r="E1370" t="str">
            <v>gdp_for_serv</v>
          </cell>
          <cell r="F1370">
            <v>-0.6524466872215271</v>
          </cell>
        </row>
        <row r="1371">
          <cell r="A1371" t="str">
            <v>CRI</v>
          </cell>
          <cell r="B1371" t="str">
            <v>Middle</v>
          </cell>
          <cell r="C1371" t="str">
            <v>2015 - 2023</v>
          </cell>
          <cell r="D1371" t="str">
            <v>reg_gdp</v>
          </cell>
          <cell r="E1371" t="str">
            <v>gdp_inf_agri</v>
          </cell>
          <cell r="F1371">
            <v>-1.14418089389801</v>
          </cell>
        </row>
        <row r="1372">
          <cell r="A1372" t="str">
            <v>CRI</v>
          </cell>
          <cell r="B1372" t="str">
            <v>Middle</v>
          </cell>
          <cell r="C1372" t="str">
            <v>2015 - 2023</v>
          </cell>
          <cell r="D1372" t="str">
            <v>reg_gdp</v>
          </cell>
          <cell r="E1372" t="str">
            <v>gdp_inf_ind</v>
          </cell>
          <cell r="F1372">
            <v>-0.1747330576181412</v>
          </cell>
        </row>
        <row r="1373">
          <cell r="A1373" t="str">
            <v>CRI</v>
          </cell>
          <cell r="B1373" t="str">
            <v>Middle</v>
          </cell>
          <cell r="C1373" t="str">
            <v>2015 - 2023</v>
          </cell>
          <cell r="D1373" t="str">
            <v>reg_gdp</v>
          </cell>
          <cell r="E1373" t="str">
            <v>gdp_inf_serv</v>
          </cell>
          <cell r="F1373">
            <v>-3.2297182083129878</v>
          </cell>
        </row>
        <row r="1374">
          <cell r="A1374" t="str">
            <v>CRI</v>
          </cell>
          <cell r="B1374" t="str">
            <v>Middle</v>
          </cell>
          <cell r="C1374" t="str">
            <v>2015 - 2023</v>
          </cell>
          <cell r="D1374" t="str">
            <v>reg_gdp</v>
          </cell>
          <cell r="E1374" t="str">
            <v>prod_for_agri</v>
          </cell>
          <cell r="F1374">
            <v>-9.5271840691566467E-3</v>
          </cell>
        </row>
        <row r="1375">
          <cell r="A1375" t="str">
            <v>CRI</v>
          </cell>
          <cell r="B1375" t="str">
            <v>Middle</v>
          </cell>
          <cell r="C1375" t="str">
            <v>2015 - 2023</v>
          </cell>
          <cell r="D1375" t="str">
            <v>reg_gdp</v>
          </cell>
          <cell r="E1375" t="str">
            <v>prod_for_ind</v>
          </cell>
          <cell r="F1375">
            <v>-0.45135557651519781</v>
          </cell>
        </row>
        <row r="1376">
          <cell r="A1376" t="str">
            <v>CRI</v>
          </cell>
          <cell r="B1376" t="str">
            <v>Middle</v>
          </cell>
          <cell r="C1376" t="str">
            <v>2015 - 2023</v>
          </cell>
          <cell r="D1376" t="str">
            <v>reg_gdp</v>
          </cell>
          <cell r="E1376" t="str">
            <v>prod_for_serv</v>
          </cell>
          <cell r="F1376">
            <v>-0.18543881177902219</v>
          </cell>
        </row>
        <row r="1377">
          <cell r="A1377" t="str">
            <v>CRI</v>
          </cell>
          <cell r="B1377" t="str">
            <v>Middle</v>
          </cell>
          <cell r="C1377" t="str">
            <v>2015 - 2023</v>
          </cell>
          <cell r="D1377" t="str">
            <v>reg_gdp</v>
          </cell>
          <cell r="E1377" t="str">
            <v>prod_inf_agri</v>
          </cell>
          <cell r="F1377">
            <v>-2.2151906043291088E-2</v>
          </cell>
        </row>
        <row r="1378">
          <cell r="A1378" t="str">
            <v>CRI</v>
          </cell>
          <cell r="B1378" t="str">
            <v>Middle</v>
          </cell>
          <cell r="C1378" t="str">
            <v>2015 - 2023</v>
          </cell>
          <cell r="D1378" t="str">
            <v>reg_gdp</v>
          </cell>
          <cell r="E1378" t="str">
            <v>prod_inf_ind</v>
          </cell>
          <cell r="F1378">
            <v>-0.94682472944259644</v>
          </cell>
        </row>
        <row r="1379">
          <cell r="A1379" t="str">
            <v>CRI</v>
          </cell>
          <cell r="B1379" t="str">
            <v>Middle</v>
          </cell>
          <cell r="C1379" t="str">
            <v>2015 - 2023</v>
          </cell>
          <cell r="D1379" t="str">
            <v>reg_gdp</v>
          </cell>
          <cell r="E1379" t="str">
            <v>prod_inf_serv</v>
          </cell>
          <cell r="F1379">
            <v>-0.97634178400039673</v>
          </cell>
        </row>
        <row r="1380">
          <cell r="A1380" t="str">
            <v>CRI</v>
          </cell>
          <cell r="B1380" t="str">
            <v>Middle</v>
          </cell>
          <cell r="C1380" t="str">
            <v>2015 - 2023</v>
          </cell>
          <cell r="D1380" t="str">
            <v>reg_iter</v>
          </cell>
          <cell r="E1380" t="str">
            <v>gdp_activity</v>
          </cell>
          <cell r="F1380">
            <v>0.36562147736549377</v>
          </cell>
        </row>
        <row r="1381">
          <cell r="A1381" t="str">
            <v>CRI</v>
          </cell>
          <cell r="B1381" t="str">
            <v>Middle</v>
          </cell>
          <cell r="C1381" t="str">
            <v>2015 - 2023</v>
          </cell>
          <cell r="D1381" t="str">
            <v>reg_iter</v>
          </cell>
          <cell r="E1381" t="str">
            <v>gdp_for_agri</v>
          </cell>
          <cell r="F1381">
            <v>-0.37750765681266779</v>
          </cell>
        </row>
        <row r="1382">
          <cell r="A1382" t="str">
            <v>CRI</v>
          </cell>
          <cell r="B1382" t="str">
            <v>Middle</v>
          </cell>
          <cell r="C1382" t="str">
            <v>2015 - 2023</v>
          </cell>
          <cell r="D1382" t="str">
            <v>reg_iter</v>
          </cell>
          <cell r="E1382" t="str">
            <v>gdp_for_ind</v>
          </cell>
          <cell r="F1382">
            <v>0.66287755966186523</v>
          </cell>
        </row>
        <row r="1383">
          <cell r="A1383" t="str">
            <v>CRI</v>
          </cell>
          <cell r="B1383" t="str">
            <v>Middle</v>
          </cell>
          <cell r="C1383" t="str">
            <v>2015 - 2023</v>
          </cell>
          <cell r="D1383" t="str">
            <v>reg_iter</v>
          </cell>
          <cell r="E1383" t="str">
            <v>gdp_for_serv</v>
          </cell>
          <cell r="F1383">
            <v>1.0688285827636721</v>
          </cell>
        </row>
        <row r="1384">
          <cell r="A1384" t="str">
            <v>CRI</v>
          </cell>
          <cell r="B1384" t="str">
            <v>Middle</v>
          </cell>
          <cell r="C1384" t="str">
            <v>2015 - 2023</v>
          </cell>
          <cell r="D1384" t="str">
            <v>reg_iter</v>
          </cell>
          <cell r="E1384" t="str">
            <v>gdp_inf_agri</v>
          </cell>
          <cell r="F1384">
            <v>-0.1423058211803436</v>
          </cell>
        </row>
        <row r="1385">
          <cell r="A1385" t="str">
            <v>CRI</v>
          </cell>
          <cell r="B1385" t="str">
            <v>Middle</v>
          </cell>
          <cell r="C1385" t="str">
            <v>2015 - 2023</v>
          </cell>
          <cell r="D1385" t="str">
            <v>reg_iter</v>
          </cell>
          <cell r="E1385" t="str">
            <v>gdp_inf_ind</v>
          </cell>
          <cell r="F1385">
            <v>0.19565074145793909</v>
          </cell>
        </row>
        <row r="1386">
          <cell r="A1386" t="str">
            <v>CRI</v>
          </cell>
          <cell r="B1386" t="str">
            <v>Middle</v>
          </cell>
          <cell r="C1386" t="str">
            <v>2015 - 2023</v>
          </cell>
          <cell r="D1386" t="str">
            <v>reg_iter</v>
          </cell>
          <cell r="E1386" t="str">
            <v>gdp_inf_serv</v>
          </cell>
          <cell r="F1386">
            <v>1.0507280826568599</v>
          </cell>
        </row>
        <row r="1387">
          <cell r="A1387" t="str">
            <v>CRI</v>
          </cell>
          <cell r="B1387" t="str">
            <v>Middle</v>
          </cell>
          <cell r="C1387" t="str">
            <v>2015 - 2023</v>
          </cell>
          <cell r="D1387" t="str">
            <v>reg_iter</v>
          </cell>
          <cell r="E1387" t="str">
            <v>prod_for_agri</v>
          </cell>
          <cell r="F1387">
            <v>1.7925841733813289E-2</v>
          </cell>
        </row>
        <row r="1388">
          <cell r="A1388" t="str">
            <v>CRI</v>
          </cell>
          <cell r="B1388" t="str">
            <v>Middle</v>
          </cell>
          <cell r="C1388" t="str">
            <v>2015 - 2023</v>
          </cell>
          <cell r="D1388" t="str">
            <v>reg_iter</v>
          </cell>
          <cell r="E1388" t="str">
            <v>prod_for_ind</v>
          </cell>
          <cell r="F1388">
            <v>0.17750473320484161</v>
          </cell>
        </row>
        <row r="1389">
          <cell r="A1389" t="str">
            <v>CRI</v>
          </cell>
          <cell r="B1389" t="str">
            <v>Middle</v>
          </cell>
          <cell r="C1389" t="str">
            <v>2015 - 2023</v>
          </cell>
          <cell r="D1389" t="str">
            <v>reg_iter</v>
          </cell>
          <cell r="E1389" t="str">
            <v>prod_for_serv</v>
          </cell>
          <cell r="F1389">
            <v>0.30620810389518738</v>
          </cell>
        </row>
        <row r="1390">
          <cell r="A1390" t="str">
            <v>CRI</v>
          </cell>
          <cell r="B1390" t="str">
            <v>Middle</v>
          </cell>
          <cell r="C1390" t="str">
            <v>2015 - 2023</v>
          </cell>
          <cell r="D1390" t="str">
            <v>reg_iter</v>
          </cell>
          <cell r="E1390" t="str">
            <v>prod_inf_agri</v>
          </cell>
          <cell r="F1390">
            <v>0.43234941363334661</v>
          </cell>
        </row>
        <row r="1391">
          <cell r="A1391" t="str">
            <v>CRI</v>
          </cell>
          <cell r="B1391" t="str">
            <v>Middle</v>
          </cell>
          <cell r="C1391" t="str">
            <v>2015 - 2023</v>
          </cell>
          <cell r="D1391" t="str">
            <v>reg_iter</v>
          </cell>
          <cell r="E1391" t="str">
            <v>prod_inf_ind</v>
          </cell>
          <cell r="F1391">
            <v>0.49141126871109009</v>
          </cell>
        </row>
        <row r="1392">
          <cell r="A1392" t="str">
            <v>CRI</v>
          </cell>
          <cell r="B1392" t="str">
            <v>Middle</v>
          </cell>
          <cell r="C1392" t="str">
            <v>2015 - 2023</v>
          </cell>
          <cell r="D1392" t="str">
            <v>reg_iter</v>
          </cell>
          <cell r="E1392" t="str">
            <v>prod_inf_serv</v>
          </cell>
          <cell r="F1392">
            <v>-2.323026180267334</v>
          </cell>
        </row>
        <row r="1393">
          <cell r="A1393" t="str">
            <v>CRI</v>
          </cell>
          <cell r="B1393" t="str">
            <v>Short</v>
          </cell>
          <cell r="C1393" t="str">
            <v>2018 - 2023</v>
          </cell>
          <cell r="D1393" t="str">
            <v>avg</v>
          </cell>
          <cell r="E1393" t="str">
            <v>gdp_activity</v>
          </cell>
          <cell r="F1393">
            <v>0.45512127876281738</v>
          </cell>
        </row>
        <row r="1394">
          <cell r="A1394" t="str">
            <v>CRI</v>
          </cell>
          <cell r="B1394" t="str">
            <v>Short</v>
          </cell>
          <cell r="C1394" t="str">
            <v>2018 - 2023</v>
          </cell>
          <cell r="D1394" t="str">
            <v>avg</v>
          </cell>
          <cell r="E1394" t="str">
            <v>gdp_for_agri</v>
          </cell>
          <cell r="F1394">
            <v>-0.1839064955711365</v>
          </cell>
        </row>
        <row r="1395">
          <cell r="A1395" t="str">
            <v>CRI</v>
          </cell>
          <cell r="B1395" t="str">
            <v>Short</v>
          </cell>
          <cell r="C1395" t="str">
            <v>2018 - 2023</v>
          </cell>
          <cell r="D1395" t="str">
            <v>avg</v>
          </cell>
          <cell r="E1395" t="str">
            <v>gdp_for_ind</v>
          </cell>
          <cell r="F1395">
            <v>-1.335645914077759</v>
          </cell>
        </row>
        <row r="1396">
          <cell r="A1396" t="str">
            <v>CRI</v>
          </cell>
          <cell r="B1396" t="str">
            <v>Short</v>
          </cell>
          <cell r="C1396" t="str">
            <v>2018 - 2023</v>
          </cell>
          <cell r="D1396" t="str">
            <v>avg</v>
          </cell>
          <cell r="E1396" t="str">
            <v>gdp_for_serv</v>
          </cell>
          <cell r="F1396">
            <v>1.2680573463439939</v>
          </cell>
        </row>
        <row r="1397">
          <cell r="A1397" t="str">
            <v>CRI</v>
          </cell>
          <cell r="B1397" t="str">
            <v>Short</v>
          </cell>
          <cell r="C1397" t="str">
            <v>2018 - 2023</v>
          </cell>
          <cell r="D1397" t="str">
            <v>avg</v>
          </cell>
          <cell r="E1397" t="str">
            <v>gdp_inf_agri</v>
          </cell>
          <cell r="F1397">
            <v>12.3842658996582</v>
          </cell>
        </row>
        <row r="1398">
          <cell r="A1398" t="str">
            <v>CRI</v>
          </cell>
          <cell r="B1398" t="str">
            <v>Short</v>
          </cell>
          <cell r="C1398" t="str">
            <v>2018 - 2023</v>
          </cell>
          <cell r="D1398" t="str">
            <v>avg</v>
          </cell>
          <cell r="E1398" t="str">
            <v>gdp_inf_ind</v>
          </cell>
          <cell r="F1398">
            <v>-3.401938915252686</v>
          </cell>
        </row>
        <row r="1399">
          <cell r="A1399" t="str">
            <v>CRI</v>
          </cell>
          <cell r="B1399" t="str">
            <v>Short</v>
          </cell>
          <cell r="C1399" t="str">
            <v>2018 - 2023</v>
          </cell>
          <cell r="D1399" t="str">
            <v>avg</v>
          </cell>
          <cell r="E1399" t="str">
            <v>gdp_inf_serv</v>
          </cell>
          <cell r="F1399">
            <v>1.4470784664154051</v>
          </cell>
        </row>
        <row r="1400">
          <cell r="A1400" t="str">
            <v>CRI</v>
          </cell>
          <cell r="B1400" t="str">
            <v>Short</v>
          </cell>
          <cell r="C1400" t="str">
            <v>2018 - 2023</v>
          </cell>
          <cell r="D1400" t="str">
            <v>avg</v>
          </cell>
          <cell r="E1400" t="str">
            <v>prod_for_agri</v>
          </cell>
          <cell r="F1400">
            <v>-0.12328948080539701</v>
          </cell>
        </row>
        <row r="1401">
          <cell r="A1401" t="str">
            <v>CRI</v>
          </cell>
          <cell r="B1401" t="str">
            <v>Short</v>
          </cell>
          <cell r="C1401" t="str">
            <v>2018 - 2023</v>
          </cell>
          <cell r="D1401" t="str">
            <v>avg</v>
          </cell>
          <cell r="E1401" t="str">
            <v>prod_for_ind</v>
          </cell>
          <cell r="F1401">
            <v>2.4590659141540532</v>
          </cell>
        </row>
        <row r="1402">
          <cell r="A1402" t="str">
            <v>CRI</v>
          </cell>
          <cell r="B1402" t="str">
            <v>Short</v>
          </cell>
          <cell r="C1402" t="str">
            <v>2018 - 2023</v>
          </cell>
          <cell r="D1402" t="str">
            <v>avg</v>
          </cell>
          <cell r="E1402" t="str">
            <v>prod_for_serv</v>
          </cell>
          <cell r="F1402">
            <v>1.7173266410827639</v>
          </cell>
        </row>
        <row r="1403">
          <cell r="A1403" t="str">
            <v>CRI</v>
          </cell>
          <cell r="B1403" t="str">
            <v>Short</v>
          </cell>
          <cell r="C1403" t="str">
            <v>2018 - 2023</v>
          </cell>
          <cell r="D1403" t="str">
            <v>avg</v>
          </cell>
          <cell r="E1403" t="str">
            <v>prod_inf_agri</v>
          </cell>
          <cell r="F1403">
            <v>7.0795893669128418</v>
          </cell>
        </row>
        <row r="1404">
          <cell r="A1404" t="str">
            <v>CRI</v>
          </cell>
          <cell r="B1404" t="str">
            <v>Short</v>
          </cell>
          <cell r="C1404" t="str">
            <v>2018 - 2023</v>
          </cell>
          <cell r="D1404" t="str">
            <v>avg</v>
          </cell>
          <cell r="E1404" t="str">
            <v>prod_inf_ind</v>
          </cell>
          <cell r="F1404">
            <v>2.414204597473145</v>
          </cell>
        </row>
        <row r="1405">
          <cell r="A1405" t="str">
            <v>CRI</v>
          </cell>
          <cell r="B1405" t="str">
            <v>Short</v>
          </cell>
          <cell r="C1405" t="str">
            <v>2018 - 2023</v>
          </cell>
          <cell r="D1405" t="str">
            <v>avg</v>
          </cell>
          <cell r="E1405" t="str">
            <v>prod_inf_serv</v>
          </cell>
          <cell r="F1405">
            <v>1.818859457969666</v>
          </cell>
        </row>
        <row r="1406">
          <cell r="A1406" t="str">
            <v>CRI</v>
          </cell>
          <cell r="B1406" t="str">
            <v>Short</v>
          </cell>
          <cell r="C1406" t="str">
            <v>2018 - 2023</v>
          </cell>
          <cell r="D1406" t="str">
            <v>avg_1_99</v>
          </cell>
          <cell r="E1406" t="str">
            <v>gdp_activity</v>
          </cell>
          <cell r="F1406">
            <v>0.28783071041107178</v>
          </cell>
        </row>
        <row r="1407">
          <cell r="A1407" t="str">
            <v>CRI</v>
          </cell>
          <cell r="B1407" t="str">
            <v>Short</v>
          </cell>
          <cell r="C1407" t="str">
            <v>2018 - 2023</v>
          </cell>
          <cell r="D1407" t="str">
            <v>avg_1_99</v>
          </cell>
          <cell r="E1407" t="str">
            <v>gdp_for_agri</v>
          </cell>
          <cell r="F1407">
            <v>-0.1839064955711365</v>
          </cell>
        </row>
        <row r="1408">
          <cell r="A1408" t="str">
            <v>CRI</v>
          </cell>
          <cell r="B1408" t="str">
            <v>Short</v>
          </cell>
          <cell r="C1408" t="str">
            <v>2018 - 2023</v>
          </cell>
          <cell r="D1408" t="str">
            <v>avg_1_99</v>
          </cell>
          <cell r="E1408" t="str">
            <v>gdp_for_ind</v>
          </cell>
          <cell r="F1408">
            <v>0.20708379149436951</v>
          </cell>
        </row>
        <row r="1409">
          <cell r="A1409" t="str">
            <v>CRI</v>
          </cell>
          <cell r="B1409" t="str">
            <v>Short</v>
          </cell>
          <cell r="C1409" t="str">
            <v>2018 - 2023</v>
          </cell>
          <cell r="D1409" t="str">
            <v>avg_1_99</v>
          </cell>
          <cell r="E1409" t="str">
            <v>gdp_for_serv</v>
          </cell>
          <cell r="F1409">
            <v>1.2680573463439939</v>
          </cell>
        </row>
        <row r="1410">
          <cell r="A1410" t="str">
            <v>CRI</v>
          </cell>
          <cell r="B1410" t="str">
            <v>Short</v>
          </cell>
          <cell r="C1410" t="str">
            <v>2018 - 2023</v>
          </cell>
          <cell r="D1410" t="str">
            <v>avg_1_99</v>
          </cell>
          <cell r="E1410" t="str">
            <v>gdp_inf_agri</v>
          </cell>
          <cell r="F1410">
            <v>-1.6170917749404909</v>
          </cell>
        </row>
        <row r="1411">
          <cell r="A1411" t="str">
            <v>CRI</v>
          </cell>
          <cell r="B1411" t="str">
            <v>Short</v>
          </cell>
          <cell r="C1411" t="str">
            <v>2018 - 2023</v>
          </cell>
          <cell r="D1411" t="str">
            <v>avg_1_99</v>
          </cell>
          <cell r="E1411" t="str">
            <v>gdp_inf_ind</v>
          </cell>
          <cell r="F1411">
            <v>-1.931748747825623</v>
          </cell>
        </row>
        <row r="1412">
          <cell r="A1412" t="str">
            <v>CRI</v>
          </cell>
          <cell r="B1412" t="str">
            <v>Short</v>
          </cell>
          <cell r="C1412" t="str">
            <v>2018 - 2023</v>
          </cell>
          <cell r="D1412" t="str">
            <v>avg_1_99</v>
          </cell>
          <cell r="E1412" t="str">
            <v>gdp_inf_serv</v>
          </cell>
          <cell r="F1412">
            <v>1.067175507545471</v>
          </cell>
        </row>
        <row r="1413">
          <cell r="A1413" t="str">
            <v>CRI</v>
          </cell>
          <cell r="B1413" t="str">
            <v>Short</v>
          </cell>
          <cell r="C1413" t="str">
            <v>2018 - 2023</v>
          </cell>
          <cell r="D1413" t="str">
            <v>avg_1_99</v>
          </cell>
          <cell r="E1413" t="str">
            <v>prod_for_agri</v>
          </cell>
          <cell r="F1413">
            <v>-0.12328948080539701</v>
          </cell>
        </row>
        <row r="1414">
          <cell r="A1414" t="str">
            <v>CRI</v>
          </cell>
          <cell r="B1414" t="str">
            <v>Short</v>
          </cell>
          <cell r="C1414" t="str">
            <v>2018 - 2023</v>
          </cell>
          <cell r="D1414" t="str">
            <v>avg_1_99</v>
          </cell>
          <cell r="E1414" t="str">
            <v>prod_for_ind</v>
          </cell>
          <cell r="F1414">
            <v>1.4967973232269289</v>
          </cell>
        </row>
        <row r="1415">
          <cell r="A1415" t="str">
            <v>CRI</v>
          </cell>
          <cell r="B1415" t="str">
            <v>Short</v>
          </cell>
          <cell r="C1415" t="str">
            <v>2018 - 2023</v>
          </cell>
          <cell r="D1415" t="str">
            <v>avg_1_99</v>
          </cell>
          <cell r="E1415" t="str">
            <v>prod_for_serv</v>
          </cell>
          <cell r="F1415">
            <v>-0.72930216789245605</v>
          </cell>
        </row>
        <row r="1416">
          <cell r="A1416" t="str">
            <v>CRI</v>
          </cell>
          <cell r="B1416" t="str">
            <v>Short</v>
          </cell>
          <cell r="C1416" t="str">
            <v>2018 - 2023</v>
          </cell>
          <cell r="D1416" t="str">
            <v>avg_1_99</v>
          </cell>
          <cell r="E1416" t="str">
            <v>prod_inf_agri</v>
          </cell>
          <cell r="F1416">
            <v>7.0795893669128418</v>
          </cell>
        </row>
        <row r="1417">
          <cell r="A1417" t="str">
            <v>CRI</v>
          </cell>
          <cell r="B1417" t="str">
            <v>Short</v>
          </cell>
          <cell r="C1417" t="str">
            <v>2018 - 2023</v>
          </cell>
          <cell r="D1417" t="str">
            <v>avg_1_99</v>
          </cell>
          <cell r="E1417" t="str">
            <v>prod_inf_ind</v>
          </cell>
          <cell r="F1417">
            <v>0.33987069129943848</v>
          </cell>
        </row>
        <row r="1418">
          <cell r="A1418" t="str">
            <v>CRI</v>
          </cell>
          <cell r="B1418" t="str">
            <v>Short</v>
          </cell>
          <cell r="C1418" t="str">
            <v>2018 - 2023</v>
          </cell>
          <cell r="D1418" t="str">
            <v>avg_1_99</v>
          </cell>
          <cell r="E1418" t="str">
            <v>prod_inf_serv</v>
          </cell>
          <cell r="F1418">
            <v>0.88660186529159546</v>
          </cell>
        </row>
        <row r="1419">
          <cell r="A1419" t="str">
            <v>CRI</v>
          </cell>
          <cell r="B1419" t="str">
            <v>Short</v>
          </cell>
          <cell r="C1419" t="str">
            <v>2018 - 2023</v>
          </cell>
          <cell r="D1419" t="str">
            <v>avg_1_99_imp</v>
          </cell>
          <cell r="E1419" t="str">
            <v>gdp_activity</v>
          </cell>
          <cell r="F1419">
            <v>0.28662416338920588</v>
          </cell>
        </row>
        <row r="1420">
          <cell r="A1420" t="str">
            <v>CRI</v>
          </cell>
          <cell r="B1420" t="str">
            <v>Short</v>
          </cell>
          <cell r="C1420" t="str">
            <v>2018 - 2023</v>
          </cell>
          <cell r="D1420" t="str">
            <v>avg_1_99_imp</v>
          </cell>
          <cell r="E1420" t="str">
            <v>gdp_for_agri</v>
          </cell>
          <cell r="F1420">
            <v>-0.1839064955711365</v>
          </cell>
        </row>
        <row r="1421">
          <cell r="A1421" t="str">
            <v>CRI</v>
          </cell>
          <cell r="B1421" t="str">
            <v>Short</v>
          </cell>
          <cell r="C1421" t="str">
            <v>2018 - 2023</v>
          </cell>
          <cell r="D1421" t="str">
            <v>avg_1_99_imp</v>
          </cell>
          <cell r="E1421" t="str">
            <v>gdp_for_ind</v>
          </cell>
          <cell r="F1421">
            <v>0.23793821036815641</v>
          </cell>
        </row>
        <row r="1422">
          <cell r="A1422" t="str">
            <v>CRI</v>
          </cell>
          <cell r="B1422" t="str">
            <v>Short</v>
          </cell>
          <cell r="C1422" t="str">
            <v>2018 - 2023</v>
          </cell>
          <cell r="D1422" t="str">
            <v>avg_1_99_imp</v>
          </cell>
          <cell r="E1422" t="str">
            <v>gdp_for_serv</v>
          </cell>
          <cell r="F1422">
            <v>1.2680573463439939</v>
          </cell>
        </row>
        <row r="1423">
          <cell r="A1423" t="str">
            <v>CRI</v>
          </cell>
          <cell r="B1423" t="str">
            <v>Short</v>
          </cell>
          <cell r="C1423" t="str">
            <v>2018 - 2023</v>
          </cell>
          <cell r="D1423" t="str">
            <v>avg_1_99_imp</v>
          </cell>
          <cell r="E1423" t="str">
            <v>gdp_inf_agri</v>
          </cell>
          <cell r="F1423">
            <v>-1.2843806743621831</v>
          </cell>
        </row>
        <row r="1424">
          <cell r="A1424" t="str">
            <v>CRI</v>
          </cell>
          <cell r="B1424" t="str">
            <v>Short</v>
          </cell>
          <cell r="C1424" t="str">
            <v>2018 - 2023</v>
          </cell>
          <cell r="D1424" t="str">
            <v>avg_1_99_imp</v>
          </cell>
          <cell r="E1424" t="str">
            <v>gdp_inf_ind</v>
          </cell>
          <cell r="F1424">
            <v>-1.8297969102859499</v>
          </cell>
        </row>
        <row r="1425">
          <cell r="A1425" t="str">
            <v>CRI</v>
          </cell>
          <cell r="B1425" t="str">
            <v>Short</v>
          </cell>
          <cell r="C1425" t="str">
            <v>2018 - 2023</v>
          </cell>
          <cell r="D1425" t="str">
            <v>avg_1_99_imp</v>
          </cell>
          <cell r="E1425" t="str">
            <v>gdp_inf_serv</v>
          </cell>
          <cell r="F1425">
            <v>0.66013681888580322</v>
          </cell>
        </row>
        <row r="1426">
          <cell r="A1426" t="str">
            <v>CRI</v>
          </cell>
          <cell r="B1426" t="str">
            <v>Short</v>
          </cell>
          <cell r="C1426" t="str">
            <v>2018 - 2023</v>
          </cell>
          <cell r="D1426" t="str">
            <v>avg_1_99_imp</v>
          </cell>
          <cell r="E1426" t="str">
            <v>prod_for_agri</v>
          </cell>
          <cell r="F1426">
            <v>1.4765664935112E-2</v>
          </cell>
        </row>
        <row r="1427">
          <cell r="A1427" t="str">
            <v>CRI</v>
          </cell>
          <cell r="B1427" t="str">
            <v>Short</v>
          </cell>
          <cell r="C1427" t="str">
            <v>2018 - 2023</v>
          </cell>
          <cell r="D1427" t="str">
            <v>avg_1_99_imp</v>
          </cell>
          <cell r="E1427" t="str">
            <v>prod_for_ind</v>
          </cell>
          <cell r="F1427">
            <v>0.83370929956436157</v>
          </cell>
        </row>
        <row r="1428">
          <cell r="A1428" t="str">
            <v>CRI</v>
          </cell>
          <cell r="B1428" t="str">
            <v>Short</v>
          </cell>
          <cell r="C1428" t="str">
            <v>2018 - 2023</v>
          </cell>
          <cell r="D1428" t="str">
            <v>avg_1_99_imp</v>
          </cell>
          <cell r="E1428" t="str">
            <v>prod_for_serv</v>
          </cell>
          <cell r="F1428">
            <v>-0.5142781138420105</v>
          </cell>
        </row>
        <row r="1429">
          <cell r="A1429" t="str">
            <v>CRI</v>
          </cell>
          <cell r="B1429" t="str">
            <v>Short</v>
          </cell>
          <cell r="C1429" t="str">
            <v>2018 - 2023</v>
          </cell>
          <cell r="D1429" t="str">
            <v>avg_1_99_imp</v>
          </cell>
          <cell r="E1429" t="str">
            <v>prod_inf_agri</v>
          </cell>
          <cell r="F1429">
            <v>7.0795893669128418</v>
          </cell>
        </row>
        <row r="1430">
          <cell r="A1430" t="str">
            <v>CRI</v>
          </cell>
          <cell r="B1430" t="str">
            <v>Short</v>
          </cell>
          <cell r="C1430" t="str">
            <v>2018 - 2023</v>
          </cell>
          <cell r="D1430" t="str">
            <v>avg_1_99_imp</v>
          </cell>
          <cell r="E1430" t="str">
            <v>prod_inf_ind</v>
          </cell>
          <cell r="F1430">
            <v>0.31724581122398382</v>
          </cell>
        </row>
        <row r="1431">
          <cell r="A1431" t="str">
            <v>CRI</v>
          </cell>
          <cell r="B1431" t="str">
            <v>Short</v>
          </cell>
          <cell r="C1431" t="str">
            <v>2018 - 2023</v>
          </cell>
          <cell r="D1431" t="str">
            <v>avg_1_99_imp</v>
          </cell>
          <cell r="E1431" t="str">
            <v>prod_inf_serv</v>
          </cell>
          <cell r="F1431">
            <v>0.72129487991333008</v>
          </cell>
        </row>
        <row r="1432">
          <cell r="A1432" t="str">
            <v>CRI</v>
          </cell>
          <cell r="B1432" t="str">
            <v>Short</v>
          </cell>
          <cell r="C1432" t="str">
            <v>2018 - 2023</v>
          </cell>
          <cell r="D1432" t="str">
            <v>reg</v>
          </cell>
          <cell r="E1432" t="str">
            <v>gdp_activity</v>
          </cell>
          <cell r="F1432">
            <v>0.24013300240039831</v>
          </cell>
        </row>
        <row r="1433">
          <cell r="A1433" t="str">
            <v>CRI</v>
          </cell>
          <cell r="B1433" t="str">
            <v>Short</v>
          </cell>
          <cell r="C1433" t="str">
            <v>2018 - 2023</v>
          </cell>
          <cell r="D1433" t="str">
            <v>reg</v>
          </cell>
          <cell r="E1433" t="str">
            <v>gdp_for_agri</v>
          </cell>
          <cell r="F1433">
            <v>-1.0704488754272461</v>
          </cell>
        </row>
        <row r="1434">
          <cell r="A1434" t="str">
            <v>CRI</v>
          </cell>
          <cell r="B1434" t="str">
            <v>Short</v>
          </cell>
          <cell r="C1434" t="str">
            <v>2018 - 2023</v>
          </cell>
          <cell r="D1434" t="str">
            <v>reg</v>
          </cell>
          <cell r="E1434" t="str">
            <v>gdp_for_ind</v>
          </cell>
          <cell r="F1434">
            <v>0.59857749938964844</v>
          </cell>
        </row>
        <row r="1435">
          <cell r="A1435" t="str">
            <v>CRI</v>
          </cell>
          <cell r="B1435" t="str">
            <v>Short</v>
          </cell>
          <cell r="C1435" t="str">
            <v>2018 - 2023</v>
          </cell>
          <cell r="D1435" t="str">
            <v>reg</v>
          </cell>
          <cell r="E1435" t="str">
            <v>gdp_for_serv</v>
          </cell>
          <cell r="F1435">
            <v>1.1903883218765261</v>
          </cell>
        </row>
        <row r="1436">
          <cell r="A1436" t="str">
            <v>CRI</v>
          </cell>
          <cell r="B1436" t="str">
            <v>Short</v>
          </cell>
          <cell r="C1436" t="str">
            <v>2018 - 2023</v>
          </cell>
          <cell r="D1436" t="str">
            <v>reg</v>
          </cell>
          <cell r="E1436" t="str">
            <v>gdp_inf_agri</v>
          </cell>
          <cell r="F1436">
            <v>1.689302325248718</v>
          </cell>
        </row>
        <row r="1437">
          <cell r="A1437" t="str">
            <v>CRI</v>
          </cell>
          <cell r="B1437" t="str">
            <v>Short</v>
          </cell>
          <cell r="C1437" t="str">
            <v>2018 - 2023</v>
          </cell>
          <cell r="D1437" t="str">
            <v>reg</v>
          </cell>
          <cell r="E1437" t="str">
            <v>gdp_inf_ind</v>
          </cell>
          <cell r="F1437">
            <v>-4.3635450303554528E-2</v>
          </cell>
        </row>
        <row r="1438">
          <cell r="A1438" t="str">
            <v>CRI</v>
          </cell>
          <cell r="B1438" t="str">
            <v>Short</v>
          </cell>
          <cell r="C1438" t="str">
            <v>2018 - 2023</v>
          </cell>
          <cell r="D1438" t="str">
            <v>reg</v>
          </cell>
          <cell r="E1438" t="str">
            <v>gdp_inf_serv</v>
          </cell>
          <cell r="F1438">
            <v>0.1088709309697151</v>
          </cell>
        </row>
        <row r="1439">
          <cell r="A1439" t="str">
            <v>CRI</v>
          </cell>
          <cell r="B1439" t="str">
            <v>Short</v>
          </cell>
          <cell r="C1439" t="str">
            <v>2018 - 2023</v>
          </cell>
          <cell r="D1439" t="str">
            <v>reg</v>
          </cell>
          <cell r="E1439" t="str">
            <v>prod_for_agri</v>
          </cell>
          <cell r="F1439">
            <v>0.64478862285614014</v>
          </cell>
        </row>
        <row r="1440">
          <cell r="A1440" t="str">
            <v>CRI</v>
          </cell>
          <cell r="B1440" t="str">
            <v>Short</v>
          </cell>
          <cell r="C1440" t="str">
            <v>2018 - 2023</v>
          </cell>
          <cell r="D1440" t="str">
            <v>reg</v>
          </cell>
          <cell r="E1440" t="str">
            <v>prod_for_ind</v>
          </cell>
          <cell r="F1440">
            <v>-0.26037243008613592</v>
          </cell>
        </row>
        <row r="1441">
          <cell r="A1441" t="str">
            <v>CRI</v>
          </cell>
          <cell r="B1441" t="str">
            <v>Short</v>
          </cell>
          <cell r="C1441" t="str">
            <v>2018 - 2023</v>
          </cell>
          <cell r="D1441" t="str">
            <v>reg</v>
          </cell>
          <cell r="E1441" t="str">
            <v>prod_for_serv</v>
          </cell>
          <cell r="F1441">
            <v>-0.29323127865791321</v>
          </cell>
        </row>
        <row r="1442">
          <cell r="A1442" t="str">
            <v>CRI</v>
          </cell>
          <cell r="B1442" t="str">
            <v>Short</v>
          </cell>
          <cell r="C1442" t="str">
            <v>2018 - 2023</v>
          </cell>
          <cell r="D1442" t="str">
            <v>reg</v>
          </cell>
          <cell r="E1442" t="str">
            <v>prod_inf_agri</v>
          </cell>
          <cell r="F1442">
            <v>2.783598661422729</v>
          </cell>
        </row>
        <row r="1443">
          <cell r="A1443" t="str">
            <v>CRI</v>
          </cell>
          <cell r="B1443" t="str">
            <v>Short</v>
          </cell>
          <cell r="C1443" t="str">
            <v>2018 - 2023</v>
          </cell>
          <cell r="D1443" t="str">
            <v>reg</v>
          </cell>
          <cell r="E1443" t="str">
            <v>prod_inf_ind</v>
          </cell>
          <cell r="F1443">
            <v>2.051174454391003E-2</v>
          </cell>
        </row>
        <row r="1444">
          <cell r="A1444" t="str">
            <v>CRI</v>
          </cell>
          <cell r="B1444" t="str">
            <v>Short</v>
          </cell>
          <cell r="C1444" t="str">
            <v>2018 - 2023</v>
          </cell>
          <cell r="D1444" t="str">
            <v>reg</v>
          </cell>
          <cell r="E1444" t="str">
            <v>prod_inf_serv</v>
          </cell>
          <cell r="F1444">
            <v>-0.62520843744277954</v>
          </cell>
        </row>
        <row r="1445">
          <cell r="A1445" t="str">
            <v>CRI</v>
          </cell>
          <cell r="B1445" t="str">
            <v>Short</v>
          </cell>
          <cell r="C1445" t="str">
            <v>2018 - 2023</v>
          </cell>
          <cell r="D1445" t="str">
            <v>reg_gdp</v>
          </cell>
          <cell r="E1445" t="str">
            <v>gdp_activity</v>
          </cell>
          <cell r="F1445">
            <v>0.24013300240039831</v>
          </cell>
        </row>
        <row r="1446">
          <cell r="A1446" t="str">
            <v>CRI</v>
          </cell>
          <cell r="B1446" t="str">
            <v>Short</v>
          </cell>
          <cell r="C1446" t="str">
            <v>2018 - 2023</v>
          </cell>
          <cell r="D1446" t="str">
            <v>reg_gdp</v>
          </cell>
          <cell r="E1446" t="str">
            <v>gdp_for_agri</v>
          </cell>
          <cell r="F1446">
            <v>-1.0703978538513179</v>
          </cell>
        </row>
        <row r="1447">
          <cell r="A1447" t="str">
            <v>CRI</v>
          </cell>
          <cell r="B1447" t="str">
            <v>Short</v>
          </cell>
          <cell r="C1447" t="str">
            <v>2018 - 2023</v>
          </cell>
          <cell r="D1447" t="str">
            <v>reg_gdp</v>
          </cell>
          <cell r="E1447" t="str">
            <v>gdp_for_ind</v>
          </cell>
          <cell r="F1447">
            <v>-0.4784298837184906</v>
          </cell>
        </row>
        <row r="1448">
          <cell r="A1448" t="str">
            <v>CRI</v>
          </cell>
          <cell r="B1448" t="str">
            <v>Short</v>
          </cell>
          <cell r="C1448" t="str">
            <v>2018 - 2023</v>
          </cell>
          <cell r="D1448" t="str">
            <v>reg_gdp</v>
          </cell>
          <cell r="E1448" t="str">
            <v>gdp_for_serv</v>
          </cell>
          <cell r="F1448">
            <v>2.494701623916626</v>
          </cell>
        </row>
        <row r="1449">
          <cell r="A1449" t="str">
            <v>CRI</v>
          </cell>
          <cell r="B1449" t="str">
            <v>Short</v>
          </cell>
          <cell r="C1449" t="str">
            <v>2018 - 2023</v>
          </cell>
          <cell r="D1449" t="str">
            <v>reg_gdp</v>
          </cell>
          <cell r="E1449" t="str">
            <v>gdp_inf_agri</v>
          </cell>
          <cell r="F1449">
            <v>1.6892833709716799</v>
          </cell>
        </row>
        <row r="1450">
          <cell r="A1450" t="str">
            <v>CRI</v>
          </cell>
          <cell r="B1450" t="str">
            <v>Short</v>
          </cell>
          <cell r="C1450" t="str">
            <v>2018 - 2023</v>
          </cell>
          <cell r="D1450" t="str">
            <v>reg_gdp</v>
          </cell>
          <cell r="E1450" t="str">
            <v>gdp_inf_ind</v>
          </cell>
          <cell r="F1450">
            <v>-0.64371126890182495</v>
          </cell>
        </row>
        <row r="1451">
          <cell r="A1451" t="str">
            <v>CRI</v>
          </cell>
          <cell r="B1451" t="str">
            <v>Short</v>
          </cell>
          <cell r="C1451" t="str">
            <v>2018 - 2023</v>
          </cell>
          <cell r="D1451" t="str">
            <v>reg_gdp</v>
          </cell>
          <cell r="E1451" t="str">
            <v>gdp_inf_serv</v>
          </cell>
          <cell r="F1451">
            <v>1.6058251857757571</v>
          </cell>
        </row>
        <row r="1452">
          <cell r="A1452" t="str">
            <v>CRI</v>
          </cell>
          <cell r="B1452" t="str">
            <v>Short</v>
          </cell>
          <cell r="C1452" t="str">
            <v>2018 - 2023</v>
          </cell>
          <cell r="D1452" t="str">
            <v>reg_gdp</v>
          </cell>
          <cell r="E1452" t="str">
            <v>prod_for_agri</v>
          </cell>
          <cell r="F1452">
            <v>0.89521598815917969</v>
          </cell>
        </row>
        <row r="1453">
          <cell r="A1453" t="str">
            <v>CRI</v>
          </cell>
          <cell r="B1453" t="str">
            <v>Short</v>
          </cell>
          <cell r="C1453" t="str">
            <v>2018 - 2023</v>
          </cell>
          <cell r="D1453" t="str">
            <v>reg_gdp</v>
          </cell>
          <cell r="E1453" t="str">
            <v>prod_for_ind</v>
          </cell>
          <cell r="F1453">
            <v>-0.35592103004455572</v>
          </cell>
        </row>
        <row r="1454">
          <cell r="A1454" t="str">
            <v>CRI</v>
          </cell>
          <cell r="B1454" t="str">
            <v>Short</v>
          </cell>
          <cell r="C1454" t="str">
            <v>2018 - 2023</v>
          </cell>
          <cell r="D1454" t="str">
            <v>reg_gdp</v>
          </cell>
          <cell r="E1454" t="str">
            <v>prod_for_serv</v>
          </cell>
          <cell r="F1454">
            <v>-0.28244471549987787</v>
          </cell>
        </row>
        <row r="1455">
          <cell r="A1455" t="str">
            <v>CRI</v>
          </cell>
          <cell r="B1455" t="str">
            <v>Short</v>
          </cell>
          <cell r="C1455" t="str">
            <v>2018 - 2023</v>
          </cell>
          <cell r="D1455" t="str">
            <v>reg_gdp</v>
          </cell>
          <cell r="E1455" t="str">
            <v>prod_inf_agri</v>
          </cell>
          <cell r="F1455">
            <v>1.5704259872436519</v>
          </cell>
        </row>
        <row r="1456">
          <cell r="A1456" t="str">
            <v>CRI</v>
          </cell>
          <cell r="B1456" t="str">
            <v>Short</v>
          </cell>
          <cell r="C1456" t="str">
            <v>2018 - 2023</v>
          </cell>
          <cell r="D1456" t="str">
            <v>reg_gdp</v>
          </cell>
          <cell r="E1456" t="str">
            <v>prod_inf_ind</v>
          </cell>
          <cell r="F1456">
            <v>-0.8695838451385498</v>
          </cell>
        </row>
        <row r="1457">
          <cell r="A1457" t="str">
            <v>CRI</v>
          </cell>
          <cell r="B1457" t="str">
            <v>Short</v>
          </cell>
          <cell r="C1457" t="str">
            <v>2018 - 2023</v>
          </cell>
          <cell r="D1457" t="str">
            <v>reg_gdp</v>
          </cell>
          <cell r="E1457" t="str">
            <v>prod_inf_serv</v>
          </cell>
          <cell r="F1457">
            <v>-0.72609627246856689</v>
          </cell>
        </row>
        <row r="1458">
          <cell r="A1458" t="str">
            <v>CRI</v>
          </cell>
          <cell r="B1458" t="str">
            <v>Short</v>
          </cell>
          <cell r="C1458" t="str">
            <v>2018 - 2023</v>
          </cell>
          <cell r="D1458" t="str">
            <v>reg_iter</v>
          </cell>
          <cell r="E1458" t="str">
            <v>gdp_activity</v>
          </cell>
          <cell r="F1458">
            <v>0.40116453170776373</v>
          </cell>
        </row>
        <row r="1459">
          <cell r="A1459" t="str">
            <v>CRI</v>
          </cell>
          <cell r="B1459" t="str">
            <v>Short</v>
          </cell>
          <cell r="C1459" t="str">
            <v>2018 - 2023</v>
          </cell>
          <cell r="D1459" t="str">
            <v>reg_iter</v>
          </cell>
          <cell r="E1459" t="str">
            <v>gdp_for_agri</v>
          </cell>
          <cell r="F1459">
            <v>-1.4312019348144529</v>
          </cell>
        </row>
        <row r="1460">
          <cell r="A1460" t="str">
            <v>CRI</v>
          </cell>
          <cell r="B1460" t="str">
            <v>Short</v>
          </cell>
          <cell r="C1460" t="str">
            <v>2018 - 2023</v>
          </cell>
          <cell r="D1460" t="str">
            <v>reg_iter</v>
          </cell>
          <cell r="E1460" t="str">
            <v>gdp_for_ind</v>
          </cell>
          <cell r="F1460">
            <v>0.69117844104766846</v>
          </cell>
        </row>
        <row r="1461">
          <cell r="A1461" t="str">
            <v>CRI</v>
          </cell>
          <cell r="B1461" t="str">
            <v>Short</v>
          </cell>
          <cell r="C1461" t="str">
            <v>2018 - 2023</v>
          </cell>
          <cell r="D1461" t="str">
            <v>reg_iter</v>
          </cell>
          <cell r="E1461" t="str">
            <v>gdp_for_serv</v>
          </cell>
          <cell r="F1461">
            <v>1.459850072860718</v>
          </cell>
        </row>
        <row r="1462">
          <cell r="A1462" t="str">
            <v>CRI</v>
          </cell>
          <cell r="B1462" t="str">
            <v>Short</v>
          </cell>
          <cell r="C1462" t="str">
            <v>2018 - 2023</v>
          </cell>
          <cell r="D1462" t="str">
            <v>reg_iter</v>
          </cell>
          <cell r="E1462" t="str">
            <v>gdp_inf_agri</v>
          </cell>
          <cell r="F1462">
            <v>0.88425439596176147</v>
          </cell>
        </row>
        <row r="1463">
          <cell r="A1463" t="str">
            <v>CRI</v>
          </cell>
          <cell r="B1463" t="str">
            <v>Short</v>
          </cell>
          <cell r="C1463" t="str">
            <v>2018 - 2023</v>
          </cell>
          <cell r="D1463" t="str">
            <v>reg_iter</v>
          </cell>
          <cell r="E1463" t="str">
            <v>gdp_inf_ind</v>
          </cell>
          <cell r="F1463">
            <v>0.1922142505645752</v>
          </cell>
        </row>
        <row r="1464">
          <cell r="A1464" t="str">
            <v>CRI</v>
          </cell>
          <cell r="B1464" t="str">
            <v>Short</v>
          </cell>
          <cell r="C1464" t="str">
            <v>2018 - 2023</v>
          </cell>
          <cell r="D1464" t="str">
            <v>reg_iter</v>
          </cell>
          <cell r="E1464" t="str">
            <v>gdp_inf_serv</v>
          </cell>
          <cell r="F1464">
            <v>1.4506431818008421</v>
          </cell>
        </row>
        <row r="1465">
          <cell r="A1465" t="str">
            <v>CRI</v>
          </cell>
          <cell r="B1465" t="str">
            <v>Short</v>
          </cell>
          <cell r="C1465" t="str">
            <v>2018 - 2023</v>
          </cell>
          <cell r="D1465" t="str">
            <v>reg_iter</v>
          </cell>
          <cell r="E1465" t="str">
            <v>prod_for_agri</v>
          </cell>
          <cell r="F1465">
            <v>0.89998698234558105</v>
          </cell>
        </row>
        <row r="1466">
          <cell r="A1466" t="str">
            <v>CRI</v>
          </cell>
          <cell r="B1466" t="str">
            <v>Short</v>
          </cell>
          <cell r="C1466" t="str">
            <v>2018 - 2023</v>
          </cell>
          <cell r="D1466" t="str">
            <v>reg_iter</v>
          </cell>
          <cell r="E1466" t="str">
            <v>prod_for_ind</v>
          </cell>
          <cell r="F1466">
            <v>0.17392721772193909</v>
          </cell>
        </row>
        <row r="1467">
          <cell r="A1467" t="str">
            <v>CRI</v>
          </cell>
          <cell r="B1467" t="str">
            <v>Short</v>
          </cell>
          <cell r="C1467" t="str">
            <v>2018 - 2023</v>
          </cell>
          <cell r="D1467" t="str">
            <v>reg_iter</v>
          </cell>
          <cell r="E1467" t="str">
            <v>prod_for_serv</v>
          </cell>
          <cell r="F1467">
            <v>0.20843352377414701</v>
          </cell>
        </row>
        <row r="1468">
          <cell r="A1468" t="str">
            <v>CRI</v>
          </cell>
          <cell r="B1468" t="str">
            <v>Short</v>
          </cell>
          <cell r="C1468" t="str">
            <v>2018 - 2023</v>
          </cell>
          <cell r="D1468" t="str">
            <v>reg_iter</v>
          </cell>
          <cell r="E1468" t="str">
            <v>prod_inf_agri</v>
          </cell>
          <cell r="F1468">
            <v>2.8663203716278081</v>
          </cell>
        </row>
        <row r="1469">
          <cell r="A1469" t="str">
            <v>CRI</v>
          </cell>
          <cell r="B1469" t="str">
            <v>Short</v>
          </cell>
          <cell r="C1469" t="str">
            <v>2018 - 2023</v>
          </cell>
          <cell r="D1469" t="str">
            <v>reg_iter</v>
          </cell>
          <cell r="E1469" t="str">
            <v>prod_inf_ind</v>
          </cell>
          <cell r="F1469">
            <v>0.40023386478424072</v>
          </cell>
        </row>
        <row r="1470">
          <cell r="A1470" t="str">
            <v>CRI</v>
          </cell>
          <cell r="B1470" t="str">
            <v>Short</v>
          </cell>
          <cell r="C1470" t="str">
            <v>2018 - 2023</v>
          </cell>
          <cell r="D1470" t="str">
            <v>reg_iter</v>
          </cell>
          <cell r="E1470" t="str">
            <v>prod_inf_serv</v>
          </cell>
          <cell r="F1470">
            <v>-3.0160460472106929</v>
          </cell>
        </row>
        <row r="1471">
          <cell r="A1471" t="str">
            <v>DOM</v>
          </cell>
          <cell r="B1471" t="str">
            <v>Long</v>
          </cell>
          <cell r="C1471" t="str">
            <v>2006 - 2023</v>
          </cell>
          <cell r="D1471" t="str">
            <v>avg</v>
          </cell>
          <cell r="E1471" t="str">
            <v>gdp_activity</v>
          </cell>
          <cell r="F1471">
            <v>0.58414292335510254</v>
          </cell>
        </row>
        <row r="1472">
          <cell r="A1472" t="str">
            <v>DOM</v>
          </cell>
          <cell r="B1472" t="str">
            <v>Long</v>
          </cell>
          <cell r="C1472" t="str">
            <v>2006 - 2023</v>
          </cell>
          <cell r="D1472" t="str">
            <v>avg</v>
          </cell>
          <cell r="E1472" t="str">
            <v>gdp_for_agri</v>
          </cell>
          <cell r="F1472">
            <v>0.4388614296913147</v>
          </cell>
        </row>
        <row r="1473">
          <cell r="A1473" t="str">
            <v>DOM</v>
          </cell>
          <cell r="B1473" t="str">
            <v>Long</v>
          </cell>
          <cell r="C1473" t="str">
            <v>2006 - 2023</v>
          </cell>
          <cell r="D1473" t="str">
            <v>avg</v>
          </cell>
          <cell r="E1473" t="str">
            <v>gdp_for_ind</v>
          </cell>
          <cell r="F1473">
            <v>-3.9762167930603032</v>
          </cell>
        </row>
        <row r="1474">
          <cell r="A1474" t="str">
            <v>DOM</v>
          </cell>
          <cell r="B1474" t="str">
            <v>Long</v>
          </cell>
          <cell r="C1474" t="str">
            <v>2006 - 2023</v>
          </cell>
          <cell r="D1474" t="str">
            <v>avg</v>
          </cell>
          <cell r="E1474" t="str">
            <v>gdp_for_serv</v>
          </cell>
          <cell r="F1474">
            <v>1.3440842628478999</v>
          </cell>
        </row>
        <row r="1475">
          <cell r="A1475" t="str">
            <v>DOM</v>
          </cell>
          <cell r="B1475" t="str">
            <v>Long</v>
          </cell>
          <cell r="C1475" t="str">
            <v>2006 - 2023</v>
          </cell>
          <cell r="D1475" t="str">
            <v>avg</v>
          </cell>
          <cell r="E1475" t="str">
            <v>gdp_inf_agri</v>
          </cell>
          <cell r="F1475">
            <v>7.9779343605041504</v>
          </cell>
        </row>
        <row r="1476">
          <cell r="A1476" t="str">
            <v>DOM</v>
          </cell>
          <cell r="B1476" t="str">
            <v>Long</v>
          </cell>
          <cell r="C1476" t="str">
            <v>2006 - 2023</v>
          </cell>
          <cell r="D1476" t="str">
            <v>avg</v>
          </cell>
          <cell r="E1476" t="str">
            <v>gdp_inf_ind</v>
          </cell>
          <cell r="F1476">
            <v>7.3737916946411133</v>
          </cell>
        </row>
        <row r="1477">
          <cell r="A1477" t="str">
            <v>DOM</v>
          </cell>
          <cell r="B1477" t="str">
            <v>Long</v>
          </cell>
          <cell r="C1477" t="str">
            <v>2006 - 2023</v>
          </cell>
          <cell r="D1477" t="str">
            <v>avg</v>
          </cell>
          <cell r="E1477" t="str">
            <v>gdp_inf_serv</v>
          </cell>
          <cell r="F1477">
            <v>4.9075922966003418</v>
          </cell>
        </row>
        <row r="1478">
          <cell r="A1478" t="str">
            <v>DOM</v>
          </cell>
          <cell r="B1478" t="str">
            <v>Long</v>
          </cell>
          <cell r="C1478" t="str">
            <v>2006 - 2023</v>
          </cell>
          <cell r="D1478" t="str">
            <v>avg</v>
          </cell>
          <cell r="E1478" t="str">
            <v>prod_for_agri</v>
          </cell>
          <cell r="F1478">
            <v>1.3122469186782839</v>
          </cell>
        </row>
        <row r="1479">
          <cell r="A1479" t="str">
            <v>DOM</v>
          </cell>
          <cell r="B1479" t="str">
            <v>Long</v>
          </cell>
          <cell r="C1479" t="str">
            <v>2006 - 2023</v>
          </cell>
          <cell r="D1479" t="str">
            <v>avg</v>
          </cell>
          <cell r="E1479" t="str">
            <v>prod_for_ind</v>
          </cell>
          <cell r="F1479">
            <v>-0.39729255437850952</v>
          </cell>
        </row>
        <row r="1480">
          <cell r="A1480" t="str">
            <v>DOM</v>
          </cell>
          <cell r="B1480" t="str">
            <v>Long</v>
          </cell>
          <cell r="C1480" t="str">
            <v>2006 - 2023</v>
          </cell>
          <cell r="D1480" t="str">
            <v>avg</v>
          </cell>
          <cell r="E1480" t="str">
            <v>prod_for_serv</v>
          </cell>
          <cell r="F1480">
            <v>2.50206470489502</v>
          </cell>
        </row>
        <row r="1481">
          <cell r="A1481" t="str">
            <v>DOM</v>
          </cell>
          <cell r="B1481" t="str">
            <v>Long</v>
          </cell>
          <cell r="C1481" t="str">
            <v>2006 - 2023</v>
          </cell>
          <cell r="D1481" t="str">
            <v>avg</v>
          </cell>
          <cell r="E1481" t="str">
            <v>prod_inf_agri</v>
          </cell>
          <cell r="F1481">
            <v>0.27501323819160461</v>
          </cell>
        </row>
        <row r="1482">
          <cell r="A1482" t="str">
            <v>DOM</v>
          </cell>
          <cell r="B1482" t="str">
            <v>Long</v>
          </cell>
          <cell r="C1482" t="str">
            <v>2006 - 2023</v>
          </cell>
          <cell r="D1482" t="str">
            <v>avg</v>
          </cell>
          <cell r="E1482" t="str">
            <v>prod_inf_ind</v>
          </cell>
          <cell r="F1482">
            <v>0.6282317042350769</v>
          </cell>
        </row>
        <row r="1483">
          <cell r="A1483" t="str">
            <v>DOM</v>
          </cell>
          <cell r="B1483" t="str">
            <v>Long</v>
          </cell>
          <cell r="C1483" t="str">
            <v>2006 - 2023</v>
          </cell>
          <cell r="D1483" t="str">
            <v>avg</v>
          </cell>
          <cell r="E1483" t="str">
            <v>prod_inf_serv</v>
          </cell>
          <cell r="F1483">
            <v>2.58250904083252</v>
          </cell>
        </row>
        <row r="1484">
          <cell r="A1484" t="str">
            <v>DOM</v>
          </cell>
          <cell r="B1484" t="str">
            <v>Long</v>
          </cell>
          <cell r="C1484" t="str">
            <v>2006 - 2023</v>
          </cell>
          <cell r="D1484" t="str">
            <v>avg_1_99</v>
          </cell>
          <cell r="E1484" t="str">
            <v>gdp_activity</v>
          </cell>
          <cell r="F1484">
            <v>0.5408441424369812</v>
          </cell>
        </row>
        <row r="1485">
          <cell r="A1485" t="str">
            <v>DOM</v>
          </cell>
          <cell r="B1485" t="str">
            <v>Long</v>
          </cell>
          <cell r="C1485" t="str">
            <v>2006 - 2023</v>
          </cell>
          <cell r="D1485" t="str">
            <v>avg_1_99</v>
          </cell>
          <cell r="E1485" t="str">
            <v>gdp_for_agri</v>
          </cell>
          <cell r="F1485">
            <v>-1.26166832447052</v>
          </cell>
        </row>
        <row r="1486">
          <cell r="A1486" t="str">
            <v>DOM</v>
          </cell>
          <cell r="B1486" t="str">
            <v>Long</v>
          </cell>
          <cell r="C1486" t="str">
            <v>2006 - 2023</v>
          </cell>
          <cell r="D1486" t="str">
            <v>avg_1_99</v>
          </cell>
          <cell r="E1486" t="str">
            <v>gdp_for_ind</v>
          </cell>
          <cell r="F1486">
            <v>-0.83208274841308594</v>
          </cell>
        </row>
        <row r="1487">
          <cell r="A1487" t="str">
            <v>DOM</v>
          </cell>
          <cell r="B1487" t="str">
            <v>Long</v>
          </cell>
          <cell r="C1487" t="str">
            <v>2006 - 2023</v>
          </cell>
          <cell r="D1487" t="str">
            <v>avg_1_99</v>
          </cell>
          <cell r="E1487" t="str">
            <v>gdp_for_serv</v>
          </cell>
          <cell r="F1487">
            <v>1.441840767860413</v>
          </cell>
        </row>
        <row r="1488">
          <cell r="A1488" t="str">
            <v>DOM</v>
          </cell>
          <cell r="B1488" t="str">
            <v>Long</v>
          </cell>
          <cell r="C1488" t="str">
            <v>2006 - 2023</v>
          </cell>
          <cell r="D1488" t="str">
            <v>avg_1_99</v>
          </cell>
          <cell r="E1488" t="str">
            <v>gdp_inf_agri</v>
          </cell>
          <cell r="F1488">
            <v>0.87403351068496704</v>
          </cell>
        </row>
        <row r="1489">
          <cell r="A1489" t="str">
            <v>DOM</v>
          </cell>
          <cell r="B1489" t="str">
            <v>Long</v>
          </cell>
          <cell r="C1489" t="str">
            <v>2006 - 2023</v>
          </cell>
          <cell r="D1489" t="str">
            <v>avg_1_99</v>
          </cell>
          <cell r="E1489" t="str">
            <v>gdp_inf_ind</v>
          </cell>
          <cell r="F1489">
            <v>-1.7949467897415159</v>
          </cell>
        </row>
        <row r="1490">
          <cell r="A1490" t="str">
            <v>DOM</v>
          </cell>
          <cell r="B1490" t="str">
            <v>Long</v>
          </cell>
          <cell r="C1490" t="str">
            <v>2006 - 2023</v>
          </cell>
          <cell r="D1490" t="str">
            <v>avg_1_99</v>
          </cell>
          <cell r="E1490" t="str">
            <v>gdp_inf_serv</v>
          </cell>
          <cell r="F1490">
            <v>0.58132976293563843</v>
          </cell>
        </row>
        <row r="1491">
          <cell r="A1491" t="str">
            <v>DOM</v>
          </cell>
          <cell r="B1491" t="str">
            <v>Long</v>
          </cell>
          <cell r="C1491" t="str">
            <v>2006 - 2023</v>
          </cell>
          <cell r="D1491" t="str">
            <v>avg_1_99</v>
          </cell>
          <cell r="E1491" t="str">
            <v>prod_for_agri</v>
          </cell>
          <cell r="F1491">
            <v>0.71138405799865723</v>
          </cell>
        </row>
        <row r="1492">
          <cell r="A1492" t="str">
            <v>DOM</v>
          </cell>
          <cell r="B1492" t="str">
            <v>Long</v>
          </cell>
          <cell r="C1492" t="str">
            <v>2006 - 2023</v>
          </cell>
          <cell r="D1492" t="str">
            <v>avg_1_99</v>
          </cell>
          <cell r="E1492" t="str">
            <v>prod_for_ind</v>
          </cell>
          <cell r="F1492">
            <v>-0.25635233521461492</v>
          </cell>
        </row>
        <row r="1493">
          <cell r="A1493" t="str">
            <v>DOM</v>
          </cell>
          <cell r="B1493" t="str">
            <v>Long</v>
          </cell>
          <cell r="C1493" t="str">
            <v>2006 - 2023</v>
          </cell>
          <cell r="D1493" t="str">
            <v>avg_1_99</v>
          </cell>
          <cell r="E1493" t="str">
            <v>prod_for_serv</v>
          </cell>
          <cell r="F1493">
            <v>0.92847371101379395</v>
          </cell>
        </row>
        <row r="1494">
          <cell r="A1494" t="str">
            <v>DOM</v>
          </cell>
          <cell r="B1494" t="str">
            <v>Long</v>
          </cell>
          <cell r="C1494" t="str">
            <v>2006 - 2023</v>
          </cell>
          <cell r="D1494" t="str">
            <v>avg_1_99</v>
          </cell>
          <cell r="E1494" t="str">
            <v>prod_inf_agri</v>
          </cell>
          <cell r="F1494">
            <v>0.24763968586921689</v>
          </cell>
        </row>
        <row r="1495">
          <cell r="A1495" t="str">
            <v>DOM</v>
          </cell>
          <cell r="B1495" t="str">
            <v>Long</v>
          </cell>
          <cell r="C1495" t="str">
            <v>2006 - 2023</v>
          </cell>
          <cell r="D1495" t="str">
            <v>avg_1_99</v>
          </cell>
          <cell r="E1495" t="str">
            <v>prod_inf_ind</v>
          </cell>
          <cell r="F1495">
            <v>0.27185583114624018</v>
          </cell>
        </row>
        <row r="1496">
          <cell r="A1496" t="str">
            <v>DOM</v>
          </cell>
          <cell r="B1496" t="str">
            <v>Long</v>
          </cell>
          <cell r="C1496" t="str">
            <v>2006 - 2023</v>
          </cell>
          <cell r="D1496" t="str">
            <v>avg_1_99</v>
          </cell>
          <cell r="E1496" t="str">
            <v>prod_inf_serv</v>
          </cell>
          <cell r="F1496">
            <v>1.2122403383255</v>
          </cell>
        </row>
        <row r="1497">
          <cell r="A1497" t="str">
            <v>DOM</v>
          </cell>
          <cell r="B1497" t="str">
            <v>Long</v>
          </cell>
          <cell r="C1497" t="str">
            <v>2006 - 2023</v>
          </cell>
          <cell r="D1497" t="str">
            <v>avg_1_99_imp</v>
          </cell>
          <cell r="E1497" t="str">
            <v>gdp_activity</v>
          </cell>
          <cell r="F1497">
            <v>0.53037148714065552</v>
          </cell>
        </row>
        <row r="1498">
          <cell r="A1498" t="str">
            <v>DOM</v>
          </cell>
          <cell r="B1498" t="str">
            <v>Long</v>
          </cell>
          <cell r="C1498" t="str">
            <v>2006 - 2023</v>
          </cell>
          <cell r="D1498" t="str">
            <v>avg_1_99_imp</v>
          </cell>
          <cell r="E1498" t="str">
            <v>gdp_for_agri</v>
          </cell>
          <cell r="F1498">
            <v>-1.203727245330811</v>
          </cell>
        </row>
        <row r="1499">
          <cell r="A1499" t="str">
            <v>DOM</v>
          </cell>
          <cell r="B1499" t="str">
            <v>Long</v>
          </cell>
          <cell r="C1499" t="str">
            <v>2006 - 2023</v>
          </cell>
          <cell r="D1499" t="str">
            <v>avg_1_99_imp</v>
          </cell>
          <cell r="E1499" t="str">
            <v>gdp_for_ind</v>
          </cell>
          <cell r="F1499">
            <v>-0.73773866891860962</v>
          </cell>
        </row>
        <row r="1500">
          <cell r="A1500" t="str">
            <v>DOM</v>
          </cell>
          <cell r="B1500" t="str">
            <v>Long</v>
          </cell>
          <cell r="C1500" t="str">
            <v>2006 - 2023</v>
          </cell>
          <cell r="D1500" t="str">
            <v>avg_1_99_imp</v>
          </cell>
          <cell r="E1500" t="str">
            <v>gdp_for_serv</v>
          </cell>
          <cell r="F1500">
            <v>1.450517058372498</v>
          </cell>
        </row>
        <row r="1501">
          <cell r="A1501" t="str">
            <v>DOM</v>
          </cell>
          <cell r="B1501" t="str">
            <v>Long</v>
          </cell>
          <cell r="C1501" t="str">
            <v>2006 - 2023</v>
          </cell>
          <cell r="D1501" t="str">
            <v>avg_1_99_imp</v>
          </cell>
          <cell r="E1501" t="str">
            <v>gdp_inf_agri</v>
          </cell>
          <cell r="F1501">
            <v>0.75690901279449463</v>
          </cell>
        </row>
        <row r="1502">
          <cell r="A1502" t="str">
            <v>DOM</v>
          </cell>
          <cell r="B1502" t="str">
            <v>Long</v>
          </cell>
          <cell r="C1502" t="str">
            <v>2006 - 2023</v>
          </cell>
          <cell r="D1502" t="str">
            <v>avg_1_99_imp</v>
          </cell>
          <cell r="E1502" t="str">
            <v>gdp_inf_ind</v>
          </cell>
          <cell r="F1502">
            <v>-1.559603214263916</v>
          </cell>
        </row>
        <row r="1503">
          <cell r="A1503" t="str">
            <v>DOM</v>
          </cell>
          <cell r="B1503" t="str">
            <v>Long</v>
          </cell>
          <cell r="C1503" t="str">
            <v>2006 - 2023</v>
          </cell>
          <cell r="D1503" t="str">
            <v>avg_1_99_imp</v>
          </cell>
          <cell r="E1503" t="str">
            <v>gdp_inf_serv</v>
          </cell>
          <cell r="F1503">
            <v>0.569469153881073</v>
          </cell>
        </row>
        <row r="1504">
          <cell r="A1504" t="str">
            <v>DOM</v>
          </cell>
          <cell r="B1504" t="str">
            <v>Long</v>
          </cell>
          <cell r="C1504" t="str">
            <v>2006 - 2023</v>
          </cell>
          <cell r="D1504" t="str">
            <v>avg_1_99_imp</v>
          </cell>
          <cell r="E1504" t="str">
            <v>prod_for_agri</v>
          </cell>
          <cell r="F1504">
            <v>0.35904571413993841</v>
          </cell>
        </row>
        <row r="1505">
          <cell r="A1505" t="str">
            <v>DOM</v>
          </cell>
          <cell r="B1505" t="str">
            <v>Long</v>
          </cell>
          <cell r="C1505" t="str">
            <v>2006 - 2023</v>
          </cell>
          <cell r="D1505" t="str">
            <v>avg_1_99_imp</v>
          </cell>
          <cell r="E1505" t="str">
            <v>prod_for_ind</v>
          </cell>
          <cell r="F1505">
            <v>0.15067581832408911</v>
          </cell>
        </row>
        <row r="1506">
          <cell r="A1506" t="str">
            <v>DOM</v>
          </cell>
          <cell r="B1506" t="str">
            <v>Long</v>
          </cell>
          <cell r="C1506" t="str">
            <v>2006 - 2023</v>
          </cell>
          <cell r="D1506" t="str">
            <v>avg_1_99_imp</v>
          </cell>
          <cell r="E1506" t="str">
            <v>prod_for_serv</v>
          </cell>
          <cell r="F1506">
            <v>-1.3286751508712771</v>
          </cell>
        </row>
        <row r="1507">
          <cell r="A1507" t="str">
            <v>DOM</v>
          </cell>
          <cell r="B1507" t="str">
            <v>Long</v>
          </cell>
          <cell r="C1507" t="str">
            <v>2006 - 2023</v>
          </cell>
          <cell r="D1507" t="str">
            <v>avg_1_99_imp</v>
          </cell>
          <cell r="E1507" t="str">
            <v>prod_inf_agri</v>
          </cell>
          <cell r="F1507">
            <v>0.23933035135269171</v>
          </cell>
        </row>
        <row r="1508">
          <cell r="A1508" t="str">
            <v>DOM</v>
          </cell>
          <cell r="B1508" t="str">
            <v>Long</v>
          </cell>
          <cell r="C1508" t="str">
            <v>2006 - 2023</v>
          </cell>
          <cell r="D1508" t="str">
            <v>avg_1_99_imp</v>
          </cell>
          <cell r="E1508" t="str">
            <v>prod_inf_ind</v>
          </cell>
          <cell r="F1508">
            <v>0.22373144328594211</v>
          </cell>
        </row>
        <row r="1509">
          <cell r="A1509" t="str">
            <v>DOM</v>
          </cell>
          <cell r="B1509" t="str">
            <v>Long</v>
          </cell>
          <cell r="C1509" t="str">
            <v>2006 - 2023</v>
          </cell>
          <cell r="D1509" t="str">
            <v>avg_1_99_imp</v>
          </cell>
          <cell r="E1509" t="str">
            <v>prod_inf_serv</v>
          </cell>
          <cell r="F1509">
            <v>0.95730143785476685</v>
          </cell>
        </row>
        <row r="1510">
          <cell r="A1510" t="str">
            <v>DOM</v>
          </cell>
          <cell r="B1510" t="str">
            <v>Long</v>
          </cell>
          <cell r="C1510" t="str">
            <v>2006 - 2023</v>
          </cell>
          <cell r="D1510" t="str">
            <v>med_reg</v>
          </cell>
          <cell r="E1510" t="str">
            <v>gdp_activity</v>
          </cell>
          <cell r="F1510">
            <v>0.47471943497657781</v>
          </cell>
        </row>
        <row r="1511">
          <cell r="A1511" t="str">
            <v>DOM</v>
          </cell>
          <cell r="B1511" t="str">
            <v>Long</v>
          </cell>
          <cell r="C1511" t="str">
            <v>2006 - 2023</v>
          </cell>
          <cell r="D1511" t="str">
            <v>med_reg</v>
          </cell>
          <cell r="E1511" t="str">
            <v>gdp_for_agri</v>
          </cell>
          <cell r="F1511">
            <v>0.62261098623275757</v>
          </cell>
        </row>
        <row r="1512">
          <cell r="A1512" t="str">
            <v>DOM</v>
          </cell>
          <cell r="B1512" t="str">
            <v>Long</v>
          </cell>
          <cell r="C1512" t="str">
            <v>2006 - 2023</v>
          </cell>
          <cell r="D1512" t="str">
            <v>med_reg</v>
          </cell>
          <cell r="E1512" t="str">
            <v>gdp_for_ind</v>
          </cell>
          <cell r="F1512">
            <v>0.46969136595726008</v>
          </cell>
        </row>
        <row r="1513">
          <cell r="A1513" t="str">
            <v>DOM</v>
          </cell>
          <cell r="B1513" t="str">
            <v>Long</v>
          </cell>
          <cell r="C1513" t="str">
            <v>2006 - 2023</v>
          </cell>
          <cell r="D1513" t="str">
            <v>med_reg</v>
          </cell>
          <cell r="E1513" t="str">
            <v>gdp_for_serv</v>
          </cell>
          <cell r="F1513">
            <v>0.95512199401855469</v>
          </cell>
        </row>
        <row r="1514">
          <cell r="A1514" t="str">
            <v>DOM</v>
          </cell>
          <cell r="B1514" t="str">
            <v>Long</v>
          </cell>
          <cell r="C1514" t="str">
            <v>2006 - 2023</v>
          </cell>
          <cell r="D1514" t="str">
            <v>med_reg</v>
          </cell>
          <cell r="E1514" t="str">
            <v>gdp_inf_agri</v>
          </cell>
          <cell r="F1514">
            <v>4.447533130645752</v>
          </cell>
        </row>
        <row r="1515">
          <cell r="A1515" t="str">
            <v>DOM</v>
          </cell>
          <cell r="B1515" t="str">
            <v>Long</v>
          </cell>
          <cell r="C1515" t="str">
            <v>2006 - 2023</v>
          </cell>
          <cell r="D1515" t="str">
            <v>med_reg</v>
          </cell>
          <cell r="E1515" t="str">
            <v>gdp_inf_ind</v>
          </cell>
          <cell r="F1515">
            <v>3.0477747917175289</v>
          </cell>
        </row>
        <row r="1516">
          <cell r="A1516" t="str">
            <v>DOM</v>
          </cell>
          <cell r="B1516" t="str">
            <v>Long</v>
          </cell>
          <cell r="C1516" t="str">
            <v>2006 - 2023</v>
          </cell>
          <cell r="D1516" t="str">
            <v>med_reg</v>
          </cell>
          <cell r="E1516" t="str">
            <v>gdp_inf_serv</v>
          </cell>
          <cell r="F1516">
            <v>3.2588202953338619</v>
          </cell>
        </row>
        <row r="1517">
          <cell r="A1517" t="str">
            <v>DOM</v>
          </cell>
          <cell r="B1517" t="str">
            <v>Long</v>
          </cell>
          <cell r="C1517" t="str">
            <v>2006 - 2023</v>
          </cell>
          <cell r="D1517" t="str">
            <v>med_reg</v>
          </cell>
          <cell r="E1517" t="str">
            <v>prod_for_agri</v>
          </cell>
          <cell r="F1517">
            <v>1.794618554413319E-2</v>
          </cell>
        </row>
        <row r="1518">
          <cell r="A1518" t="str">
            <v>DOM</v>
          </cell>
          <cell r="B1518" t="str">
            <v>Long</v>
          </cell>
          <cell r="C1518" t="str">
            <v>2006 - 2023</v>
          </cell>
          <cell r="D1518" t="str">
            <v>med_reg</v>
          </cell>
          <cell r="E1518" t="str">
            <v>prod_for_ind</v>
          </cell>
          <cell r="F1518">
            <v>0.23529832065105441</v>
          </cell>
        </row>
        <row r="1519">
          <cell r="A1519" t="str">
            <v>DOM</v>
          </cell>
          <cell r="B1519" t="str">
            <v>Long</v>
          </cell>
          <cell r="C1519" t="str">
            <v>2006 - 2023</v>
          </cell>
          <cell r="D1519" t="str">
            <v>med_reg</v>
          </cell>
          <cell r="E1519" t="str">
            <v>prod_for_serv</v>
          </cell>
          <cell r="F1519">
            <v>-0.17028482258319849</v>
          </cell>
        </row>
        <row r="1520">
          <cell r="A1520" t="str">
            <v>DOM</v>
          </cell>
          <cell r="B1520" t="str">
            <v>Long</v>
          </cell>
          <cell r="C1520" t="str">
            <v>2006 - 2023</v>
          </cell>
          <cell r="D1520" t="str">
            <v>med_reg</v>
          </cell>
          <cell r="E1520" t="str">
            <v>prod_inf_agri</v>
          </cell>
          <cell r="F1520">
            <v>-0.12646430730819699</v>
          </cell>
        </row>
        <row r="1521">
          <cell r="A1521" t="str">
            <v>DOM</v>
          </cell>
          <cell r="B1521" t="str">
            <v>Long</v>
          </cell>
          <cell r="C1521" t="str">
            <v>2006 - 2023</v>
          </cell>
          <cell r="D1521" t="str">
            <v>med_reg</v>
          </cell>
          <cell r="E1521" t="str">
            <v>prod_inf_ind</v>
          </cell>
          <cell r="F1521">
            <v>-0.85235697031021118</v>
          </cell>
        </row>
        <row r="1522">
          <cell r="A1522" t="str">
            <v>DOM</v>
          </cell>
          <cell r="B1522" t="str">
            <v>Long</v>
          </cell>
          <cell r="C1522" t="str">
            <v>2006 - 2023</v>
          </cell>
          <cell r="D1522" t="str">
            <v>med_reg</v>
          </cell>
          <cell r="E1522" t="str">
            <v>prod_inf_serv</v>
          </cell>
          <cell r="F1522">
            <v>-0.71695905923843384</v>
          </cell>
        </row>
        <row r="1523">
          <cell r="A1523" t="str">
            <v>DOM</v>
          </cell>
          <cell r="B1523" t="str">
            <v>Long</v>
          </cell>
          <cell r="C1523" t="str">
            <v>2006 - 2023</v>
          </cell>
          <cell r="D1523" t="str">
            <v>reg</v>
          </cell>
          <cell r="E1523" t="str">
            <v>gdp_activity</v>
          </cell>
          <cell r="F1523">
            <v>0.47188824415206909</v>
          </cell>
        </row>
        <row r="1524">
          <cell r="A1524" t="str">
            <v>DOM</v>
          </cell>
          <cell r="B1524" t="str">
            <v>Long</v>
          </cell>
          <cell r="C1524" t="str">
            <v>2006 - 2023</v>
          </cell>
          <cell r="D1524" t="str">
            <v>reg</v>
          </cell>
          <cell r="E1524" t="str">
            <v>gdp_for_agri</v>
          </cell>
          <cell r="F1524">
            <v>0.54467928409576416</v>
          </cell>
        </row>
        <row r="1525">
          <cell r="A1525" t="str">
            <v>DOM</v>
          </cell>
          <cell r="B1525" t="str">
            <v>Long</v>
          </cell>
          <cell r="C1525" t="str">
            <v>2006 - 2023</v>
          </cell>
          <cell r="D1525" t="str">
            <v>reg</v>
          </cell>
          <cell r="E1525" t="str">
            <v>gdp_for_ind</v>
          </cell>
          <cell r="F1525">
            <v>0.44578045606613159</v>
          </cell>
        </row>
        <row r="1526">
          <cell r="A1526" t="str">
            <v>DOM</v>
          </cell>
          <cell r="B1526" t="str">
            <v>Long</v>
          </cell>
          <cell r="C1526" t="str">
            <v>2006 - 2023</v>
          </cell>
          <cell r="D1526" t="str">
            <v>reg</v>
          </cell>
          <cell r="E1526" t="str">
            <v>gdp_for_serv</v>
          </cell>
          <cell r="F1526">
            <v>0.97554856538772583</v>
          </cell>
        </row>
        <row r="1527">
          <cell r="A1527" t="str">
            <v>DOM</v>
          </cell>
          <cell r="B1527" t="str">
            <v>Long</v>
          </cell>
          <cell r="C1527" t="str">
            <v>2006 - 2023</v>
          </cell>
          <cell r="D1527" t="str">
            <v>reg</v>
          </cell>
          <cell r="E1527" t="str">
            <v>gdp_inf_agri</v>
          </cell>
          <cell r="F1527">
            <v>4.2037463188171387</v>
          </cell>
        </row>
        <row r="1528">
          <cell r="A1528" t="str">
            <v>DOM</v>
          </cell>
          <cell r="B1528" t="str">
            <v>Long</v>
          </cell>
          <cell r="C1528" t="str">
            <v>2006 - 2023</v>
          </cell>
          <cell r="D1528" t="str">
            <v>reg</v>
          </cell>
          <cell r="E1528" t="str">
            <v>gdp_inf_ind</v>
          </cell>
          <cell r="F1528">
            <v>2.8603141307830811</v>
          </cell>
        </row>
        <row r="1529">
          <cell r="A1529" t="str">
            <v>DOM</v>
          </cell>
          <cell r="B1529" t="str">
            <v>Long</v>
          </cell>
          <cell r="C1529" t="str">
            <v>2006 - 2023</v>
          </cell>
          <cell r="D1529" t="str">
            <v>reg</v>
          </cell>
          <cell r="E1529" t="str">
            <v>gdp_inf_serv</v>
          </cell>
          <cell r="F1529">
            <v>2.9898612499237061</v>
          </cell>
        </row>
        <row r="1530">
          <cell r="A1530" t="str">
            <v>DOM</v>
          </cell>
          <cell r="B1530" t="str">
            <v>Long</v>
          </cell>
          <cell r="C1530" t="str">
            <v>2006 - 2023</v>
          </cell>
          <cell r="D1530" t="str">
            <v>reg</v>
          </cell>
          <cell r="E1530" t="str">
            <v>prod_for_agri</v>
          </cell>
          <cell r="F1530">
            <v>-1.9686441868543621E-2</v>
          </cell>
        </row>
        <row r="1531">
          <cell r="A1531" t="str">
            <v>DOM</v>
          </cell>
          <cell r="B1531" t="str">
            <v>Long</v>
          </cell>
          <cell r="C1531" t="str">
            <v>2006 - 2023</v>
          </cell>
          <cell r="D1531" t="str">
            <v>reg</v>
          </cell>
          <cell r="E1531" t="str">
            <v>prod_for_ind</v>
          </cell>
          <cell r="F1531">
            <v>0.22535598278045649</v>
          </cell>
        </row>
        <row r="1532">
          <cell r="A1532" t="str">
            <v>DOM</v>
          </cell>
          <cell r="B1532" t="str">
            <v>Long</v>
          </cell>
          <cell r="C1532" t="str">
            <v>2006 - 2023</v>
          </cell>
          <cell r="D1532" t="str">
            <v>reg</v>
          </cell>
          <cell r="E1532" t="str">
            <v>prod_for_serv</v>
          </cell>
          <cell r="F1532">
            <v>-9.9192492663860321E-2</v>
          </cell>
        </row>
        <row r="1533">
          <cell r="A1533" t="str">
            <v>DOM</v>
          </cell>
          <cell r="B1533" t="str">
            <v>Long</v>
          </cell>
          <cell r="C1533" t="str">
            <v>2006 - 2023</v>
          </cell>
          <cell r="D1533" t="str">
            <v>reg</v>
          </cell>
          <cell r="E1533" t="str">
            <v>prod_inf_agri</v>
          </cell>
          <cell r="F1533">
            <v>-0.14111027121543879</v>
          </cell>
        </row>
        <row r="1534">
          <cell r="A1534" t="str">
            <v>DOM</v>
          </cell>
          <cell r="B1534" t="str">
            <v>Long</v>
          </cell>
          <cell r="C1534" t="str">
            <v>2006 - 2023</v>
          </cell>
          <cell r="D1534" t="str">
            <v>reg</v>
          </cell>
          <cell r="E1534" t="str">
            <v>prod_inf_ind</v>
          </cell>
          <cell r="F1534">
            <v>-0.70565712451934814</v>
          </cell>
        </row>
        <row r="1535">
          <cell r="A1535" t="str">
            <v>DOM</v>
          </cell>
          <cell r="B1535" t="str">
            <v>Long</v>
          </cell>
          <cell r="C1535" t="str">
            <v>2006 - 2023</v>
          </cell>
          <cell r="D1535" t="str">
            <v>reg</v>
          </cell>
          <cell r="E1535" t="str">
            <v>prod_inf_serv</v>
          </cell>
          <cell r="F1535">
            <v>-0.66572433710098267</v>
          </cell>
        </row>
        <row r="1536">
          <cell r="A1536" t="str">
            <v>DOM</v>
          </cell>
          <cell r="B1536" t="str">
            <v>Long</v>
          </cell>
          <cell r="C1536" t="str">
            <v>2006 - 2023</v>
          </cell>
          <cell r="D1536" t="str">
            <v>reg_gdp</v>
          </cell>
          <cell r="E1536" t="str">
            <v>gdp_activity</v>
          </cell>
          <cell r="F1536">
            <v>0.47188824415206909</v>
          </cell>
        </row>
        <row r="1537">
          <cell r="A1537" t="str">
            <v>DOM</v>
          </cell>
          <cell r="B1537" t="str">
            <v>Long</v>
          </cell>
          <cell r="C1537" t="str">
            <v>2006 - 2023</v>
          </cell>
          <cell r="D1537" t="str">
            <v>reg_gdp</v>
          </cell>
          <cell r="E1537" t="str">
            <v>gdp_for_agri</v>
          </cell>
          <cell r="F1537">
            <v>0.28669670224189758</v>
          </cell>
        </row>
        <row r="1538">
          <cell r="A1538" t="str">
            <v>DOM</v>
          </cell>
          <cell r="B1538" t="str">
            <v>Long</v>
          </cell>
          <cell r="C1538" t="str">
            <v>2006 - 2023</v>
          </cell>
          <cell r="D1538" t="str">
            <v>reg_gdp</v>
          </cell>
          <cell r="E1538" t="str">
            <v>gdp_for_ind</v>
          </cell>
          <cell r="F1538">
            <v>1.8798620700836179</v>
          </cell>
        </row>
        <row r="1539">
          <cell r="A1539" t="str">
            <v>DOM</v>
          </cell>
          <cell r="B1539" t="str">
            <v>Long</v>
          </cell>
          <cell r="C1539" t="str">
            <v>2006 - 2023</v>
          </cell>
          <cell r="D1539" t="str">
            <v>reg_gdp</v>
          </cell>
          <cell r="E1539" t="str">
            <v>gdp_for_serv</v>
          </cell>
          <cell r="F1539">
            <v>3.2794537544250488</v>
          </cell>
        </row>
        <row r="1540">
          <cell r="A1540" t="str">
            <v>DOM</v>
          </cell>
          <cell r="B1540" t="str">
            <v>Long</v>
          </cell>
          <cell r="C1540" t="str">
            <v>2006 - 2023</v>
          </cell>
          <cell r="D1540" t="str">
            <v>reg_gdp</v>
          </cell>
          <cell r="E1540" t="str">
            <v>gdp_inf_agri</v>
          </cell>
          <cell r="F1540">
            <v>-0.39917930960655212</v>
          </cell>
        </row>
        <row r="1541">
          <cell r="A1541" t="str">
            <v>DOM</v>
          </cell>
          <cell r="B1541" t="str">
            <v>Long</v>
          </cell>
          <cell r="C1541" t="str">
            <v>2006 - 2023</v>
          </cell>
          <cell r="D1541" t="str">
            <v>reg_gdp</v>
          </cell>
          <cell r="E1541" t="str">
            <v>gdp_inf_ind</v>
          </cell>
          <cell r="F1541">
            <v>5.7438859939575204</v>
          </cell>
        </row>
        <row r="1542">
          <cell r="A1542" t="str">
            <v>DOM</v>
          </cell>
          <cell r="B1542" t="str">
            <v>Long</v>
          </cell>
          <cell r="C1542" t="str">
            <v>2006 - 2023</v>
          </cell>
          <cell r="D1542" t="str">
            <v>reg_gdp</v>
          </cell>
          <cell r="E1542" t="str">
            <v>gdp_inf_serv</v>
          </cell>
          <cell r="F1542">
            <v>-11.95762920379639</v>
          </cell>
        </row>
        <row r="1543">
          <cell r="A1543" t="str">
            <v>DOM</v>
          </cell>
          <cell r="B1543" t="str">
            <v>Long</v>
          </cell>
          <cell r="C1543" t="str">
            <v>2006 - 2023</v>
          </cell>
          <cell r="D1543" t="str">
            <v>reg_gdp</v>
          </cell>
          <cell r="E1543" t="str">
            <v>prod_for_agri</v>
          </cell>
          <cell r="F1543">
            <v>7.4123553931713104E-2</v>
          </cell>
        </row>
        <row r="1544">
          <cell r="A1544" t="str">
            <v>DOM</v>
          </cell>
          <cell r="B1544" t="str">
            <v>Long</v>
          </cell>
          <cell r="C1544" t="str">
            <v>2006 - 2023</v>
          </cell>
          <cell r="D1544" t="str">
            <v>reg_gdp</v>
          </cell>
          <cell r="E1544" t="str">
            <v>prod_for_ind</v>
          </cell>
          <cell r="F1544">
            <v>0.23347420990467069</v>
          </cell>
        </row>
        <row r="1545">
          <cell r="A1545" t="str">
            <v>DOM</v>
          </cell>
          <cell r="B1545" t="str">
            <v>Long</v>
          </cell>
          <cell r="C1545" t="str">
            <v>2006 - 2023</v>
          </cell>
          <cell r="D1545" t="str">
            <v>reg_gdp</v>
          </cell>
          <cell r="E1545" t="str">
            <v>prod_for_serv</v>
          </cell>
          <cell r="F1545">
            <v>-7.6601887121796608E-3</v>
          </cell>
        </row>
        <row r="1546">
          <cell r="A1546" t="str">
            <v>DOM</v>
          </cell>
          <cell r="B1546" t="str">
            <v>Long</v>
          </cell>
          <cell r="C1546" t="str">
            <v>2006 - 2023</v>
          </cell>
          <cell r="D1546" t="str">
            <v>reg_gdp</v>
          </cell>
          <cell r="E1546" t="str">
            <v>prod_inf_agri</v>
          </cell>
          <cell r="F1546">
            <v>-0.11040292680263521</v>
          </cell>
        </row>
        <row r="1547">
          <cell r="A1547" t="str">
            <v>DOM</v>
          </cell>
          <cell r="B1547" t="str">
            <v>Long</v>
          </cell>
          <cell r="C1547" t="str">
            <v>2006 - 2023</v>
          </cell>
          <cell r="D1547" t="str">
            <v>reg_gdp</v>
          </cell>
          <cell r="E1547" t="str">
            <v>prod_inf_ind</v>
          </cell>
          <cell r="F1547">
            <v>-0.50249302387237549</v>
          </cell>
        </row>
        <row r="1548">
          <cell r="A1548" t="str">
            <v>DOM</v>
          </cell>
          <cell r="B1548" t="str">
            <v>Long</v>
          </cell>
          <cell r="C1548" t="str">
            <v>2006 - 2023</v>
          </cell>
          <cell r="D1548" t="str">
            <v>reg_gdp</v>
          </cell>
          <cell r="E1548" t="str">
            <v>prod_inf_serv</v>
          </cell>
          <cell r="F1548">
            <v>-0.76477420330047607</v>
          </cell>
        </row>
        <row r="1549">
          <cell r="A1549" t="str">
            <v>DOM</v>
          </cell>
          <cell r="B1549" t="str">
            <v>Long</v>
          </cell>
          <cell r="C1549" t="str">
            <v>2006 - 2023</v>
          </cell>
          <cell r="D1549" t="str">
            <v>reg_iter</v>
          </cell>
          <cell r="E1549" t="str">
            <v>gdp_activity</v>
          </cell>
          <cell r="F1549">
            <v>0.4640154242515564</v>
          </cell>
        </row>
        <row r="1550">
          <cell r="A1550" t="str">
            <v>DOM</v>
          </cell>
          <cell r="B1550" t="str">
            <v>Long</v>
          </cell>
          <cell r="C1550" t="str">
            <v>2006 - 2023</v>
          </cell>
          <cell r="D1550" t="str">
            <v>reg_iter</v>
          </cell>
          <cell r="E1550" t="str">
            <v>gdp_for_agri</v>
          </cell>
          <cell r="F1550">
            <v>0.93115168809890747</v>
          </cell>
        </row>
        <row r="1551">
          <cell r="A1551" t="str">
            <v>DOM</v>
          </cell>
          <cell r="B1551" t="str">
            <v>Long</v>
          </cell>
          <cell r="C1551" t="str">
            <v>2006 - 2023</v>
          </cell>
          <cell r="D1551" t="str">
            <v>reg_iter</v>
          </cell>
          <cell r="E1551" t="str">
            <v>gdp_for_ind</v>
          </cell>
          <cell r="F1551">
            <v>0.23318891227245331</v>
          </cell>
        </row>
        <row r="1552">
          <cell r="A1552" t="str">
            <v>DOM</v>
          </cell>
          <cell r="B1552" t="str">
            <v>Long</v>
          </cell>
          <cell r="C1552" t="str">
            <v>2006 - 2023</v>
          </cell>
          <cell r="D1552" t="str">
            <v>reg_iter</v>
          </cell>
          <cell r="E1552" t="str">
            <v>gdp_for_serv</v>
          </cell>
          <cell r="F1552">
            <v>1.240555882453918</v>
          </cell>
        </row>
        <row r="1553">
          <cell r="A1553" t="str">
            <v>DOM</v>
          </cell>
          <cell r="B1553" t="str">
            <v>Long</v>
          </cell>
          <cell r="C1553" t="str">
            <v>2006 - 2023</v>
          </cell>
          <cell r="D1553" t="str">
            <v>reg_iter</v>
          </cell>
          <cell r="E1553" t="str">
            <v>gdp_inf_agri</v>
          </cell>
          <cell r="F1553">
            <v>0.88268977403640747</v>
          </cell>
        </row>
        <row r="1554">
          <cell r="A1554" t="str">
            <v>DOM</v>
          </cell>
          <cell r="B1554" t="str">
            <v>Long</v>
          </cell>
          <cell r="C1554" t="str">
            <v>2006 - 2023</v>
          </cell>
          <cell r="D1554" t="str">
            <v>reg_iter</v>
          </cell>
          <cell r="E1554" t="str">
            <v>gdp_inf_ind</v>
          </cell>
          <cell r="F1554">
            <v>0.2568458616733551</v>
          </cell>
        </row>
        <row r="1555">
          <cell r="A1555" t="str">
            <v>DOM</v>
          </cell>
          <cell r="B1555" t="str">
            <v>Long</v>
          </cell>
          <cell r="C1555" t="str">
            <v>2006 - 2023</v>
          </cell>
          <cell r="D1555" t="str">
            <v>reg_iter</v>
          </cell>
          <cell r="E1555" t="str">
            <v>gdp_inf_serv</v>
          </cell>
          <cell r="F1555">
            <v>0.82812100648880005</v>
          </cell>
        </row>
        <row r="1556">
          <cell r="A1556" t="str">
            <v>DOM</v>
          </cell>
          <cell r="B1556" t="str">
            <v>Long</v>
          </cell>
          <cell r="C1556" t="str">
            <v>2006 - 2023</v>
          </cell>
          <cell r="D1556" t="str">
            <v>reg_iter</v>
          </cell>
          <cell r="E1556" t="str">
            <v>prod_for_agri</v>
          </cell>
          <cell r="F1556">
            <v>-5.7987451553344727E-2</v>
          </cell>
        </row>
        <row r="1557">
          <cell r="A1557" t="str">
            <v>DOM</v>
          </cell>
          <cell r="B1557" t="str">
            <v>Long</v>
          </cell>
          <cell r="C1557" t="str">
            <v>2006 - 2023</v>
          </cell>
          <cell r="D1557" t="str">
            <v>reg_iter</v>
          </cell>
          <cell r="E1557" t="str">
            <v>prod_for_ind</v>
          </cell>
          <cell r="F1557">
            <v>0.20083096623420721</v>
          </cell>
        </row>
        <row r="1558">
          <cell r="A1558" t="str">
            <v>DOM</v>
          </cell>
          <cell r="B1558" t="str">
            <v>Long</v>
          </cell>
          <cell r="C1558" t="str">
            <v>2006 - 2023</v>
          </cell>
          <cell r="D1558" t="str">
            <v>reg_iter</v>
          </cell>
          <cell r="E1558" t="str">
            <v>prod_for_serv</v>
          </cell>
          <cell r="F1558">
            <v>-0.90958380699157715</v>
          </cell>
        </row>
        <row r="1559">
          <cell r="A1559" t="str">
            <v>DOM</v>
          </cell>
          <cell r="B1559" t="str">
            <v>Long</v>
          </cell>
          <cell r="C1559" t="str">
            <v>2006 - 2023</v>
          </cell>
          <cell r="D1559" t="str">
            <v>reg_iter</v>
          </cell>
          <cell r="E1559" t="str">
            <v>prod_inf_agri</v>
          </cell>
          <cell r="F1559">
            <v>-6.9103531539440155E-2</v>
          </cell>
        </row>
        <row r="1560">
          <cell r="A1560" t="str">
            <v>DOM</v>
          </cell>
          <cell r="B1560" t="str">
            <v>Long</v>
          </cell>
          <cell r="C1560" t="str">
            <v>2006 - 2023</v>
          </cell>
          <cell r="D1560" t="str">
            <v>reg_iter</v>
          </cell>
          <cell r="E1560" t="str">
            <v>prod_inf_ind</v>
          </cell>
          <cell r="F1560">
            <v>0.10630263388156889</v>
          </cell>
        </row>
        <row r="1561">
          <cell r="A1561" t="str">
            <v>DOM</v>
          </cell>
          <cell r="B1561" t="str">
            <v>Long</v>
          </cell>
          <cell r="C1561" t="str">
            <v>2006 - 2023</v>
          </cell>
          <cell r="D1561" t="str">
            <v>reg_iter</v>
          </cell>
          <cell r="E1561" t="str">
            <v>prod_inf_serv</v>
          </cell>
          <cell r="F1561">
            <v>-0.47001379728317261</v>
          </cell>
        </row>
        <row r="1562">
          <cell r="A1562" t="str">
            <v>DOM</v>
          </cell>
          <cell r="B1562" t="str">
            <v>Middle</v>
          </cell>
          <cell r="C1562" t="str">
            <v>2015 - 2023</v>
          </cell>
          <cell r="D1562" t="str">
            <v>avg</v>
          </cell>
          <cell r="E1562" t="str">
            <v>gdp_activity</v>
          </cell>
          <cell r="F1562">
            <v>0.67113453149795532</v>
          </cell>
        </row>
        <row r="1563">
          <cell r="A1563" t="str">
            <v>DOM</v>
          </cell>
          <cell r="B1563" t="str">
            <v>Middle</v>
          </cell>
          <cell r="C1563" t="str">
            <v>2015 - 2023</v>
          </cell>
          <cell r="D1563" t="str">
            <v>avg</v>
          </cell>
          <cell r="E1563" t="str">
            <v>gdp_for_agri</v>
          </cell>
          <cell r="F1563">
            <v>-2.5735058784484859</v>
          </cell>
        </row>
        <row r="1564">
          <cell r="A1564" t="str">
            <v>DOM</v>
          </cell>
          <cell r="B1564" t="str">
            <v>Middle</v>
          </cell>
          <cell r="C1564" t="str">
            <v>2015 - 2023</v>
          </cell>
          <cell r="D1564" t="str">
            <v>avg</v>
          </cell>
          <cell r="E1564" t="str">
            <v>gdp_for_ind</v>
          </cell>
          <cell r="F1564">
            <v>-6.5068011283874512</v>
          </cell>
        </row>
        <row r="1565">
          <cell r="A1565" t="str">
            <v>DOM</v>
          </cell>
          <cell r="B1565" t="str">
            <v>Middle</v>
          </cell>
          <cell r="C1565" t="str">
            <v>2015 - 2023</v>
          </cell>
          <cell r="D1565" t="str">
            <v>avg</v>
          </cell>
          <cell r="E1565" t="str">
            <v>gdp_for_serv</v>
          </cell>
          <cell r="F1565">
            <v>1.23747706413269</v>
          </cell>
        </row>
        <row r="1566">
          <cell r="A1566" t="str">
            <v>DOM</v>
          </cell>
          <cell r="B1566" t="str">
            <v>Middle</v>
          </cell>
          <cell r="C1566" t="str">
            <v>2015 - 2023</v>
          </cell>
          <cell r="D1566" t="str">
            <v>avg</v>
          </cell>
          <cell r="E1566" t="str">
            <v>gdp_inf_agri</v>
          </cell>
          <cell r="F1566">
            <v>14.62480545043945</v>
          </cell>
        </row>
        <row r="1567">
          <cell r="A1567" t="str">
            <v>DOM</v>
          </cell>
          <cell r="B1567" t="str">
            <v>Middle</v>
          </cell>
          <cell r="C1567" t="str">
            <v>2015 - 2023</v>
          </cell>
          <cell r="D1567" t="str">
            <v>avg</v>
          </cell>
          <cell r="E1567" t="str">
            <v>gdp_inf_ind</v>
          </cell>
          <cell r="F1567">
            <v>16.096220016479489</v>
          </cell>
        </row>
        <row r="1568">
          <cell r="A1568" t="str">
            <v>DOM</v>
          </cell>
          <cell r="B1568" t="str">
            <v>Middle</v>
          </cell>
          <cell r="C1568" t="str">
            <v>2015 - 2023</v>
          </cell>
          <cell r="D1568" t="str">
            <v>avg</v>
          </cell>
          <cell r="E1568" t="str">
            <v>gdp_inf_serv</v>
          </cell>
          <cell r="F1568">
            <v>8.4067325592041016</v>
          </cell>
        </row>
        <row r="1569">
          <cell r="A1569" t="str">
            <v>DOM</v>
          </cell>
          <cell r="B1569" t="str">
            <v>Middle</v>
          </cell>
          <cell r="C1569" t="str">
            <v>2015 - 2023</v>
          </cell>
          <cell r="D1569" t="str">
            <v>avg</v>
          </cell>
          <cell r="E1569" t="str">
            <v>prod_for_agri</v>
          </cell>
          <cell r="F1569">
            <v>0.37438103556633001</v>
          </cell>
        </row>
        <row r="1570">
          <cell r="A1570" t="str">
            <v>DOM</v>
          </cell>
          <cell r="B1570" t="str">
            <v>Middle</v>
          </cell>
          <cell r="C1570" t="str">
            <v>2015 - 2023</v>
          </cell>
          <cell r="D1570" t="str">
            <v>avg</v>
          </cell>
          <cell r="E1570" t="str">
            <v>prod_for_ind</v>
          </cell>
          <cell r="F1570">
            <v>-0.63626843690872192</v>
          </cell>
        </row>
        <row r="1571">
          <cell r="A1571" t="str">
            <v>DOM</v>
          </cell>
          <cell r="B1571" t="str">
            <v>Middle</v>
          </cell>
          <cell r="C1571" t="str">
            <v>2015 - 2023</v>
          </cell>
          <cell r="D1571" t="str">
            <v>avg</v>
          </cell>
          <cell r="E1571" t="str">
            <v>prod_for_serv</v>
          </cell>
          <cell r="F1571">
            <v>2.1849930286407471</v>
          </cell>
        </row>
        <row r="1572">
          <cell r="A1572" t="str">
            <v>DOM</v>
          </cell>
          <cell r="B1572" t="str">
            <v>Middle</v>
          </cell>
          <cell r="C1572" t="str">
            <v>2015 - 2023</v>
          </cell>
          <cell r="D1572" t="str">
            <v>avg</v>
          </cell>
          <cell r="E1572" t="str">
            <v>prod_inf_agri</v>
          </cell>
          <cell r="F1572">
            <v>7.2998449206352234E-2</v>
          </cell>
        </row>
        <row r="1573">
          <cell r="A1573" t="str">
            <v>DOM</v>
          </cell>
          <cell r="B1573" t="str">
            <v>Middle</v>
          </cell>
          <cell r="C1573" t="str">
            <v>2015 - 2023</v>
          </cell>
          <cell r="D1573" t="str">
            <v>avg</v>
          </cell>
          <cell r="E1573" t="str">
            <v>prod_inf_ind</v>
          </cell>
          <cell r="F1573">
            <v>0.64792710542678833</v>
          </cell>
        </row>
        <row r="1574">
          <cell r="A1574" t="str">
            <v>DOM</v>
          </cell>
          <cell r="B1574" t="str">
            <v>Middle</v>
          </cell>
          <cell r="C1574" t="str">
            <v>2015 - 2023</v>
          </cell>
          <cell r="D1574" t="str">
            <v>avg</v>
          </cell>
          <cell r="E1574" t="str">
            <v>prod_inf_serv</v>
          </cell>
          <cell r="F1574">
            <v>3.0451424121856689</v>
          </cell>
        </row>
        <row r="1575">
          <cell r="A1575" t="str">
            <v>DOM</v>
          </cell>
          <cell r="B1575" t="str">
            <v>Middle</v>
          </cell>
          <cell r="C1575" t="str">
            <v>2015 - 2023</v>
          </cell>
          <cell r="D1575" t="str">
            <v>avg_1_99</v>
          </cell>
          <cell r="E1575" t="str">
            <v>gdp_activity</v>
          </cell>
          <cell r="F1575">
            <v>0.60939168930053711</v>
          </cell>
        </row>
        <row r="1576">
          <cell r="A1576" t="str">
            <v>DOM</v>
          </cell>
          <cell r="B1576" t="str">
            <v>Middle</v>
          </cell>
          <cell r="C1576" t="str">
            <v>2015 - 2023</v>
          </cell>
          <cell r="D1576" t="str">
            <v>avg_1_99</v>
          </cell>
          <cell r="E1576" t="str">
            <v>gdp_for_agri</v>
          </cell>
          <cell r="F1576">
            <v>-0.55050051212310791</v>
          </cell>
        </row>
        <row r="1577">
          <cell r="A1577" t="str">
            <v>DOM</v>
          </cell>
          <cell r="B1577" t="str">
            <v>Middle</v>
          </cell>
          <cell r="C1577" t="str">
            <v>2015 - 2023</v>
          </cell>
          <cell r="D1577" t="str">
            <v>avg_1_99</v>
          </cell>
          <cell r="E1577" t="str">
            <v>gdp_for_ind</v>
          </cell>
          <cell r="F1577">
            <v>-0.94155716896057129</v>
          </cell>
        </row>
        <row r="1578">
          <cell r="A1578" t="str">
            <v>DOM</v>
          </cell>
          <cell r="B1578" t="str">
            <v>Middle</v>
          </cell>
          <cell r="C1578" t="str">
            <v>2015 - 2023</v>
          </cell>
          <cell r="D1578" t="str">
            <v>avg_1_99</v>
          </cell>
          <cell r="E1578" t="str">
            <v>gdp_for_serv</v>
          </cell>
          <cell r="F1578">
            <v>1.4025310277938841</v>
          </cell>
        </row>
        <row r="1579">
          <cell r="A1579" t="str">
            <v>DOM</v>
          </cell>
          <cell r="B1579" t="str">
            <v>Middle</v>
          </cell>
          <cell r="C1579" t="str">
            <v>2015 - 2023</v>
          </cell>
          <cell r="D1579" t="str">
            <v>avg_1_99</v>
          </cell>
          <cell r="E1579" t="str">
            <v>gdp_inf_agri</v>
          </cell>
          <cell r="F1579">
            <v>0.57932758331298828</v>
          </cell>
        </row>
        <row r="1580">
          <cell r="A1580" t="str">
            <v>DOM</v>
          </cell>
          <cell r="B1580" t="str">
            <v>Middle</v>
          </cell>
          <cell r="C1580" t="str">
            <v>2015 - 2023</v>
          </cell>
          <cell r="D1580" t="str">
            <v>avg_1_99</v>
          </cell>
          <cell r="E1580" t="str">
            <v>gdp_inf_ind</v>
          </cell>
          <cell r="F1580">
            <v>-3.2079002857208252</v>
          </cell>
        </row>
        <row r="1581">
          <cell r="A1581" t="str">
            <v>DOM</v>
          </cell>
          <cell r="B1581" t="str">
            <v>Middle</v>
          </cell>
          <cell r="C1581" t="str">
            <v>2015 - 2023</v>
          </cell>
          <cell r="D1581" t="str">
            <v>avg_1_99</v>
          </cell>
          <cell r="E1581" t="str">
            <v>gdp_inf_serv</v>
          </cell>
          <cell r="F1581">
            <v>0.25500252842903143</v>
          </cell>
        </row>
        <row r="1582">
          <cell r="A1582" t="str">
            <v>DOM</v>
          </cell>
          <cell r="B1582" t="str">
            <v>Middle</v>
          </cell>
          <cell r="C1582" t="str">
            <v>2015 - 2023</v>
          </cell>
          <cell r="D1582" t="str">
            <v>avg_1_99</v>
          </cell>
          <cell r="E1582" t="str">
            <v>prod_for_agri</v>
          </cell>
          <cell r="F1582">
            <v>0.37438103556633001</v>
          </cell>
        </row>
        <row r="1583">
          <cell r="A1583" t="str">
            <v>DOM</v>
          </cell>
          <cell r="B1583" t="str">
            <v>Middle</v>
          </cell>
          <cell r="C1583" t="str">
            <v>2015 - 2023</v>
          </cell>
          <cell r="D1583" t="str">
            <v>avg_1_99</v>
          </cell>
          <cell r="E1583" t="str">
            <v>prod_for_ind</v>
          </cell>
          <cell r="F1583">
            <v>-0.42266687750816351</v>
          </cell>
        </row>
        <row r="1584">
          <cell r="A1584" t="str">
            <v>DOM</v>
          </cell>
          <cell r="B1584" t="str">
            <v>Middle</v>
          </cell>
          <cell r="C1584" t="str">
            <v>2015 - 2023</v>
          </cell>
          <cell r="D1584" t="str">
            <v>avg_1_99</v>
          </cell>
          <cell r="E1584" t="str">
            <v>prod_for_serv</v>
          </cell>
          <cell r="F1584">
            <v>2.1849930286407471</v>
          </cell>
        </row>
        <row r="1585">
          <cell r="A1585" t="str">
            <v>DOM</v>
          </cell>
          <cell r="B1585" t="str">
            <v>Middle</v>
          </cell>
          <cell r="C1585" t="str">
            <v>2015 - 2023</v>
          </cell>
          <cell r="D1585" t="str">
            <v>avg_1_99</v>
          </cell>
          <cell r="E1585" t="str">
            <v>prod_inf_agri</v>
          </cell>
          <cell r="F1585">
            <v>7.2998449206352234E-2</v>
          </cell>
        </row>
        <row r="1586">
          <cell r="A1586" t="str">
            <v>DOM</v>
          </cell>
          <cell r="B1586" t="str">
            <v>Middle</v>
          </cell>
          <cell r="C1586" t="str">
            <v>2015 - 2023</v>
          </cell>
          <cell r="D1586" t="str">
            <v>avg_1_99</v>
          </cell>
          <cell r="E1586" t="str">
            <v>prod_inf_ind</v>
          </cell>
          <cell r="F1586">
            <v>-5.9197470545768738E-2</v>
          </cell>
        </row>
        <row r="1587">
          <cell r="A1587" t="str">
            <v>DOM</v>
          </cell>
          <cell r="B1587" t="str">
            <v>Middle</v>
          </cell>
          <cell r="C1587" t="str">
            <v>2015 - 2023</v>
          </cell>
          <cell r="D1587" t="str">
            <v>avg_1_99</v>
          </cell>
          <cell r="E1587" t="str">
            <v>prod_inf_serv</v>
          </cell>
          <cell r="F1587">
            <v>-0.37798163294792181</v>
          </cell>
        </row>
        <row r="1588">
          <cell r="A1588" t="str">
            <v>DOM</v>
          </cell>
          <cell r="B1588" t="str">
            <v>Middle</v>
          </cell>
          <cell r="C1588" t="str">
            <v>2015 - 2023</v>
          </cell>
          <cell r="D1588" t="str">
            <v>avg_1_99_imp</v>
          </cell>
          <cell r="E1588" t="str">
            <v>gdp_activity</v>
          </cell>
          <cell r="F1588">
            <v>0.59748643636703491</v>
          </cell>
        </row>
        <row r="1589">
          <cell r="A1589" t="str">
            <v>DOM</v>
          </cell>
          <cell r="B1589" t="str">
            <v>Middle</v>
          </cell>
          <cell r="C1589" t="str">
            <v>2015 - 2023</v>
          </cell>
          <cell r="D1589" t="str">
            <v>avg_1_99_imp</v>
          </cell>
          <cell r="E1589" t="str">
            <v>gdp_for_agri</v>
          </cell>
          <cell r="F1589">
            <v>-0.57801604270935059</v>
          </cell>
        </row>
        <row r="1590">
          <cell r="A1590" t="str">
            <v>DOM</v>
          </cell>
          <cell r="B1590" t="str">
            <v>Middle</v>
          </cell>
          <cell r="C1590" t="str">
            <v>2015 - 2023</v>
          </cell>
          <cell r="D1590" t="str">
            <v>avg_1_99_imp</v>
          </cell>
          <cell r="E1590" t="str">
            <v>gdp_for_ind</v>
          </cell>
          <cell r="F1590">
            <v>-0.80276226997375488</v>
          </cell>
        </row>
        <row r="1591">
          <cell r="A1591" t="str">
            <v>DOM</v>
          </cell>
          <cell r="B1591" t="str">
            <v>Middle</v>
          </cell>
          <cell r="C1591" t="str">
            <v>2015 - 2023</v>
          </cell>
          <cell r="D1591" t="str">
            <v>avg_1_99_imp</v>
          </cell>
          <cell r="E1591" t="str">
            <v>gdp_for_serv</v>
          </cell>
          <cell r="F1591">
            <v>1.384469270706177</v>
          </cell>
        </row>
        <row r="1592">
          <cell r="A1592" t="str">
            <v>DOM</v>
          </cell>
          <cell r="B1592" t="str">
            <v>Middle</v>
          </cell>
          <cell r="C1592" t="str">
            <v>2015 - 2023</v>
          </cell>
          <cell r="D1592" t="str">
            <v>avg_1_99_imp</v>
          </cell>
          <cell r="E1592" t="str">
            <v>gdp_inf_agri</v>
          </cell>
          <cell r="F1592">
            <v>0.44530338048934942</v>
          </cell>
        </row>
        <row r="1593">
          <cell r="A1593" t="str">
            <v>DOM</v>
          </cell>
          <cell r="B1593" t="str">
            <v>Middle</v>
          </cell>
          <cell r="C1593" t="str">
            <v>2015 - 2023</v>
          </cell>
          <cell r="D1593" t="str">
            <v>avg_1_99_imp</v>
          </cell>
          <cell r="E1593" t="str">
            <v>gdp_inf_ind</v>
          </cell>
          <cell r="F1593">
            <v>-2.9360532760620122</v>
          </cell>
        </row>
        <row r="1594">
          <cell r="A1594" t="str">
            <v>DOM</v>
          </cell>
          <cell r="B1594" t="str">
            <v>Middle</v>
          </cell>
          <cell r="C1594" t="str">
            <v>2015 - 2023</v>
          </cell>
          <cell r="D1594" t="str">
            <v>avg_1_99_imp</v>
          </cell>
          <cell r="E1594" t="str">
            <v>gdp_inf_serv</v>
          </cell>
          <cell r="F1594">
            <v>0.28071832656860352</v>
          </cell>
        </row>
        <row r="1595">
          <cell r="A1595" t="str">
            <v>DOM</v>
          </cell>
          <cell r="B1595" t="str">
            <v>Middle</v>
          </cell>
          <cell r="C1595" t="str">
            <v>2015 - 2023</v>
          </cell>
          <cell r="D1595" t="str">
            <v>avg_1_99_imp</v>
          </cell>
          <cell r="E1595" t="str">
            <v>prod_for_agri</v>
          </cell>
          <cell r="F1595">
            <v>0.66848033666610718</v>
          </cell>
        </row>
        <row r="1596">
          <cell r="A1596" t="str">
            <v>DOM</v>
          </cell>
          <cell r="B1596" t="str">
            <v>Middle</v>
          </cell>
          <cell r="C1596" t="str">
            <v>2015 - 2023</v>
          </cell>
          <cell r="D1596" t="str">
            <v>avg_1_99_imp</v>
          </cell>
          <cell r="E1596" t="str">
            <v>prod_for_ind</v>
          </cell>
          <cell r="F1596">
            <v>0.19493190944194791</v>
          </cell>
        </row>
        <row r="1597">
          <cell r="A1597" t="str">
            <v>DOM</v>
          </cell>
          <cell r="B1597" t="str">
            <v>Middle</v>
          </cell>
          <cell r="C1597" t="str">
            <v>2015 - 2023</v>
          </cell>
          <cell r="D1597" t="str">
            <v>avg_1_99_imp</v>
          </cell>
          <cell r="E1597" t="str">
            <v>prod_for_serv</v>
          </cell>
          <cell r="F1597">
            <v>-1.3153724670410161</v>
          </cell>
        </row>
        <row r="1598">
          <cell r="A1598" t="str">
            <v>DOM</v>
          </cell>
          <cell r="B1598" t="str">
            <v>Middle</v>
          </cell>
          <cell r="C1598" t="str">
            <v>2015 - 2023</v>
          </cell>
          <cell r="D1598" t="str">
            <v>avg_1_99_imp</v>
          </cell>
          <cell r="E1598" t="str">
            <v>prod_inf_agri</v>
          </cell>
          <cell r="F1598">
            <v>7.2998449206352234E-2</v>
          </cell>
        </row>
        <row r="1599">
          <cell r="A1599" t="str">
            <v>DOM</v>
          </cell>
          <cell r="B1599" t="str">
            <v>Middle</v>
          </cell>
          <cell r="C1599" t="str">
            <v>2015 - 2023</v>
          </cell>
          <cell r="D1599" t="str">
            <v>avg_1_99_imp</v>
          </cell>
          <cell r="E1599" t="str">
            <v>prod_inf_ind</v>
          </cell>
          <cell r="F1599">
            <v>-7.1270555257797241E-2</v>
          </cell>
        </row>
        <row r="1600">
          <cell r="A1600" t="str">
            <v>DOM</v>
          </cell>
          <cell r="B1600" t="str">
            <v>Middle</v>
          </cell>
          <cell r="C1600" t="str">
            <v>2015 - 2023</v>
          </cell>
          <cell r="D1600" t="str">
            <v>avg_1_99_imp</v>
          </cell>
          <cell r="E1600" t="str">
            <v>prod_inf_serv</v>
          </cell>
          <cell r="F1600">
            <v>-0.42790263891220093</v>
          </cell>
        </row>
        <row r="1601">
          <cell r="A1601" t="str">
            <v>DOM</v>
          </cell>
          <cell r="B1601" t="str">
            <v>Middle</v>
          </cell>
          <cell r="C1601" t="str">
            <v>2015 - 2023</v>
          </cell>
          <cell r="D1601" t="str">
            <v>reg</v>
          </cell>
          <cell r="E1601" t="str">
            <v>gdp_activity</v>
          </cell>
          <cell r="F1601">
            <v>0.40877726674079901</v>
          </cell>
        </row>
        <row r="1602">
          <cell r="A1602" t="str">
            <v>DOM</v>
          </cell>
          <cell r="B1602" t="str">
            <v>Middle</v>
          </cell>
          <cell r="C1602" t="str">
            <v>2015 - 2023</v>
          </cell>
          <cell r="D1602" t="str">
            <v>reg</v>
          </cell>
          <cell r="E1602" t="str">
            <v>gdp_for_agri</v>
          </cell>
          <cell r="F1602">
            <v>-0.17429922521114349</v>
          </cell>
        </row>
        <row r="1603">
          <cell r="A1603" t="str">
            <v>DOM</v>
          </cell>
          <cell r="B1603" t="str">
            <v>Middle</v>
          </cell>
          <cell r="C1603" t="str">
            <v>2015 - 2023</v>
          </cell>
          <cell r="D1603" t="str">
            <v>reg</v>
          </cell>
          <cell r="E1603" t="str">
            <v>gdp_for_ind</v>
          </cell>
          <cell r="F1603">
            <v>0.29938969016075129</v>
          </cell>
        </row>
        <row r="1604">
          <cell r="A1604" t="str">
            <v>DOM</v>
          </cell>
          <cell r="B1604" t="str">
            <v>Middle</v>
          </cell>
          <cell r="C1604" t="str">
            <v>2015 - 2023</v>
          </cell>
          <cell r="D1604" t="str">
            <v>reg</v>
          </cell>
          <cell r="E1604" t="str">
            <v>gdp_for_serv</v>
          </cell>
          <cell r="F1604">
            <v>0.44521763920784002</v>
          </cell>
        </row>
        <row r="1605">
          <cell r="A1605" t="str">
            <v>DOM</v>
          </cell>
          <cell r="B1605" t="str">
            <v>Middle</v>
          </cell>
          <cell r="C1605" t="str">
            <v>2015 - 2023</v>
          </cell>
          <cell r="D1605" t="str">
            <v>reg</v>
          </cell>
          <cell r="E1605" t="str">
            <v>gdp_inf_agri</v>
          </cell>
          <cell r="F1605">
            <v>6.1444778442382813</v>
          </cell>
        </row>
        <row r="1606">
          <cell r="A1606" t="str">
            <v>DOM</v>
          </cell>
          <cell r="B1606" t="str">
            <v>Middle</v>
          </cell>
          <cell r="C1606" t="str">
            <v>2015 - 2023</v>
          </cell>
          <cell r="D1606" t="str">
            <v>reg</v>
          </cell>
          <cell r="E1606" t="str">
            <v>gdp_inf_ind</v>
          </cell>
          <cell r="F1606">
            <v>5.215519905090332</v>
          </cell>
        </row>
        <row r="1607">
          <cell r="A1607" t="str">
            <v>DOM</v>
          </cell>
          <cell r="B1607" t="str">
            <v>Middle</v>
          </cell>
          <cell r="C1607" t="str">
            <v>2015 - 2023</v>
          </cell>
          <cell r="D1607" t="str">
            <v>reg</v>
          </cell>
          <cell r="E1607" t="str">
            <v>gdp_inf_serv</v>
          </cell>
          <cell r="F1607">
            <v>5.1016650199890137</v>
          </cell>
        </row>
        <row r="1608">
          <cell r="A1608" t="str">
            <v>DOM</v>
          </cell>
          <cell r="B1608" t="str">
            <v>Middle</v>
          </cell>
          <cell r="C1608" t="str">
            <v>2015 - 2023</v>
          </cell>
          <cell r="D1608" t="str">
            <v>reg</v>
          </cell>
          <cell r="E1608" t="str">
            <v>prod_for_agri</v>
          </cell>
          <cell r="F1608">
            <v>6.5855681896209717E-2</v>
          </cell>
        </row>
        <row r="1609">
          <cell r="A1609" t="str">
            <v>DOM</v>
          </cell>
          <cell r="B1609" t="str">
            <v>Middle</v>
          </cell>
          <cell r="C1609" t="str">
            <v>2015 - 2023</v>
          </cell>
          <cell r="D1609" t="str">
            <v>reg</v>
          </cell>
          <cell r="E1609" t="str">
            <v>prod_for_ind</v>
          </cell>
          <cell r="F1609">
            <v>0.31943002343177801</v>
          </cell>
        </row>
        <row r="1610">
          <cell r="A1610" t="str">
            <v>DOM</v>
          </cell>
          <cell r="B1610" t="str">
            <v>Middle</v>
          </cell>
          <cell r="C1610" t="str">
            <v>2015 - 2023</v>
          </cell>
          <cell r="D1610" t="str">
            <v>reg</v>
          </cell>
          <cell r="E1610" t="str">
            <v>prod_for_serv</v>
          </cell>
          <cell r="F1610">
            <v>8.1095457077026367E-2</v>
          </cell>
        </row>
        <row r="1611">
          <cell r="A1611" t="str">
            <v>DOM</v>
          </cell>
          <cell r="B1611" t="str">
            <v>Middle</v>
          </cell>
          <cell r="C1611" t="str">
            <v>2015 - 2023</v>
          </cell>
          <cell r="D1611" t="str">
            <v>reg</v>
          </cell>
          <cell r="E1611" t="str">
            <v>prod_inf_agri</v>
          </cell>
          <cell r="F1611">
            <v>-0.164373904466629</v>
          </cell>
        </row>
        <row r="1612">
          <cell r="A1612" t="str">
            <v>DOM</v>
          </cell>
          <cell r="B1612" t="str">
            <v>Middle</v>
          </cell>
          <cell r="C1612" t="str">
            <v>2015 - 2023</v>
          </cell>
          <cell r="D1612" t="str">
            <v>reg</v>
          </cell>
          <cell r="E1612" t="str">
            <v>prod_inf_ind</v>
          </cell>
          <cell r="F1612">
            <v>-0.68229061365127563</v>
          </cell>
        </row>
        <row r="1613">
          <cell r="A1613" t="str">
            <v>DOM</v>
          </cell>
          <cell r="B1613" t="str">
            <v>Middle</v>
          </cell>
          <cell r="C1613" t="str">
            <v>2015 - 2023</v>
          </cell>
          <cell r="D1613" t="str">
            <v>reg</v>
          </cell>
          <cell r="E1613" t="str">
            <v>prod_inf_serv</v>
          </cell>
          <cell r="F1613">
            <v>-0.57886087894439697</v>
          </cell>
        </row>
        <row r="1614">
          <cell r="A1614" t="str">
            <v>DOM</v>
          </cell>
          <cell r="B1614" t="str">
            <v>Middle</v>
          </cell>
          <cell r="C1614" t="str">
            <v>2015 - 2023</v>
          </cell>
          <cell r="D1614" t="str">
            <v>reg_gdp</v>
          </cell>
          <cell r="E1614" t="str">
            <v>gdp_activity</v>
          </cell>
          <cell r="F1614">
            <v>0.40877726674079901</v>
          </cell>
        </row>
        <row r="1615">
          <cell r="A1615" t="str">
            <v>DOM</v>
          </cell>
          <cell r="B1615" t="str">
            <v>Middle</v>
          </cell>
          <cell r="C1615" t="str">
            <v>2015 - 2023</v>
          </cell>
          <cell r="D1615" t="str">
            <v>reg_gdp</v>
          </cell>
          <cell r="E1615" t="str">
            <v>gdp_for_agri</v>
          </cell>
          <cell r="F1615">
            <v>-0.35724735260009771</v>
          </cell>
        </row>
        <row r="1616">
          <cell r="A1616" t="str">
            <v>DOM</v>
          </cell>
          <cell r="B1616" t="str">
            <v>Middle</v>
          </cell>
          <cell r="C1616" t="str">
            <v>2015 - 2023</v>
          </cell>
          <cell r="D1616" t="str">
            <v>reg_gdp</v>
          </cell>
          <cell r="E1616" t="str">
            <v>gdp_for_ind</v>
          </cell>
          <cell r="F1616">
            <v>0.18196690082550049</v>
          </cell>
        </row>
        <row r="1617">
          <cell r="A1617" t="str">
            <v>DOM</v>
          </cell>
          <cell r="B1617" t="str">
            <v>Middle</v>
          </cell>
          <cell r="C1617" t="str">
            <v>2015 - 2023</v>
          </cell>
          <cell r="D1617" t="str">
            <v>reg_gdp</v>
          </cell>
          <cell r="E1617" t="str">
            <v>gdp_for_serv</v>
          </cell>
          <cell r="F1617">
            <v>2.928193330764771</v>
          </cell>
        </row>
        <row r="1618">
          <cell r="A1618" t="str">
            <v>DOM</v>
          </cell>
          <cell r="B1618" t="str">
            <v>Middle</v>
          </cell>
          <cell r="C1618" t="str">
            <v>2015 - 2023</v>
          </cell>
          <cell r="D1618" t="str">
            <v>reg_gdp</v>
          </cell>
          <cell r="E1618" t="str">
            <v>gdp_inf_agri</v>
          </cell>
          <cell r="F1618">
            <v>7.2954745292663574</v>
          </cell>
        </row>
        <row r="1619">
          <cell r="A1619" t="str">
            <v>DOM</v>
          </cell>
          <cell r="B1619" t="str">
            <v>Middle</v>
          </cell>
          <cell r="C1619" t="str">
            <v>2015 - 2023</v>
          </cell>
          <cell r="D1619" t="str">
            <v>reg_gdp</v>
          </cell>
          <cell r="E1619" t="str">
            <v>gdp_inf_ind</v>
          </cell>
          <cell r="F1619">
            <v>-1.3442203998565669</v>
          </cell>
        </row>
        <row r="1620">
          <cell r="A1620" t="str">
            <v>DOM</v>
          </cell>
          <cell r="B1620" t="str">
            <v>Middle</v>
          </cell>
          <cell r="C1620" t="str">
            <v>2015 - 2023</v>
          </cell>
          <cell r="D1620" t="str">
            <v>reg_gdp</v>
          </cell>
          <cell r="E1620" t="str">
            <v>gdp_inf_serv</v>
          </cell>
          <cell r="F1620">
            <v>-2.7891664505004878</v>
          </cell>
        </row>
        <row r="1621">
          <cell r="A1621" t="str">
            <v>DOM</v>
          </cell>
          <cell r="B1621" t="str">
            <v>Middle</v>
          </cell>
          <cell r="C1621" t="str">
            <v>2015 - 2023</v>
          </cell>
          <cell r="D1621" t="str">
            <v>reg_gdp</v>
          </cell>
          <cell r="E1621" t="str">
            <v>prod_for_agri</v>
          </cell>
          <cell r="F1621">
            <v>0.106903001666069</v>
          </cell>
        </row>
        <row r="1622">
          <cell r="A1622" t="str">
            <v>DOM</v>
          </cell>
          <cell r="B1622" t="str">
            <v>Middle</v>
          </cell>
          <cell r="C1622" t="str">
            <v>2015 - 2023</v>
          </cell>
          <cell r="D1622" t="str">
            <v>reg_gdp</v>
          </cell>
          <cell r="E1622" t="str">
            <v>prod_for_ind</v>
          </cell>
          <cell r="F1622">
            <v>0.32078021764755249</v>
          </cell>
        </row>
        <row r="1623">
          <cell r="A1623" t="str">
            <v>DOM</v>
          </cell>
          <cell r="B1623" t="str">
            <v>Middle</v>
          </cell>
          <cell r="C1623" t="str">
            <v>2015 - 2023</v>
          </cell>
          <cell r="D1623" t="str">
            <v>reg_gdp</v>
          </cell>
          <cell r="E1623" t="str">
            <v>prod_for_serv</v>
          </cell>
          <cell r="F1623">
            <v>-7.8252792358398438E-2</v>
          </cell>
        </row>
        <row r="1624">
          <cell r="A1624" t="str">
            <v>DOM</v>
          </cell>
          <cell r="B1624" t="str">
            <v>Middle</v>
          </cell>
          <cell r="C1624" t="str">
            <v>2015 - 2023</v>
          </cell>
          <cell r="D1624" t="str">
            <v>reg_gdp</v>
          </cell>
          <cell r="E1624" t="str">
            <v>prod_inf_agri</v>
          </cell>
          <cell r="F1624">
            <v>-0.14938491582870481</v>
          </cell>
        </row>
        <row r="1625">
          <cell r="A1625" t="str">
            <v>DOM</v>
          </cell>
          <cell r="B1625" t="str">
            <v>Middle</v>
          </cell>
          <cell r="C1625" t="str">
            <v>2015 - 2023</v>
          </cell>
          <cell r="D1625" t="str">
            <v>reg_gdp</v>
          </cell>
          <cell r="E1625" t="str">
            <v>prod_inf_ind</v>
          </cell>
          <cell r="F1625">
            <v>-0.53213798999786377</v>
          </cell>
        </row>
        <row r="1626">
          <cell r="A1626" t="str">
            <v>DOM</v>
          </cell>
          <cell r="B1626" t="str">
            <v>Middle</v>
          </cell>
          <cell r="C1626" t="str">
            <v>2015 - 2023</v>
          </cell>
          <cell r="D1626" t="str">
            <v>reg_gdp</v>
          </cell>
          <cell r="E1626" t="str">
            <v>prod_inf_serv</v>
          </cell>
          <cell r="F1626">
            <v>-0.51319867372512817</v>
          </cell>
        </row>
        <row r="1627">
          <cell r="A1627" t="str">
            <v>DOM</v>
          </cell>
          <cell r="B1627" t="str">
            <v>Middle</v>
          </cell>
          <cell r="C1627" t="str">
            <v>2015 - 2023</v>
          </cell>
          <cell r="D1627" t="str">
            <v>reg_iter</v>
          </cell>
          <cell r="E1627" t="str">
            <v>gdp_activity</v>
          </cell>
          <cell r="F1627">
            <v>0.30398648977279658</v>
          </cell>
        </row>
        <row r="1628">
          <cell r="A1628" t="str">
            <v>DOM</v>
          </cell>
          <cell r="B1628" t="str">
            <v>Middle</v>
          </cell>
          <cell r="C1628" t="str">
            <v>2015 - 2023</v>
          </cell>
          <cell r="D1628" t="str">
            <v>reg_iter</v>
          </cell>
          <cell r="E1628" t="str">
            <v>gdp_for_agri</v>
          </cell>
          <cell r="F1628">
            <v>-0.71221208572387695</v>
          </cell>
        </row>
        <row r="1629">
          <cell r="A1629" t="str">
            <v>DOM</v>
          </cell>
          <cell r="B1629" t="str">
            <v>Middle</v>
          </cell>
          <cell r="C1629" t="str">
            <v>2015 - 2023</v>
          </cell>
          <cell r="D1629" t="str">
            <v>reg_iter</v>
          </cell>
          <cell r="E1629" t="str">
            <v>gdp_for_ind</v>
          </cell>
          <cell r="F1629">
            <v>-0.30035170912742609</v>
          </cell>
        </row>
        <row r="1630">
          <cell r="A1630" t="str">
            <v>DOM</v>
          </cell>
          <cell r="B1630" t="str">
            <v>Middle</v>
          </cell>
          <cell r="C1630" t="str">
            <v>2015 - 2023</v>
          </cell>
          <cell r="D1630" t="str">
            <v>reg_iter</v>
          </cell>
          <cell r="E1630" t="str">
            <v>gdp_for_serv</v>
          </cell>
          <cell r="F1630">
            <v>0.84516412019729614</v>
          </cell>
        </row>
        <row r="1631">
          <cell r="A1631" t="str">
            <v>DOM</v>
          </cell>
          <cell r="B1631" t="str">
            <v>Middle</v>
          </cell>
          <cell r="C1631" t="str">
            <v>2015 - 2023</v>
          </cell>
          <cell r="D1631" t="str">
            <v>reg_iter</v>
          </cell>
          <cell r="E1631" t="str">
            <v>gdp_inf_agri</v>
          </cell>
          <cell r="F1631">
            <v>-0.65745586156845093</v>
          </cell>
        </row>
        <row r="1632">
          <cell r="A1632" t="str">
            <v>DOM</v>
          </cell>
          <cell r="B1632" t="str">
            <v>Middle</v>
          </cell>
          <cell r="C1632" t="str">
            <v>2015 - 2023</v>
          </cell>
          <cell r="D1632" t="str">
            <v>reg_iter</v>
          </cell>
          <cell r="E1632" t="str">
            <v>gdp_inf_ind</v>
          </cell>
          <cell r="F1632">
            <v>0.54232853651046753</v>
          </cell>
        </row>
        <row r="1633">
          <cell r="A1633" t="str">
            <v>DOM</v>
          </cell>
          <cell r="B1633" t="str">
            <v>Middle</v>
          </cell>
          <cell r="C1633" t="str">
            <v>2015 - 2023</v>
          </cell>
          <cell r="D1633" t="str">
            <v>reg_iter</v>
          </cell>
          <cell r="E1633" t="str">
            <v>gdp_inf_serv</v>
          </cell>
          <cell r="F1633">
            <v>0.45883247256278992</v>
          </cell>
        </row>
        <row r="1634">
          <cell r="A1634" t="str">
            <v>DOM</v>
          </cell>
          <cell r="B1634" t="str">
            <v>Middle</v>
          </cell>
          <cell r="C1634" t="str">
            <v>2015 - 2023</v>
          </cell>
          <cell r="D1634" t="str">
            <v>reg_iter</v>
          </cell>
          <cell r="E1634" t="str">
            <v>prod_for_agri</v>
          </cell>
          <cell r="F1634">
            <v>0.24379852414131159</v>
          </cell>
        </row>
        <row r="1635">
          <cell r="A1635" t="str">
            <v>DOM</v>
          </cell>
          <cell r="B1635" t="str">
            <v>Middle</v>
          </cell>
          <cell r="C1635" t="str">
            <v>2015 - 2023</v>
          </cell>
          <cell r="D1635" t="str">
            <v>reg_iter</v>
          </cell>
          <cell r="E1635" t="str">
            <v>prod_for_ind</v>
          </cell>
          <cell r="F1635">
            <v>0.1550950109958649</v>
          </cell>
        </row>
        <row r="1636">
          <cell r="A1636" t="str">
            <v>DOM</v>
          </cell>
          <cell r="B1636" t="str">
            <v>Middle</v>
          </cell>
          <cell r="C1636" t="str">
            <v>2015 - 2023</v>
          </cell>
          <cell r="D1636" t="str">
            <v>reg_iter</v>
          </cell>
          <cell r="E1636" t="str">
            <v>prod_for_serv</v>
          </cell>
          <cell r="F1636">
            <v>-1.4539357423782351</v>
          </cell>
        </row>
        <row r="1637">
          <cell r="A1637" t="str">
            <v>DOM</v>
          </cell>
          <cell r="B1637" t="str">
            <v>Middle</v>
          </cell>
          <cell r="C1637" t="str">
            <v>2015 - 2023</v>
          </cell>
          <cell r="D1637" t="str">
            <v>reg_iter</v>
          </cell>
          <cell r="E1637" t="str">
            <v>prod_inf_agri</v>
          </cell>
          <cell r="F1637">
            <v>-0.20831440389156339</v>
          </cell>
        </row>
        <row r="1638">
          <cell r="A1638" t="str">
            <v>DOM</v>
          </cell>
          <cell r="B1638" t="str">
            <v>Middle</v>
          </cell>
          <cell r="C1638" t="str">
            <v>2015 - 2023</v>
          </cell>
          <cell r="D1638" t="str">
            <v>reg_iter</v>
          </cell>
          <cell r="E1638" t="str">
            <v>prod_inf_ind</v>
          </cell>
          <cell r="F1638">
            <v>-6.2479682266712189E-2</v>
          </cell>
        </row>
        <row r="1639">
          <cell r="A1639" t="str">
            <v>DOM</v>
          </cell>
          <cell r="B1639" t="str">
            <v>Middle</v>
          </cell>
          <cell r="C1639" t="str">
            <v>2015 - 2023</v>
          </cell>
          <cell r="D1639" t="str">
            <v>reg_iter</v>
          </cell>
          <cell r="E1639" t="str">
            <v>prod_inf_serv</v>
          </cell>
          <cell r="F1639">
            <v>-1.001788258552551</v>
          </cell>
        </row>
        <row r="1640">
          <cell r="A1640" t="str">
            <v>DOM</v>
          </cell>
          <cell r="B1640" t="str">
            <v>Short</v>
          </cell>
          <cell r="C1640" t="str">
            <v>2018 - 2023</v>
          </cell>
          <cell r="D1640" t="str">
            <v>avg</v>
          </cell>
          <cell r="E1640" t="str">
            <v>gdp_activity</v>
          </cell>
          <cell r="F1640">
            <v>0.70059299468994141</v>
          </cell>
        </row>
        <row r="1641">
          <cell r="A1641" t="str">
            <v>DOM</v>
          </cell>
          <cell r="B1641" t="str">
            <v>Short</v>
          </cell>
          <cell r="C1641" t="str">
            <v>2018 - 2023</v>
          </cell>
          <cell r="D1641" t="str">
            <v>avg</v>
          </cell>
          <cell r="E1641" t="str">
            <v>gdp_for_agri</v>
          </cell>
          <cell r="F1641">
            <v>-1.3791540861129761</v>
          </cell>
        </row>
        <row r="1642">
          <cell r="A1642" t="str">
            <v>DOM</v>
          </cell>
          <cell r="B1642" t="str">
            <v>Short</v>
          </cell>
          <cell r="C1642" t="str">
            <v>2018 - 2023</v>
          </cell>
          <cell r="D1642" t="str">
            <v>avg</v>
          </cell>
          <cell r="E1642" t="str">
            <v>gdp_for_ind</v>
          </cell>
          <cell r="F1642">
            <v>-10.90945339202881</v>
          </cell>
        </row>
        <row r="1643">
          <cell r="A1643" t="str">
            <v>DOM</v>
          </cell>
          <cell r="B1643" t="str">
            <v>Short</v>
          </cell>
          <cell r="C1643" t="str">
            <v>2018 - 2023</v>
          </cell>
          <cell r="D1643" t="str">
            <v>avg</v>
          </cell>
          <cell r="E1643" t="str">
            <v>gdp_for_serv</v>
          </cell>
          <cell r="F1643">
            <v>1.6541674137115481</v>
          </cell>
        </row>
        <row r="1644">
          <cell r="A1644" t="str">
            <v>DOM</v>
          </cell>
          <cell r="B1644" t="str">
            <v>Short</v>
          </cell>
          <cell r="C1644" t="str">
            <v>2018 - 2023</v>
          </cell>
          <cell r="D1644" t="str">
            <v>avg</v>
          </cell>
          <cell r="E1644" t="str">
            <v>gdp_inf_agri</v>
          </cell>
          <cell r="F1644">
            <v>-0.97629499435424805</v>
          </cell>
        </row>
        <row r="1645">
          <cell r="A1645" t="str">
            <v>DOM</v>
          </cell>
          <cell r="B1645" t="str">
            <v>Short</v>
          </cell>
          <cell r="C1645" t="str">
            <v>2018 - 2023</v>
          </cell>
          <cell r="D1645" t="str">
            <v>avg</v>
          </cell>
          <cell r="E1645" t="str">
            <v>gdp_inf_ind</v>
          </cell>
          <cell r="F1645">
            <v>-4.8642449378967294</v>
          </cell>
        </row>
        <row r="1646">
          <cell r="A1646" t="str">
            <v>DOM</v>
          </cell>
          <cell r="B1646" t="str">
            <v>Short</v>
          </cell>
          <cell r="C1646" t="str">
            <v>2018 - 2023</v>
          </cell>
          <cell r="D1646" t="str">
            <v>avg</v>
          </cell>
          <cell r="E1646" t="str">
            <v>gdp_inf_serv</v>
          </cell>
          <cell r="F1646">
            <v>0.48235800862312322</v>
          </cell>
        </row>
        <row r="1647">
          <cell r="A1647" t="str">
            <v>DOM</v>
          </cell>
          <cell r="B1647" t="str">
            <v>Short</v>
          </cell>
          <cell r="C1647" t="str">
            <v>2018 - 2023</v>
          </cell>
          <cell r="D1647" t="str">
            <v>avg</v>
          </cell>
          <cell r="E1647" t="str">
            <v>prod_for_agri</v>
          </cell>
          <cell r="F1647">
            <v>0.43726444244384771</v>
          </cell>
        </row>
        <row r="1648">
          <cell r="A1648" t="str">
            <v>DOM</v>
          </cell>
          <cell r="B1648" t="str">
            <v>Short</v>
          </cell>
          <cell r="C1648" t="str">
            <v>2018 - 2023</v>
          </cell>
          <cell r="D1648" t="str">
            <v>avg</v>
          </cell>
          <cell r="E1648" t="str">
            <v>prod_for_ind</v>
          </cell>
          <cell r="F1648">
            <v>-0.19054462015628809</v>
          </cell>
        </row>
        <row r="1649">
          <cell r="A1649" t="str">
            <v>DOM</v>
          </cell>
          <cell r="B1649" t="str">
            <v>Short</v>
          </cell>
          <cell r="C1649" t="str">
            <v>2018 - 2023</v>
          </cell>
          <cell r="D1649" t="str">
            <v>avg</v>
          </cell>
          <cell r="E1649" t="str">
            <v>prod_for_serv</v>
          </cell>
          <cell r="F1649">
            <v>2.8363568782806401</v>
          </cell>
        </row>
        <row r="1650">
          <cell r="A1650" t="str">
            <v>DOM</v>
          </cell>
          <cell r="B1650" t="str">
            <v>Short</v>
          </cell>
          <cell r="C1650" t="str">
            <v>2018 - 2023</v>
          </cell>
          <cell r="D1650" t="str">
            <v>avg</v>
          </cell>
          <cell r="E1650" t="str">
            <v>prod_inf_agri</v>
          </cell>
          <cell r="F1650">
            <v>0.23520591855049131</v>
          </cell>
        </row>
        <row r="1651">
          <cell r="A1651" t="str">
            <v>DOM</v>
          </cell>
          <cell r="B1651" t="str">
            <v>Short</v>
          </cell>
          <cell r="C1651" t="str">
            <v>2018 - 2023</v>
          </cell>
          <cell r="D1651" t="str">
            <v>avg</v>
          </cell>
          <cell r="E1651" t="str">
            <v>prod_inf_ind</v>
          </cell>
          <cell r="F1651">
            <v>1.335906982421875</v>
          </cell>
        </row>
        <row r="1652">
          <cell r="A1652" t="str">
            <v>DOM</v>
          </cell>
          <cell r="B1652" t="str">
            <v>Short</v>
          </cell>
          <cell r="C1652" t="str">
            <v>2018 - 2023</v>
          </cell>
          <cell r="D1652" t="str">
            <v>avg</v>
          </cell>
          <cell r="E1652" t="str">
            <v>prod_inf_serv</v>
          </cell>
          <cell r="F1652">
            <v>0.27109268307685852</v>
          </cell>
        </row>
        <row r="1653">
          <cell r="A1653" t="str">
            <v>DOM</v>
          </cell>
          <cell r="B1653" t="str">
            <v>Short</v>
          </cell>
          <cell r="C1653" t="str">
            <v>2018 - 2023</v>
          </cell>
          <cell r="D1653" t="str">
            <v>avg_1_99</v>
          </cell>
          <cell r="E1653" t="str">
            <v>gdp_activity</v>
          </cell>
          <cell r="F1653">
            <v>0.60727226734161377</v>
          </cell>
        </row>
        <row r="1654">
          <cell r="A1654" t="str">
            <v>DOM</v>
          </cell>
          <cell r="B1654" t="str">
            <v>Short</v>
          </cell>
          <cell r="C1654" t="str">
            <v>2018 - 2023</v>
          </cell>
          <cell r="D1654" t="str">
            <v>avg_1_99</v>
          </cell>
          <cell r="E1654" t="str">
            <v>gdp_for_agri</v>
          </cell>
          <cell r="F1654">
            <v>-1.3791540861129761</v>
          </cell>
        </row>
        <row r="1655">
          <cell r="A1655" t="str">
            <v>DOM</v>
          </cell>
          <cell r="B1655" t="str">
            <v>Short</v>
          </cell>
          <cell r="C1655" t="str">
            <v>2018 - 2023</v>
          </cell>
          <cell r="D1655" t="str">
            <v>avg_1_99</v>
          </cell>
          <cell r="E1655" t="str">
            <v>gdp_for_ind</v>
          </cell>
          <cell r="F1655">
            <v>-1.1968421936035161</v>
          </cell>
        </row>
        <row r="1656">
          <cell r="A1656" t="str">
            <v>DOM</v>
          </cell>
          <cell r="B1656" t="str">
            <v>Short</v>
          </cell>
          <cell r="C1656" t="str">
            <v>2018 - 2023</v>
          </cell>
          <cell r="D1656" t="str">
            <v>avg_1_99</v>
          </cell>
          <cell r="E1656" t="str">
            <v>gdp_for_serv</v>
          </cell>
          <cell r="F1656">
            <v>1.3590430021286011</v>
          </cell>
        </row>
        <row r="1657">
          <cell r="A1657" t="str">
            <v>DOM</v>
          </cell>
          <cell r="B1657" t="str">
            <v>Short</v>
          </cell>
          <cell r="C1657" t="str">
            <v>2018 - 2023</v>
          </cell>
          <cell r="D1657" t="str">
            <v>avg_1_99</v>
          </cell>
          <cell r="E1657" t="str">
            <v>gdp_inf_agri</v>
          </cell>
          <cell r="F1657">
            <v>-0.97629499435424805</v>
          </cell>
        </row>
        <row r="1658">
          <cell r="A1658" t="str">
            <v>DOM</v>
          </cell>
          <cell r="B1658" t="str">
            <v>Short</v>
          </cell>
          <cell r="C1658" t="str">
            <v>2018 - 2023</v>
          </cell>
          <cell r="D1658" t="str">
            <v>avg_1_99</v>
          </cell>
          <cell r="E1658" t="str">
            <v>gdp_inf_ind</v>
          </cell>
          <cell r="F1658">
            <v>-4.8642449378967294</v>
          </cell>
        </row>
        <row r="1659">
          <cell r="A1659" t="str">
            <v>DOM</v>
          </cell>
          <cell r="B1659" t="str">
            <v>Short</v>
          </cell>
          <cell r="C1659" t="str">
            <v>2018 - 2023</v>
          </cell>
          <cell r="D1659" t="str">
            <v>avg_1_99</v>
          </cell>
          <cell r="E1659" t="str">
            <v>gdp_inf_serv</v>
          </cell>
          <cell r="F1659">
            <v>0.48235800862312322</v>
          </cell>
        </row>
        <row r="1660">
          <cell r="A1660" t="str">
            <v>DOM</v>
          </cell>
          <cell r="B1660" t="str">
            <v>Short</v>
          </cell>
          <cell r="C1660" t="str">
            <v>2018 - 2023</v>
          </cell>
          <cell r="D1660" t="str">
            <v>avg_1_99</v>
          </cell>
          <cell r="E1660" t="str">
            <v>prod_for_agri</v>
          </cell>
          <cell r="F1660">
            <v>0.43726444244384771</v>
          </cell>
        </row>
        <row r="1661">
          <cell r="A1661" t="str">
            <v>DOM</v>
          </cell>
          <cell r="B1661" t="str">
            <v>Short</v>
          </cell>
          <cell r="C1661" t="str">
            <v>2018 - 2023</v>
          </cell>
          <cell r="D1661" t="str">
            <v>avg_1_99</v>
          </cell>
          <cell r="E1661" t="str">
            <v>prod_for_ind</v>
          </cell>
          <cell r="F1661">
            <v>0.40612009167671198</v>
          </cell>
        </row>
        <row r="1662">
          <cell r="A1662" t="str">
            <v>DOM</v>
          </cell>
          <cell r="B1662" t="str">
            <v>Short</v>
          </cell>
          <cell r="C1662" t="str">
            <v>2018 - 2023</v>
          </cell>
          <cell r="D1662" t="str">
            <v>avg_1_99</v>
          </cell>
          <cell r="E1662" t="str">
            <v>prod_for_serv</v>
          </cell>
          <cell r="F1662">
            <v>2.8363568782806401</v>
          </cell>
        </row>
        <row r="1663">
          <cell r="A1663" t="str">
            <v>DOM</v>
          </cell>
          <cell r="B1663" t="str">
            <v>Short</v>
          </cell>
          <cell r="C1663" t="str">
            <v>2018 - 2023</v>
          </cell>
          <cell r="D1663" t="str">
            <v>avg_1_99</v>
          </cell>
          <cell r="E1663" t="str">
            <v>prod_inf_agri</v>
          </cell>
          <cell r="F1663">
            <v>0.23520591855049131</v>
          </cell>
        </row>
        <row r="1664">
          <cell r="A1664" t="str">
            <v>DOM</v>
          </cell>
          <cell r="B1664" t="str">
            <v>Short</v>
          </cell>
          <cell r="C1664" t="str">
            <v>2018 - 2023</v>
          </cell>
          <cell r="D1664" t="str">
            <v>avg_1_99</v>
          </cell>
          <cell r="E1664" t="str">
            <v>prod_inf_ind</v>
          </cell>
          <cell r="F1664">
            <v>0.44242891669273382</v>
          </cell>
        </row>
        <row r="1665">
          <cell r="A1665" t="str">
            <v>DOM</v>
          </cell>
          <cell r="B1665" t="str">
            <v>Short</v>
          </cell>
          <cell r="C1665" t="str">
            <v>2018 - 2023</v>
          </cell>
          <cell r="D1665" t="str">
            <v>avg_1_99</v>
          </cell>
          <cell r="E1665" t="str">
            <v>prod_inf_serv</v>
          </cell>
          <cell r="F1665">
            <v>0.27109268307685852</v>
          </cell>
        </row>
        <row r="1666">
          <cell r="A1666" t="str">
            <v>DOM</v>
          </cell>
          <cell r="B1666" t="str">
            <v>Short</v>
          </cell>
          <cell r="C1666" t="str">
            <v>2018 - 2023</v>
          </cell>
          <cell r="D1666" t="str">
            <v>avg_1_99_imp</v>
          </cell>
          <cell r="E1666" t="str">
            <v>gdp_activity</v>
          </cell>
          <cell r="F1666">
            <v>0.59663820266723633</v>
          </cell>
        </row>
        <row r="1667">
          <cell r="A1667" t="str">
            <v>DOM</v>
          </cell>
          <cell r="B1667" t="str">
            <v>Short</v>
          </cell>
          <cell r="C1667" t="str">
            <v>2018 - 2023</v>
          </cell>
          <cell r="D1667" t="str">
            <v>avg_1_99_imp</v>
          </cell>
          <cell r="E1667" t="str">
            <v>gdp_for_agri</v>
          </cell>
          <cell r="F1667">
            <v>-1.3791540861129761</v>
          </cell>
        </row>
        <row r="1668">
          <cell r="A1668" t="str">
            <v>DOM</v>
          </cell>
          <cell r="B1668" t="str">
            <v>Short</v>
          </cell>
          <cell r="C1668" t="str">
            <v>2018 - 2023</v>
          </cell>
          <cell r="D1668" t="str">
            <v>avg_1_99_imp</v>
          </cell>
          <cell r="E1668" t="str">
            <v>gdp_for_ind</v>
          </cell>
          <cell r="F1668">
            <v>-1.050198435783386</v>
          </cell>
        </row>
        <row r="1669">
          <cell r="A1669" t="str">
            <v>DOM</v>
          </cell>
          <cell r="B1669" t="str">
            <v>Short</v>
          </cell>
          <cell r="C1669" t="str">
            <v>2018 - 2023</v>
          </cell>
          <cell r="D1669" t="str">
            <v>avg_1_99_imp</v>
          </cell>
          <cell r="E1669" t="str">
            <v>gdp_for_serv</v>
          </cell>
          <cell r="F1669">
            <v>1.3225693702697749</v>
          </cell>
        </row>
        <row r="1670">
          <cell r="A1670" t="str">
            <v>DOM</v>
          </cell>
          <cell r="B1670" t="str">
            <v>Short</v>
          </cell>
          <cell r="C1670" t="str">
            <v>2018 - 2023</v>
          </cell>
          <cell r="D1670" t="str">
            <v>avg_1_99_imp</v>
          </cell>
          <cell r="E1670" t="str">
            <v>gdp_inf_agri</v>
          </cell>
          <cell r="F1670">
            <v>-0.97629499435424805</v>
          </cell>
        </row>
        <row r="1671">
          <cell r="A1671" t="str">
            <v>DOM</v>
          </cell>
          <cell r="B1671" t="str">
            <v>Short</v>
          </cell>
          <cell r="C1671" t="str">
            <v>2018 - 2023</v>
          </cell>
          <cell r="D1671" t="str">
            <v>avg_1_99_imp</v>
          </cell>
          <cell r="E1671" t="str">
            <v>gdp_inf_ind</v>
          </cell>
          <cell r="F1671">
            <v>-4.8642449378967294</v>
          </cell>
        </row>
        <row r="1672">
          <cell r="A1672" t="str">
            <v>DOM</v>
          </cell>
          <cell r="B1672" t="str">
            <v>Short</v>
          </cell>
          <cell r="C1672" t="str">
            <v>2018 - 2023</v>
          </cell>
          <cell r="D1672" t="str">
            <v>avg_1_99_imp</v>
          </cell>
          <cell r="E1672" t="str">
            <v>gdp_inf_serv</v>
          </cell>
          <cell r="F1672">
            <v>0.48235800862312322</v>
          </cell>
        </row>
        <row r="1673">
          <cell r="A1673" t="str">
            <v>DOM</v>
          </cell>
          <cell r="B1673" t="str">
            <v>Short</v>
          </cell>
          <cell r="C1673" t="str">
            <v>2018 - 2023</v>
          </cell>
          <cell r="D1673" t="str">
            <v>avg_1_99_imp</v>
          </cell>
          <cell r="E1673" t="str">
            <v>prod_for_agri</v>
          </cell>
          <cell r="F1673">
            <v>0.74463194608688354</v>
          </cell>
        </row>
        <row r="1674">
          <cell r="A1674" t="str">
            <v>DOM</v>
          </cell>
          <cell r="B1674" t="str">
            <v>Short</v>
          </cell>
          <cell r="C1674" t="str">
            <v>2018 - 2023</v>
          </cell>
          <cell r="D1674" t="str">
            <v>avg_1_99_imp</v>
          </cell>
          <cell r="E1674" t="str">
            <v>prod_for_ind</v>
          </cell>
          <cell r="F1674">
            <v>0.43915989995002752</v>
          </cell>
        </row>
        <row r="1675">
          <cell r="A1675" t="str">
            <v>DOM</v>
          </cell>
          <cell r="B1675" t="str">
            <v>Short</v>
          </cell>
          <cell r="C1675" t="str">
            <v>2018 - 2023</v>
          </cell>
          <cell r="D1675" t="str">
            <v>avg_1_99_imp</v>
          </cell>
          <cell r="E1675" t="str">
            <v>prod_for_serv</v>
          </cell>
          <cell r="F1675">
            <v>-2.3412919044494629</v>
          </cell>
        </row>
        <row r="1676">
          <cell r="A1676" t="str">
            <v>DOM</v>
          </cell>
          <cell r="B1676" t="str">
            <v>Short</v>
          </cell>
          <cell r="C1676" t="str">
            <v>2018 - 2023</v>
          </cell>
          <cell r="D1676" t="str">
            <v>avg_1_99_imp</v>
          </cell>
          <cell r="E1676" t="str">
            <v>prod_inf_agri</v>
          </cell>
          <cell r="F1676">
            <v>0.23520591855049131</v>
          </cell>
        </row>
        <row r="1677">
          <cell r="A1677" t="str">
            <v>DOM</v>
          </cell>
          <cell r="B1677" t="str">
            <v>Short</v>
          </cell>
          <cell r="C1677" t="str">
            <v>2018 - 2023</v>
          </cell>
          <cell r="D1677" t="str">
            <v>avg_1_99_imp</v>
          </cell>
          <cell r="E1677" t="str">
            <v>prod_inf_ind</v>
          </cell>
          <cell r="F1677">
            <v>0.36725586652755737</v>
          </cell>
        </row>
        <row r="1678">
          <cell r="A1678" t="str">
            <v>DOM</v>
          </cell>
          <cell r="B1678" t="str">
            <v>Short</v>
          </cell>
          <cell r="C1678" t="str">
            <v>2018 - 2023</v>
          </cell>
          <cell r="D1678" t="str">
            <v>avg_1_99_imp</v>
          </cell>
          <cell r="E1678" t="str">
            <v>prod_inf_serv</v>
          </cell>
          <cell r="F1678">
            <v>0.27109268307685852</v>
          </cell>
        </row>
        <row r="1679">
          <cell r="A1679" t="str">
            <v>DOM</v>
          </cell>
          <cell r="B1679" t="str">
            <v>Short</v>
          </cell>
          <cell r="C1679" t="str">
            <v>2018 - 2023</v>
          </cell>
          <cell r="D1679" t="str">
            <v>reg</v>
          </cell>
          <cell r="E1679" t="str">
            <v>gdp_activity</v>
          </cell>
          <cell r="F1679">
            <v>0.30660593509674072</v>
          </cell>
        </row>
        <row r="1680">
          <cell r="A1680" t="str">
            <v>DOM</v>
          </cell>
          <cell r="B1680" t="str">
            <v>Short</v>
          </cell>
          <cell r="C1680" t="str">
            <v>2018 - 2023</v>
          </cell>
          <cell r="D1680" t="str">
            <v>reg</v>
          </cell>
          <cell r="E1680" t="str">
            <v>gdp_for_agri</v>
          </cell>
          <cell r="F1680">
            <v>-0.82656455039978027</v>
          </cell>
        </row>
        <row r="1681">
          <cell r="A1681" t="str">
            <v>DOM</v>
          </cell>
          <cell r="B1681" t="str">
            <v>Short</v>
          </cell>
          <cell r="C1681" t="str">
            <v>2018 - 2023</v>
          </cell>
          <cell r="D1681" t="str">
            <v>reg</v>
          </cell>
          <cell r="E1681" t="str">
            <v>gdp_for_ind</v>
          </cell>
          <cell r="F1681">
            <v>-0.484444260597229</v>
          </cell>
        </row>
        <row r="1682">
          <cell r="A1682" t="str">
            <v>DOM</v>
          </cell>
          <cell r="B1682" t="str">
            <v>Short</v>
          </cell>
          <cell r="C1682" t="str">
            <v>2018 - 2023</v>
          </cell>
          <cell r="D1682" t="str">
            <v>reg</v>
          </cell>
          <cell r="E1682" t="str">
            <v>gdp_for_serv</v>
          </cell>
          <cell r="F1682">
            <v>0.7551153302192688</v>
          </cell>
        </row>
        <row r="1683">
          <cell r="A1683" t="str">
            <v>DOM</v>
          </cell>
          <cell r="B1683" t="str">
            <v>Short</v>
          </cell>
          <cell r="C1683" t="str">
            <v>2018 - 2023</v>
          </cell>
          <cell r="D1683" t="str">
            <v>reg</v>
          </cell>
          <cell r="E1683" t="str">
            <v>gdp_inf_agri</v>
          </cell>
          <cell r="F1683">
            <v>-1.1178685426712041</v>
          </cell>
        </row>
        <row r="1684">
          <cell r="A1684" t="str">
            <v>DOM</v>
          </cell>
          <cell r="B1684" t="str">
            <v>Short</v>
          </cell>
          <cell r="C1684" t="str">
            <v>2018 - 2023</v>
          </cell>
          <cell r="D1684" t="str">
            <v>reg</v>
          </cell>
          <cell r="E1684" t="str">
            <v>gdp_inf_ind</v>
          </cell>
          <cell r="F1684">
            <v>0.94192260503768921</v>
          </cell>
        </row>
        <row r="1685">
          <cell r="A1685" t="str">
            <v>DOM</v>
          </cell>
          <cell r="B1685" t="str">
            <v>Short</v>
          </cell>
          <cell r="C1685" t="str">
            <v>2018 - 2023</v>
          </cell>
          <cell r="D1685" t="str">
            <v>reg</v>
          </cell>
          <cell r="E1685" t="str">
            <v>gdp_inf_serv</v>
          </cell>
          <cell r="F1685">
            <v>0.59405851364135742</v>
          </cell>
        </row>
        <row r="1686">
          <cell r="A1686" t="str">
            <v>DOM</v>
          </cell>
          <cell r="B1686" t="str">
            <v>Short</v>
          </cell>
          <cell r="C1686" t="str">
            <v>2018 - 2023</v>
          </cell>
          <cell r="D1686" t="str">
            <v>reg</v>
          </cell>
          <cell r="E1686" t="str">
            <v>prod_for_agri</v>
          </cell>
          <cell r="F1686">
            <v>0.25928688049316412</v>
          </cell>
        </row>
        <row r="1687">
          <cell r="A1687" t="str">
            <v>DOM</v>
          </cell>
          <cell r="B1687" t="str">
            <v>Short</v>
          </cell>
          <cell r="C1687" t="str">
            <v>2018 - 2023</v>
          </cell>
          <cell r="D1687" t="str">
            <v>reg</v>
          </cell>
          <cell r="E1687" t="str">
            <v>prod_for_ind</v>
          </cell>
          <cell r="F1687">
            <v>0.85172003507614136</v>
          </cell>
        </row>
        <row r="1688">
          <cell r="A1688" t="str">
            <v>DOM</v>
          </cell>
          <cell r="B1688" t="str">
            <v>Short</v>
          </cell>
          <cell r="C1688" t="str">
            <v>2018 - 2023</v>
          </cell>
          <cell r="D1688" t="str">
            <v>reg</v>
          </cell>
          <cell r="E1688" t="str">
            <v>prod_for_serv</v>
          </cell>
          <cell r="F1688">
            <v>-2.5094542503356929</v>
          </cell>
        </row>
        <row r="1689">
          <cell r="A1689" t="str">
            <v>DOM</v>
          </cell>
          <cell r="B1689" t="str">
            <v>Short</v>
          </cell>
          <cell r="C1689" t="str">
            <v>2018 - 2023</v>
          </cell>
          <cell r="D1689" t="str">
            <v>reg</v>
          </cell>
          <cell r="E1689" t="str">
            <v>prod_inf_agri</v>
          </cell>
          <cell r="F1689">
            <v>-0.29810333251953131</v>
          </cell>
        </row>
        <row r="1690">
          <cell r="A1690" t="str">
            <v>DOM</v>
          </cell>
          <cell r="B1690" t="str">
            <v>Short</v>
          </cell>
          <cell r="C1690" t="str">
            <v>2018 - 2023</v>
          </cell>
          <cell r="D1690" t="str">
            <v>reg</v>
          </cell>
          <cell r="E1690" t="str">
            <v>prod_inf_ind</v>
          </cell>
          <cell r="F1690">
            <v>-8.5706591606140137E-2</v>
          </cell>
        </row>
        <row r="1691">
          <cell r="A1691" t="str">
            <v>DOM</v>
          </cell>
          <cell r="B1691" t="str">
            <v>Short</v>
          </cell>
          <cell r="C1691" t="str">
            <v>2018 - 2023</v>
          </cell>
          <cell r="D1691" t="str">
            <v>reg</v>
          </cell>
          <cell r="E1691" t="str">
            <v>prod_inf_serv</v>
          </cell>
          <cell r="F1691">
            <v>-0.99531394243240356</v>
          </cell>
        </row>
        <row r="1692">
          <cell r="A1692" t="str">
            <v>DOM</v>
          </cell>
          <cell r="B1692" t="str">
            <v>Short</v>
          </cell>
          <cell r="C1692" t="str">
            <v>2018 - 2023</v>
          </cell>
          <cell r="D1692" t="str">
            <v>reg_gdp</v>
          </cell>
          <cell r="E1692" t="str">
            <v>gdp_activity</v>
          </cell>
          <cell r="F1692">
            <v>0.30660593509674072</v>
          </cell>
        </row>
        <row r="1693">
          <cell r="A1693" t="str">
            <v>DOM</v>
          </cell>
          <cell r="B1693" t="str">
            <v>Short</v>
          </cell>
          <cell r="C1693" t="str">
            <v>2018 - 2023</v>
          </cell>
          <cell r="D1693" t="str">
            <v>reg_gdp</v>
          </cell>
          <cell r="E1693" t="str">
            <v>gdp_for_agri</v>
          </cell>
          <cell r="F1693">
            <v>-1.0190261602401729</v>
          </cell>
        </row>
        <row r="1694">
          <cell r="A1694" t="str">
            <v>DOM</v>
          </cell>
          <cell r="B1694" t="str">
            <v>Short</v>
          </cell>
          <cell r="C1694" t="str">
            <v>2018 - 2023</v>
          </cell>
          <cell r="D1694" t="str">
            <v>reg_gdp</v>
          </cell>
          <cell r="E1694" t="str">
            <v>gdp_for_ind</v>
          </cell>
          <cell r="F1694">
            <v>0.1173708885908127</v>
          </cell>
        </row>
        <row r="1695">
          <cell r="A1695" t="str">
            <v>DOM</v>
          </cell>
          <cell r="B1695" t="str">
            <v>Short</v>
          </cell>
          <cell r="C1695" t="str">
            <v>2018 - 2023</v>
          </cell>
          <cell r="D1695" t="str">
            <v>reg_gdp</v>
          </cell>
          <cell r="E1695" t="str">
            <v>gdp_for_serv</v>
          </cell>
          <cell r="F1695">
            <v>3.9396541118621831</v>
          </cell>
        </row>
        <row r="1696">
          <cell r="A1696" t="str">
            <v>DOM</v>
          </cell>
          <cell r="B1696" t="str">
            <v>Short</v>
          </cell>
          <cell r="C1696" t="str">
            <v>2018 - 2023</v>
          </cell>
          <cell r="D1696" t="str">
            <v>reg_gdp</v>
          </cell>
          <cell r="E1696" t="str">
            <v>gdp_inf_agri</v>
          </cell>
          <cell r="F1696">
            <v>-1.2425104379653931</v>
          </cell>
        </row>
        <row r="1697">
          <cell r="A1697" t="str">
            <v>DOM</v>
          </cell>
          <cell r="B1697" t="str">
            <v>Short</v>
          </cell>
          <cell r="C1697" t="str">
            <v>2018 - 2023</v>
          </cell>
          <cell r="D1697" t="str">
            <v>reg_gdp</v>
          </cell>
          <cell r="E1697" t="str">
            <v>gdp_inf_ind</v>
          </cell>
          <cell r="F1697">
            <v>1.19121241569519</v>
          </cell>
        </row>
        <row r="1698">
          <cell r="A1698" t="str">
            <v>DOM</v>
          </cell>
          <cell r="B1698" t="str">
            <v>Short</v>
          </cell>
          <cell r="C1698" t="str">
            <v>2018 - 2023</v>
          </cell>
          <cell r="D1698" t="str">
            <v>reg_gdp</v>
          </cell>
          <cell r="E1698" t="str">
            <v>gdp_inf_serv</v>
          </cell>
          <cell r="F1698">
            <v>0.85649651288986206</v>
          </cell>
        </row>
        <row r="1699">
          <cell r="A1699" t="str">
            <v>DOM</v>
          </cell>
          <cell r="B1699" t="str">
            <v>Short</v>
          </cell>
          <cell r="C1699" t="str">
            <v>2018 - 2023</v>
          </cell>
          <cell r="D1699" t="str">
            <v>reg_gdp</v>
          </cell>
          <cell r="E1699" t="str">
            <v>prod_for_agri</v>
          </cell>
          <cell r="F1699">
            <v>-0.55479830503463745</v>
          </cell>
        </row>
        <row r="1700">
          <cell r="A1700" t="str">
            <v>DOM</v>
          </cell>
          <cell r="B1700" t="str">
            <v>Short</v>
          </cell>
          <cell r="C1700" t="str">
            <v>2018 - 2023</v>
          </cell>
          <cell r="D1700" t="str">
            <v>reg_gdp</v>
          </cell>
          <cell r="E1700" t="str">
            <v>prod_for_ind</v>
          </cell>
          <cell r="F1700">
            <v>-0.24653294682502749</v>
          </cell>
        </row>
        <row r="1701">
          <cell r="A1701" t="str">
            <v>DOM</v>
          </cell>
          <cell r="B1701" t="str">
            <v>Short</v>
          </cell>
          <cell r="C1701" t="str">
            <v>2018 - 2023</v>
          </cell>
          <cell r="D1701" t="str">
            <v>reg_gdp</v>
          </cell>
          <cell r="E1701" t="str">
            <v>prod_for_serv</v>
          </cell>
          <cell r="F1701">
            <v>-3.6637811660766602</v>
          </cell>
        </row>
        <row r="1702">
          <cell r="A1702" t="str">
            <v>DOM</v>
          </cell>
          <cell r="B1702" t="str">
            <v>Short</v>
          </cell>
          <cell r="C1702" t="str">
            <v>2018 - 2023</v>
          </cell>
          <cell r="D1702" t="str">
            <v>reg_gdp</v>
          </cell>
          <cell r="E1702" t="str">
            <v>prod_inf_agri</v>
          </cell>
          <cell r="F1702">
            <v>-0.84136521816253662</v>
          </cell>
        </row>
        <row r="1703">
          <cell r="A1703" t="str">
            <v>DOM</v>
          </cell>
          <cell r="B1703" t="str">
            <v>Short</v>
          </cell>
          <cell r="C1703" t="str">
            <v>2018 - 2023</v>
          </cell>
          <cell r="D1703" t="str">
            <v>reg_gdp</v>
          </cell>
          <cell r="E1703" t="str">
            <v>prod_inf_ind</v>
          </cell>
          <cell r="F1703">
            <v>-0.50385117530822754</v>
          </cell>
        </row>
        <row r="1704">
          <cell r="A1704" t="str">
            <v>DOM</v>
          </cell>
          <cell r="B1704" t="str">
            <v>Short</v>
          </cell>
          <cell r="C1704" t="str">
            <v>2018 - 2023</v>
          </cell>
          <cell r="D1704" t="str">
            <v>reg_gdp</v>
          </cell>
          <cell r="E1704" t="str">
            <v>prod_inf_serv</v>
          </cell>
          <cell r="F1704">
            <v>-2.62505030632019</v>
          </cell>
        </row>
        <row r="1705">
          <cell r="A1705" t="str">
            <v>DOM</v>
          </cell>
          <cell r="B1705" t="str">
            <v>Short</v>
          </cell>
          <cell r="C1705" t="str">
            <v>2018 - 2023</v>
          </cell>
          <cell r="D1705" t="str">
            <v>reg_iter</v>
          </cell>
          <cell r="E1705" t="str">
            <v>gdp_activity</v>
          </cell>
          <cell r="F1705">
            <v>0.32441967725753779</v>
          </cell>
        </row>
        <row r="1706">
          <cell r="A1706" t="str">
            <v>DOM</v>
          </cell>
          <cell r="B1706" t="str">
            <v>Short</v>
          </cell>
          <cell r="C1706" t="str">
            <v>2018 - 2023</v>
          </cell>
          <cell r="D1706" t="str">
            <v>reg_iter</v>
          </cell>
          <cell r="E1706" t="str">
            <v>gdp_for_agri</v>
          </cell>
          <cell r="F1706">
            <v>-0.80224335193634033</v>
          </cell>
        </row>
        <row r="1707">
          <cell r="A1707" t="str">
            <v>DOM</v>
          </cell>
          <cell r="B1707" t="str">
            <v>Short</v>
          </cell>
          <cell r="C1707" t="str">
            <v>2018 - 2023</v>
          </cell>
          <cell r="D1707" t="str">
            <v>reg_iter</v>
          </cell>
          <cell r="E1707" t="str">
            <v>gdp_for_ind</v>
          </cell>
          <cell r="F1707">
            <v>-0.37040594220161438</v>
          </cell>
        </row>
        <row r="1708">
          <cell r="A1708" t="str">
            <v>DOM</v>
          </cell>
          <cell r="B1708" t="str">
            <v>Short</v>
          </cell>
          <cell r="C1708" t="str">
            <v>2018 - 2023</v>
          </cell>
          <cell r="D1708" t="str">
            <v>reg_iter</v>
          </cell>
          <cell r="E1708" t="str">
            <v>gdp_for_serv</v>
          </cell>
          <cell r="F1708">
            <v>0.89476877450942993</v>
          </cell>
        </row>
        <row r="1709">
          <cell r="A1709" t="str">
            <v>DOM</v>
          </cell>
          <cell r="B1709" t="str">
            <v>Short</v>
          </cell>
          <cell r="C1709" t="str">
            <v>2018 - 2023</v>
          </cell>
          <cell r="D1709" t="str">
            <v>reg_iter</v>
          </cell>
          <cell r="E1709" t="str">
            <v>gdp_inf_agri</v>
          </cell>
          <cell r="F1709">
            <v>-1.088157653808594</v>
          </cell>
        </row>
        <row r="1710">
          <cell r="A1710" t="str">
            <v>DOM</v>
          </cell>
          <cell r="B1710" t="str">
            <v>Short</v>
          </cell>
          <cell r="C1710" t="str">
            <v>2018 - 2023</v>
          </cell>
          <cell r="D1710" t="str">
            <v>reg_iter</v>
          </cell>
          <cell r="E1710" t="str">
            <v>gdp_inf_ind</v>
          </cell>
          <cell r="F1710">
            <v>0.64343512058258057</v>
          </cell>
        </row>
        <row r="1711">
          <cell r="A1711" t="str">
            <v>DOM</v>
          </cell>
          <cell r="B1711" t="str">
            <v>Short</v>
          </cell>
          <cell r="C1711" t="str">
            <v>2018 - 2023</v>
          </cell>
          <cell r="D1711" t="str">
            <v>reg_iter</v>
          </cell>
          <cell r="E1711" t="str">
            <v>gdp_inf_serv</v>
          </cell>
          <cell r="F1711">
            <v>0.53582417964935303</v>
          </cell>
        </row>
        <row r="1712">
          <cell r="A1712" t="str">
            <v>DOM</v>
          </cell>
          <cell r="B1712" t="str">
            <v>Short</v>
          </cell>
          <cell r="C1712" t="str">
            <v>2018 - 2023</v>
          </cell>
          <cell r="D1712" t="str">
            <v>reg_iter</v>
          </cell>
          <cell r="E1712" t="str">
            <v>prod_for_agri</v>
          </cell>
          <cell r="F1712">
            <v>0.2020369619131088</v>
          </cell>
        </row>
        <row r="1713">
          <cell r="A1713" t="str">
            <v>DOM</v>
          </cell>
          <cell r="B1713" t="str">
            <v>Short</v>
          </cell>
          <cell r="C1713" t="str">
            <v>2018 - 2023</v>
          </cell>
          <cell r="D1713" t="str">
            <v>reg_iter</v>
          </cell>
          <cell r="E1713" t="str">
            <v>prod_for_ind</v>
          </cell>
          <cell r="F1713">
            <v>0.85026949644088745</v>
          </cell>
        </row>
        <row r="1714">
          <cell r="A1714" t="str">
            <v>DOM</v>
          </cell>
          <cell r="B1714" t="str">
            <v>Short</v>
          </cell>
          <cell r="C1714" t="str">
            <v>2018 - 2023</v>
          </cell>
          <cell r="D1714" t="str">
            <v>reg_iter</v>
          </cell>
          <cell r="E1714" t="str">
            <v>prod_for_serv</v>
          </cell>
          <cell r="F1714">
            <v>-2.780117273330688</v>
          </cell>
        </row>
        <row r="1715">
          <cell r="A1715" t="str">
            <v>DOM</v>
          </cell>
          <cell r="B1715" t="str">
            <v>Short</v>
          </cell>
          <cell r="C1715" t="str">
            <v>2018 - 2023</v>
          </cell>
          <cell r="D1715" t="str">
            <v>reg_iter</v>
          </cell>
          <cell r="E1715" t="str">
            <v>prod_inf_agri</v>
          </cell>
          <cell r="F1715">
            <v>-0.29472148418426508</v>
          </cell>
        </row>
        <row r="1716">
          <cell r="A1716" t="str">
            <v>DOM</v>
          </cell>
          <cell r="B1716" t="str">
            <v>Short</v>
          </cell>
          <cell r="C1716" t="str">
            <v>2018 - 2023</v>
          </cell>
          <cell r="D1716" t="str">
            <v>reg_iter</v>
          </cell>
          <cell r="E1716" t="str">
            <v>prod_inf_ind</v>
          </cell>
          <cell r="F1716">
            <v>-5.1334202289581299E-2</v>
          </cell>
        </row>
        <row r="1717">
          <cell r="A1717" t="str">
            <v>DOM</v>
          </cell>
          <cell r="B1717" t="str">
            <v>Short</v>
          </cell>
          <cell r="C1717" t="str">
            <v>2018 - 2023</v>
          </cell>
          <cell r="D1717" t="str">
            <v>reg_iter</v>
          </cell>
          <cell r="E1717" t="str">
            <v>prod_inf_serv</v>
          </cell>
          <cell r="F1717">
            <v>-0.72428470849990845</v>
          </cell>
        </row>
        <row r="1718">
          <cell r="A1718" t="str">
            <v>ECU</v>
          </cell>
          <cell r="B1718" t="str">
            <v>Long</v>
          </cell>
          <cell r="C1718" t="str">
            <v>2006 - 2023</v>
          </cell>
          <cell r="D1718" t="str">
            <v>avg</v>
          </cell>
          <cell r="E1718" t="str">
            <v>gdp_activity</v>
          </cell>
          <cell r="F1718">
            <v>1.6190581321716311</v>
          </cell>
        </row>
        <row r="1719">
          <cell r="A1719" t="str">
            <v>ECU</v>
          </cell>
          <cell r="B1719" t="str">
            <v>Long</v>
          </cell>
          <cell r="C1719" t="str">
            <v>2006 - 2023</v>
          </cell>
          <cell r="D1719" t="str">
            <v>avg</v>
          </cell>
          <cell r="E1719" t="str">
            <v>gdp_for_agri</v>
          </cell>
          <cell r="F1719">
            <v>-91.160873413085938</v>
          </cell>
        </row>
        <row r="1720">
          <cell r="A1720" t="str">
            <v>ECU</v>
          </cell>
          <cell r="B1720" t="str">
            <v>Long</v>
          </cell>
          <cell r="C1720" t="str">
            <v>2006 - 2023</v>
          </cell>
          <cell r="D1720" t="str">
            <v>avg</v>
          </cell>
          <cell r="E1720" t="str">
            <v>gdp_for_ind</v>
          </cell>
          <cell r="F1720">
            <v>-1.437134742736816</v>
          </cell>
        </row>
        <row r="1721">
          <cell r="A1721" t="str">
            <v>ECU</v>
          </cell>
          <cell r="B1721" t="str">
            <v>Long</v>
          </cell>
          <cell r="C1721" t="str">
            <v>2006 - 2023</v>
          </cell>
          <cell r="D1721" t="str">
            <v>avg</v>
          </cell>
          <cell r="E1721" t="str">
            <v>gdp_for_serv</v>
          </cell>
          <cell r="F1721">
            <v>0.77185541391372681</v>
          </cell>
        </row>
        <row r="1722">
          <cell r="A1722" t="str">
            <v>ECU</v>
          </cell>
          <cell r="B1722" t="str">
            <v>Long</v>
          </cell>
          <cell r="C1722" t="str">
            <v>2006 - 2023</v>
          </cell>
          <cell r="D1722" t="str">
            <v>avg</v>
          </cell>
          <cell r="E1722" t="str">
            <v>gdp_inf_agri</v>
          </cell>
          <cell r="F1722">
            <v>262.5318603515625</v>
          </cell>
        </row>
        <row r="1723">
          <cell r="A1723" t="str">
            <v>ECU</v>
          </cell>
          <cell r="B1723" t="str">
            <v>Long</v>
          </cell>
          <cell r="C1723" t="str">
            <v>2006 - 2023</v>
          </cell>
          <cell r="D1723" t="str">
            <v>avg</v>
          </cell>
          <cell r="E1723" t="str">
            <v>gdp_inf_ind</v>
          </cell>
          <cell r="F1723">
            <v>0.49251461029052729</v>
          </cell>
        </row>
        <row r="1724">
          <cell r="A1724" t="str">
            <v>ECU</v>
          </cell>
          <cell r="B1724" t="str">
            <v>Long</v>
          </cell>
          <cell r="C1724" t="str">
            <v>2006 - 2023</v>
          </cell>
          <cell r="D1724" t="str">
            <v>avg</v>
          </cell>
          <cell r="E1724" t="str">
            <v>gdp_inf_serv</v>
          </cell>
          <cell r="F1724">
            <v>1.0501652956008909</v>
          </cell>
        </row>
        <row r="1725">
          <cell r="A1725" t="str">
            <v>ECU</v>
          </cell>
          <cell r="B1725" t="str">
            <v>Long</v>
          </cell>
          <cell r="C1725" t="str">
            <v>2006 - 2023</v>
          </cell>
          <cell r="D1725" t="str">
            <v>avg</v>
          </cell>
          <cell r="E1725" t="str">
            <v>prod_for_agri</v>
          </cell>
          <cell r="F1725">
            <v>0.66645705699920654</v>
          </cell>
        </row>
        <row r="1726">
          <cell r="A1726" t="str">
            <v>ECU</v>
          </cell>
          <cell r="B1726" t="str">
            <v>Long</v>
          </cell>
          <cell r="C1726" t="str">
            <v>2006 - 2023</v>
          </cell>
          <cell r="D1726" t="str">
            <v>avg</v>
          </cell>
          <cell r="E1726" t="str">
            <v>prod_for_ind</v>
          </cell>
          <cell r="F1726">
            <v>-0.60402423143386841</v>
          </cell>
        </row>
        <row r="1727">
          <cell r="A1727" t="str">
            <v>ECU</v>
          </cell>
          <cell r="B1727" t="str">
            <v>Long</v>
          </cell>
          <cell r="C1727" t="str">
            <v>2006 - 2023</v>
          </cell>
          <cell r="D1727" t="str">
            <v>avg</v>
          </cell>
          <cell r="E1727" t="str">
            <v>prod_for_serv</v>
          </cell>
          <cell r="F1727">
            <v>1.6194672584533689</v>
          </cell>
        </row>
        <row r="1728">
          <cell r="A1728" t="str">
            <v>ECU</v>
          </cell>
          <cell r="B1728" t="str">
            <v>Long</v>
          </cell>
          <cell r="C1728" t="str">
            <v>2006 - 2023</v>
          </cell>
          <cell r="D1728" t="str">
            <v>avg</v>
          </cell>
          <cell r="E1728" t="str">
            <v>prod_inf_agri</v>
          </cell>
          <cell r="F1728">
            <v>0.50812363624572754</v>
          </cell>
        </row>
        <row r="1729">
          <cell r="A1729" t="str">
            <v>ECU</v>
          </cell>
          <cell r="B1729" t="str">
            <v>Long</v>
          </cell>
          <cell r="C1729" t="str">
            <v>2006 - 2023</v>
          </cell>
          <cell r="D1729" t="str">
            <v>avg</v>
          </cell>
          <cell r="E1729" t="str">
            <v>prod_inf_ind</v>
          </cell>
          <cell r="F1729">
            <v>-0.1017537042498589</v>
          </cell>
        </row>
        <row r="1730">
          <cell r="A1730" t="str">
            <v>ECU</v>
          </cell>
          <cell r="B1730" t="str">
            <v>Long</v>
          </cell>
          <cell r="C1730" t="str">
            <v>2006 - 2023</v>
          </cell>
          <cell r="D1730" t="str">
            <v>avg</v>
          </cell>
          <cell r="E1730" t="str">
            <v>prod_inf_serv</v>
          </cell>
          <cell r="F1730">
            <v>-4.956873893737793</v>
          </cell>
        </row>
        <row r="1731">
          <cell r="A1731" t="str">
            <v>ECU</v>
          </cell>
          <cell r="B1731" t="str">
            <v>Long</v>
          </cell>
          <cell r="C1731" t="str">
            <v>2006 - 2023</v>
          </cell>
          <cell r="D1731" t="str">
            <v>avg_1_99</v>
          </cell>
          <cell r="E1731" t="str">
            <v>gdp_activity</v>
          </cell>
          <cell r="F1731">
            <v>0.28289163112640381</v>
          </cell>
        </row>
        <row r="1732">
          <cell r="A1732" t="str">
            <v>ECU</v>
          </cell>
          <cell r="B1732" t="str">
            <v>Long</v>
          </cell>
          <cell r="C1732" t="str">
            <v>2006 - 2023</v>
          </cell>
          <cell r="D1732" t="str">
            <v>avg_1_99</v>
          </cell>
          <cell r="E1732" t="str">
            <v>gdp_for_agri</v>
          </cell>
          <cell r="F1732">
            <v>-2.250659704208374</v>
          </cell>
        </row>
        <row r="1733">
          <cell r="A1733" t="str">
            <v>ECU</v>
          </cell>
          <cell r="B1733" t="str">
            <v>Long</v>
          </cell>
          <cell r="C1733" t="str">
            <v>2006 - 2023</v>
          </cell>
          <cell r="D1733" t="str">
            <v>avg_1_99</v>
          </cell>
          <cell r="E1733" t="str">
            <v>gdp_for_ind</v>
          </cell>
          <cell r="F1733">
            <v>0.29028177261352539</v>
          </cell>
        </row>
        <row r="1734">
          <cell r="A1734" t="str">
            <v>ECU</v>
          </cell>
          <cell r="B1734" t="str">
            <v>Long</v>
          </cell>
          <cell r="C1734" t="str">
            <v>2006 - 2023</v>
          </cell>
          <cell r="D1734" t="str">
            <v>avg_1_99</v>
          </cell>
          <cell r="E1734" t="str">
            <v>gdp_for_serv</v>
          </cell>
          <cell r="F1734">
            <v>0.85623729228973389</v>
          </cell>
        </row>
        <row r="1735">
          <cell r="A1735" t="str">
            <v>ECU</v>
          </cell>
          <cell r="B1735" t="str">
            <v>Long</v>
          </cell>
          <cell r="C1735" t="str">
            <v>2006 - 2023</v>
          </cell>
          <cell r="D1735" t="str">
            <v>avg_1_99</v>
          </cell>
          <cell r="E1735" t="str">
            <v>gdp_inf_agri</v>
          </cell>
          <cell r="F1735">
            <v>2.38297438621521</v>
          </cell>
        </row>
        <row r="1736">
          <cell r="A1736" t="str">
            <v>ECU</v>
          </cell>
          <cell r="B1736" t="str">
            <v>Long</v>
          </cell>
          <cell r="C1736" t="str">
            <v>2006 - 2023</v>
          </cell>
          <cell r="D1736" t="str">
            <v>avg_1_99</v>
          </cell>
          <cell r="E1736" t="str">
            <v>gdp_inf_ind</v>
          </cell>
          <cell r="F1736">
            <v>0.60731244087219238</v>
          </cell>
        </row>
        <row r="1737">
          <cell r="A1737" t="str">
            <v>ECU</v>
          </cell>
          <cell r="B1737" t="str">
            <v>Long</v>
          </cell>
          <cell r="C1737" t="str">
            <v>2006 - 2023</v>
          </cell>
          <cell r="D1737" t="str">
            <v>avg_1_99</v>
          </cell>
          <cell r="E1737" t="str">
            <v>gdp_inf_serv</v>
          </cell>
          <cell r="F1737">
            <v>0.28493621945381159</v>
          </cell>
        </row>
        <row r="1738">
          <cell r="A1738" t="str">
            <v>ECU</v>
          </cell>
          <cell r="B1738" t="str">
            <v>Long</v>
          </cell>
          <cell r="C1738" t="str">
            <v>2006 - 2023</v>
          </cell>
          <cell r="D1738" t="str">
            <v>avg_1_99</v>
          </cell>
          <cell r="E1738" t="str">
            <v>prod_for_agri</v>
          </cell>
          <cell r="F1738">
            <v>1.559401750564575</v>
          </cell>
        </row>
        <row r="1739">
          <cell r="A1739" t="str">
            <v>ECU</v>
          </cell>
          <cell r="B1739" t="str">
            <v>Long</v>
          </cell>
          <cell r="C1739" t="str">
            <v>2006 - 2023</v>
          </cell>
          <cell r="D1739" t="str">
            <v>avg_1_99</v>
          </cell>
          <cell r="E1739" t="str">
            <v>prod_for_ind</v>
          </cell>
          <cell r="F1739">
            <v>-0.91168278455734253</v>
          </cell>
        </row>
        <row r="1740">
          <cell r="A1740" t="str">
            <v>ECU</v>
          </cell>
          <cell r="B1740" t="str">
            <v>Long</v>
          </cell>
          <cell r="C1740" t="str">
            <v>2006 - 2023</v>
          </cell>
          <cell r="D1740" t="str">
            <v>avg_1_99</v>
          </cell>
          <cell r="E1740" t="str">
            <v>prod_for_serv</v>
          </cell>
          <cell r="F1740">
            <v>0.40592190623283392</v>
          </cell>
        </row>
        <row r="1741">
          <cell r="A1741" t="str">
            <v>ECU</v>
          </cell>
          <cell r="B1741" t="str">
            <v>Long</v>
          </cell>
          <cell r="C1741" t="str">
            <v>2006 - 2023</v>
          </cell>
          <cell r="D1741" t="str">
            <v>avg_1_99</v>
          </cell>
          <cell r="E1741" t="str">
            <v>prod_inf_agri</v>
          </cell>
          <cell r="F1741">
            <v>0.66759860515594482</v>
          </cell>
        </row>
        <row r="1742">
          <cell r="A1742" t="str">
            <v>ECU</v>
          </cell>
          <cell r="B1742" t="str">
            <v>Long</v>
          </cell>
          <cell r="C1742" t="str">
            <v>2006 - 2023</v>
          </cell>
          <cell r="D1742" t="str">
            <v>avg_1_99</v>
          </cell>
          <cell r="E1742" t="str">
            <v>prod_inf_ind</v>
          </cell>
          <cell r="F1742">
            <v>0.17643758654594421</v>
          </cell>
        </row>
        <row r="1743">
          <cell r="A1743" t="str">
            <v>ECU</v>
          </cell>
          <cell r="B1743" t="str">
            <v>Long</v>
          </cell>
          <cell r="C1743" t="str">
            <v>2006 - 2023</v>
          </cell>
          <cell r="D1743" t="str">
            <v>avg_1_99</v>
          </cell>
          <cell r="E1743" t="str">
            <v>prod_inf_serv</v>
          </cell>
          <cell r="F1743">
            <v>0.49891394376754761</v>
          </cell>
        </row>
        <row r="1744">
          <cell r="A1744" t="str">
            <v>ECU</v>
          </cell>
          <cell r="B1744" t="str">
            <v>Long</v>
          </cell>
          <cell r="C1744" t="str">
            <v>2006 - 2023</v>
          </cell>
          <cell r="D1744" t="str">
            <v>avg_1_99_imp</v>
          </cell>
          <cell r="E1744" t="str">
            <v>gdp_activity</v>
          </cell>
          <cell r="F1744">
            <v>0.27690717577934271</v>
          </cell>
        </row>
        <row r="1745">
          <cell r="A1745" t="str">
            <v>ECU</v>
          </cell>
          <cell r="B1745" t="str">
            <v>Long</v>
          </cell>
          <cell r="C1745" t="str">
            <v>2006 - 2023</v>
          </cell>
          <cell r="D1745" t="str">
            <v>avg_1_99_imp</v>
          </cell>
          <cell r="E1745" t="str">
            <v>gdp_for_agri</v>
          </cell>
          <cell r="F1745">
            <v>-1.9201662540435791</v>
          </cell>
        </row>
        <row r="1746">
          <cell r="A1746" t="str">
            <v>ECU</v>
          </cell>
          <cell r="B1746" t="str">
            <v>Long</v>
          </cell>
          <cell r="C1746" t="str">
            <v>2006 - 2023</v>
          </cell>
          <cell r="D1746" t="str">
            <v>avg_1_99_imp</v>
          </cell>
          <cell r="E1746" t="str">
            <v>gdp_for_ind</v>
          </cell>
          <cell r="F1746">
            <v>0.42569965124130249</v>
          </cell>
        </row>
        <row r="1747">
          <cell r="A1747" t="str">
            <v>ECU</v>
          </cell>
          <cell r="B1747" t="str">
            <v>Long</v>
          </cell>
          <cell r="C1747" t="str">
            <v>2006 - 2023</v>
          </cell>
          <cell r="D1747" t="str">
            <v>avg_1_99_imp</v>
          </cell>
          <cell r="E1747" t="str">
            <v>gdp_for_serv</v>
          </cell>
          <cell r="F1747">
            <v>0.86229836940765381</v>
          </cell>
        </row>
        <row r="1748">
          <cell r="A1748" t="str">
            <v>ECU</v>
          </cell>
          <cell r="B1748" t="str">
            <v>Long</v>
          </cell>
          <cell r="C1748" t="str">
            <v>2006 - 2023</v>
          </cell>
          <cell r="D1748" t="str">
            <v>avg_1_99_imp</v>
          </cell>
          <cell r="E1748" t="str">
            <v>gdp_inf_agri</v>
          </cell>
          <cell r="F1748">
            <v>2.2238504886627202</v>
          </cell>
        </row>
        <row r="1749">
          <cell r="A1749" t="str">
            <v>ECU</v>
          </cell>
          <cell r="B1749" t="str">
            <v>Long</v>
          </cell>
          <cell r="C1749" t="str">
            <v>2006 - 2023</v>
          </cell>
          <cell r="D1749" t="str">
            <v>avg_1_99_imp</v>
          </cell>
          <cell r="E1749" t="str">
            <v>gdp_inf_ind</v>
          </cell>
          <cell r="F1749">
            <v>0.58712208271026611</v>
          </cell>
        </row>
        <row r="1750">
          <cell r="A1750" t="str">
            <v>ECU</v>
          </cell>
          <cell r="B1750" t="str">
            <v>Long</v>
          </cell>
          <cell r="C1750" t="str">
            <v>2006 - 2023</v>
          </cell>
          <cell r="D1750" t="str">
            <v>avg_1_99_imp</v>
          </cell>
          <cell r="E1750" t="str">
            <v>gdp_inf_serv</v>
          </cell>
          <cell r="F1750">
            <v>0.26200973987579351</v>
          </cell>
        </row>
        <row r="1751">
          <cell r="A1751" t="str">
            <v>ECU</v>
          </cell>
          <cell r="B1751" t="str">
            <v>Long</v>
          </cell>
          <cell r="C1751" t="str">
            <v>2006 - 2023</v>
          </cell>
          <cell r="D1751" t="str">
            <v>avg_1_99_imp</v>
          </cell>
          <cell r="E1751" t="str">
            <v>prod_for_agri</v>
          </cell>
          <cell r="F1751">
            <v>1.2617478370666499</v>
          </cell>
        </row>
        <row r="1752">
          <cell r="A1752" t="str">
            <v>ECU</v>
          </cell>
          <cell r="B1752" t="str">
            <v>Long</v>
          </cell>
          <cell r="C1752" t="str">
            <v>2006 - 2023</v>
          </cell>
          <cell r="D1752" t="str">
            <v>avg_1_99_imp</v>
          </cell>
          <cell r="E1752" t="str">
            <v>prod_for_ind</v>
          </cell>
          <cell r="F1752">
            <v>-0.67868912220001221</v>
          </cell>
        </row>
        <row r="1753">
          <cell r="A1753" t="str">
            <v>ECU</v>
          </cell>
          <cell r="B1753" t="str">
            <v>Long</v>
          </cell>
          <cell r="C1753" t="str">
            <v>2006 - 2023</v>
          </cell>
          <cell r="D1753" t="str">
            <v>avg_1_99_imp</v>
          </cell>
          <cell r="E1753" t="str">
            <v>prod_for_serv</v>
          </cell>
          <cell r="F1753">
            <v>0.53455573320388794</v>
          </cell>
        </row>
        <row r="1754">
          <cell r="A1754" t="str">
            <v>ECU</v>
          </cell>
          <cell r="B1754" t="str">
            <v>Long</v>
          </cell>
          <cell r="C1754" t="str">
            <v>2006 - 2023</v>
          </cell>
          <cell r="D1754" t="str">
            <v>avg_1_99_imp</v>
          </cell>
          <cell r="E1754" t="str">
            <v>prod_inf_agri</v>
          </cell>
          <cell r="F1754">
            <v>0.69264686107635498</v>
          </cell>
        </row>
        <row r="1755">
          <cell r="A1755" t="str">
            <v>ECU</v>
          </cell>
          <cell r="B1755" t="str">
            <v>Long</v>
          </cell>
          <cell r="C1755" t="str">
            <v>2006 - 2023</v>
          </cell>
          <cell r="D1755" t="str">
            <v>avg_1_99_imp</v>
          </cell>
          <cell r="E1755" t="str">
            <v>prod_inf_ind</v>
          </cell>
          <cell r="F1755">
            <v>0.23017226159572601</v>
          </cell>
        </row>
        <row r="1756">
          <cell r="A1756" t="str">
            <v>ECU</v>
          </cell>
          <cell r="B1756" t="str">
            <v>Long</v>
          </cell>
          <cell r="C1756" t="str">
            <v>2006 - 2023</v>
          </cell>
          <cell r="D1756" t="str">
            <v>avg_1_99_imp</v>
          </cell>
          <cell r="E1756" t="str">
            <v>prod_inf_serv</v>
          </cell>
          <cell r="F1756">
            <v>0.53878051042556763</v>
          </cell>
        </row>
        <row r="1757">
          <cell r="A1757" t="str">
            <v>ECU</v>
          </cell>
          <cell r="B1757" t="str">
            <v>Long</v>
          </cell>
          <cell r="C1757" t="str">
            <v>2006 - 2023</v>
          </cell>
          <cell r="D1757" t="str">
            <v>med_reg</v>
          </cell>
          <cell r="E1757" t="str">
            <v>gdp_activity</v>
          </cell>
          <cell r="F1757">
            <v>0.64170634746551514</v>
          </cell>
        </row>
        <row r="1758">
          <cell r="A1758" t="str">
            <v>ECU</v>
          </cell>
          <cell r="B1758" t="str">
            <v>Long</v>
          </cell>
          <cell r="C1758" t="str">
            <v>2006 - 2023</v>
          </cell>
          <cell r="D1758" t="str">
            <v>med_reg</v>
          </cell>
          <cell r="E1758" t="str">
            <v>gdp_for_agri</v>
          </cell>
          <cell r="F1758">
            <v>1.3779973983764651</v>
          </cell>
        </row>
        <row r="1759">
          <cell r="A1759" t="str">
            <v>ECU</v>
          </cell>
          <cell r="B1759" t="str">
            <v>Long</v>
          </cell>
          <cell r="C1759" t="str">
            <v>2006 - 2023</v>
          </cell>
          <cell r="D1759" t="str">
            <v>med_reg</v>
          </cell>
          <cell r="E1759" t="str">
            <v>gdp_for_ind</v>
          </cell>
          <cell r="F1759">
            <v>2.1129329204559331</v>
          </cell>
        </row>
        <row r="1760">
          <cell r="A1760" t="str">
            <v>ECU</v>
          </cell>
          <cell r="B1760" t="str">
            <v>Long</v>
          </cell>
          <cell r="C1760" t="str">
            <v>2006 - 2023</v>
          </cell>
          <cell r="D1760" t="str">
            <v>med_reg</v>
          </cell>
          <cell r="E1760" t="str">
            <v>gdp_for_serv</v>
          </cell>
          <cell r="F1760">
            <v>0.92026615142822266</v>
          </cell>
        </row>
        <row r="1761">
          <cell r="A1761" t="str">
            <v>ECU</v>
          </cell>
          <cell r="B1761" t="str">
            <v>Long</v>
          </cell>
          <cell r="C1761" t="str">
            <v>2006 - 2023</v>
          </cell>
          <cell r="D1761" t="str">
            <v>med_reg</v>
          </cell>
          <cell r="E1761" t="str">
            <v>gdp_inf_agri</v>
          </cell>
          <cell r="F1761">
            <v>0.55361443758010864</v>
          </cell>
        </row>
        <row r="1762">
          <cell r="A1762" t="str">
            <v>ECU</v>
          </cell>
          <cell r="B1762" t="str">
            <v>Long</v>
          </cell>
          <cell r="C1762" t="str">
            <v>2006 - 2023</v>
          </cell>
          <cell r="D1762" t="str">
            <v>med_reg</v>
          </cell>
          <cell r="E1762" t="str">
            <v>gdp_inf_ind</v>
          </cell>
          <cell r="F1762">
            <v>0.30883973836898798</v>
          </cell>
        </row>
        <row r="1763">
          <cell r="A1763" t="str">
            <v>ECU</v>
          </cell>
          <cell r="B1763" t="str">
            <v>Long</v>
          </cell>
          <cell r="C1763" t="str">
            <v>2006 - 2023</v>
          </cell>
          <cell r="D1763" t="str">
            <v>med_reg</v>
          </cell>
          <cell r="E1763" t="str">
            <v>gdp_inf_serv</v>
          </cell>
          <cell r="F1763">
            <v>0.41112077236175543</v>
          </cell>
        </row>
        <row r="1764">
          <cell r="A1764" t="str">
            <v>ECU</v>
          </cell>
          <cell r="B1764" t="str">
            <v>Long</v>
          </cell>
          <cell r="C1764" t="str">
            <v>2006 - 2023</v>
          </cell>
          <cell r="D1764" t="str">
            <v>med_reg</v>
          </cell>
          <cell r="E1764" t="str">
            <v>prod_for_agri</v>
          </cell>
          <cell r="F1764">
            <v>1.593352794647217</v>
          </cell>
        </row>
        <row r="1765">
          <cell r="A1765" t="str">
            <v>ECU</v>
          </cell>
          <cell r="B1765" t="str">
            <v>Long</v>
          </cell>
          <cell r="C1765" t="str">
            <v>2006 - 2023</v>
          </cell>
          <cell r="D1765" t="str">
            <v>med_reg</v>
          </cell>
          <cell r="E1765" t="str">
            <v>prod_for_ind</v>
          </cell>
          <cell r="F1765">
            <v>-0.75926601886749268</v>
          </cell>
        </row>
        <row r="1766">
          <cell r="A1766" t="str">
            <v>ECU</v>
          </cell>
          <cell r="B1766" t="str">
            <v>Long</v>
          </cell>
          <cell r="C1766" t="str">
            <v>2006 - 2023</v>
          </cell>
          <cell r="D1766" t="str">
            <v>med_reg</v>
          </cell>
          <cell r="E1766" t="str">
            <v>prod_for_serv</v>
          </cell>
          <cell r="F1766">
            <v>0.316436767578125</v>
          </cell>
        </row>
        <row r="1767">
          <cell r="A1767" t="str">
            <v>ECU</v>
          </cell>
          <cell r="B1767" t="str">
            <v>Long</v>
          </cell>
          <cell r="C1767" t="str">
            <v>2006 - 2023</v>
          </cell>
          <cell r="D1767" t="str">
            <v>med_reg</v>
          </cell>
          <cell r="E1767" t="str">
            <v>prod_inf_agri</v>
          </cell>
          <cell r="F1767">
            <v>0.15946844220161441</v>
          </cell>
        </row>
        <row r="1768">
          <cell r="A1768" t="str">
            <v>ECU</v>
          </cell>
          <cell r="B1768" t="str">
            <v>Long</v>
          </cell>
          <cell r="C1768" t="str">
            <v>2006 - 2023</v>
          </cell>
          <cell r="D1768" t="str">
            <v>med_reg</v>
          </cell>
          <cell r="E1768" t="str">
            <v>prod_inf_ind</v>
          </cell>
          <cell r="F1768">
            <v>0.55778944492340088</v>
          </cell>
        </row>
        <row r="1769">
          <cell r="A1769" t="str">
            <v>ECU</v>
          </cell>
          <cell r="B1769" t="str">
            <v>Long</v>
          </cell>
          <cell r="C1769" t="str">
            <v>2006 - 2023</v>
          </cell>
          <cell r="D1769" t="str">
            <v>med_reg</v>
          </cell>
          <cell r="E1769" t="str">
            <v>prod_inf_serv</v>
          </cell>
          <cell r="F1769">
            <v>-0.3616580069065094</v>
          </cell>
        </row>
        <row r="1770">
          <cell r="A1770" t="str">
            <v>ECU</v>
          </cell>
          <cell r="B1770" t="str">
            <v>Long</v>
          </cell>
          <cell r="C1770" t="str">
            <v>2006 - 2023</v>
          </cell>
          <cell r="D1770" t="str">
            <v>reg</v>
          </cell>
          <cell r="E1770" t="str">
            <v>gdp_activity</v>
          </cell>
          <cell r="F1770">
            <v>0.69670605659484863</v>
          </cell>
        </row>
        <row r="1771">
          <cell r="A1771" t="str">
            <v>ECU</v>
          </cell>
          <cell r="B1771" t="str">
            <v>Long</v>
          </cell>
          <cell r="C1771" t="str">
            <v>2006 - 2023</v>
          </cell>
          <cell r="D1771" t="str">
            <v>reg</v>
          </cell>
          <cell r="E1771" t="str">
            <v>gdp_for_agri</v>
          </cell>
          <cell r="F1771">
            <v>0.99368947744369507</v>
          </cell>
        </row>
        <row r="1772">
          <cell r="A1772" t="str">
            <v>ECU</v>
          </cell>
          <cell r="B1772" t="str">
            <v>Long</v>
          </cell>
          <cell r="C1772" t="str">
            <v>2006 - 2023</v>
          </cell>
          <cell r="D1772" t="str">
            <v>reg</v>
          </cell>
          <cell r="E1772" t="str">
            <v>gdp_for_ind</v>
          </cell>
          <cell r="F1772">
            <v>2.0727090835571289</v>
          </cell>
        </row>
        <row r="1773">
          <cell r="A1773" t="str">
            <v>ECU</v>
          </cell>
          <cell r="B1773" t="str">
            <v>Long</v>
          </cell>
          <cell r="C1773" t="str">
            <v>2006 - 2023</v>
          </cell>
          <cell r="D1773" t="str">
            <v>reg</v>
          </cell>
          <cell r="E1773" t="str">
            <v>gdp_for_serv</v>
          </cell>
          <cell r="F1773">
            <v>0.92495954036712646</v>
          </cell>
        </row>
        <row r="1774">
          <cell r="A1774" t="str">
            <v>ECU</v>
          </cell>
          <cell r="B1774" t="str">
            <v>Long</v>
          </cell>
          <cell r="C1774" t="str">
            <v>2006 - 2023</v>
          </cell>
          <cell r="D1774" t="str">
            <v>reg</v>
          </cell>
          <cell r="E1774" t="str">
            <v>gdp_inf_agri</v>
          </cell>
          <cell r="F1774">
            <v>0.74367457628250122</v>
          </cell>
        </row>
        <row r="1775">
          <cell r="A1775" t="str">
            <v>ECU</v>
          </cell>
          <cell r="B1775" t="str">
            <v>Long</v>
          </cell>
          <cell r="C1775" t="str">
            <v>2006 - 2023</v>
          </cell>
          <cell r="D1775" t="str">
            <v>reg</v>
          </cell>
          <cell r="E1775" t="str">
            <v>gdp_inf_ind</v>
          </cell>
          <cell r="F1775">
            <v>0.26078265905380249</v>
          </cell>
        </row>
        <row r="1776">
          <cell r="A1776" t="str">
            <v>ECU</v>
          </cell>
          <cell r="B1776" t="str">
            <v>Long</v>
          </cell>
          <cell r="C1776" t="str">
            <v>2006 - 2023</v>
          </cell>
          <cell r="D1776" t="str">
            <v>reg</v>
          </cell>
          <cell r="E1776" t="str">
            <v>gdp_inf_serv</v>
          </cell>
          <cell r="F1776">
            <v>0.35108113288879389</v>
          </cell>
        </row>
        <row r="1777">
          <cell r="A1777" t="str">
            <v>ECU</v>
          </cell>
          <cell r="B1777" t="str">
            <v>Long</v>
          </cell>
          <cell r="C1777" t="str">
            <v>2006 - 2023</v>
          </cell>
          <cell r="D1777" t="str">
            <v>reg</v>
          </cell>
          <cell r="E1777" t="str">
            <v>prod_for_agri</v>
          </cell>
          <cell r="F1777">
            <v>1.47179114818573</v>
          </cell>
        </row>
        <row r="1778">
          <cell r="A1778" t="str">
            <v>ECU</v>
          </cell>
          <cell r="B1778" t="str">
            <v>Long</v>
          </cell>
          <cell r="C1778" t="str">
            <v>2006 - 2023</v>
          </cell>
          <cell r="D1778" t="str">
            <v>reg</v>
          </cell>
          <cell r="E1778" t="str">
            <v>prod_for_ind</v>
          </cell>
          <cell r="F1778">
            <v>-0.59324687719345093</v>
          </cell>
        </row>
        <row r="1779">
          <cell r="A1779" t="str">
            <v>ECU</v>
          </cell>
          <cell r="B1779" t="str">
            <v>Long</v>
          </cell>
          <cell r="C1779" t="str">
            <v>2006 - 2023</v>
          </cell>
          <cell r="D1779" t="str">
            <v>reg</v>
          </cell>
          <cell r="E1779" t="str">
            <v>prod_for_serv</v>
          </cell>
          <cell r="F1779">
            <v>0.16720324754714971</v>
          </cell>
        </row>
        <row r="1780">
          <cell r="A1780" t="str">
            <v>ECU</v>
          </cell>
          <cell r="B1780" t="str">
            <v>Long</v>
          </cell>
          <cell r="C1780" t="str">
            <v>2006 - 2023</v>
          </cell>
          <cell r="D1780" t="str">
            <v>reg</v>
          </cell>
          <cell r="E1780" t="str">
            <v>prod_inf_agri</v>
          </cell>
          <cell r="F1780">
            <v>0.48976355791091919</v>
          </cell>
        </row>
        <row r="1781">
          <cell r="A1781" t="str">
            <v>ECU</v>
          </cell>
          <cell r="B1781" t="str">
            <v>Long</v>
          </cell>
          <cell r="C1781" t="str">
            <v>2006 - 2023</v>
          </cell>
          <cell r="D1781" t="str">
            <v>reg</v>
          </cell>
          <cell r="E1781" t="str">
            <v>prod_inf_ind</v>
          </cell>
          <cell r="F1781">
            <v>0.47933816909790039</v>
          </cell>
        </row>
        <row r="1782">
          <cell r="A1782" t="str">
            <v>ECU</v>
          </cell>
          <cell r="B1782" t="str">
            <v>Long</v>
          </cell>
          <cell r="C1782" t="str">
            <v>2006 - 2023</v>
          </cell>
          <cell r="D1782" t="str">
            <v>reg</v>
          </cell>
          <cell r="E1782" t="str">
            <v>prod_inf_serv</v>
          </cell>
          <cell r="F1782">
            <v>-0.3187263011932373</v>
          </cell>
        </row>
        <row r="1783">
          <cell r="A1783" t="str">
            <v>ECU</v>
          </cell>
          <cell r="B1783" t="str">
            <v>Long</v>
          </cell>
          <cell r="C1783" t="str">
            <v>2006 - 2023</v>
          </cell>
          <cell r="D1783" t="str">
            <v>reg_gdp</v>
          </cell>
          <cell r="E1783" t="str">
            <v>gdp_activity</v>
          </cell>
          <cell r="F1783">
            <v>0.69670605659484863</v>
          </cell>
        </row>
        <row r="1784">
          <cell r="A1784" t="str">
            <v>ECU</v>
          </cell>
          <cell r="B1784" t="str">
            <v>Long</v>
          </cell>
          <cell r="C1784" t="str">
            <v>2006 - 2023</v>
          </cell>
          <cell r="D1784" t="str">
            <v>reg_gdp</v>
          </cell>
          <cell r="E1784" t="str">
            <v>gdp_for_agri</v>
          </cell>
          <cell r="F1784">
            <v>-0.49629694223403931</v>
          </cell>
        </row>
        <row r="1785">
          <cell r="A1785" t="str">
            <v>ECU</v>
          </cell>
          <cell r="B1785" t="str">
            <v>Long</v>
          </cell>
          <cell r="C1785" t="str">
            <v>2006 - 2023</v>
          </cell>
          <cell r="D1785" t="str">
            <v>reg_gdp</v>
          </cell>
          <cell r="E1785" t="str">
            <v>gdp_for_ind</v>
          </cell>
          <cell r="F1785">
            <v>2.6817162036895752</v>
          </cell>
        </row>
        <row r="1786">
          <cell r="A1786" t="str">
            <v>ECU</v>
          </cell>
          <cell r="B1786" t="str">
            <v>Long</v>
          </cell>
          <cell r="C1786" t="str">
            <v>2006 - 2023</v>
          </cell>
          <cell r="D1786" t="str">
            <v>reg_gdp</v>
          </cell>
          <cell r="E1786" t="str">
            <v>gdp_for_serv</v>
          </cell>
          <cell r="F1786">
            <v>-2.7990937232971191</v>
          </cell>
        </row>
        <row r="1787">
          <cell r="A1787" t="str">
            <v>ECU</v>
          </cell>
          <cell r="B1787" t="str">
            <v>Long</v>
          </cell>
          <cell r="C1787" t="str">
            <v>2006 - 2023</v>
          </cell>
          <cell r="D1787" t="str">
            <v>reg_gdp</v>
          </cell>
          <cell r="E1787" t="str">
            <v>gdp_inf_agri</v>
          </cell>
          <cell r="F1787">
            <v>2.8210890293121338</v>
          </cell>
        </row>
        <row r="1788">
          <cell r="A1788" t="str">
            <v>ECU</v>
          </cell>
          <cell r="B1788" t="str">
            <v>Long</v>
          </cell>
          <cell r="C1788" t="str">
            <v>2006 - 2023</v>
          </cell>
          <cell r="D1788" t="str">
            <v>reg_gdp</v>
          </cell>
          <cell r="E1788" t="str">
            <v>gdp_inf_ind</v>
          </cell>
          <cell r="F1788">
            <v>-0.68410104513168335</v>
          </cell>
        </row>
        <row r="1789">
          <cell r="A1789" t="str">
            <v>ECU</v>
          </cell>
          <cell r="B1789" t="str">
            <v>Long</v>
          </cell>
          <cell r="C1789" t="str">
            <v>2006 - 2023</v>
          </cell>
          <cell r="D1789" t="str">
            <v>reg_gdp</v>
          </cell>
          <cell r="E1789" t="str">
            <v>gdp_inf_serv</v>
          </cell>
          <cell r="F1789">
            <v>3.3330247402191162</v>
          </cell>
        </row>
        <row r="1790">
          <cell r="A1790" t="str">
            <v>ECU</v>
          </cell>
          <cell r="B1790" t="str">
            <v>Long</v>
          </cell>
          <cell r="C1790" t="str">
            <v>2006 - 2023</v>
          </cell>
          <cell r="D1790" t="str">
            <v>reg_gdp</v>
          </cell>
          <cell r="E1790" t="str">
            <v>prod_for_agri</v>
          </cell>
          <cell r="F1790">
            <v>1.648810505867004</v>
          </cell>
        </row>
        <row r="1791">
          <cell r="A1791" t="str">
            <v>ECU</v>
          </cell>
          <cell r="B1791" t="str">
            <v>Long</v>
          </cell>
          <cell r="C1791" t="str">
            <v>2006 - 2023</v>
          </cell>
          <cell r="D1791" t="str">
            <v>reg_gdp</v>
          </cell>
          <cell r="E1791" t="str">
            <v>prod_for_ind</v>
          </cell>
          <cell r="F1791">
            <v>-0.61592137813568115</v>
          </cell>
        </row>
        <row r="1792">
          <cell r="A1792" t="str">
            <v>ECU</v>
          </cell>
          <cell r="B1792" t="str">
            <v>Long</v>
          </cell>
          <cell r="C1792" t="str">
            <v>2006 - 2023</v>
          </cell>
          <cell r="D1792" t="str">
            <v>reg_gdp</v>
          </cell>
          <cell r="E1792" t="str">
            <v>prod_for_serv</v>
          </cell>
          <cell r="F1792">
            <v>-0.29591378569602972</v>
          </cell>
        </row>
        <row r="1793">
          <cell r="A1793" t="str">
            <v>ECU</v>
          </cell>
          <cell r="B1793" t="str">
            <v>Long</v>
          </cell>
          <cell r="C1793" t="str">
            <v>2006 - 2023</v>
          </cell>
          <cell r="D1793" t="str">
            <v>reg_gdp</v>
          </cell>
          <cell r="E1793" t="str">
            <v>prod_inf_agri</v>
          </cell>
          <cell r="F1793">
            <v>1.859549403190613</v>
          </cell>
        </row>
        <row r="1794">
          <cell r="A1794" t="str">
            <v>ECU</v>
          </cell>
          <cell r="B1794" t="str">
            <v>Long</v>
          </cell>
          <cell r="C1794" t="str">
            <v>2006 - 2023</v>
          </cell>
          <cell r="D1794" t="str">
            <v>reg_gdp</v>
          </cell>
          <cell r="E1794" t="str">
            <v>prod_inf_ind</v>
          </cell>
          <cell r="F1794">
            <v>0.49895444512367249</v>
          </cell>
        </row>
        <row r="1795">
          <cell r="A1795" t="str">
            <v>ECU</v>
          </cell>
          <cell r="B1795" t="str">
            <v>Long</v>
          </cell>
          <cell r="C1795" t="str">
            <v>2006 - 2023</v>
          </cell>
          <cell r="D1795" t="str">
            <v>reg_gdp</v>
          </cell>
          <cell r="E1795" t="str">
            <v>prod_inf_serv</v>
          </cell>
          <cell r="F1795">
            <v>-4.9085997045040131E-2</v>
          </cell>
        </row>
        <row r="1796">
          <cell r="A1796" t="str">
            <v>ECU</v>
          </cell>
          <cell r="B1796" t="str">
            <v>Long</v>
          </cell>
          <cell r="C1796" t="str">
            <v>2006 - 2023</v>
          </cell>
          <cell r="D1796" t="str">
            <v>reg_iter</v>
          </cell>
          <cell r="E1796" t="str">
            <v>gdp_activity</v>
          </cell>
          <cell r="F1796">
            <v>0.76135659217834473</v>
          </cell>
        </row>
        <row r="1797">
          <cell r="A1797" t="str">
            <v>ECU</v>
          </cell>
          <cell r="B1797" t="str">
            <v>Long</v>
          </cell>
          <cell r="C1797" t="str">
            <v>2006 - 2023</v>
          </cell>
          <cell r="D1797" t="str">
            <v>reg_iter</v>
          </cell>
          <cell r="E1797" t="str">
            <v>gdp_for_agri</v>
          </cell>
          <cell r="F1797">
            <v>0.95039701461791992</v>
          </cell>
        </row>
        <row r="1798">
          <cell r="A1798" t="str">
            <v>ECU</v>
          </cell>
          <cell r="B1798" t="str">
            <v>Long</v>
          </cell>
          <cell r="C1798" t="str">
            <v>2006 - 2023</v>
          </cell>
          <cell r="D1798" t="str">
            <v>reg_iter</v>
          </cell>
          <cell r="E1798" t="str">
            <v>gdp_for_ind</v>
          </cell>
          <cell r="F1798">
            <v>1.5166710615158081</v>
          </cell>
        </row>
        <row r="1799">
          <cell r="A1799" t="str">
            <v>ECU</v>
          </cell>
          <cell r="B1799" t="str">
            <v>Long</v>
          </cell>
          <cell r="C1799" t="str">
            <v>2006 - 2023</v>
          </cell>
          <cell r="D1799" t="str">
            <v>reg_iter</v>
          </cell>
          <cell r="E1799" t="str">
            <v>gdp_for_serv</v>
          </cell>
          <cell r="F1799">
            <v>0.74357575178146362</v>
          </cell>
        </row>
        <row r="1800">
          <cell r="A1800" t="str">
            <v>ECU</v>
          </cell>
          <cell r="B1800" t="str">
            <v>Long</v>
          </cell>
          <cell r="C1800" t="str">
            <v>2006 - 2023</v>
          </cell>
          <cell r="D1800" t="str">
            <v>reg_iter</v>
          </cell>
          <cell r="E1800" t="str">
            <v>gdp_inf_agri</v>
          </cell>
          <cell r="F1800">
            <v>0.78996652364730835</v>
          </cell>
        </row>
        <row r="1801">
          <cell r="A1801" t="str">
            <v>ECU</v>
          </cell>
          <cell r="B1801" t="str">
            <v>Long</v>
          </cell>
          <cell r="C1801" t="str">
            <v>2006 - 2023</v>
          </cell>
          <cell r="D1801" t="str">
            <v>reg_iter</v>
          </cell>
          <cell r="E1801" t="str">
            <v>gdp_inf_ind</v>
          </cell>
          <cell r="F1801">
            <v>0.72520387172698975</v>
          </cell>
        </row>
        <row r="1802">
          <cell r="A1802" t="str">
            <v>ECU</v>
          </cell>
          <cell r="B1802" t="str">
            <v>Long</v>
          </cell>
          <cell r="C1802" t="str">
            <v>2006 - 2023</v>
          </cell>
          <cell r="D1802" t="str">
            <v>reg_iter</v>
          </cell>
          <cell r="E1802" t="str">
            <v>gdp_inf_serv</v>
          </cell>
          <cell r="F1802">
            <v>0.49347585439682012</v>
          </cell>
        </row>
        <row r="1803">
          <cell r="A1803" t="str">
            <v>ECU</v>
          </cell>
          <cell r="B1803" t="str">
            <v>Long</v>
          </cell>
          <cell r="C1803" t="str">
            <v>2006 - 2023</v>
          </cell>
          <cell r="D1803" t="str">
            <v>reg_iter</v>
          </cell>
          <cell r="E1803" t="str">
            <v>prod_for_agri</v>
          </cell>
          <cell r="F1803">
            <v>1.1419931650161741</v>
          </cell>
        </row>
        <row r="1804">
          <cell r="A1804" t="str">
            <v>ECU</v>
          </cell>
          <cell r="B1804" t="str">
            <v>Long</v>
          </cell>
          <cell r="C1804" t="str">
            <v>2006 - 2023</v>
          </cell>
          <cell r="D1804" t="str">
            <v>reg_iter</v>
          </cell>
          <cell r="E1804" t="str">
            <v>prod_for_ind</v>
          </cell>
          <cell r="F1804">
            <v>-0.70960491895675659</v>
          </cell>
        </row>
        <row r="1805">
          <cell r="A1805" t="str">
            <v>ECU</v>
          </cell>
          <cell r="B1805" t="str">
            <v>Long</v>
          </cell>
          <cell r="C1805" t="str">
            <v>2006 - 2023</v>
          </cell>
          <cell r="D1805" t="str">
            <v>reg_iter</v>
          </cell>
          <cell r="E1805" t="str">
            <v>prod_for_serv</v>
          </cell>
          <cell r="F1805">
            <v>0.1164326518774033</v>
          </cell>
        </row>
        <row r="1806">
          <cell r="A1806" t="str">
            <v>ECU</v>
          </cell>
          <cell r="B1806" t="str">
            <v>Long</v>
          </cell>
          <cell r="C1806" t="str">
            <v>2006 - 2023</v>
          </cell>
          <cell r="D1806" t="str">
            <v>reg_iter</v>
          </cell>
          <cell r="E1806" t="str">
            <v>prod_inf_agri</v>
          </cell>
          <cell r="F1806">
            <v>-1.3950347900390629</v>
          </cell>
        </row>
        <row r="1807">
          <cell r="A1807" t="str">
            <v>ECU</v>
          </cell>
          <cell r="B1807" t="str">
            <v>Long</v>
          </cell>
          <cell r="C1807" t="str">
            <v>2006 - 2023</v>
          </cell>
          <cell r="D1807" t="str">
            <v>reg_iter</v>
          </cell>
          <cell r="E1807" t="str">
            <v>prod_inf_ind</v>
          </cell>
          <cell r="F1807">
            <v>0.40609607100486761</v>
          </cell>
        </row>
        <row r="1808">
          <cell r="A1808" t="str">
            <v>ECU</v>
          </cell>
          <cell r="B1808" t="str">
            <v>Long</v>
          </cell>
          <cell r="C1808" t="str">
            <v>2006 - 2023</v>
          </cell>
          <cell r="D1808" t="str">
            <v>reg_iter</v>
          </cell>
          <cell r="E1808" t="str">
            <v>prod_inf_serv</v>
          </cell>
          <cell r="F1808">
            <v>-0.3264654278755188</v>
          </cell>
        </row>
        <row r="1809">
          <cell r="A1809" t="str">
            <v>ECU</v>
          </cell>
          <cell r="B1809" t="str">
            <v>Middle</v>
          </cell>
          <cell r="C1809" t="str">
            <v>2015 - 2023</v>
          </cell>
          <cell r="D1809" t="str">
            <v>avg</v>
          </cell>
          <cell r="E1809" t="str">
            <v>gdp_activity</v>
          </cell>
          <cell r="F1809">
            <v>2.5762519836425781</v>
          </cell>
        </row>
        <row r="1810">
          <cell r="A1810" t="str">
            <v>ECU</v>
          </cell>
          <cell r="B1810" t="str">
            <v>Middle</v>
          </cell>
          <cell r="C1810" t="str">
            <v>2015 - 2023</v>
          </cell>
          <cell r="D1810" t="str">
            <v>avg</v>
          </cell>
          <cell r="E1810" t="str">
            <v>gdp_for_agri</v>
          </cell>
          <cell r="F1810">
            <v>-159.5656433105469</v>
          </cell>
        </row>
        <row r="1811">
          <cell r="A1811" t="str">
            <v>ECU</v>
          </cell>
          <cell r="B1811" t="str">
            <v>Middle</v>
          </cell>
          <cell r="C1811" t="str">
            <v>2015 - 2023</v>
          </cell>
          <cell r="D1811" t="str">
            <v>avg</v>
          </cell>
          <cell r="E1811" t="str">
            <v>gdp_for_ind</v>
          </cell>
          <cell r="F1811">
            <v>-0.73738992214202881</v>
          </cell>
        </row>
        <row r="1812">
          <cell r="A1812" t="str">
            <v>ECU</v>
          </cell>
          <cell r="B1812" t="str">
            <v>Middle</v>
          </cell>
          <cell r="C1812" t="str">
            <v>2015 - 2023</v>
          </cell>
          <cell r="D1812" t="str">
            <v>avg</v>
          </cell>
          <cell r="E1812" t="str">
            <v>gdp_for_serv</v>
          </cell>
          <cell r="F1812">
            <v>7.5103491544723511E-2</v>
          </cell>
        </row>
        <row r="1813">
          <cell r="A1813" t="str">
            <v>ECU</v>
          </cell>
          <cell r="B1813" t="str">
            <v>Middle</v>
          </cell>
          <cell r="C1813" t="str">
            <v>2015 - 2023</v>
          </cell>
          <cell r="D1813" t="str">
            <v>avg</v>
          </cell>
          <cell r="E1813" t="str">
            <v>gdp_inf_agri</v>
          </cell>
          <cell r="F1813">
            <v>466.094970703125</v>
          </cell>
        </row>
        <row r="1814">
          <cell r="A1814" t="str">
            <v>ECU</v>
          </cell>
          <cell r="B1814" t="str">
            <v>Middle</v>
          </cell>
          <cell r="C1814" t="str">
            <v>2015 - 2023</v>
          </cell>
          <cell r="D1814" t="str">
            <v>avg</v>
          </cell>
          <cell r="E1814" t="str">
            <v>gdp_inf_ind</v>
          </cell>
          <cell r="F1814">
            <v>-0.96516478061676025</v>
          </cell>
        </row>
        <row r="1815">
          <cell r="A1815" t="str">
            <v>ECU</v>
          </cell>
          <cell r="B1815" t="str">
            <v>Middle</v>
          </cell>
          <cell r="C1815" t="str">
            <v>2015 - 2023</v>
          </cell>
          <cell r="D1815" t="str">
            <v>avg</v>
          </cell>
          <cell r="E1815" t="str">
            <v>gdp_inf_serv</v>
          </cell>
          <cell r="F1815">
            <v>2.172126293182373</v>
          </cell>
        </row>
        <row r="1816">
          <cell r="A1816" t="str">
            <v>ECU</v>
          </cell>
          <cell r="B1816" t="str">
            <v>Middle</v>
          </cell>
          <cell r="C1816" t="str">
            <v>2015 - 2023</v>
          </cell>
          <cell r="D1816" t="str">
            <v>avg</v>
          </cell>
          <cell r="E1816" t="str">
            <v>prod_for_agri</v>
          </cell>
          <cell r="F1816">
            <v>1.4254946708679199</v>
          </cell>
        </row>
        <row r="1817">
          <cell r="A1817" t="str">
            <v>ECU</v>
          </cell>
          <cell r="B1817" t="str">
            <v>Middle</v>
          </cell>
          <cell r="C1817" t="str">
            <v>2015 - 2023</v>
          </cell>
          <cell r="D1817" t="str">
            <v>avg</v>
          </cell>
          <cell r="E1817" t="str">
            <v>prod_for_ind</v>
          </cell>
          <cell r="F1817">
            <v>-1.11259925365448</v>
          </cell>
        </row>
        <row r="1818">
          <cell r="A1818" t="str">
            <v>ECU</v>
          </cell>
          <cell r="B1818" t="str">
            <v>Middle</v>
          </cell>
          <cell r="C1818" t="str">
            <v>2015 - 2023</v>
          </cell>
          <cell r="D1818" t="str">
            <v>avg</v>
          </cell>
          <cell r="E1818" t="str">
            <v>prod_for_serv</v>
          </cell>
          <cell r="F1818">
            <v>4.6368446350097656</v>
          </cell>
        </row>
        <row r="1819">
          <cell r="A1819" t="str">
            <v>ECU</v>
          </cell>
          <cell r="B1819" t="str">
            <v>Middle</v>
          </cell>
          <cell r="C1819" t="str">
            <v>2015 - 2023</v>
          </cell>
          <cell r="D1819" t="str">
            <v>avg</v>
          </cell>
          <cell r="E1819" t="str">
            <v>prod_inf_agri</v>
          </cell>
          <cell r="F1819">
            <v>1.2957721948623659</v>
          </cell>
        </row>
        <row r="1820">
          <cell r="A1820" t="str">
            <v>ECU</v>
          </cell>
          <cell r="B1820" t="str">
            <v>Middle</v>
          </cell>
          <cell r="C1820" t="str">
            <v>2015 - 2023</v>
          </cell>
          <cell r="D1820" t="str">
            <v>avg</v>
          </cell>
          <cell r="E1820" t="str">
            <v>prod_inf_ind</v>
          </cell>
          <cell r="F1820">
            <v>-0.74348104000091553</v>
          </cell>
        </row>
        <row r="1821">
          <cell r="A1821" t="str">
            <v>ECU</v>
          </cell>
          <cell r="B1821" t="str">
            <v>Middle</v>
          </cell>
          <cell r="C1821" t="str">
            <v>2015 - 2023</v>
          </cell>
          <cell r="D1821" t="str">
            <v>avg</v>
          </cell>
          <cell r="E1821" t="str">
            <v>prod_inf_serv</v>
          </cell>
          <cell r="F1821">
            <v>-8.8429241180419922</v>
          </cell>
        </row>
        <row r="1822">
          <cell r="A1822" t="str">
            <v>ECU</v>
          </cell>
          <cell r="B1822" t="str">
            <v>Middle</v>
          </cell>
          <cell r="C1822" t="str">
            <v>2015 - 2023</v>
          </cell>
          <cell r="D1822" t="str">
            <v>avg_1_99</v>
          </cell>
          <cell r="E1822" t="str">
            <v>gdp_activity</v>
          </cell>
          <cell r="F1822">
            <v>0.1774030327796936</v>
          </cell>
        </row>
        <row r="1823">
          <cell r="A1823" t="str">
            <v>ECU</v>
          </cell>
          <cell r="B1823" t="str">
            <v>Middle</v>
          </cell>
          <cell r="C1823" t="str">
            <v>2015 - 2023</v>
          </cell>
          <cell r="D1823" t="str">
            <v>avg_1_99</v>
          </cell>
          <cell r="E1823" t="str">
            <v>gdp_for_agri</v>
          </cell>
          <cell r="F1823">
            <v>-1.289428234100342</v>
          </cell>
        </row>
        <row r="1824">
          <cell r="A1824" t="str">
            <v>ECU</v>
          </cell>
          <cell r="B1824" t="str">
            <v>Middle</v>
          </cell>
          <cell r="C1824" t="str">
            <v>2015 - 2023</v>
          </cell>
          <cell r="D1824" t="str">
            <v>avg_1_99</v>
          </cell>
          <cell r="E1824" t="str">
            <v>gdp_for_ind</v>
          </cell>
          <cell r="F1824">
            <v>-0.73738992214202881</v>
          </cell>
        </row>
        <row r="1825">
          <cell r="A1825" t="str">
            <v>ECU</v>
          </cell>
          <cell r="B1825" t="str">
            <v>Middle</v>
          </cell>
          <cell r="C1825" t="str">
            <v>2015 - 2023</v>
          </cell>
          <cell r="D1825" t="str">
            <v>avg_1_99</v>
          </cell>
          <cell r="E1825" t="str">
            <v>gdp_for_serv</v>
          </cell>
          <cell r="F1825">
            <v>0.38141107559204102</v>
          </cell>
        </row>
        <row r="1826">
          <cell r="A1826" t="str">
            <v>ECU</v>
          </cell>
          <cell r="B1826" t="str">
            <v>Middle</v>
          </cell>
          <cell r="C1826" t="str">
            <v>2015 - 2023</v>
          </cell>
          <cell r="D1826" t="str">
            <v>avg_1_99</v>
          </cell>
          <cell r="E1826" t="str">
            <v>gdp_inf_agri</v>
          </cell>
          <cell r="F1826">
            <v>2.259476900100708</v>
          </cell>
        </row>
        <row r="1827">
          <cell r="A1827" t="str">
            <v>ECU</v>
          </cell>
          <cell r="B1827" t="str">
            <v>Middle</v>
          </cell>
          <cell r="C1827" t="str">
            <v>2015 - 2023</v>
          </cell>
          <cell r="D1827" t="str">
            <v>avg_1_99</v>
          </cell>
          <cell r="E1827" t="str">
            <v>gdp_inf_ind</v>
          </cell>
          <cell r="F1827">
            <v>1.087327837944031</v>
          </cell>
        </row>
        <row r="1828">
          <cell r="A1828" t="str">
            <v>ECU</v>
          </cell>
          <cell r="B1828" t="str">
            <v>Middle</v>
          </cell>
          <cell r="C1828" t="str">
            <v>2015 - 2023</v>
          </cell>
          <cell r="D1828" t="str">
            <v>avg_1_99</v>
          </cell>
          <cell r="E1828" t="str">
            <v>gdp_inf_serv</v>
          </cell>
          <cell r="F1828">
            <v>0.63547205924987793</v>
          </cell>
        </row>
        <row r="1829">
          <cell r="A1829" t="str">
            <v>ECU</v>
          </cell>
          <cell r="B1829" t="str">
            <v>Middle</v>
          </cell>
          <cell r="C1829" t="str">
            <v>2015 - 2023</v>
          </cell>
          <cell r="D1829" t="str">
            <v>avg_1_99</v>
          </cell>
          <cell r="E1829" t="str">
            <v>prod_for_agri</v>
          </cell>
          <cell r="F1829">
            <v>1.4254946708679199</v>
          </cell>
        </row>
        <row r="1830">
          <cell r="A1830" t="str">
            <v>ECU</v>
          </cell>
          <cell r="B1830" t="str">
            <v>Middle</v>
          </cell>
          <cell r="C1830" t="str">
            <v>2015 - 2023</v>
          </cell>
          <cell r="D1830" t="str">
            <v>avg_1_99</v>
          </cell>
          <cell r="E1830" t="str">
            <v>prod_for_ind</v>
          </cell>
          <cell r="F1830">
            <v>-1.11259925365448</v>
          </cell>
        </row>
        <row r="1831">
          <cell r="A1831" t="str">
            <v>ECU</v>
          </cell>
          <cell r="B1831" t="str">
            <v>Middle</v>
          </cell>
          <cell r="C1831" t="str">
            <v>2015 - 2023</v>
          </cell>
          <cell r="D1831" t="str">
            <v>avg_1_99</v>
          </cell>
          <cell r="E1831" t="str">
            <v>prod_for_serv</v>
          </cell>
          <cell r="F1831">
            <v>1.5039893388748169</v>
          </cell>
        </row>
        <row r="1832">
          <cell r="A1832" t="str">
            <v>ECU</v>
          </cell>
          <cell r="B1832" t="str">
            <v>Middle</v>
          </cell>
          <cell r="C1832" t="str">
            <v>2015 - 2023</v>
          </cell>
          <cell r="D1832" t="str">
            <v>avg_1_99</v>
          </cell>
          <cell r="E1832" t="str">
            <v>prod_inf_agri</v>
          </cell>
          <cell r="F1832">
            <v>0.82314139604568481</v>
          </cell>
        </row>
        <row r="1833">
          <cell r="A1833" t="str">
            <v>ECU</v>
          </cell>
          <cell r="B1833" t="str">
            <v>Middle</v>
          </cell>
          <cell r="C1833" t="str">
            <v>2015 - 2023</v>
          </cell>
          <cell r="D1833" t="str">
            <v>avg_1_99</v>
          </cell>
          <cell r="E1833" t="str">
            <v>prod_inf_ind</v>
          </cell>
          <cell r="F1833">
            <v>1.153334856033325</v>
          </cell>
        </row>
        <row r="1834">
          <cell r="A1834" t="str">
            <v>ECU</v>
          </cell>
          <cell r="B1834" t="str">
            <v>Middle</v>
          </cell>
          <cell r="C1834" t="str">
            <v>2015 - 2023</v>
          </cell>
          <cell r="D1834" t="str">
            <v>avg_1_99</v>
          </cell>
          <cell r="E1834" t="str">
            <v>prod_inf_serv</v>
          </cell>
          <cell r="F1834">
            <v>0.95835155248641968</v>
          </cell>
        </row>
        <row r="1835">
          <cell r="A1835" t="str">
            <v>ECU</v>
          </cell>
          <cell r="B1835" t="str">
            <v>Middle</v>
          </cell>
          <cell r="C1835" t="str">
            <v>2015 - 2023</v>
          </cell>
          <cell r="D1835" t="str">
            <v>avg_1_99_imp</v>
          </cell>
          <cell r="E1835" t="str">
            <v>gdp_activity</v>
          </cell>
          <cell r="F1835">
            <v>0.24835661053657529</v>
          </cell>
        </row>
        <row r="1836">
          <cell r="A1836" t="str">
            <v>ECU</v>
          </cell>
          <cell r="B1836" t="str">
            <v>Middle</v>
          </cell>
          <cell r="C1836" t="str">
            <v>2015 - 2023</v>
          </cell>
          <cell r="D1836" t="str">
            <v>avg_1_99_imp</v>
          </cell>
          <cell r="E1836" t="str">
            <v>gdp_for_agri</v>
          </cell>
          <cell r="F1836">
            <v>-1.080234050750732</v>
          </cell>
        </row>
        <row r="1837">
          <cell r="A1837" t="str">
            <v>ECU</v>
          </cell>
          <cell r="B1837" t="str">
            <v>Middle</v>
          </cell>
          <cell r="C1837" t="str">
            <v>2015 - 2023</v>
          </cell>
          <cell r="D1837" t="str">
            <v>avg_1_99_imp</v>
          </cell>
          <cell r="E1837" t="str">
            <v>gdp_for_ind</v>
          </cell>
          <cell r="F1837">
            <v>-0.73738992214202881</v>
          </cell>
        </row>
        <row r="1838">
          <cell r="A1838" t="str">
            <v>ECU</v>
          </cell>
          <cell r="B1838" t="str">
            <v>Middle</v>
          </cell>
          <cell r="C1838" t="str">
            <v>2015 - 2023</v>
          </cell>
          <cell r="D1838" t="str">
            <v>avg_1_99_imp</v>
          </cell>
          <cell r="E1838" t="str">
            <v>gdp_for_serv</v>
          </cell>
          <cell r="F1838">
            <v>0.40401118993759161</v>
          </cell>
        </row>
        <row r="1839">
          <cell r="A1839" t="str">
            <v>ECU</v>
          </cell>
          <cell r="B1839" t="str">
            <v>Middle</v>
          </cell>
          <cell r="C1839" t="str">
            <v>2015 - 2023</v>
          </cell>
          <cell r="D1839" t="str">
            <v>avg_1_99_imp</v>
          </cell>
          <cell r="E1839" t="str">
            <v>gdp_inf_agri</v>
          </cell>
          <cell r="F1839">
            <v>2.285311222076416</v>
          </cell>
        </row>
        <row r="1840">
          <cell r="A1840" t="str">
            <v>ECU</v>
          </cell>
          <cell r="B1840" t="str">
            <v>Middle</v>
          </cell>
          <cell r="C1840" t="str">
            <v>2015 - 2023</v>
          </cell>
          <cell r="D1840" t="str">
            <v>avg_1_99_imp</v>
          </cell>
          <cell r="E1840" t="str">
            <v>gdp_inf_ind</v>
          </cell>
          <cell r="F1840">
            <v>1.051905035972595</v>
          </cell>
        </row>
        <row r="1841">
          <cell r="A1841" t="str">
            <v>ECU</v>
          </cell>
          <cell r="B1841" t="str">
            <v>Middle</v>
          </cell>
          <cell r="C1841" t="str">
            <v>2015 - 2023</v>
          </cell>
          <cell r="D1841" t="str">
            <v>avg_1_99_imp</v>
          </cell>
          <cell r="E1841" t="str">
            <v>gdp_inf_serv</v>
          </cell>
          <cell r="F1841">
            <v>0.67245376110076904</v>
          </cell>
        </row>
        <row r="1842">
          <cell r="A1842" t="str">
            <v>ECU</v>
          </cell>
          <cell r="B1842" t="str">
            <v>Middle</v>
          </cell>
          <cell r="C1842" t="str">
            <v>2015 - 2023</v>
          </cell>
          <cell r="D1842" t="str">
            <v>avg_1_99_imp</v>
          </cell>
          <cell r="E1842" t="str">
            <v>prod_for_agri</v>
          </cell>
          <cell r="F1842">
            <v>1.3245115280151369</v>
          </cell>
        </row>
        <row r="1843">
          <cell r="A1843" t="str">
            <v>ECU</v>
          </cell>
          <cell r="B1843" t="str">
            <v>Middle</v>
          </cell>
          <cell r="C1843" t="str">
            <v>2015 - 2023</v>
          </cell>
          <cell r="D1843" t="str">
            <v>avg_1_99_imp</v>
          </cell>
          <cell r="E1843" t="str">
            <v>prod_for_ind</v>
          </cell>
          <cell r="F1843">
            <v>-0.89629799127578735</v>
          </cell>
        </row>
        <row r="1844">
          <cell r="A1844" t="str">
            <v>ECU</v>
          </cell>
          <cell r="B1844" t="str">
            <v>Middle</v>
          </cell>
          <cell r="C1844" t="str">
            <v>2015 - 2023</v>
          </cell>
          <cell r="D1844" t="str">
            <v>avg_1_99_imp</v>
          </cell>
          <cell r="E1844" t="str">
            <v>prod_for_serv</v>
          </cell>
          <cell r="F1844">
            <v>1.030312776565552</v>
          </cell>
        </row>
        <row r="1845">
          <cell r="A1845" t="str">
            <v>ECU</v>
          </cell>
          <cell r="B1845" t="str">
            <v>Middle</v>
          </cell>
          <cell r="C1845" t="str">
            <v>2015 - 2023</v>
          </cell>
          <cell r="D1845" t="str">
            <v>avg_1_99_imp</v>
          </cell>
          <cell r="E1845" t="str">
            <v>prod_inf_agri</v>
          </cell>
          <cell r="F1845">
            <v>0.82445365190505981</v>
          </cell>
        </row>
        <row r="1846">
          <cell r="A1846" t="str">
            <v>ECU</v>
          </cell>
          <cell r="B1846" t="str">
            <v>Middle</v>
          </cell>
          <cell r="C1846" t="str">
            <v>2015 - 2023</v>
          </cell>
          <cell r="D1846" t="str">
            <v>avg_1_99_imp</v>
          </cell>
          <cell r="E1846" t="str">
            <v>prod_inf_ind</v>
          </cell>
          <cell r="F1846">
            <v>1.1039842367172239</v>
          </cell>
        </row>
        <row r="1847">
          <cell r="A1847" t="str">
            <v>ECU</v>
          </cell>
          <cell r="B1847" t="str">
            <v>Middle</v>
          </cell>
          <cell r="C1847" t="str">
            <v>2015 - 2023</v>
          </cell>
          <cell r="D1847" t="str">
            <v>avg_1_99_imp</v>
          </cell>
          <cell r="E1847" t="str">
            <v>prod_inf_serv</v>
          </cell>
          <cell r="F1847">
            <v>1.1915876865386961</v>
          </cell>
        </row>
        <row r="1848">
          <cell r="A1848" t="str">
            <v>ECU</v>
          </cell>
          <cell r="B1848" t="str">
            <v>Middle</v>
          </cell>
          <cell r="C1848" t="str">
            <v>2015 - 2023</v>
          </cell>
          <cell r="D1848" t="str">
            <v>reg</v>
          </cell>
          <cell r="E1848" t="str">
            <v>gdp_activity</v>
          </cell>
          <cell r="F1848">
            <v>0.46688514947891241</v>
          </cell>
        </row>
        <row r="1849">
          <cell r="A1849" t="str">
            <v>ECU</v>
          </cell>
          <cell r="B1849" t="str">
            <v>Middle</v>
          </cell>
          <cell r="C1849" t="str">
            <v>2015 - 2023</v>
          </cell>
          <cell r="D1849" t="str">
            <v>reg</v>
          </cell>
          <cell r="E1849" t="str">
            <v>gdp_for_agri</v>
          </cell>
          <cell r="F1849">
            <v>-0.82021093368530273</v>
          </cell>
        </row>
        <row r="1850">
          <cell r="A1850" t="str">
            <v>ECU</v>
          </cell>
          <cell r="B1850" t="str">
            <v>Middle</v>
          </cell>
          <cell r="C1850" t="str">
            <v>2015 - 2023</v>
          </cell>
          <cell r="D1850" t="str">
            <v>reg</v>
          </cell>
          <cell r="E1850" t="str">
            <v>gdp_for_ind</v>
          </cell>
          <cell r="F1850">
            <v>1.5151019096374509</v>
          </cell>
        </row>
        <row r="1851">
          <cell r="A1851" t="str">
            <v>ECU</v>
          </cell>
          <cell r="B1851" t="str">
            <v>Middle</v>
          </cell>
          <cell r="C1851" t="str">
            <v>2015 - 2023</v>
          </cell>
          <cell r="D1851" t="str">
            <v>reg</v>
          </cell>
          <cell r="E1851" t="str">
            <v>gdp_for_serv</v>
          </cell>
          <cell r="F1851">
            <v>-0.55479753017425537</v>
          </cell>
        </row>
        <row r="1852">
          <cell r="A1852" t="str">
            <v>ECU</v>
          </cell>
          <cell r="B1852" t="str">
            <v>Middle</v>
          </cell>
          <cell r="C1852" t="str">
            <v>2015 - 2023</v>
          </cell>
          <cell r="D1852" t="str">
            <v>reg</v>
          </cell>
          <cell r="E1852" t="str">
            <v>gdp_inf_agri</v>
          </cell>
          <cell r="F1852">
            <v>2.1986839771270752</v>
          </cell>
        </row>
        <row r="1853">
          <cell r="A1853" t="str">
            <v>ECU</v>
          </cell>
          <cell r="B1853" t="str">
            <v>Middle</v>
          </cell>
          <cell r="C1853" t="str">
            <v>2015 - 2023</v>
          </cell>
          <cell r="D1853" t="str">
            <v>reg</v>
          </cell>
          <cell r="E1853" t="str">
            <v>gdp_inf_ind</v>
          </cell>
          <cell r="F1853">
            <v>0.42785453796386719</v>
          </cell>
        </row>
        <row r="1854">
          <cell r="A1854" t="str">
            <v>ECU</v>
          </cell>
          <cell r="B1854" t="str">
            <v>Middle</v>
          </cell>
          <cell r="C1854" t="str">
            <v>2015 - 2023</v>
          </cell>
          <cell r="D1854" t="str">
            <v>reg</v>
          </cell>
          <cell r="E1854" t="str">
            <v>gdp_inf_serv</v>
          </cell>
          <cell r="F1854">
            <v>1.1699680089950559</v>
          </cell>
        </row>
        <row r="1855">
          <cell r="A1855" t="str">
            <v>ECU</v>
          </cell>
          <cell r="B1855" t="str">
            <v>Middle</v>
          </cell>
          <cell r="C1855" t="str">
            <v>2015 - 2023</v>
          </cell>
          <cell r="D1855" t="str">
            <v>reg</v>
          </cell>
          <cell r="E1855" t="str">
            <v>prod_for_agri</v>
          </cell>
          <cell r="F1855">
            <v>1.602730393409729</v>
          </cell>
        </row>
        <row r="1856">
          <cell r="A1856" t="str">
            <v>ECU</v>
          </cell>
          <cell r="B1856" t="str">
            <v>Middle</v>
          </cell>
          <cell r="C1856" t="str">
            <v>2015 - 2023</v>
          </cell>
          <cell r="D1856" t="str">
            <v>reg</v>
          </cell>
          <cell r="E1856" t="str">
            <v>prod_for_ind</v>
          </cell>
          <cell r="F1856">
            <v>0.35632118582725519</v>
          </cell>
        </row>
        <row r="1857">
          <cell r="A1857" t="str">
            <v>ECU</v>
          </cell>
          <cell r="B1857" t="str">
            <v>Middle</v>
          </cell>
          <cell r="C1857" t="str">
            <v>2015 - 2023</v>
          </cell>
          <cell r="D1857" t="str">
            <v>reg</v>
          </cell>
          <cell r="E1857" t="str">
            <v>prod_for_serv</v>
          </cell>
          <cell r="F1857">
            <v>-6.6248178482055664E-2</v>
          </cell>
        </row>
        <row r="1858">
          <cell r="A1858" t="str">
            <v>ECU</v>
          </cell>
          <cell r="B1858" t="str">
            <v>Middle</v>
          </cell>
          <cell r="C1858" t="str">
            <v>2015 - 2023</v>
          </cell>
          <cell r="D1858" t="str">
            <v>reg</v>
          </cell>
          <cell r="E1858" t="str">
            <v>prod_inf_agri</v>
          </cell>
          <cell r="F1858">
            <v>1.594292163848877</v>
          </cell>
        </row>
        <row r="1859">
          <cell r="A1859" t="str">
            <v>ECU</v>
          </cell>
          <cell r="B1859" t="str">
            <v>Middle</v>
          </cell>
          <cell r="C1859" t="str">
            <v>2015 - 2023</v>
          </cell>
          <cell r="D1859" t="str">
            <v>reg</v>
          </cell>
          <cell r="E1859" t="str">
            <v>prod_inf_ind</v>
          </cell>
          <cell r="F1859">
            <v>0.61672085523605347</v>
          </cell>
        </row>
        <row r="1860">
          <cell r="A1860" t="str">
            <v>ECU</v>
          </cell>
          <cell r="B1860" t="str">
            <v>Middle</v>
          </cell>
          <cell r="C1860" t="str">
            <v>2015 - 2023</v>
          </cell>
          <cell r="D1860" t="str">
            <v>reg</v>
          </cell>
          <cell r="E1860" t="str">
            <v>prod_inf_serv</v>
          </cell>
          <cell r="F1860">
            <v>0.66234344244003296</v>
          </cell>
        </row>
        <row r="1861">
          <cell r="A1861" t="str">
            <v>ECU</v>
          </cell>
          <cell r="B1861" t="str">
            <v>Middle</v>
          </cell>
          <cell r="C1861" t="str">
            <v>2015 - 2023</v>
          </cell>
          <cell r="D1861" t="str">
            <v>reg_gdp</v>
          </cell>
          <cell r="E1861" t="str">
            <v>gdp_activity</v>
          </cell>
          <cell r="F1861">
            <v>0.46688514947891241</v>
          </cell>
        </row>
        <row r="1862">
          <cell r="A1862" t="str">
            <v>ECU</v>
          </cell>
          <cell r="B1862" t="str">
            <v>Middle</v>
          </cell>
          <cell r="C1862" t="str">
            <v>2015 - 2023</v>
          </cell>
          <cell r="D1862" t="str">
            <v>reg_gdp</v>
          </cell>
          <cell r="E1862" t="str">
            <v>gdp_for_agri</v>
          </cell>
          <cell r="F1862">
            <v>-0.58155256509780884</v>
          </cell>
        </row>
        <row r="1863">
          <cell r="A1863" t="str">
            <v>ECU</v>
          </cell>
          <cell r="B1863" t="str">
            <v>Middle</v>
          </cell>
          <cell r="C1863" t="str">
            <v>2015 - 2023</v>
          </cell>
          <cell r="D1863" t="str">
            <v>reg_gdp</v>
          </cell>
          <cell r="E1863" t="str">
            <v>gdp_for_ind</v>
          </cell>
          <cell r="F1863">
            <v>3.1446187496185298</v>
          </cell>
        </row>
        <row r="1864">
          <cell r="A1864" t="str">
            <v>ECU</v>
          </cell>
          <cell r="B1864" t="str">
            <v>Middle</v>
          </cell>
          <cell r="C1864" t="str">
            <v>2015 - 2023</v>
          </cell>
          <cell r="D1864" t="str">
            <v>reg_gdp</v>
          </cell>
          <cell r="E1864" t="str">
            <v>gdp_for_serv</v>
          </cell>
          <cell r="F1864">
            <v>-5.8266997337341309</v>
          </cell>
        </row>
        <row r="1865">
          <cell r="A1865" t="str">
            <v>ECU</v>
          </cell>
          <cell r="B1865" t="str">
            <v>Middle</v>
          </cell>
          <cell r="C1865" t="str">
            <v>2015 - 2023</v>
          </cell>
          <cell r="D1865" t="str">
            <v>reg_gdp</v>
          </cell>
          <cell r="E1865" t="str">
            <v>gdp_inf_agri</v>
          </cell>
          <cell r="F1865">
            <v>3.1727604866027832</v>
          </cell>
        </row>
        <row r="1866">
          <cell r="A1866" t="str">
            <v>ECU</v>
          </cell>
          <cell r="B1866" t="str">
            <v>Middle</v>
          </cell>
          <cell r="C1866" t="str">
            <v>2015 - 2023</v>
          </cell>
          <cell r="D1866" t="str">
            <v>reg_gdp</v>
          </cell>
          <cell r="E1866" t="str">
            <v>gdp_inf_ind</v>
          </cell>
          <cell r="F1866">
            <v>-7.0112481713294983E-2</v>
          </cell>
        </row>
        <row r="1867">
          <cell r="A1867" t="str">
            <v>ECU</v>
          </cell>
          <cell r="B1867" t="str">
            <v>Middle</v>
          </cell>
          <cell r="C1867" t="str">
            <v>2015 - 2023</v>
          </cell>
          <cell r="D1867" t="str">
            <v>reg_gdp</v>
          </cell>
          <cell r="E1867" t="str">
            <v>gdp_inf_serv</v>
          </cell>
          <cell r="F1867">
            <v>3.7260723114013672</v>
          </cell>
        </row>
        <row r="1868">
          <cell r="A1868" t="str">
            <v>ECU</v>
          </cell>
          <cell r="B1868" t="str">
            <v>Middle</v>
          </cell>
          <cell r="C1868" t="str">
            <v>2015 - 2023</v>
          </cell>
          <cell r="D1868" t="str">
            <v>reg_gdp</v>
          </cell>
          <cell r="E1868" t="str">
            <v>prod_for_agri</v>
          </cell>
          <cell r="F1868">
            <v>1.6063740253448491</v>
          </cell>
        </row>
        <row r="1869">
          <cell r="A1869" t="str">
            <v>ECU</v>
          </cell>
          <cell r="B1869" t="str">
            <v>Middle</v>
          </cell>
          <cell r="C1869" t="str">
            <v>2015 - 2023</v>
          </cell>
          <cell r="D1869" t="str">
            <v>reg_gdp</v>
          </cell>
          <cell r="E1869" t="str">
            <v>prod_for_ind</v>
          </cell>
          <cell r="F1869">
            <v>0.48314949870109558</v>
          </cell>
        </row>
        <row r="1870">
          <cell r="A1870" t="str">
            <v>ECU</v>
          </cell>
          <cell r="B1870" t="str">
            <v>Middle</v>
          </cell>
          <cell r="C1870" t="str">
            <v>2015 - 2023</v>
          </cell>
          <cell r="D1870" t="str">
            <v>reg_gdp</v>
          </cell>
          <cell r="E1870" t="str">
            <v>prod_for_serv</v>
          </cell>
          <cell r="F1870">
            <v>-3.1091475859284401E-2</v>
          </cell>
        </row>
        <row r="1871">
          <cell r="A1871" t="str">
            <v>ECU</v>
          </cell>
          <cell r="B1871" t="str">
            <v>Middle</v>
          </cell>
          <cell r="C1871" t="str">
            <v>2015 - 2023</v>
          </cell>
          <cell r="D1871" t="str">
            <v>reg_gdp</v>
          </cell>
          <cell r="E1871" t="str">
            <v>prod_inf_agri</v>
          </cell>
          <cell r="F1871">
            <v>1.636256217956543</v>
          </cell>
        </row>
        <row r="1872">
          <cell r="A1872" t="str">
            <v>ECU</v>
          </cell>
          <cell r="B1872" t="str">
            <v>Middle</v>
          </cell>
          <cell r="C1872" t="str">
            <v>2015 - 2023</v>
          </cell>
          <cell r="D1872" t="str">
            <v>reg_gdp</v>
          </cell>
          <cell r="E1872" t="str">
            <v>prod_inf_ind</v>
          </cell>
          <cell r="F1872">
            <v>0.22729586064815521</v>
          </cell>
        </row>
        <row r="1873">
          <cell r="A1873" t="str">
            <v>ECU</v>
          </cell>
          <cell r="B1873" t="str">
            <v>Middle</v>
          </cell>
          <cell r="C1873" t="str">
            <v>2015 - 2023</v>
          </cell>
          <cell r="D1873" t="str">
            <v>reg_gdp</v>
          </cell>
          <cell r="E1873" t="str">
            <v>prod_inf_serv</v>
          </cell>
          <cell r="F1873">
            <v>-7.6546542346477509E-2</v>
          </cell>
        </row>
        <row r="1874">
          <cell r="A1874" t="str">
            <v>ECU</v>
          </cell>
          <cell r="B1874" t="str">
            <v>Middle</v>
          </cell>
          <cell r="C1874" t="str">
            <v>2015 - 2023</v>
          </cell>
          <cell r="D1874" t="str">
            <v>reg_iter</v>
          </cell>
          <cell r="E1874" t="str">
            <v>gdp_activity</v>
          </cell>
          <cell r="F1874">
            <v>0.24724820256233221</v>
          </cell>
        </row>
        <row r="1875">
          <cell r="A1875" t="str">
            <v>ECU</v>
          </cell>
          <cell r="B1875" t="str">
            <v>Middle</v>
          </cell>
          <cell r="C1875" t="str">
            <v>2015 - 2023</v>
          </cell>
          <cell r="D1875" t="str">
            <v>reg_iter</v>
          </cell>
          <cell r="E1875" t="str">
            <v>gdp_for_agri</v>
          </cell>
          <cell r="F1875">
            <v>-0.89295542240142822</v>
          </cell>
        </row>
        <row r="1876">
          <cell r="A1876" t="str">
            <v>ECU</v>
          </cell>
          <cell r="B1876" t="str">
            <v>Middle</v>
          </cell>
          <cell r="C1876" t="str">
            <v>2015 - 2023</v>
          </cell>
          <cell r="D1876" t="str">
            <v>reg_iter</v>
          </cell>
          <cell r="E1876" t="str">
            <v>gdp_for_ind</v>
          </cell>
          <cell r="F1876">
            <v>0.85827291011810303</v>
          </cell>
        </row>
        <row r="1877">
          <cell r="A1877" t="str">
            <v>ECU</v>
          </cell>
          <cell r="B1877" t="str">
            <v>Middle</v>
          </cell>
          <cell r="C1877" t="str">
            <v>2015 - 2023</v>
          </cell>
          <cell r="D1877" t="str">
            <v>reg_iter</v>
          </cell>
          <cell r="E1877" t="str">
            <v>gdp_for_serv</v>
          </cell>
          <cell r="F1877">
            <v>0.87039250135421753</v>
          </cell>
        </row>
        <row r="1878">
          <cell r="A1878" t="str">
            <v>ECU</v>
          </cell>
          <cell r="B1878" t="str">
            <v>Middle</v>
          </cell>
          <cell r="C1878" t="str">
            <v>2015 - 2023</v>
          </cell>
          <cell r="D1878" t="str">
            <v>reg_iter</v>
          </cell>
          <cell r="E1878" t="str">
            <v>gdp_inf_agri</v>
          </cell>
          <cell r="F1878">
            <v>0.1526869535446167</v>
          </cell>
        </row>
        <row r="1879">
          <cell r="A1879" t="str">
            <v>ECU</v>
          </cell>
          <cell r="B1879" t="str">
            <v>Middle</v>
          </cell>
          <cell r="C1879" t="str">
            <v>2015 - 2023</v>
          </cell>
          <cell r="D1879" t="str">
            <v>reg_iter</v>
          </cell>
          <cell r="E1879" t="str">
            <v>gdp_inf_ind</v>
          </cell>
          <cell r="F1879">
            <v>0.64447253942489624</v>
          </cell>
        </row>
        <row r="1880">
          <cell r="A1880" t="str">
            <v>ECU</v>
          </cell>
          <cell r="B1880" t="str">
            <v>Middle</v>
          </cell>
          <cell r="C1880" t="str">
            <v>2015 - 2023</v>
          </cell>
          <cell r="D1880" t="str">
            <v>reg_iter</v>
          </cell>
          <cell r="E1880" t="str">
            <v>gdp_inf_serv</v>
          </cell>
          <cell r="F1880">
            <v>0.2460795193910599</v>
          </cell>
        </row>
        <row r="1881">
          <cell r="A1881" t="str">
            <v>ECU</v>
          </cell>
          <cell r="B1881" t="str">
            <v>Middle</v>
          </cell>
          <cell r="C1881" t="str">
            <v>2015 - 2023</v>
          </cell>
          <cell r="D1881" t="str">
            <v>reg_iter</v>
          </cell>
          <cell r="E1881" t="str">
            <v>prod_for_agri</v>
          </cell>
          <cell r="F1881">
            <v>1.354806065559387</v>
          </cell>
        </row>
        <row r="1882">
          <cell r="A1882" t="str">
            <v>ECU</v>
          </cell>
          <cell r="B1882" t="str">
            <v>Middle</v>
          </cell>
          <cell r="C1882" t="str">
            <v>2015 - 2023</v>
          </cell>
          <cell r="D1882" t="str">
            <v>reg_iter</v>
          </cell>
          <cell r="E1882" t="str">
            <v>prod_for_ind</v>
          </cell>
          <cell r="F1882">
            <v>0.77604347467422485</v>
          </cell>
        </row>
        <row r="1883">
          <cell r="A1883" t="str">
            <v>ECU</v>
          </cell>
          <cell r="B1883" t="str">
            <v>Middle</v>
          </cell>
          <cell r="C1883" t="str">
            <v>2015 - 2023</v>
          </cell>
          <cell r="D1883" t="str">
            <v>reg_iter</v>
          </cell>
          <cell r="E1883" t="str">
            <v>prod_for_serv</v>
          </cell>
          <cell r="F1883">
            <v>0.42040237784385681</v>
          </cell>
        </row>
        <row r="1884">
          <cell r="A1884" t="str">
            <v>ECU</v>
          </cell>
          <cell r="B1884" t="str">
            <v>Middle</v>
          </cell>
          <cell r="C1884" t="str">
            <v>2015 - 2023</v>
          </cell>
          <cell r="D1884" t="str">
            <v>reg_iter</v>
          </cell>
          <cell r="E1884" t="str">
            <v>prod_inf_agri</v>
          </cell>
          <cell r="F1884">
            <v>0.34704998135566711</v>
          </cell>
        </row>
        <row r="1885">
          <cell r="A1885" t="str">
            <v>ECU</v>
          </cell>
          <cell r="B1885" t="str">
            <v>Middle</v>
          </cell>
          <cell r="C1885" t="str">
            <v>2015 - 2023</v>
          </cell>
          <cell r="D1885" t="str">
            <v>reg_iter</v>
          </cell>
          <cell r="E1885" t="str">
            <v>prod_inf_ind</v>
          </cell>
          <cell r="F1885">
            <v>0.99112480878829956</v>
          </cell>
        </row>
        <row r="1886">
          <cell r="A1886" t="str">
            <v>ECU</v>
          </cell>
          <cell r="B1886" t="str">
            <v>Middle</v>
          </cell>
          <cell r="C1886" t="str">
            <v>2015 - 2023</v>
          </cell>
          <cell r="D1886" t="str">
            <v>reg_iter</v>
          </cell>
          <cell r="E1886" t="str">
            <v>prod_inf_serv</v>
          </cell>
          <cell r="F1886">
            <v>1.492987394332886</v>
          </cell>
        </row>
        <row r="1887">
          <cell r="A1887" t="str">
            <v>ECU</v>
          </cell>
          <cell r="B1887" t="str">
            <v>Short</v>
          </cell>
          <cell r="C1887" t="str">
            <v>2018 - 2023</v>
          </cell>
          <cell r="D1887" t="str">
            <v>avg</v>
          </cell>
          <cell r="E1887" t="str">
            <v>gdp_activity</v>
          </cell>
          <cell r="F1887">
            <v>0.12418784201145169</v>
          </cell>
        </row>
        <row r="1888">
          <cell r="A1888" t="str">
            <v>ECU</v>
          </cell>
          <cell r="B1888" t="str">
            <v>Short</v>
          </cell>
          <cell r="C1888" t="str">
            <v>2018 - 2023</v>
          </cell>
          <cell r="D1888" t="str">
            <v>avg</v>
          </cell>
          <cell r="E1888" t="str">
            <v>gdp_for_agri</v>
          </cell>
          <cell r="F1888">
            <v>-239.7958984375</v>
          </cell>
        </row>
        <row r="1889">
          <cell r="A1889" t="str">
            <v>ECU</v>
          </cell>
          <cell r="B1889" t="str">
            <v>Short</v>
          </cell>
          <cell r="C1889" t="str">
            <v>2018 - 2023</v>
          </cell>
          <cell r="D1889" t="str">
            <v>avg</v>
          </cell>
          <cell r="E1889" t="str">
            <v>gdp_for_ind</v>
          </cell>
          <cell r="F1889">
            <v>-0.82018488645553589</v>
          </cell>
        </row>
        <row r="1890">
          <cell r="A1890" t="str">
            <v>ECU</v>
          </cell>
          <cell r="B1890" t="str">
            <v>Short</v>
          </cell>
          <cell r="C1890" t="str">
            <v>2018 - 2023</v>
          </cell>
          <cell r="D1890" t="str">
            <v>avg</v>
          </cell>
          <cell r="E1890" t="str">
            <v>gdp_for_serv</v>
          </cell>
          <cell r="F1890">
            <v>9.1234900057315826E-2</v>
          </cell>
        </row>
        <row r="1891">
          <cell r="A1891" t="str">
            <v>ECU</v>
          </cell>
          <cell r="B1891" t="str">
            <v>Short</v>
          </cell>
          <cell r="C1891" t="str">
            <v>2018 - 2023</v>
          </cell>
          <cell r="D1891" t="str">
            <v>avg</v>
          </cell>
          <cell r="E1891" t="str">
            <v>gdp_inf_agri</v>
          </cell>
          <cell r="F1891">
            <v>697.76788330078125</v>
          </cell>
        </row>
        <row r="1892">
          <cell r="A1892" t="str">
            <v>ECU</v>
          </cell>
          <cell r="B1892" t="str">
            <v>Short</v>
          </cell>
          <cell r="C1892" t="str">
            <v>2018 - 2023</v>
          </cell>
          <cell r="D1892" t="str">
            <v>avg</v>
          </cell>
          <cell r="E1892" t="str">
            <v>gdp_inf_ind</v>
          </cell>
          <cell r="F1892">
            <v>0.90975481271743774</v>
          </cell>
        </row>
        <row r="1893">
          <cell r="A1893" t="str">
            <v>ECU</v>
          </cell>
          <cell r="B1893" t="str">
            <v>Short</v>
          </cell>
          <cell r="C1893" t="str">
            <v>2018 - 2023</v>
          </cell>
          <cell r="D1893" t="str">
            <v>avg</v>
          </cell>
          <cell r="E1893" t="str">
            <v>gdp_inf_serv</v>
          </cell>
          <cell r="F1893">
            <v>0.49384024739265442</v>
          </cell>
        </row>
        <row r="1894">
          <cell r="A1894" t="str">
            <v>ECU</v>
          </cell>
          <cell r="B1894" t="str">
            <v>Short</v>
          </cell>
          <cell r="C1894" t="str">
            <v>2018 - 2023</v>
          </cell>
          <cell r="D1894" t="str">
            <v>avg</v>
          </cell>
          <cell r="E1894" t="str">
            <v>prod_for_agri</v>
          </cell>
          <cell r="F1894">
            <v>1.477759003639221</v>
          </cell>
        </row>
        <row r="1895">
          <cell r="A1895" t="str">
            <v>ECU</v>
          </cell>
          <cell r="B1895" t="str">
            <v>Short</v>
          </cell>
          <cell r="C1895" t="str">
            <v>2018 - 2023</v>
          </cell>
          <cell r="D1895" t="str">
            <v>avg</v>
          </cell>
          <cell r="E1895" t="str">
            <v>prod_for_ind</v>
          </cell>
          <cell r="F1895">
            <v>-1.2805954217910771</v>
          </cell>
        </row>
        <row r="1896">
          <cell r="A1896" t="str">
            <v>ECU</v>
          </cell>
          <cell r="B1896" t="str">
            <v>Short</v>
          </cell>
          <cell r="C1896" t="str">
            <v>2018 - 2023</v>
          </cell>
          <cell r="D1896" t="str">
            <v>avg</v>
          </cell>
          <cell r="E1896" t="str">
            <v>prod_for_serv</v>
          </cell>
          <cell r="F1896">
            <v>1.7355643510818479</v>
          </cell>
        </row>
        <row r="1897">
          <cell r="A1897" t="str">
            <v>ECU</v>
          </cell>
          <cell r="B1897" t="str">
            <v>Short</v>
          </cell>
          <cell r="C1897" t="str">
            <v>2018 - 2023</v>
          </cell>
          <cell r="D1897" t="str">
            <v>avg</v>
          </cell>
          <cell r="E1897" t="str">
            <v>prod_inf_agri</v>
          </cell>
          <cell r="F1897">
            <v>0.27030634880065918</v>
          </cell>
        </row>
        <row r="1898">
          <cell r="A1898" t="str">
            <v>ECU</v>
          </cell>
          <cell r="B1898" t="str">
            <v>Short</v>
          </cell>
          <cell r="C1898" t="str">
            <v>2018 - 2023</v>
          </cell>
          <cell r="D1898" t="str">
            <v>avg</v>
          </cell>
          <cell r="E1898" t="str">
            <v>prod_inf_ind</v>
          </cell>
          <cell r="F1898">
            <v>-1.2626949548721309</v>
          </cell>
        </row>
        <row r="1899">
          <cell r="A1899" t="str">
            <v>ECU</v>
          </cell>
          <cell r="B1899" t="str">
            <v>Short</v>
          </cell>
          <cell r="C1899" t="str">
            <v>2018 - 2023</v>
          </cell>
          <cell r="D1899" t="str">
            <v>avg</v>
          </cell>
          <cell r="E1899" t="str">
            <v>prod_inf_serv</v>
          </cell>
          <cell r="F1899">
            <v>0.49959135055541992</v>
          </cell>
        </row>
        <row r="1900">
          <cell r="A1900" t="str">
            <v>ECU</v>
          </cell>
          <cell r="B1900" t="str">
            <v>Short</v>
          </cell>
          <cell r="C1900" t="str">
            <v>2018 - 2023</v>
          </cell>
          <cell r="D1900" t="str">
            <v>avg_1_99</v>
          </cell>
          <cell r="E1900" t="str">
            <v>gdp_activity</v>
          </cell>
          <cell r="F1900">
            <v>0.12418784201145169</v>
          </cell>
        </row>
        <row r="1901">
          <cell r="A1901" t="str">
            <v>ECU</v>
          </cell>
          <cell r="B1901" t="str">
            <v>Short</v>
          </cell>
          <cell r="C1901" t="str">
            <v>2018 - 2023</v>
          </cell>
          <cell r="D1901" t="str">
            <v>avg_1_99</v>
          </cell>
          <cell r="E1901" t="str">
            <v>gdp_for_agri</v>
          </cell>
          <cell r="F1901">
            <v>-2.92766284942627</v>
          </cell>
        </row>
        <row r="1902">
          <cell r="A1902" t="str">
            <v>ECU</v>
          </cell>
          <cell r="B1902" t="str">
            <v>Short</v>
          </cell>
          <cell r="C1902" t="str">
            <v>2018 - 2023</v>
          </cell>
          <cell r="D1902" t="str">
            <v>avg_1_99</v>
          </cell>
          <cell r="E1902" t="str">
            <v>gdp_for_ind</v>
          </cell>
          <cell r="F1902">
            <v>-0.82018488645553589</v>
          </cell>
        </row>
        <row r="1903">
          <cell r="A1903" t="str">
            <v>ECU</v>
          </cell>
          <cell r="B1903" t="str">
            <v>Short</v>
          </cell>
          <cell r="C1903" t="str">
            <v>2018 - 2023</v>
          </cell>
          <cell r="D1903" t="str">
            <v>avg_1_99</v>
          </cell>
          <cell r="E1903" t="str">
            <v>gdp_for_serv</v>
          </cell>
          <cell r="F1903">
            <v>0.5845533013343811</v>
          </cell>
        </row>
        <row r="1904">
          <cell r="A1904" t="str">
            <v>ECU</v>
          </cell>
          <cell r="B1904" t="str">
            <v>Short</v>
          </cell>
          <cell r="C1904" t="str">
            <v>2018 - 2023</v>
          </cell>
          <cell r="D1904" t="str">
            <v>avg_1_99</v>
          </cell>
          <cell r="E1904" t="str">
            <v>gdp_inf_agri</v>
          </cell>
          <cell r="F1904">
            <v>1.965684056282043</v>
          </cell>
        </row>
        <row r="1905">
          <cell r="A1905" t="str">
            <v>ECU</v>
          </cell>
          <cell r="B1905" t="str">
            <v>Short</v>
          </cell>
          <cell r="C1905" t="str">
            <v>2018 - 2023</v>
          </cell>
          <cell r="D1905" t="str">
            <v>avg_1_99</v>
          </cell>
          <cell r="E1905" t="str">
            <v>gdp_inf_ind</v>
          </cell>
          <cell r="F1905">
            <v>0.90975481271743774</v>
          </cell>
        </row>
        <row r="1906">
          <cell r="A1906" t="str">
            <v>ECU</v>
          </cell>
          <cell r="B1906" t="str">
            <v>Short</v>
          </cell>
          <cell r="C1906" t="str">
            <v>2018 - 2023</v>
          </cell>
          <cell r="D1906" t="str">
            <v>avg_1_99</v>
          </cell>
          <cell r="E1906" t="str">
            <v>gdp_inf_serv</v>
          </cell>
          <cell r="F1906">
            <v>0.49384024739265442</v>
          </cell>
        </row>
        <row r="1907">
          <cell r="A1907" t="str">
            <v>ECU</v>
          </cell>
          <cell r="B1907" t="str">
            <v>Short</v>
          </cell>
          <cell r="C1907" t="str">
            <v>2018 - 2023</v>
          </cell>
          <cell r="D1907" t="str">
            <v>avg_1_99</v>
          </cell>
          <cell r="E1907" t="str">
            <v>prod_for_agri</v>
          </cell>
          <cell r="F1907">
            <v>1.477759003639221</v>
          </cell>
        </row>
        <row r="1908">
          <cell r="A1908" t="str">
            <v>ECU</v>
          </cell>
          <cell r="B1908" t="str">
            <v>Short</v>
          </cell>
          <cell r="C1908" t="str">
            <v>2018 - 2023</v>
          </cell>
          <cell r="D1908" t="str">
            <v>avg_1_99</v>
          </cell>
          <cell r="E1908" t="str">
            <v>prod_for_ind</v>
          </cell>
          <cell r="F1908">
            <v>-1.2805954217910771</v>
          </cell>
        </row>
        <row r="1909">
          <cell r="A1909" t="str">
            <v>ECU</v>
          </cell>
          <cell r="B1909" t="str">
            <v>Short</v>
          </cell>
          <cell r="C1909" t="str">
            <v>2018 - 2023</v>
          </cell>
          <cell r="D1909" t="str">
            <v>avg_1_99</v>
          </cell>
          <cell r="E1909" t="str">
            <v>prod_for_serv</v>
          </cell>
          <cell r="F1909">
            <v>1.7355643510818479</v>
          </cell>
        </row>
        <row r="1910">
          <cell r="A1910" t="str">
            <v>ECU</v>
          </cell>
          <cell r="B1910" t="str">
            <v>Short</v>
          </cell>
          <cell r="C1910" t="str">
            <v>2018 - 2023</v>
          </cell>
          <cell r="D1910" t="str">
            <v>avg_1_99</v>
          </cell>
          <cell r="E1910" t="str">
            <v>prod_inf_agri</v>
          </cell>
          <cell r="F1910">
            <v>0.27030634880065918</v>
          </cell>
        </row>
        <row r="1911">
          <cell r="A1911" t="str">
            <v>ECU</v>
          </cell>
          <cell r="B1911" t="str">
            <v>Short</v>
          </cell>
          <cell r="C1911" t="str">
            <v>2018 - 2023</v>
          </cell>
          <cell r="D1911" t="str">
            <v>avg_1_99</v>
          </cell>
          <cell r="E1911" t="str">
            <v>prod_inf_ind</v>
          </cell>
          <cell r="F1911">
            <v>1.6683676242828369</v>
          </cell>
        </row>
        <row r="1912">
          <cell r="A1912" t="str">
            <v>ECU</v>
          </cell>
          <cell r="B1912" t="str">
            <v>Short</v>
          </cell>
          <cell r="C1912" t="str">
            <v>2018 - 2023</v>
          </cell>
          <cell r="D1912" t="str">
            <v>avg_1_99</v>
          </cell>
          <cell r="E1912" t="str">
            <v>prod_inf_serv</v>
          </cell>
          <cell r="F1912">
            <v>0.49959135055541992</v>
          </cell>
        </row>
        <row r="1913">
          <cell r="A1913" t="str">
            <v>ECU</v>
          </cell>
          <cell r="B1913" t="str">
            <v>Short</v>
          </cell>
          <cell r="C1913" t="str">
            <v>2018 - 2023</v>
          </cell>
          <cell r="D1913" t="str">
            <v>avg_1_99_imp</v>
          </cell>
          <cell r="E1913" t="str">
            <v>gdp_activity</v>
          </cell>
          <cell r="F1913">
            <v>0.12418784201145169</v>
          </cell>
        </row>
        <row r="1914">
          <cell r="A1914" t="str">
            <v>ECU</v>
          </cell>
          <cell r="B1914" t="str">
            <v>Short</v>
          </cell>
          <cell r="C1914" t="str">
            <v>2018 - 2023</v>
          </cell>
          <cell r="D1914" t="str">
            <v>avg_1_99_imp</v>
          </cell>
          <cell r="E1914" t="str">
            <v>gdp_for_agri</v>
          </cell>
          <cell r="F1914">
            <v>-2.491289615631104</v>
          </cell>
        </row>
        <row r="1915">
          <cell r="A1915" t="str">
            <v>ECU</v>
          </cell>
          <cell r="B1915" t="str">
            <v>Short</v>
          </cell>
          <cell r="C1915" t="str">
            <v>2018 - 2023</v>
          </cell>
          <cell r="D1915" t="str">
            <v>avg_1_99_imp</v>
          </cell>
          <cell r="E1915" t="str">
            <v>gdp_for_ind</v>
          </cell>
          <cell r="F1915">
            <v>-0.82018488645553589</v>
          </cell>
        </row>
        <row r="1916">
          <cell r="A1916" t="str">
            <v>ECU</v>
          </cell>
          <cell r="B1916" t="str">
            <v>Short</v>
          </cell>
          <cell r="C1916" t="str">
            <v>2018 - 2023</v>
          </cell>
          <cell r="D1916" t="str">
            <v>avg_1_99_imp</v>
          </cell>
          <cell r="E1916" t="str">
            <v>gdp_for_serv</v>
          </cell>
          <cell r="F1916">
            <v>0.62006169557571411</v>
          </cell>
        </row>
        <row r="1917">
          <cell r="A1917" t="str">
            <v>ECU</v>
          </cell>
          <cell r="B1917" t="str">
            <v>Short</v>
          </cell>
          <cell r="C1917" t="str">
            <v>2018 - 2023</v>
          </cell>
          <cell r="D1917" t="str">
            <v>avg_1_99_imp</v>
          </cell>
          <cell r="E1917" t="str">
            <v>gdp_inf_agri</v>
          </cell>
          <cell r="F1917">
            <v>2.1039094924926758</v>
          </cell>
        </row>
        <row r="1918">
          <cell r="A1918" t="str">
            <v>ECU</v>
          </cell>
          <cell r="B1918" t="str">
            <v>Short</v>
          </cell>
          <cell r="C1918" t="str">
            <v>2018 - 2023</v>
          </cell>
          <cell r="D1918" t="str">
            <v>avg_1_99_imp</v>
          </cell>
          <cell r="E1918" t="str">
            <v>gdp_inf_ind</v>
          </cell>
          <cell r="F1918">
            <v>0.90975481271743774</v>
          </cell>
        </row>
        <row r="1919">
          <cell r="A1919" t="str">
            <v>ECU</v>
          </cell>
          <cell r="B1919" t="str">
            <v>Short</v>
          </cell>
          <cell r="C1919" t="str">
            <v>2018 - 2023</v>
          </cell>
          <cell r="D1919" t="str">
            <v>avg_1_99_imp</v>
          </cell>
          <cell r="E1919" t="str">
            <v>gdp_inf_serv</v>
          </cell>
          <cell r="F1919">
            <v>0.49384024739265442</v>
          </cell>
        </row>
        <row r="1920">
          <cell r="A1920" t="str">
            <v>ECU</v>
          </cell>
          <cell r="B1920" t="str">
            <v>Short</v>
          </cell>
          <cell r="C1920" t="str">
            <v>2018 - 2023</v>
          </cell>
          <cell r="D1920" t="str">
            <v>avg_1_99_imp</v>
          </cell>
          <cell r="E1920" t="str">
            <v>prod_for_agri</v>
          </cell>
          <cell r="F1920">
            <v>1.471453785896301</v>
          </cell>
        </row>
        <row r="1921">
          <cell r="A1921" t="str">
            <v>ECU</v>
          </cell>
          <cell r="B1921" t="str">
            <v>Short</v>
          </cell>
          <cell r="C1921" t="str">
            <v>2018 - 2023</v>
          </cell>
          <cell r="D1921" t="str">
            <v>avg_1_99_imp</v>
          </cell>
          <cell r="E1921" t="str">
            <v>prod_for_ind</v>
          </cell>
          <cell r="F1921">
            <v>-0.39858773350715643</v>
          </cell>
        </row>
        <row r="1922">
          <cell r="A1922" t="str">
            <v>ECU</v>
          </cell>
          <cell r="B1922" t="str">
            <v>Short</v>
          </cell>
          <cell r="C1922" t="str">
            <v>2018 - 2023</v>
          </cell>
          <cell r="D1922" t="str">
            <v>avg_1_99_imp</v>
          </cell>
          <cell r="E1922" t="str">
            <v>prod_for_serv</v>
          </cell>
          <cell r="F1922">
            <v>1.1059107780456541</v>
          </cell>
        </row>
        <row r="1923">
          <cell r="A1923" t="str">
            <v>ECU</v>
          </cell>
          <cell r="B1923" t="str">
            <v>Short</v>
          </cell>
          <cell r="C1923" t="str">
            <v>2018 - 2023</v>
          </cell>
          <cell r="D1923" t="str">
            <v>avg_1_99_imp</v>
          </cell>
          <cell r="E1923" t="str">
            <v>prod_inf_agri</v>
          </cell>
          <cell r="F1923">
            <v>0.27030634880065918</v>
          </cell>
        </row>
        <row r="1924">
          <cell r="A1924" t="str">
            <v>ECU</v>
          </cell>
          <cell r="B1924" t="str">
            <v>Short</v>
          </cell>
          <cell r="C1924" t="str">
            <v>2018 - 2023</v>
          </cell>
          <cell r="D1924" t="str">
            <v>avg_1_99_imp</v>
          </cell>
          <cell r="E1924" t="str">
            <v>prod_inf_ind</v>
          </cell>
          <cell r="F1924">
            <v>1.577232837677002</v>
          </cell>
        </row>
        <row r="1925">
          <cell r="A1925" t="str">
            <v>ECU</v>
          </cell>
          <cell r="B1925" t="str">
            <v>Short</v>
          </cell>
          <cell r="C1925" t="str">
            <v>2018 - 2023</v>
          </cell>
          <cell r="D1925" t="str">
            <v>avg_1_99_imp</v>
          </cell>
          <cell r="E1925" t="str">
            <v>prod_inf_serv</v>
          </cell>
          <cell r="F1925">
            <v>0.49959135055541992</v>
          </cell>
        </row>
        <row r="1926">
          <cell r="A1926" t="str">
            <v>ECU</v>
          </cell>
          <cell r="B1926" t="str">
            <v>Short</v>
          </cell>
          <cell r="C1926" t="str">
            <v>2018 - 2023</v>
          </cell>
          <cell r="D1926" t="str">
            <v>reg</v>
          </cell>
          <cell r="E1926" t="str">
            <v>gdp_activity</v>
          </cell>
          <cell r="F1926">
            <v>0.32883119583129877</v>
          </cell>
        </row>
        <row r="1927">
          <cell r="A1927" t="str">
            <v>ECU</v>
          </cell>
          <cell r="B1927" t="str">
            <v>Short</v>
          </cell>
          <cell r="C1927" t="str">
            <v>2018 - 2023</v>
          </cell>
          <cell r="D1927" t="str">
            <v>reg</v>
          </cell>
          <cell r="E1927" t="str">
            <v>gdp_for_agri</v>
          </cell>
          <cell r="F1927">
            <v>-1.730124711990356</v>
          </cell>
        </row>
        <row r="1928">
          <cell r="A1928" t="str">
            <v>ECU</v>
          </cell>
          <cell r="B1928" t="str">
            <v>Short</v>
          </cell>
          <cell r="C1928" t="str">
            <v>2018 - 2023</v>
          </cell>
          <cell r="D1928" t="str">
            <v>reg</v>
          </cell>
          <cell r="E1928" t="str">
            <v>gdp_for_ind</v>
          </cell>
          <cell r="F1928">
            <v>0.84059709310531616</v>
          </cell>
        </row>
        <row r="1929">
          <cell r="A1929" t="str">
            <v>ECU</v>
          </cell>
          <cell r="B1929" t="str">
            <v>Short</v>
          </cell>
          <cell r="C1929" t="str">
            <v>2018 - 2023</v>
          </cell>
          <cell r="D1929" t="str">
            <v>reg</v>
          </cell>
          <cell r="E1929" t="str">
            <v>gdp_for_serv</v>
          </cell>
          <cell r="F1929">
            <v>0.56621730327606201</v>
          </cell>
        </row>
        <row r="1930">
          <cell r="A1930" t="str">
            <v>ECU</v>
          </cell>
          <cell r="B1930" t="str">
            <v>Short</v>
          </cell>
          <cell r="C1930" t="str">
            <v>2018 - 2023</v>
          </cell>
          <cell r="D1930" t="str">
            <v>reg</v>
          </cell>
          <cell r="E1930" t="str">
            <v>gdp_inf_agri</v>
          </cell>
          <cell r="F1930">
            <v>1.7195606231689451</v>
          </cell>
        </row>
        <row r="1931">
          <cell r="A1931" t="str">
            <v>ECU</v>
          </cell>
          <cell r="B1931" t="str">
            <v>Short</v>
          </cell>
          <cell r="C1931" t="str">
            <v>2018 - 2023</v>
          </cell>
          <cell r="D1931" t="str">
            <v>reg</v>
          </cell>
          <cell r="E1931" t="str">
            <v>gdp_inf_ind</v>
          </cell>
          <cell r="F1931">
            <v>0.62008625268936157</v>
          </cell>
        </row>
        <row r="1932">
          <cell r="A1932" t="str">
            <v>ECU</v>
          </cell>
          <cell r="B1932" t="str">
            <v>Short</v>
          </cell>
          <cell r="C1932" t="str">
            <v>2018 - 2023</v>
          </cell>
          <cell r="D1932" t="str">
            <v>reg</v>
          </cell>
          <cell r="E1932" t="str">
            <v>gdp_inf_serv</v>
          </cell>
          <cell r="F1932">
            <v>0.6096382737159729</v>
          </cell>
        </row>
        <row r="1933">
          <cell r="A1933" t="str">
            <v>ECU</v>
          </cell>
          <cell r="B1933" t="str">
            <v>Short</v>
          </cell>
          <cell r="C1933" t="str">
            <v>2018 - 2023</v>
          </cell>
          <cell r="D1933" t="str">
            <v>reg</v>
          </cell>
          <cell r="E1933" t="str">
            <v>prod_for_agri</v>
          </cell>
          <cell r="F1933">
            <v>1.673198461532593</v>
          </cell>
        </row>
        <row r="1934">
          <cell r="A1934" t="str">
            <v>ECU</v>
          </cell>
          <cell r="B1934" t="str">
            <v>Short</v>
          </cell>
          <cell r="C1934" t="str">
            <v>2018 - 2023</v>
          </cell>
          <cell r="D1934" t="str">
            <v>reg</v>
          </cell>
          <cell r="E1934" t="str">
            <v>prod_for_ind</v>
          </cell>
          <cell r="F1934">
            <v>0.2997015118598938</v>
          </cell>
        </row>
        <row r="1935">
          <cell r="A1935" t="str">
            <v>ECU</v>
          </cell>
          <cell r="B1935" t="str">
            <v>Short</v>
          </cell>
          <cell r="C1935" t="str">
            <v>2018 - 2023</v>
          </cell>
          <cell r="D1935" t="str">
            <v>reg</v>
          </cell>
          <cell r="E1935" t="str">
            <v>prod_for_serv</v>
          </cell>
          <cell r="F1935">
            <v>0.47174626588821411</v>
          </cell>
        </row>
        <row r="1936">
          <cell r="A1936" t="str">
            <v>ECU</v>
          </cell>
          <cell r="B1936" t="str">
            <v>Short</v>
          </cell>
          <cell r="C1936" t="str">
            <v>2018 - 2023</v>
          </cell>
          <cell r="D1936" t="str">
            <v>reg</v>
          </cell>
          <cell r="E1936" t="str">
            <v>prod_inf_agri</v>
          </cell>
          <cell r="F1936">
            <v>0.92562395334243774</v>
          </cell>
        </row>
        <row r="1937">
          <cell r="A1937" t="str">
            <v>ECU</v>
          </cell>
          <cell r="B1937" t="str">
            <v>Short</v>
          </cell>
          <cell r="C1937" t="str">
            <v>2018 - 2023</v>
          </cell>
          <cell r="D1937" t="str">
            <v>reg</v>
          </cell>
          <cell r="E1937" t="str">
            <v>prod_inf_ind</v>
          </cell>
          <cell r="F1937">
            <v>0.88111287355422974</v>
          </cell>
        </row>
        <row r="1938">
          <cell r="A1938" t="str">
            <v>ECU</v>
          </cell>
          <cell r="B1938" t="str">
            <v>Short</v>
          </cell>
          <cell r="C1938" t="str">
            <v>2018 - 2023</v>
          </cell>
          <cell r="D1938" t="str">
            <v>reg</v>
          </cell>
          <cell r="E1938" t="str">
            <v>prod_inf_serv</v>
          </cell>
          <cell r="F1938">
            <v>2.1452500820159912</v>
          </cell>
        </row>
        <row r="1939">
          <cell r="A1939" t="str">
            <v>ECU</v>
          </cell>
          <cell r="B1939" t="str">
            <v>Short</v>
          </cell>
          <cell r="C1939" t="str">
            <v>2018 - 2023</v>
          </cell>
          <cell r="D1939" t="str">
            <v>reg_gdp</v>
          </cell>
          <cell r="E1939" t="str">
            <v>gdp_activity</v>
          </cell>
          <cell r="F1939">
            <v>0.32883119583129877</v>
          </cell>
        </row>
        <row r="1940">
          <cell r="A1940" t="str">
            <v>ECU</v>
          </cell>
          <cell r="B1940" t="str">
            <v>Short</v>
          </cell>
          <cell r="C1940" t="str">
            <v>2018 - 2023</v>
          </cell>
          <cell r="D1940" t="str">
            <v>reg_gdp</v>
          </cell>
          <cell r="E1940" t="str">
            <v>gdp_for_agri</v>
          </cell>
          <cell r="F1940">
            <v>-1.794748187065125</v>
          </cell>
        </row>
        <row r="1941">
          <cell r="A1941" t="str">
            <v>ECU</v>
          </cell>
          <cell r="B1941" t="str">
            <v>Short</v>
          </cell>
          <cell r="C1941" t="str">
            <v>2018 - 2023</v>
          </cell>
          <cell r="D1941" t="str">
            <v>reg_gdp</v>
          </cell>
          <cell r="E1941" t="str">
            <v>gdp_for_ind</v>
          </cell>
          <cell r="F1941">
            <v>7.3764634132385254</v>
          </cell>
        </row>
        <row r="1942">
          <cell r="A1942" t="str">
            <v>ECU</v>
          </cell>
          <cell r="B1942" t="str">
            <v>Short</v>
          </cell>
          <cell r="C1942" t="str">
            <v>2018 - 2023</v>
          </cell>
          <cell r="D1942" t="str">
            <v>reg_gdp</v>
          </cell>
          <cell r="E1942" t="str">
            <v>gdp_for_serv</v>
          </cell>
          <cell r="F1942">
            <v>-3.8276298046112061</v>
          </cell>
        </row>
        <row r="1943">
          <cell r="A1943" t="str">
            <v>ECU</v>
          </cell>
          <cell r="B1943" t="str">
            <v>Short</v>
          </cell>
          <cell r="C1943" t="str">
            <v>2018 - 2023</v>
          </cell>
          <cell r="D1943" t="str">
            <v>reg_gdp</v>
          </cell>
          <cell r="E1943" t="str">
            <v>gdp_inf_agri</v>
          </cell>
          <cell r="F1943">
            <v>2.9403548240661621</v>
          </cell>
        </row>
        <row r="1944">
          <cell r="A1944" t="str">
            <v>ECU</v>
          </cell>
          <cell r="B1944" t="str">
            <v>Short</v>
          </cell>
          <cell r="C1944" t="str">
            <v>2018 - 2023</v>
          </cell>
          <cell r="D1944" t="str">
            <v>reg_gdp</v>
          </cell>
          <cell r="E1944" t="str">
            <v>gdp_inf_ind</v>
          </cell>
          <cell r="F1944">
            <v>-7.2671286761760712E-2</v>
          </cell>
        </row>
        <row r="1945">
          <cell r="A1945" t="str">
            <v>ECU</v>
          </cell>
          <cell r="B1945" t="str">
            <v>Short</v>
          </cell>
          <cell r="C1945" t="str">
            <v>2018 - 2023</v>
          </cell>
          <cell r="D1945" t="str">
            <v>reg_gdp</v>
          </cell>
          <cell r="E1945" t="str">
            <v>gdp_inf_serv</v>
          </cell>
          <cell r="F1945">
            <v>4.0564522743225098</v>
          </cell>
        </row>
        <row r="1946">
          <cell r="A1946" t="str">
            <v>ECU</v>
          </cell>
          <cell r="B1946" t="str">
            <v>Short</v>
          </cell>
          <cell r="C1946" t="str">
            <v>2018 - 2023</v>
          </cell>
          <cell r="D1946" t="str">
            <v>reg_gdp</v>
          </cell>
          <cell r="E1946" t="str">
            <v>prod_for_agri</v>
          </cell>
          <cell r="F1946">
            <v>2.0210356712341309</v>
          </cell>
        </row>
        <row r="1947">
          <cell r="A1947" t="str">
            <v>ECU</v>
          </cell>
          <cell r="B1947" t="str">
            <v>Short</v>
          </cell>
          <cell r="C1947" t="str">
            <v>2018 - 2023</v>
          </cell>
          <cell r="D1947" t="str">
            <v>reg_gdp</v>
          </cell>
          <cell r="E1947" t="str">
            <v>prod_for_ind</v>
          </cell>
          <cell r="F1947">
            <v>-0.27831441164016718</v>
          </cell>
        </row>
        <row r="1948">
          <cell r="A1948" t="str">
            <v>ECU</v>
          </cell>
          <cell r="B1948" t="str">
            <v>Short</v>
          </cell>
          <cell r="C1948" t="str">
            <v>2018 - 2023</v>
          </cell>
          <cell r="D1948" t="str">
            <v>reg_gdp</v>
          </cell>
          <cell r="E1948" t="str">
            <v>prod_for_serv</v>
          </cell>
          <cell r="F1948">
            <v>1.7286510467529299</v>
          </cell>
        </row>
        <row r="1949">
          <cell r="A1949" t="str">
            <v>ECU</v>
          </cell>
          <cell r="B1949" t="str">
            <v>Short</v>
          </cell>
          <cell r="C1949" t="str">
            <v>2018 - 2023</v>
          </cell>
          <cell r="D1949" t="str">
            <v>reg_gdp</v>
          </cell>
          <cell r="E1949" t="str">
            <v>prod_inf_agri</v>
          </cell>
          <cell r="F1949">
            <v>2.1019771099090581</v>
          </cell>
        </row>
        <row r="1950">
          <cell r="A1950" t="str">
            <v>ECU</v>
          </cell>
          <cell r="B1950" t="str">
            <v>Short</v>
          </cell>
          <cell r="C1950" t="str">
            <v>2018 - 2023</v>
          </cell>
          <cell r="D1950" t="str">
            <v>reg_gdp</v>
          </cell>
          <cell r="E1950" t="str">
            <v>prod_inf_ind</v>
          </cell>
          <cell r="F1950">
            <v>-0.44214007258415222</v>
          </cell>
        </row>
        <row r="1951">
          <cell r="A1951" t="str">
            <v>ECU</v>
          </cell>
          <cell r="B1951" t="str">
            <v>Short</v>
          </cell>
          <cell r="C1951" t="str">
            <v>2018 - 2023</v>
          </cell>
          <cell r="D1951" t="str">
            <v>reg_gdp</v>
          </cell>
          <cell r="E1951" t="str">
            <v>prod_inf_serv</v>
          </cell>
          <cell r="F1951">
            <v>2.0089259147644039</v>
          </cell>
        </row>
        <row r="1952">
          <cell r="A1952" t="str">
            <v>ECU</v>
          </cell>
          <cell r="B1952" t="str">
            <v>Short</v>
          </cell>
          <cell r="C1952" t="str">
            <v>2018 - 2023</v>
          </cell>
          <cell r="D1952" t="str">
            <v>reg_iter</v>
          </cell>
          <cell r="E1952" t="str">
            <v>gdp_activity</v>
          </cell>
          <cell r="F1952">
            <v>0.25078576803207397</v>
          </cell>
        </row>
        <row r="1953">
          <cell r="A1953" t="str">
            <v>ECU</v>
          </cell>
          <cell r="B1953" t="str">
            <v>Short</v>
          </cell>
          <cell r="C1953" t="str">
            <v>2018 - 2023</v>
          </cell>
          <cell r="D1953" t="str">
            <v>reg_iter</v>
          </cell>
          <cell r="E1953" t="str">
            <v>gdp_for_agri</v>
          </cell>
          <cell r="F1953">
            <v>-1.1501395702362061</v>
          </cell>
        </row>
        <row r="1954">
          <cell r="A1954" t="str">
            <v>ECU</v>
          </cell>
          <cell r="B1954" t="str">
            <v>Short</v>
          </cell>
          <cell r="C1954" t="str">
            <v>2018 - 2023</v>
          </cell>
          <cell r="D1954" t="str">
            <v>reg_iter</v>
          </cell>
          <cell r="E1954" t="str">
            <v>gdp_for_ind</v>
          </cell>
          <cell r="F1954">
            <v>0.84241569042205811</v>
          </cell>
        </row>
        <row r="1955">
          <cell r="A1955" t="str">
            <v>ECU</v>
          </cell>
          <cell r="B1955" t="str">
            <v>Short</v>
          </cell>
          <cell r="C1955" t="str">
            <v>2018 - 2023</v>
          </cell>
          <cell r="D1955" t="str">
            <v>reg_iter</v>
          </cell>
          <cell r="E1955" t="str">
            <v>gdp_for_serv</v>
          </cell>
          <cell r="F1955">
            <v>0.94320195913314819</v>
          </cell>
        </row>
        <row r="1956">
          <cell r="A1956" t="str">
            <v>ECU</v>
          </cell>
          <cell r="B1956" t="str">
            <v>Short</v>
          </cell>
          <cell r="C1956" t="str">
            <v>2018 - 2023</v>
          </cell>
          <cell r="D1956" t="str">
            <v>reg_iter</v>
          </cell>
          <cell r="E1956" t="str">
            <v>gdp_inf_agri</v>
          </cell>
          <cell r="F1956">
            <v>8.0675899982452393E-2</v>
          </cell>
        </row>
        <row r="1957">
          <cell r="A1957" t="str">
            <v>ECU</v>
          </cell>
          <cell r="B1957" t="str">
            <v>Short</v>
          </cell>
          <cell r="C1957" t="str">
            <v>2018 - 2023</v>
          </cell>
          <cell r="D1957" t="str">
            <v>reg_iter</v>
          </cell>
          <cell r="E1957" t="str">
            <v>gdp_inf_ind</v>
          </cell>
          <cell r="F1957">
            <v>0.61975860595703125</v>
          </cell>
        </row>
        <row r="1958">
          <cell r="A1958" t="str">
            <v>ECU</v>
          </cell>
          <cell r="B1958" t="str">
            <v>Short</v>
          </cell>
          <cell r="C1958" t="str">
            <v>2018 - 2023</v>
          </cell>
          <cell r="D1958" t="str">
            <v>reg_iter</v>
          </cell>
          <cell r="E1958" t="str">
            <v>gdp_inf_serv</v>
          </cell>
          <cell r="F1958">
            <v>0.27992820739746088</v>
          </cell>
        </row>
        <row r="1959">
          <cell r="A1959" t="str">
            <v>ECU</v>
          </cell>
          <cell r="B1959" t="str">
            <v>Short</v>
          </cell>
          <cell r="C1959" t="str">
            <v>2018 - 2023</v>
          </cell>
          <cell r="D1959" t="str">
            <v>reg_iter</v>
          </cell>
          <cell r="E1959" t="str">
            <v>prod_for_agri</v>
          </cell>
          <cell r="F1959">
            <v>1.477384686470032</v>
          </cell>
        </row>
        <row r="1960">
          <cell r="A1960" t="str">
            <v>ECU</v>
          </cell>
          <cell r="B1960" t="str">
            <v>Short</v>
          </cell>
          <cell r="C1960" t="str">
            <v>2018 - 2023</v>
          </cell>
          <cell r="D1960" t="str">
            <v>reg_iter</v>
          </cell>
          <cell r="E1960" t="str">
            <v>prod_for_ind</v>
          </cell>
          <cell r="F1960">
            <v>0.65923488140106201</v>
          </cell>
        </row>
        <row r="1961">
          <cell r="A1961" t="str">
            <v>ECU</v>
          </cell>
          <cell r="B1961" t="str">
            <v>Short</v>
          </cell>
          <cell r="C1961" t="str">
            <v>2018 - 2023</v>
          </cell>
          <cell r="D1961" t="str">
            <v>reg_iter</v>
          </cell>
          <cell r="E1961" t="str">
            <v>prod_for_serv</v>
          </cell>
          <cell r="F1961">
            <v>0.55691629648208618</v>
          </cell>
        </row>
        <row r="1962">
          <cell r="A1962" t="str">
            <v>ECU</v>
          </cell>
          <cell r="B1962" t="str">
            <v>Short</v>
          </cell>
          <cell r="C1962" t="str">
            <v>2018 - 2023</v>
          </cell>
          <cell r="D1962" t="str">
            <v>reg_iter</v>
          </cell>
          <cell r="E1962" t="str">
            <v>prod_inf_agri</v>
          </cell>
          <cell r="F1962">
            <v>0.27866092324256903</v>
          </cell>
        </row>
        <row r="1963">
          <cell r="A1963" t="str">
            <v>ECU</v>
          </cell>
          <cell r="B1963" t="str">
            <v>Short</v>
          </cell>
          <cell r="C1963" t="str">
            <v>2018 - 2023</v>
          </cell>
          <cell r="D1963" t="str">
            <v>reg_iter</v>
          </cell>
          <cell r="E1963" t="str">
            <v>prod_inf_ind</v>
          </cell>
          <cell r="F1963">
            <v>1.1289659738540649</v>
          </cell>
        </row>
        <row r="1964">
          <cell r="A1964" t="str">
            <v>ECU</v>
          </cell>
          <cell r="B1964" t="str">
            <v>Short</v>
          </cell>
          <cell r="C1964" t="str">
            <v>2018 - 2023</v>
          </cell>
          <cell r="D1964" t="str">
            <v>reg_iter</v>
          </cell>
          <cell r="E1964" t="str">
            <v>prod_inf_serv</v>
          </cell>
          <cell r="F1964">
            <v>2.2511510848999019</v>
          </cell>
        </row>
        <row r="1965">
          <cell r="A1965" t="str">
            <v>GTM</v>
          </cell>
          <cell r="B1965" t="str">
            <v>Long</v>
          </cell>
          <cell r="C1965" t="str">
            <v>2010 - 2022</v>
          </cell>
          <cell r="D1965" t="str">
            <v>avg</v>
          </cell>
          <cell r="E1965" t="str">
            <v>gdp_activity</v>
          </cell>
          <cell r="F1965">
            <v>0.91483825445175171</v>
          </cell>
        </row>
        <row r="1966">
          <cell r="A1966" t="str">
            <v>GTM</v>
          </cell>
          <cell r="B1966" t="str">
            <v>Long</v>
          </cell>
          <cell r="C1966" t="str">
            <v>2010 - 2022</v>
          </cell>
          <cell r="D1966" t="str">
            <v>avg</v>
          </cell>
          <cell r="E1966" t="str">
            <v>gdp_for_agri</v>
          </cell>
          <cell r="F1966">
            <v>4.9098429679870614</v>
          </cell>
        </row>
        <row r="1967">
          <cell r="A1967" t="str">
            <v>GTM</v>
          </cell>
          <cell r="B1967" t="str">
            <v>Long</v>
          </cell>
          <cell r="C1967" t="str">
            <v>2010 - 2022</v>
          </cell>
          <cell r="D1967" t="str">
            <v>avg</v>
          </cell>
          <cell r="E1967" t="str">
            <v>gdp_for_ind</v>
          </cell>
          <cell r="F1967">
            <v>1.067024827003479</v>
          </cell>
        </row>
        <row r="1968">
          <cell r="A1968" t="str">
            <v>GTM</v>
          </cell>
          <cell r="B1968" t="str">
            <v>Long</v>
          </cell>
          <cell r="C1968" t="str">
            <v>2010 - 2022</v>
          </cell>
          <cell r="D1968" t="str">
            <v>avg</v>
          </cell>
          <cell r="E1968" t="str">
            <v>gdp_for_serv</v>
          </cell>
          <cell r="F1968">
            <v>1.0642104148864751</v>
          </cell>
        </row>
        <row r="1969">
          <cell r="A1969" t="str">
            <v>GTM</v>
          </cell>
          <cell r="B1969" t="str">
            <v>Long</v>
          </cell>
          <cell r="C1969" t="str">
            <v>2010 - 2022</v>
          </cell>
          <cell r="D1969" t="str">
            <v>avg</v>
          </cell>
          <cell r="E1969" t="str">
            <v>gdp_inf_agri</v>
          </cell>
          <cell r="F1969">
            <v>0.53183478116989136</v>
          </cell>
        </row>
        <row r="1970">
          <cell r="A1970" t="str">
            <v>GTM</v>
          </cell>
          <cell r="B1970" t="str">
            <v>Long</v>
          </cell>
          <cell r="C1970" t="str">
            <v>2010 - 2022</v>
          </cell>
          <cell r="D1970" t="str">
            <v>avg</v>
          </cell>
          <cell r="E1970" t="str">
            <v>gdp_inf_ind</v>
          </cell>
          <cell r="F1970">
            <v>1.0329022407531741</v>
          </cell>
        </row>
        <row r="1971">
          <cell r="A1971" t="str">
            <v>GTM</v>
          </cell>
          <cell r="B1971" t="str">
            <v>Long</v>
          </cell>
          <cell r="C1971" t="str">
            <v>2010 - 2022</v>
          </cell>
          <cell r="D1971" t="str">
            <v>avg</v>
          </cell>
          <cell r="E1971" t="str">
            <v>gdp_inf_serv</v>
          </cell>
          <cell r="F1971">
            <v>1.2552797794342041</v>
          </cell>
        </row>
        <row r="1972">
          <cell r="A1972" t="str">
            <v>GTM</v>
          </cell>
          <cell r="B1972" t="str">
            <v>Long</v>
          </cell>
          <cell r="C1972" t="str">
            <v>2010 - 2022</v>
          </cell>
          <cell r="D1972" t="str">
            <v>avg</v>
          </cell>
          <cell r="E1972" t="str">
            <v>prod_for_agri</v>
          </cell>
          <cell r="F1972">
            <v>0.35903751850128168</v>
          </cell>
        </row>
        <row r="1973">
          <cell r="A1973" t="str">
            <v>GTM</v>
          </cell>
          <cell r="B1973" t="str">
            <v>Long</v>
          </cell>
          <cell r="C1973" t="str">
            <v>2010 - 2022</v>
          </cell>
          <cell r="D1973" t="str">
            <v>avg</v>
          </cell>
          <cell r="E1973" t="str">
            <v>prod_for_ind</v>
          </cell>
          <cell r="F1973">
            <v>1.214923024177551</v>
          </cell>
        </row>
        <row r="1974">
          <cell r="A1974" t="str">
            <v>GTM</v>
          </cell>
          <cell r="B1974" t="str">
            <v>Long</v>
          </cell>
          <cell r="C1974" t="str">
            <v>2010 - 2022</v>
          </cell>
          <cell r="D1974" t="str">
            <v>avg</v>
          </cell>
          <cell r="E1974" t="str">
            <v>prod_for_serv</v>
          </cell>
          <cell r="F1974">
            <v>-0.39437133073806763</v>
          </cell>
        </row>
        <row r="1975">
          <cell r="A1975" t="str">
            <v>GTM</v>
          </cell>
          <cell r="B1975" t="str">
            <v>Long</v>
          </cell>
          <cell r="C1975" t="str">
            <v>2010 - 2022</v>
          </cell>
          <cell r="D1975" t="str">
            <v>avg</v>
          </cell>
          <cell r="E1975" t="str">
            <v>prod_inf_agri</v>
          </cell>
          <cell r="F1975">
            <v>1.6085162162780759</v>
          </cell>
        </row>
        <row r="1976">
          <cell r="A1976" t="str">
            <v>GTM</v>
          </cell>
          <cell r="B1976" t="str">
            <v>Long</v>
          </cell>
          <cell r="C1976" t="str">
            <v>2010 - 2022</v>
          </cell>
          <cell r="D1976" t="str">
            <v>avg</v>
          </cell>
          <cell r="E1976" t="str">
            <v>prod_inf_ind</v>
          </cell>
          <cell r="F1976">
            <v>2.2940175533294682</v>
          </cell>
        </row>
        <row r="1977">
          <cell r="A1977" t="str">
            <v>GTM</v>
          </cell>
          <cell r="B1977" t="str">
            <v>Long</v>
          </cell>
          <cell r="C1977" t="str">
            <v>2010 - 2022</v>
          </cell>
          <cell r="D1977" t="str">
            <v>avg</v>
          </cell>
          <cell r="E1977" t="str">
            <v>prod_inf_serv</v>
          </cell>
          <cell r="F1977">
            <v>-0.68400448560714722</v>
          </cell>
        </row>
        <row r="1978">
          <cell r="A1978" t="str">
            <v>GTM</v>
          </cell>
          <cell r="B1978" t="str">
            <v>Long</v>
          </cell>
          <cell r="C1978" t="str">
            <v>2010 - 2022</v>
          </cell>
          <cell r="D1978" t="str">
            <v>avg_1_99</v>
          </cell>
          <cell r="E1978" t="str">
            <v>gdp_activity</v>
          </cell>
          <cell r="F1978">
            <v>0.88994109630584717</v>
          </cell>
        </row>
        <row r="1979">
          <cell r="A1979" t="str">
            <v>GTM</v>
          </cell>
          <cell r="B1979" t="str">
            <v>Long</v>
          </cell>
          <cell r="C1979" t="str">
            <v>2010 - 2022</v>
          </cell>
          <cell r="D1979" t="str">
            <v>avg_1_99</v>
          </cell>
          <cell r="E1979" t="str">
            <v>gdp_for_agri</v>
          </cell>
          <cell r="F1979">
            <v>1.814442038536072</v>
          </cell>
        </row>
        <row r="1980">
          <cell r="A1980" t="str">
            <v>GTM</v>
          </cell>
          <cell r="B1980" t="str">
            <v>Long</v>
          </cell>
          <cell r="C1980" t="str">
            <v>2010 - 2022</v>
          </cell>
          <cell r="D1980" t="str">
            <v>avg_1_99</v>
          </cell>
          <cell r="E1980" t="str">
            <v>gdp_for_ind</v>
          </cell>
          <cell r="F1980">
            <v>1.2353203296661379</v>
          </cell>
        </row>
        <row r="1981">
          <cell r="A1981" t="str">
            <v>GTM</v>
          </cell>
          <cell r="B1981" t="str">
            <v>Long</v>
          </cell>
          <cell r="C1981" t="str">
            <v>2010 - 2022</v>
          </cell>
          <cell r="D1981" t="str">
            <v>avg_1_99</v>
          </cell>
          <cell r="E1981" t="str">
            <v>gdp_for_serv</v>
          </cell>
          <cell r="F1981">
            <v>1.012791633605957</v>
          </cell>
        </row>
        <row r="1982">
          <cell r="A1982" t="str">
            <v>GTM</v>
          </cell>
          <cell r="B1982" t="str">
            <v>Long</v>
          </cell>
          <cell r="C1982" t="str">
            <v>2010 - 2022</v>
          </cell>
          <cell r="D1982" t="str">
            <v>avg_1_99</v>
          </cell>
          <cell r="E1982" t="str">
            <v>gdp_inf_agri</v>
          </cell>
          <cell r="F1982">
            <v>0.20518374443054199</v>
          </cell>
        </row>
        <row r="1983">
          <cell r="A1983" t="str">
            <v>GTM</v>
          </cell>
          <cell r="B1983" t="str">
            <v>Long</v>
          </cell>
          <cell r="C1983" t="str">
            <v>2010 - 2022</v>
          </cell>
          <cell r="D1983" t="str">
            <v>avg_1_99</v>
          </cell>
          <cell r="E1983" t="str">
            <v>gdp_inf_ind</v>
          </cell>
          <cell r="F1983">
            <v>0.67006617784500122</v>
          </cell>
        </row>
        <row r="1984">
          <cell r="A1984" t="str">
            <v>GTM</v>
          </cell>
          <cell r="B1984" t="str">
            <v>Long</v>
          </cell>
          <cell r="C1984" t="str">
            <v>2010 - 2022</v>
          </cell>
          <cell r="D1984" t="str">
            <v>avg_1_99</v>
          </cell>
          <cell r="E1984" t="str">
            <v>gdp_inf_serv</v>
          </cell>
          <cell r="F1984">
            <v>0.91415876150131226</v>
          </cell>
        </row>
        <row r="1985">
          <cell r="A1985" t="str">
            <v>GTM</v>
          </cell>
          <cell r="B1985" t="str">
            <v>Long</v>
          </cell>
          <cell r="C1985" t="str">
            <v>2010 - 2022</v>
          </cell>
          <cell r="D1985" t="str">
            <v>avg_1_99</v>
          </cell>
          <cell r="E1985" t="str">
            <v>prod_for_agri</v>
          </cell>
          <cell r="F1985">
            <v>0.30812400579452509</v>
          </cell>
        </row>
        <row r="1986">
          <cell r="A1986" t="str">
            <v>GTM</v>
          </cell>
          <cell r="B1986" t="str">
            <v>Long</v>
          </cell>
          <cell r="C1986" t="str">
            <v>2010 - 2022</v>
          </cell>
          <cell r="D1986" t="str">
            <v>avg_1_99</v>
          </cell>
          <cell r="E1986" t="str">
            <v>prod_for_ind</v>
          </cell>
          <cell r="F1986">
            <v>1.156012654304504</v>
          </cell>
        </row>
        <row r="1987">
          <cell r="A1987" t="str">
            <v>GTM</v>
          </cell>
          <cell r="B1987" t="str">
            <v>Long</v>
          </cell>
          <cell r="C1987" t="str">
            <v>2010 - 2022</v>
          </cell>
          <cell r="D1987" t="str">
            <v>avg_1_99</v>
          </cell>
          <cell r="E1987" t="str">
            <v>prod_for_serv</v>
          </cell>
          <cell r="F1987">
            <v>-0.47797229886054993</v>
          </cell>
        </row>
        <row r="1988">
          <cell r="A1988" t="str">
            <v>GTM</v>
          </cell>
          <cell r="B1988" t="str">
            <v>Long</v>
          </cell>
          <cell r="C1988" t="str">
            <v>2010 - 2022</v>
          </cell>
          <cell r="D1988" t="str">
            <v>avg_1_99</v>
          </cell>
          <cell r="E1988" t="str">
            <v>prod_inf_agri</v>
          </cell>
          <cell r="F1988">
            <v>2.0829768180847168</v>
          </cell>
        </row>
        <row r="1989">
          <cell r="A1989" t="str">
            <v>GTM</v>
          </cell>
          <cell r="B1989" t="str">
            <v>Long</v>
          </cell>
          <cell r="C1989" t="str">
            <v>2010 - 2022</v>
          </cell>
          <cell r="D1989" t="str">
            <v>avg_1_99</v>
          </cell>
          <cell r="E1989" t="str">
            <v>prod_inf_ind</v>
          </cell>
          <cell r="F1989">
            <v>2.1544532775878911</v>
          </cell>
        </row>
        <row r="1990">
          <cell r="A1990" t="str">
            <v>GTM</v>
          </cell>
          <cell r="B1990" t="str">
            <v>Long</v>
          </cell>
          <cell r="C1990" t="str">
            <v>2010 - 2022</v>
          </cell>
          <cell r="D1990" t="str">
            <v>avg_1_99</v>
          </cell>
          <cell r="E1990" t="str">
            <v>prod_inf_serv</v>
          </cell>
          <cell r="F1990">
            <v>-0.73464745283126831</v>
          </cell>
        </row>
        <row r="1991">
          <cell r="A1991" t="str">
            <v>GTM</v>
          </cell>
          <cell r="B1991" t="str">
            <v>Long</v>
          </cell>
          <cell r="C1991" t="str">
            <v>2010 - 2022</v>
          </cell>
          <cell r="D1991" t="str">
            <v>avg_1_99_imp</v>
          </cell>
          <cell r="E1991" t="str">
            <v>gdp_activity</v>
          </cell>
          <cell r="F1991">
            <v>0.87744235992431641</v>
          </cell>
        </row>
        <row r="1992">
          <cell r="A1992" t="str">
            <v>GTM</v>
          </cell>
          <cell r="B1992" t="str">
            <v>Long</v>
          </cell>
          <cell r="C1992" t="str">
            <v>2010 - 2022</v>
          </cell>
          <cell r="D1992" t="str">
            <v>avg_1_99_imp</v>
          </cell>
          <cell r="E1992" t="str">
            <v>gdp_for_agri</v>
          </cell>
          <cell r="F1992">
            <v>1.591582059860229</v>
          </cell>
        </row>
        <row r="1993">
          <cell r="A1993" t="str">
            <v>GTM</v>
          </cell>
          <cell r="B1993" t="str">
            <v>Long</v>
          </cell>
          <cell r="C1993" t="str">
            <v>2010 - 2022</v>
          </cell>
          <cell r="D1993" t="str">
            <v>avg_1_99_imp</v>
          </cell>
          <cell r="E1993" t="str">
            <v>gdp_for_ind</v>
          </cell>
          <cell r="F1993">
            <v>1.277490496635437</v>
          </cell>
        </row>
        <row r="1994">
          <cell r="A1994" t="str">
            <v>GTM</v>
          </cell>
          <cell r="B1994" t="str">
            <v>Long</v>
          </cell>
          <cell r="C1994" t="str">
            <v>2010 - 2022</v>
          </cell>
          <cell r="D1994" t="str">
            <v>avg_1_99_imp</v>
          </cell>
          <cell r="E1994" t="str">
            <v>gdp_for_serv</v>
          </cell>
          <cell r="F1994">
            <v>0.89725834131240845</v>
          </cell>
        </row>
        <row r="1995">
          <cell r="A1995" t="str">
            <v>GTM</v>
          </cell>
          <cell r="B1995" t="str">
            <v>Long</v>
          </cell>
          <cell r="C1995" t="str">
            <v>2010 - 2022</v>
          </cell>
          <cell r="D1995" t="str">
            <v>avg_1_99_imp</v>
          </cell>
          <cell r="E1995" t="str">
            <v>gdp_inf_agri</v>
          </cell>
          <cell r="F1995">
            <v>2.227610349655151E-2</v>
          </cell>
        </row>
        <row r="1996">
          <cell r="A1996" t="str">
            <v>GTM</v>
          </cell>
          <cell r="B1996" t="str">
            <v>Long</v>
          </cell>
          <cell r="C1996" t="str">
            <v>2010 - 2022</v>
          </cell>
          <cell r="D1996" t="str">
            <v>avg_1_99_imp</v>
          </cell>
          <cell r="E1996" t="str">
            <v>gdp_inf_ind</v>
          </cell>
          <cell r="F1996">
            <v>0.6450570821762085</v>
          </cell>
        </row>
        <row r="1997">
          <cell r="A1997" t="str">
            <v>GTM</v>
          </cell>
          <cell r="B1997" t="str">
            <v>Long</v>
          </cell>
          <cell r="C1997" t="str">
            <v>2010 - 2022</v>
          </cell>
          <cell r="D1997" t="str">
            <v>avg_1_99_imp</v>
          </cell>
          <cell r="E1997" t="str">
            <v>gdp_inf_serv</v>
          </cell>
          <cell r="F1997">
            <v>0.93267303705215454</v>
          </cell>
        </row>
        <row r="1998">
          <cell r="A1998" t="str">
            <v>GTM</v>
          </cell>
          <cell r="B1998" t="str">
            <v>Long</v>
          </cell>
          <cell r="C1998" t="str">
            <v>2010 - 2022</v>
          </cell>
          <cell r="D1998" t="str">
            <v>avg_1_99_imp</v>
          </cell>
          <cell r="E1998" t="str">
            <v>prod_for_agri</v>
          </cell>
          <cell r="F1998">
            <v>4.1701562702655792E-2</v>
          </cell>
        </row>
        <row r="1999">
          <cell r="A1999" t="str">
            <v>GTM</v>
          </cell>
          <cell r="B1999" t="str">
            <v>Long</v>
          </cell>
          <cell r="C1999" t="str">
            <v>2010 - 2022</v>
          </cell>
          <cell r="D1999" t="str">
            <v>avg_1_99_imp</v>
          </cell>
          <cell r="E1999" t="str">
            <v>prod_for_ind</v>
          </cell>
          <cell r="F1999">
            <v>0.50659394264221191</v>
          </cell>
        </row>
        <row r="2000">
          <cell r="A2000" t="str">
            <v>GTM</v>
          </cell>
          <cell r="B2000" t="str">
            <v>Long</v>
          </cell>
          <cell r="C2000" t="str">
            <v>2010 - 2022</v>
          </cell>
          <cell r="D2000" t="str">
            <v>avg_1_99_imp</v>
          </cell>
          <cell r="E2000" t="str">
            <v>prod_for_serv</v>
          </cell>
          <cell r="F2000">
            <v>-0.53971922397613525</v>
          </cell>
        </row>
        <row r="2001">
          <cell r="A2001" t="str">
            <v>GTM</v>
          </cell>
          <cell r="B2001" t="str">
            <v>Long</v>
          </cell>
          <cell r="C2001" t="str">
            <v>2010 - 2022</v>
          </cell>
          <cell r="D2001" t="str">
            <v>avg_1_99_imp</v>
          </cell>
          <cell r="E2001" t="str">
            <v>prod_inf_agri</v>
          </cell>
          <cell r="F2001">
            <v>2.122881174087524</v>
          </cell>
        </row>
        <row r="2002">
          <cell r="A2002" t="str">
            <v>GTM</v>
          </cell>
          <cell r="B2002" t="str">
            <v>Long</v>
          </cell>
          <cell r="C2002" t="str">
            <v>2010 - 2022</v>
          </cell>
          <cell r="D2002" t="str">
            <v>avg_1_99_imp</v>
          </cell>
          <cell r="E2002" t="str">
            <v>prod_inf_ind</v>
          </cell>
          <cell r="F2002">
            <v>2.020429134368896</v>
          </cell>
        </row>
        <row r="2003">
          <cell r="A2003" t="str">
            <v>GTM</v>
          </cell>
          <cell r="B2003" t="str">
            <v>Long</v>
          </cell>
          <cell r="C2003" t="str">
            <v>2010 - 2022</v>
          </cell>
          <cell r="D2003" t="str">
            <v>avg_1_99_imp</v>
          </cell>
          <cell r="E2003" t="str">
            <v>prod_inf_serv</v>
          </cell>
          <cell r="F2003">
            <v>-0.72439372539520264</v>
          </cell>
        </row>
        <row r="2004">
          <cell r="A2004" t="str">
            <v>GTM</v>
          </cell>
          <cell r="B2004" t="str">
            <v>Long</v>
          </cell>
          <cell r="C2004" t="str">
            <v>2010 - 2022</v>
          </cell>
          <cell r="D2004" t="str">
            <v>med_reg</v>
          </cell>
          <cell r="E2004" t="str">
            <v>gdp_activity</v>
          </cell>
          <cell r="F2004">
            <v>0.85108375549316406</v>
          </cell>
        </row>
        <row r="2005">
          <cell r="A2005" t="str">
            <v>GTM</v>
          </cell>
          <cell r="B2005" t="str">
            <v>Long</v>
          </cell>
          <cell r="C2005" t="str">
            <v>2010 - 2022</v>
          </cell>
          <cell r="D2005" t="str">
            <v>med_reg</v>
          </cell>
          <cell r="E2005" t="str">
            <v>gdp_for_agri</v>
          </cell>
          <cell r="F2005">
            <v>0.73008966445922852</v>
          </cell>
        </row>
        <row r="2006">
          <cell r="A2006" t="str">
            <v>GTM</v>
          </cell>
          <cell r="B2006" t="str">
            <v>Long</v>
          </cell>
          <cell r="C2006" t="str">
            <v>2010 - 2022</v>
          </cell>
          <cell r="D2006" t="str">
            <v>med_reg</v>
          </cell>
          <cell r="E2006" t="str">
            <v>gdp_for_ind</v>
          </cell>
          <cell r="F2006">
            <v>-0.19992758333683011</v>
          </cell>
        </row>
        <row r="2007">
          <cell r="A2007" t="str">
            <v>GTM</v>
          </cell>
          <cell r="B2007" t="str">
            <v>Long</v>
          </cell>
          <cell r="C2007" t="str">
            <v>2010 - 2022</v>
          </cell>
          <cell r="D2007" t="str">
            <v>med_reg</v>
          </cell>
          <cell r="E2007" t="str">
            <v>gdp_for_serv</v>
          </cell>
          <cell r="F2007">
            <v>1.341994643211365</v>
          </cell>
        </row>
        <row r="2008">
          <cell r="A2008" t="str">
            <v>GTM</v>
          </cell>
          <cell r="B2008" t="str">
            <v>Long</v>
          </cell>
          <cell r="C2008" t="str">
            <v>2010 - 2022</v>
          </cell>
          <cell r="D2008" t="str">
            <v>med_reg</v>
          </cell>
          <cell r="E2008" t="str">
            <v>gdp_inf_agri</v>
          </cell>
          <cell r="F2008">
            <v>0.67215454578399658</v>
          </cell>
        </row>
        <row r="2009">
          <cell r="A2009" t="str">
            <v>GTM</v>
          </cell>
          <cell r="B2009" t="str">
            <v>Long</v>
          </cell>
          <cell r="C2009" t="str">
            <v>2010 - 2022</v>
          </cell>
          <cell r="D2009" t="str">
            <v>med_reg</v>
          </cell>
          <cell r="E2009" t="str">
            <v>gdp_inf_ind</v>
          </cell>
          <cell r="F2009">
            <v>0.95241272449493408</v>
          </cell>
        </row>
        <row r="2010">
          <cell r="A2010" t="str">
            <v>GTM</v>
          </cell>
          <cell r="B2010" t="str">
            <v>Long</v>
          </cell>
          <cell r="C2010" t="str">
            <v>2010 - 2022</v>
          </cell>
          <cell r="D2010" t="str">
            <v>med_reg</v>
          </cell>
          <cell r="E2010" t="str">
            <v>gdp_inf_serv</v>
          </cell>
          <cell r="F2010">
            <v>0.79368120431900024</v>
          </cell>
        </row>
        <row r="2011">
          <cell r="A2011" t="str">
            <v>GTM</v>
          </cell>
          <cell r="B2011" t="str">
            <v>Long</v>
          </cell>
          <cell r="C2011" t="str">
            <v>2010 - 2022</v>
          </cell>
          <cell r="D2011" t="str">
            <v>med_reg</v>
          </cell>
          <cell r="E2011" t="str">
            <v>prod_for_agri</v>
          </cell>
          <cell r="F2011">
            <v>-0.55196261405944824</v>
          </cell>
        </row>
        <row r="2012">
          <cell r="A2012" t="str">
            <v>GTM</v>
          </cell>
          <cell r="B2012" t="str">
            <v>Long</v>
          </cell>
          <cell r="C2012" t="str">
            <v>2010 - 2022</v>
          </cell>
          <cell r="D2012" t="str">
            <v>med_reg</v>
          </cell>
          <cell r="E2012" t="str">
            <v>prod_for_ind</v>
          </cell>
          <cell r="F2012">
            <v>0.1799773424863815</v>
          </cell>
        </row>
        <row r="2013">
          <cell r="A2013" t="str">
            <v>GTM</v>
          </cell>
          <cell r="B2013" t="str">
            <v>Long</v>
          </cell>
          <cell r="C2013" t="str">
            <v>2010 - 2022</v>
          </cell>
          <cell r="D2013" t="str">
            <v>med_reg</v>
          </cell>
          <cell r="E2013" t="str">
            <v>prod_for_serv</v>
          </cell>
          <cell r="F2013">
            <v>-0.2457468509674072</v>
          </cell>
        </row>
        <row r="2014">
          <cell r="A2014" t="str">
            <v>GTM</v>
          </cell>
          <cell r="B2014" t="str">
            <v>Long</v>
          </cell>
          <cell r="C2014" t="str">
            <v>2010 - 2022</v>
          </cell>
          <cell r="D2014" t="str">
            <v>med_reg</v>
          </cell>
          <cell r="E2014" t="str">
            <v>prod_inf_agri</v>
          </cell>
          <cell r="F2014">
            <v>2.458295583724976</v>
          </cell>
        </row>
        <row r="2015">
          <cell r="A2015" t="str">
            <v>GTM</v>
          </cell>
          <cell r="B2015" t="str">
            <v>Long</v>
          </cell>
          <cell r="C2015" t="str">
            <v>2010 - 2022</v>
          </cell>
          <cell r="D2015" t="str">
            <v>med_reg</v>
          </cell>
          <cell r="E2015" t="str">
            <v>prod_inf_ind</v>
          </cell>
          <cell r="F2015">
            <v>-9.6694521605968475E-2</v>
          </cell>
        </row>
        <row r="2016">
          <cell r="A2016" t="str">
            <v>GTM</v>
          </cell>
          <cell r="B2016" t="str">
            <v>Long</v>
          </cell>
          <cell r="C2016" t="str">
            <v>2010 - 2022</v>
          </cell>
          <cell r="D2016" t="str">
            <v>med_reg</v>
          </cell>
          <cell r="E2016" t="str">
            <v>prod_inf_serv</v>
          </cell>
          <cell r="F2016">
            <v>-0.31387630105018621</v>
          </cell>
        </row>
        <row r="2017">
          <cell r="A2017" t="str">
            <v>GTM</v>
          </cell>
          <cell r="B2017" t="str">
            <v>Long</v>
          </cell>
          <cell r="C2017" t="str">
            <v>2010 - 2022</v>
          </cell>
          <cell r="D2017" t="str">
            <v>reg</v>
          </cell>
          <cell r="E2017" t="str">
            <v>gdp_activity</v>
          </cell>
          <cell r="F2017">
            <v>0.76579499244689941</v>
          </cell>
        </row>
        <row r="2018">
          <cell r="A2018" t="str">
            <v>GTM</v>
          </cell>
          <cell r="B2018" t="str">
            <v>Long</v>
          </cell>
          <cell r="C2018" t="str">
            <v>2010 - 2022</v>
          </cell>
          <cell r="D2018" t="str">
            <v>reg</v>
          </cell>
          <cell r="E2018" t="str">
            <v>gdp_for_agri</v>
          </cell>
          <cell r="F2018">
            <v>0.9701656699180603</v>
          </cell>
        </row>
        <row r="2019">
          <cell r="A2019" t="str">
            <v>GTM</v>
          </cell>
          <cell r="B2019" t="str">
            <v>Long</v>
          </cell>
          <cell r="C2019" t="str">
            <v>2010 - 2022</v>
          </cell>
          <cell r="D2019" t="str">
            <v>reg</v>
          </cell>
          <cell r="E2019" t="str">
            <v>gdp_for_ind</v>
          </cell>
          <cell r="F2019">
            <v>2.3867802694439891E-2</v>
          </cell>
        </row>
        <row r="2020">
          <cell r="A2020" t="str">
            <v>GTM</v>
          </cell>
          <cell r="B2020" t="str">
            <v>Long</v>
          </cell>
          <cell r="C2020" t="str">
            <v>2010 - 2022</v>
          </cell>
          <cell r="D2020" t="str">
            <v>reg</v>
          </cell>
          <cell r="E2020" t="str">
            <v>gdp_for_serv</v>
          </cell>
          <cell r="F2020">
            <v>1.0789167881011961</v>
          </cell>
        </row>
        <row r="2021">
          <cell r="A2021" t="str">
            <v>GTM</v>
          </cell>
          <cell r="B2021" t="str">
            <v>Long</v>
          </cell>
          <cell r="C2021" t="str">
            <v>2010 - 2022</v>
          </cell>
          <cell r="D2021" t="str">
            <v>reg</v>
          </cell>
          <cell r="E2021" t="str">
            <v>gdp_inf_agri</v>
          </cell>
          <cell r="F2021">
            <v>0.54093945026397705</v>
          </cell>
        </row>
        <row r="2022">
          <cell r="A2022" t="str">
            <v>GTM</v>
          </cell>
          <cell r="B2022" t="str">
            <v>Long</v>
          </cell>
          <cell r="C2022" t="str">
            <v>2010 - 2022</v>
          </cell>
          <cell r="D2022" t="str">
            <v>reg</v>
          </cell>
          <cell r="E2022" t="str">
            <v>gdp_inf_ind</v>
          </cell>
          <cell r="F2022">
            <v>1.098407387733459</v>
          </cell>
        </row>
        <row r="2023">
          <cell r="A2023" t="str">
            <v>GTM</v>
          </cell>
          <cell r="B2023" t="str">
            <v>Long</v>
          </cell>
          <cell r="C2023" t="str">
            <v>2010 - 2022</v>
          </cell>
          <cell r="D2023" t="str">
            <v>reg</v>
          </cell>
          <cell r="E2023" t="str">
            <v>gdp_inf_serv</v>
          </cell>
          <cell r="F2023">
            <v>0.92727720737457275</v>
          </cell>
        </row>
        <row r="2024">
          <cell r="A2024" t="str">
            <v>GTM</v>
          </cell>
          <cell r="B2024" t="str">
            <v>Long</v>
          </cell>
          <cell r="C2024" t="str">
            <v>2010 - 2022</v>
          </cell>
          <cell r="D2024" t="str">
            <v>reg</v>
          </cell>
          <cell r="E2024" t="str">
            <v>prod_for_agri</v>
          </cell>
          <cell r="F2024">
            <v>-0.26819822192192078</v>
          </cell>
        </row>
        <row r="2025">
          <cell r="A2025" t="str">
            <v>GTM</v>
          </cell>
          <cell r="B2025" t="str">
            <v>Long</v>
          </cell>
          <cell r="C2025" t="str">
            <v>2010 - 2022</v>
          </cell>
          <cell r="D2025" t="str">
            <v>reg</v>
          </cell>
          <cell r="E2025" t="str">
            <v>prod_for_ind</v>
          </cell>
          <cell r="F2025">
            <v>-8.6882472038269043E-2</v>
          </cell>
        </row>
        <row r="2026">
          <cell r="A2026" t="str">
            <v>GTM</v>
          </cell>
          <cell r="B2026" t="str">
            <v>Long</v>
          </cell>
          <cell r="C2026" t="str">
            <v>2010 - 2022</v>
          </cell>
          <cell r="D2026" t="str">
            <v>reg</v>
          </cell>
          <cell r="E2026" t="str">
            <v>prod_for_serv</v>
          </cell>
          <cell r="F2026">
            <v>-0.29994308948516851</v>
          </cell>
        </row>
        <row r="2027">
          <cell r="A2027" t="str">
            <v>GTM</v>
          </cell>
          <cell r="B2027" t="str">
            <v>Long</v>
          </cell>
          <cell r="C2027" t="str">
            <v>2010 - 2022</v>
          </cell>
          <cell r="D2027" t="str">
            <v>reg</v>
          </cell>
          <cell r="E2027" t="str">
            <v>prod_inf_agri</v>
          </cell>
          <cell r="F2027">
            <v>2.4050087928771968</v>
          </cell>
        </row>
        <row r="2028">
          <cell r="A2028" t="str">
            <v>GTM</v>
          </cell>
          <cell r="B2028" t="str">
            <v>Long</v>
          </cell>
          <cell r="C2028" t="str">
            <v>2010 - 2022</v>
          </cell>
          <cell r="D2028" t="str">
            <v>reg</v>
          </cell>
          <cell r="E2028" t="str">
            <v>prod_inf_ind</v>
          </cell>
          <cell r="F2028">
            <v>0.68308418989181519</v>
          </cell>
        </row>
        <row r="2029">
          <cell r="A2029" t="str">
            <v>GTM</v>
          </cell>
          <cell r="B2029" t="str">
            <v>Long</v>
          </cell>
          <cell r="C2029" t="str">
            <v>2010 - 2022</v>
          </cell>
          <cell r="D2029" t="str">
            <v>reg</v>
          </cell>
          <cell r="E2029" t="str">
            <v>prod_inf_serv</v>
          </cell>
          <cell r="F2029">
            <v>0.13720196485519409</v>
          </cell>
        </row>
        <row r="2030">
          <cell r="A2030" t="str">
            <v>GTM</v>
          </cell>
          <cell r="B2030" t="str">
            <v>Long</v>
          </cell>
          <cell r="C2030" t="str">
            <v>2010 - 2022</v>
          </cell>
          <cell r="D2030" t="str">
            <v>reg_gdp</v>
          </cell>
          <cell r="E2030" t="str">
            <v>gdp_activity</v>
          </cell>
          <cell r="F2030">
            <v>0.76579499244689941</v>
          </cell>
        </row>
        <row r="2031">
          <cell r="A2031" t="str">
            <v>GTM</v>
          </cell>
          <cell r="B2031" t="str">
            <v>Long</v>
          </cell>
          <cell r="C2031" t="str">
            <v>2010 - 2022</v>
          </cell>
          <cell r="D2031" t="str">
            <v>reg_gdp</v>
          </cell>
          <cell r="E2031" t="str">
            <v>gdp_for_agri</v>
          </cell>
          <cell r="F2031">
            <v>-6.2432856559753418</v>
          </cell>
        </row>
        <row r="2032">
          <cell r="A2032" t="str">
            <v>GTM</v>
          </cell>
          <cell r="B2032" t="str">
            <v>Long</v>
          </cell>
          <cell r="C2032" t="str">
            <v>2010 - 2022</v>
          </cell>
          <cell r="D2032" t="str">
            <v>reg_gdp</v>
          </cell>
          <cell r="E2032" t="str">
            <v>gdp_for_ind</v>
          </cell>
          <cell r="F2032">
            <v>-2.1857719421386719</v>
          </cell>
        </row>
        <row r="2033">
          <cell r="A2033" t="str">
            <v>GTM</v>
          </cell>
          <cell r="B2033" t="str">
            <v>Long</v>
          </cell>
          <cell r="C2033" t="str">
            <v>2010 - 2022</v>
          </cell>
          <cell r="D2033" t="str">
            <v>reg_gdp</v>
          </cell>
          <cell r="E2033" t="str">
            <v>gdp_for_serv</v>
          </cell>
          <cell r="F2033">
            <v>16.345212936401371</v>
          </cell>
        </row>
        <row r="2034">
          <cell r="A2034" t="str">
            <v>GTM</v>
          </cell>
          <cell r="B2034" t="str">
            <v>Long</v>
          </cell>
          <cell r="C2034" t="str">
            <v>2010 - 2022</v>
          </cell>
          <cell r="D2034" t="str">
            <v>reg_gdp</v>
          </cell>
          <cell r="E2034" t="str">
            <v>gdp_inf_agri</v>
          </cell>
          <cell r="F2034">
            <v>2.9119918346405029</v>
          </cell>
        </row>
        <row r="2035">
          <cell r="A2035" t="str">
            <v>GTM</v>
          </cell>
          <cell r="B2035" t="str">
            <v>Long</v>
          </cell>
          <cell r="C2035" t="str">
            <v>2010 - 2022</v>
          </cell>
          <cell r="D2035" t="str">
            <v>reg_gdp</v>
          </cell>
          <cell r="E2035" t="str">
            <v>gdp_inf_ind</v>
          </cell>
          <cell r="F2035">
            <v>1.2070074081420901</v>
          </cell>
        </row>
        <row r="2036">
          <cell r="A2036" t="str">
            <v>GTM</v>
          </cell>
          <cell r="B2036" t="str">
            <v>Long</v>
          </cell>
          <cell r="C2036" t="str">
            <v>2010 - 2022</v>
          </cell>
          <cell r="D2036" t="str">
            <v>reg_gdp</v>
          </cell>
          <cell r="E2036" t="str">
            <v>gdp_inf_serv</v>
          </cell>
          <cell r="F2036">
            <v>10.46804904937744</v>
          </cell>
        </row>
        <row r="2037">
          <cell r="A2037" t="str">
            <v>GTM</v>
          </cell>
          <cell r="B2037" t="str">
            <v>Long</v>
          </cell>
          <cell r="C2037" t="str">
            <v>2010 - 2022</v>
          </cell>
          <cell r="D2037" t="str">
            <v>reg_gdp</v>
          </cell>
          <cell r="E2037" t="str">
            <v>prod_for_agri</v>
          </cell>
          <cell r="F2037">
            <v>-0.2358477711677551</v>
          </cell>
        </row>
        <row r="2038">
          <cell r="A2038" t="str">
            <v>GTM</v>
          </cell>
          <cell r="B2038" t="str">
            <v>Long</v>
          </cell>
          <cell r="C2038" t="str">
            <v>2010 - 2022</v>
          </cell>
          <cell r="D2038" t="str">
            <v>reg_gdp</v>
          </cell>
          <cell r="E2038" t="str">
            <v>prod_for_ind</v>
          </cell>
          <cell r="F2038">
            <v>7.3742419481277466E-2</v>
          </cell>
        </row>
        <row r="2039">
          <cell r="A2039" t="str">
            <v>GTM</v>
          </cell>
          <cell r="B2039" t="str">
            <v>Long</v>
          </cell>
          <cell r="C2039" t="str">
            <v>2010 - 2022</v>
          </cell>
          <cell r="D2039" t="str">
            <v>reg_gdp</v>
          </cell>
          <cell r="E2039" t="str">
            <v>prod_for_serv</v>
          </cell>
          <cell r="F2039">
            <v>-0.24104861915111539</v>
          </cell>
        </row>
        <row r="2040">
          <cell r="A2040" t="str">
            <v>GTM</v>
          </cell>
          <cell r="B2040" t="str">
            <v>Long</v>
          </cell>
          <cell r="C2040" t="str">
            <v>2010 - 2022</v>
          </cell>
          <cell r="D2040" t="str">
            <v>reg_gdp</v>
          </cell>
          <cell r="E2040" t="str">
            <v>prod_inf_agri</v>
          </cell>
          <cell r="F2040">
            <v>2.7695622444152832</v>
          </cell>
        </row>
        <row r="2041">
          <cell r="A2041" t="str">
            <v>GTM</v>
          </cell>
          <cell r="B2041" t="str">
            <v>Long</v>
          </cell>
          <cell r="C2041" t="str">
            <v>2010 - 2022</v>
          </cell>
          <cell r="D2041" t="str">
            <v>reg_gdp</v>
          </cell>
          <cell r="E2041" t="str">
            <v>prod_inf_ind</v>
          </cell>
          <cell r="F2041">
            <v>1.08735179901123</v>
          </cell>
        </row>
        <row r="2042">
          <cell r="A2042" t="str">
            <v>GTM</v>
          </cell>
          <cell r="B2042" t="str">
            <v>Long</v>
          </cell>
          <cell r="C2042" t="str">
            <v>2010 - 2022</v>
          </cell>
          <cell r="D2042" t="str">
            <v>reg_gdp</v>
          </cell>
          <cell r="E2042" t="str">
            <v>prod_inf_serv</v>
          </cell>
          <cell r="F2042">
            <v>0.26897731423377991</v>
          </cell>
        </row>
        <row r="2043">
          <cell r="A2043" t="str">
            <v>GTM</v>
          </cell>
          <cell r="B2043" t="str">
            <v>Long</v>
          </cell>
          <cell r="C2043" t="str">
            <v>2010 - 2022</v>
          </cell>
          <cell r="D2043" t="str">
            <v>reg_iter</v>
          </cell>
          <cell r="E2043" t="str">
            <v>gdp_activity</v>
          </cell>
          <cell r="F2043">
            <v>0.76758307218551636</v>
          </cell>
        </row>
        <row r="2044">
          <cell r="A2044" t="str">
            <v>GTM</v>
          </cell>
          <cell r="B2044" t="str">
            <v>Long</v>
          </cell>
          <cell r="C2044" t="str">
            <v>2010 - 2022</v>
          </cell>
          <cell r="D2044" t="str">
            <v>reg_iter</v>
          </cell>
          <cell r="E2044" t="str">
            <v>gdp_for_agri</v>
          </cell>
          <cell r="F2044">
            <v>1.018348693847656</v>
          </cell>
        </row>
        <row r="2045">
          <cell r="A2045" t="str">
            <v>GTM</v>
          </cell>
          <cell r="B2045" t="str">
            <v>Long</v>
          </cell>
          <cell r="C2045" t="str">
            <v>2010 - 2022</v>
          </cell>
          <cell r="D2045" t="str">
            <v>reg_iter</v>
          </cell>
          <cell r="E2045" t="str">
            <v>gdp_for_ind</v>
          </cell>
          <cell r="F2045">
            <v>0.22877071797847751</v>
          </cell>
        </row>
        <row r="2046">
          <cell r="A2046" t="str">
            <v>GTM</v>
          </cell>
          <cell r="B2046" t="str">
            <v>Long</v>
          </cell>
          <cell r="C2046" t="str">
            <v>2010 - 2022</v>
          </cell>
          <cell r="D2046" t="str">
            <v>reg_iter</v>
          </cell>
          <cell r="E2046" t="str">
            <v>gdp_for_serv</v>
          </cell>
          <cell r="F2046">
            <v>1.3732098340988159</v>
          </cell>
        </row>
        <row r="2047">
          <cell r="A2047" t="str">
            <v>GTM</v>
          </cell>
          <cell r="B2047" t="str">
            <v>Long</v>
          </cell>
          <cell r="C2047" t="str">
            <v>2010 - 2022</v>
          </cell>
          <cell r="D2047" t="str">
            <v>reg_iter</v>
          </cell>
          <cell r="E2047" t="str">
            <v>gdp_inf_agri</v>
          </cell>
          <cell r="F2047">
            <v>0.58999735116958618</v>
          </cell>
        </row>
        <row r="2048">
          <cell r="A2048" t="str">
            <v>GTM</v>
          </cell>
          <cell r="B2048" t="str">
            <v>Long</v>
          </cell>
          <cell r="C2048" t="str">
            <v>2010 - 2022</v>
          </cell>
          <cell r="D2048" t="str">
            <v>reg_iter</v>
          </cell>
          <cell r="E2048" t="str">
            <v>gdp_inf_ind</v>
          </cell>
          <cell r="F2048">
            <v>0.93134546279907227</v>
          </cell>
        </row>
        <row r="2049">
          <cell r="A2049" t="str">
            <v>GTM</v>
          </cell>
          <cell r="B2049" t="str">
            <v>Long</v>
          </cell>
          <cell r="C2049" t="str">
            <v>2010 - 2022</v>
          </cell>
          <cell r="D2049" t="str">
            <v>reg_iter</v>
          </cell>
          <cell r="E2049" t="str">
            <v>gdp_inf_serv</v>
          </cell>
          <cell r="F2049">
            <v>0.87555205821990967</v>
          </cell>
        </row>
        <row r="2050">
          <cell r="A2050" t="str">
            <v>GTM</v>
          </cell>
          <cell r="B2050" t="str">
            <v>Long</v>
          </cell>
          <cell r="C2050" t="str">
            <v>2010 - 2022</v>
          </cell>
          <cell r="D2050" t="str">
            <v>reg_iter</v>
          </cell>
          <cell r="E2050" t="str">
            <v>prod_for_agri</v>
          </cell>
          <cell r="F2050">
            <v>-0.11084824055433271</v>
          </cell>
        </row>
        <row r="2051">
          <cell r="A2051" t="str">
            <v>GTM</v>
          </cell>
          <cell r="B2051" t="str">
            <v>Long</v>
          </cell>
          <cell r="C2051" t="str">
            <v>2010 - 2022</v>
          </cell>
          <cell r="D2051" t="str">
            <v>reg_iter</v>
          </cell>
          <cell r="E2051" t="str">
            <v>prod_for_ind</v>
          </cell>
          <cell r="F2051">
            <v>-0.3224392831325531</v>
          </cell>
        </row>
        <row r="2052">
          <cell r="A2052" t="str">
            <v>GTM</v>
          </cell>
          <cell r="B2052" t="str">
            <v>Long</v>
          </cell>
          <cell r="C2052" t="str">
            <v>2010 - 2022</v>
          </cell>
          <cell r="D2052" t="str">
            <v>reg_iter</v>
          </cell>
          <cell r="E2052" t="str">
            <v>prod_for_serv</v>
          </cell>
          <cell r="F2052">
            <v>-0.2235537767410278</v>
          </cell>
        </row>
        <row r="2053">
          <cell r="A2053" t="str">
            <v>GTM</v>
          </cell>
          <cell r="B2053" t="str">
            <v>Long</v>
          </cell>
          <cell r="C2053" t="str">
            <v>2010 - 2022</v>
          </cell>
          <cell r="D2053" t="str">
            <v>reg_iter</v>
          </cell>
          <cell r="E2053" t="str">
            <v>prod_inf_agri</v>
          </cell>
          <cell r="F2053">
            <v>2.433468341827393</v>
          </cell>
        </row>
        <row r="2054">
          <cell r="A2054" t="str">
            <v>GTM</v>
          </cell>
          <cell r="B2054" t="str">
            <v>Long</v>
          </cell>
          <cell r="C2054" t="str">
            <v>2010 - 2022</v>
          </cell>
          <cell r="D2054" t="str">
            <v>reg_iter</v>
          </cell>
          <cell r="E2054" t="str">
            <v>prod_inf_ind</v>
          </cell>
          <cell r="F2054">
            <v>0.30324262380599981</v>
          </cell>
        </row>
        <row r="2055">
          <cell r="A2055" t="str">
            <v>GTM</v>
          </cell>
          <cell r="B2055" t="str">
            <v>Long</v>
          </cell>
          <cell r="C2055" t="str">
            <v>2010 - 2022</v>
          </cell>
          <cell r="D2055" t="str">
            <v>reg_iter</v>
          </cell>
          <cell r="E2055" t="str">
            <v>prod_inf_serv</v>
          </cell>
          <cell r="F2055">
            <v>0.32328268885612488</v>
          </cell>
        </row>
        <row r="2056">
          <cell r="A2056" t="str">
            <v>GTM</v>
          </cell>
          <cell r="B2056" t="str">
            <v>Middle</v>
          </cell>
          <cell r="C2056" t="str">
            <v>2015 - 2022</v>
          </cell>
          <cell r="D2056" t="str">
            <v>avg</v>
          </cell>
          <cell r="E2056" t="str">
            <v>gdp_activity</v>
          </cell>
          <cell r="F2056">
            <v>0.48476853966712952</v>
          </cell>
        </row>
        <row r="2057">
          <cell r="A2057" t="str">
            <v>GTM</v>
          </cell>
          <cell r="B2057" t="str">
            <v>Middle</v>
          </cell>
          <cell r="C2057" t="str">
            <v>2015 - 2022</v>
          </cell>
          <cell r="D2057" t="str">
            <v>avg</v>
          </cell>
          <cell r="E2057" t="str">
            <v>gdp_for_agri</v>
          </cell>
          <cell r="F2057">
            <v>1.946369886398315</v>
          </cell>
        </row>
        <row r="2058">
          <cell r="A2058" t="str">
            <v>GTM</v>
          </cell>
          <cell r="B2058" t="str">
            <v>Middle</v>
          </cell>
          <cell r="C2058" t="str">
            <v>2015 - 2022</v>
          </cell>
          <cell r="D2058" t="str">
            <v>avg</v>
          </cell>
          <cell r="E2058" t="str">
            <v>gdp_for_ind</v>
          </cell>
          <cell r="F2058">
            <v>0.38854107260704041</v>
          </cell>
        </row>
        <row r="2059">
          <cell r="A2059" t="str">
            <v>GTM</v>
          </cell>
          <cell r="B2059" t="str">
            <v>Middle</v>
          </cell>
          <cell r="C2059" t="str">
            <v>2015 - 2022</v>
          </cell>
          <cell r="D2059" t="str">
            <v>avg</v>
          </cell>
          <cell r="E2059" t="str">
            <v>gdp_for_serv</v>
          </cell>
          <cell r="F2059">
            <v>0.71851265430450439</v>
          </cell>
        </row>
        <row r="2060">
          <cell r="A2060" t="str">
            <v>GTM</v>
          </cell>
          <cell r="B2060" t="str">
            <v>Middle</v>
          </cell>
          <cell r="C2060" t="str">
            <v>2015 - 2022</v>
          </cell>
          <cell r="D2060" t="str">
            <v>avg</v>
          </cell>
          <cell r="E2060" t="str">
            <v>gdp_inf_agri</v>
          </cell>
          <cell r="F2060">
            <v>-0.8082345724105835</v>
          </cell>
        </row>
        <row r="2061">
          <cell r="A2061" t="str">
            <v>GTM</v>
          </cell>
          <cell r="B2061" t="str">
            <v>Middle</v>
          </cell>
          <cell r="C2061" t="str">
            <v>2015 - 2022</v>
          </cell>
          <cell r="D2061" t="str">
            <v>avg</v>
          </cell>
          <cell r="E2061" t="str">
            <v>gdp_inf_ind</v>
          </cell>
          <cell r="F2061">
            <v>1.370241522789001</v>
          </cell>
        </row>
        <row r="2062">
          <cell r="A2062" t="str">
            <v>GTM</v>
          </cell>
          <cell r="B2062" t="str">
            <v>Middle</v>
          </cell>
          <cell r="C2062" t="str">
            <v>2015 - 2022</v>
          </cell>
          <cell r="D2062" t="str">
            <v>avg</v>
          </cell>
          <cell r="E2062" t="str">
            <v>gdp_inf_serv</v>
          </cell>
          <cell r="F2062">
            <v>0.62928104400634766</v>
          </cell>
        </row>
        <row r="2063">
          <cell r="A2063" t="str">
            <v>GTM</v>
          </cell>
          <cell r="B2063" t="str">
            <v>Middle</v>
          </cell>
          <cell r="C2063" t="str">
            <v>2015 - 2022</v>
          </cell>
          <cell r="D2063" t="str">
            <v>avg</v>
          </cell>
          <cell r="E2063" t="str">
            <v>prod_for_agri</v>
          </cell>
          <cell r="F2063">
            <v>2.095731178997084E-4</v>
          </cell>
        </row>
        <row r="2064">
          <cell r="A2064" t="str">
            <v>GTM</v>
          </cell>
          <cell r="B2064" t="str">
            <v>Middle</v>
          </cell>
          <cell r="C2064" t="str">
            <v>2015 - 2022</v>
          </cell>
          <cell r="D2064" t="str">
            <v>avg</v>
          </cell>
          <cell r="E2064" t="str">
            <v>prod_for_ind</v>
          </cell>
          <cell r="F2064">
            <v>1.430955290794373</v>
          </cell>
        </row>
        <row r="2065">
          <cell r="A2065" t="str">
            <v>GTM</v>
          </cell>
          <cell r="B2065" t="str">
            <v>Middle</v>
          </cell>
          <cell r="C2065" t="str">
            <v>2015 - 2022</v>
          </cell>
          <cell r="D2065" t="str">
            <v>avg</v>
          </cell>
          <cell r="E2065" t="str">
            <v>prod_for_serv</v>
          </cell>
          <cell r="F2065">
            <v>-0.40524086356163019</v>
          </cell>
        </row>
        <row r="2066">
          <cell r="A2066" t="str">
            <v>GTM</v>
          </cell>
          <cell r="B2066" t="str">
            <v>Middle</v>
          </cell>
          <cell r="C2066" t="str">
            <v>2015 - 2022</v>
          </cell>
          <cell r="D2066" t="str">
            <v>avg</v>
          </cell>
          <cell r="E2066" t="str">
            <v>prod_inf_agri</v>
          </cell>
          <cell r="F2066">
            <v>1.890998005867004</v>
          </cell>
        </row>
        <row r="2067">
          <cell r="A2067" t="str">
            <v>GTM</v>
          </cell>
          <cell r="B2067" t="str">
            <v>Middle</v>
          </cell>
          <cell r="C2067" t="str">
            <v>2015 - 2022</v>
          </cell>
          <cell r="D2067" t="str">
            <v>avg</v>
          </cell>
          <cell r="E2067" t="str">
            <v>prod_inf_ind</v>
          </cell>
          <cell r="F2067">
            <v>1.927672266960144</v>
          </cell>
        </row>
        <row r="2068">
          <cell r="A2068" t="str">
            <v>GTM</v>
          </cell>
          <cell r="B2068" t="str">
            <v>Middle</v>
          </cell>
          <cell r="C2068" t="str">
            <v>2015 - 2022</v>
          </cell>
          <cell r="D2068" t="str">
            <v>avg</v>
          </cell>
          <cell r="E2068" t="str">
            <v>prod_inf_serv</v>
          </cell>
          <cell r="F2068">
            <v>-0.96492588520050049</v>
          </cell>
        </row>
        <row r="2069">
          <cell r="A2069" t="str">
            <v>GTM</v>
          </cell>
          <cell r="B2069" t="str">
            <v>Middle</v>
          </cell>
          <cell r="C2069" t="str">
            <v>2015 - 2022</v>
          </cell>
          <cell r="D2069" t="str">
            <v>avg_1_99</v>
          </cell>
          <cell r="E2069" t="str">
            <v>gdp_activity</v>
          </cell>
          <cell r="F2069">
            <v>0.48476853966712952</v>
          </cell>
        </row>
        <row r="2070">
          <cell r="A2070" t="str">
            <v>GTM</v>
          </cell>
          <cell r="B2070" t="str">
            <v>Middle</v>
          </cell>
          <cell r="C2070" t="str">
            <v>2015 - 2022</v>
          </cell>
          <cell r="D2070" t="str">
            <v>avg_1_99</v>
          </cell>
          <cell r="E2070" t="str">
            <v>gdp_for_agri</v>
          </cell>
          <cell r="F2070">
            <v>1.946369886398315</v>
          </cell>
        </row>
        <row r="2071">
          <cell r="A2071" t="str">
            <v>GTM</v>
          </cell>
          <cell r="B2071" t="str">
            <v>Middle</v>
          </cell>
          <cell r="C2071" t="str">
            <v>2015 - 2022</v>
          </cell>
          <cell r="D2071" t="str">
            <v>avg_1_99</v>
          </cell>
          <cell r="E2071" t="str">
            <v>gdp_for_ind</v>
          </cell>
          <cell r="F2071">
            <v>0.42007949948310852</v>
          </cell>
        </row>
        <row r="2072">
          <cell r="A2072" t="str">
            <v>GTM</v>
          </cell>
          <cell r="B2072" t="str">
            <v>Middle</v>
          </cell>
          <cell r="C2072" t="str">
            <v>2015 - 2022</v>
          </cell>
          <cell r="D2072" t="str">
            <v>avg_1_99</v>
          </cell>
          <cell r="E2072" t="str">
            <v>gdp_for_serv</v>
          </cell>
          <cell r="F2072">
            <v>0.48767963051795959</v>
          </cell>
        </row>
        <row r="2073">
          <cell r="A2073" t="str">
            <v>GTM</v>
          </cell>
          <cell r="B2073" t="str">
            <v>Middle</v>
          </cell>
          <cell r="C2073" t="str">
            <v>2015 - 2022</v>
          </cell>
          <cell r="D2073" t="str">
            <v>avg_1_99</v>
          </cell>
          <cell r="E2073" t="str">
            <v>gdp_inf_agri</v>
          </cell>
          <cell r="F2073">
            <v>-8.1266552209854126E-2</v>
          </cell>
        </row>
        <row r="2074">
          <cell r="A2074" t="str">
            <v>GTM</v>
          </cell>
          <cell r="B2074" t="str">
            <v>Middle</v>
          </cell>
          <cell r="C2074" t="str">
            <v>2015 - 2022</v>
          </cell>
          <cell r="D2074" t="str">
            <v>avg_1_99</v>
          </cell>
          <cell r="E2074" t="str">
            <v>gdp_inf_ind</v>
          </cell>
          <cell r="F2074">
            <v>0.1187745854258537</v>
          </cell>
        </row>
        <row r="2075">
          <cell r="A2075" t="str">
            <v>GTM</v>
          </cell>
          <cell r="B2075" t="str">
            <v>Middle</v>
          </cell>
          <cell r="C2075" t="str">
            <v>2015 - 2022</v>
          </cell>
          <cell r="D2075" t="str">
            <v>avg_1_99</v>
          </cell>
          <cell r="E2075" t="str">
            <v>gdp_inf_serv</v>
          </cell>
          <cell r="F2075">
            <v>0.62928104400634766</v>
          </cell>
        </row>
        <row r="2076">
          <cell r="A2076" t="str">
            <v>GTM</v>
          </cell>
          <cell r="B2076" t="str">
            <v>Middle</v>
          </cell>
          <cell r="C2076" t="str">
            <v>2015 - 2022</v>
          </cell>
          <cell r="D2076" t="str">
            <v>avg_1_99</v>
          </cell>
          <cell r="E2076" t="str">
            <v>prod_for_agri</v>
          </cell>
          <cell r="F2076">
            <v>0.18924640119075781</v>
          </cell>
        </row>
        <row r="2077">
          <cell r="A2077" t="str">
            <v>GTM</v>
          </cell>
          <cell r="B2077" t="str">
            <v>Middle</v>
          </cell>
          <cell r="C2077" t="str">
            <v>2015 - 2022</v>
          </cell>
          <cell r="D2077" t="str">
            <v>avg_1_99</v>
          </cell>
          <cell r="E2077" t="str">
            <v>prod_for_ind</v>
          </cell>
          <cell r="F2077">
            <v>1.430955290794373</v>
          </cell>
        </row>
        <row r="2078">
          <cell r="A2078" t="str">
            <v>GTM</v>
          </cell>
          <cell r="B2078" t="str">
            <v>Middle</v>
          </cell>
          <cell r="C2078" t="str">
            <v>2015 - 2022</v>
          </cell>
          <cell r="D2078" t="str">
            <v>avg_1_99</v>
          </cell>
          <cell r="E2078" t="str">
            <v>prod_for_serv</v>
          </cell>
          <cell r="F2078">
            <v>-0.40524086356163019</v>
          </cell>
        </row>
        <row r="2079">
          <cell r="A2079" t="str">
            <v>GTM</v>
          </cell>
          <cell r="B2079" t="str">
            <v>Middle</v>
          </cell>
          <cell r="C2079" t="str">
            <v>2015 - 2022</v>
          </cell>
          <cell r="D2079" t="str">
            <v>avg_1_99</v>
          </cell>
          <cell r="E2079" t="str">
            <v>prod_inf_agri</v>
          </cell>
          <cell r="F2079">
            <v>1.890998005867004</v>
          </cell>
        </row>
        <row r="2080">
          <cell r="A2080" t="str">
            <v>GTM</v>
          </cell>
          <cell r="B2080" t="str">
            <v>Middle</v>
          </cell>
          <cell r="C2080" t="str">
            <v>2015 - 2022</v>
          </cell>
          <cell r="D2080" t="str">
            <v>avg_1_99</v>
          </cell>
          <cell r="E2080" t="str">
            <v>prod_inf_ind</v>
          </cell>
          <cell r="F2080">
            <v>1.5299185514450071</v>
          </cell>
        </row>
        <row r="2081">
          <cell r="A2081" t="str">
            <v>GTM</v>
          </cell>
          <cell r="B2081" t="str">
            <v>Middle</v>
          </cell>
          <cell r="C2081" t="str">
            <v>2015 - 2022</v>
          </cell>
          <cell r="D2081" t="str">
            <v>avg_1_99</v>
          </cell>
          <cell r="E2081" t="str">
            <v>prod_inf_serv</v>
          </cell>
          <cell r="F2081">
            <v>-1.16845166683197</v>
          </cell>
        </row>
        <row r="2082">
          <cell r="A2082" t="str">
            <v>GTM</v>
          </cell>
          <cell r="B2082" t="str">
            <v>Middle</v>
          </cell>
          <cell r="C2082" t="str">
            <v>2015 - 2022</v>
          </cell>
          <cell r="D2082" t="str">
            <v>avg_1_99_imp</v>
          </cell>
          <cell r="E2082" t="str">
            <v>gdp_activity</v>
          </cell>
          <cell r="F2082">
            <v>0.48476853966712952</v>
          </cell>
        </row>
        <row r="2083">
          <cell r="A2083" t="str">
            <v>GTM</v>
          </cell>
          <cell r="B2083" t="str">
            <v>Middle</v>
          </cell>
          <cell r="C2083" t="str">
            <v>2015 - 2022</v>
          </cell>
          <cell r="D2083" t="str">
            <v>avg_1_99_imp</v>
          </cell>
          <cell r="E2083" t="str">
            <v>gdp_for_agri</v>
          </cell>
          <cell r="F2083">
            <v>1.946369886398315</v>
          </cell>
        </row>
        <row r="2084">
          <cell r="A2084" t="str">
            <v>GTM</v>
          </cell>
          <cell r="B2084" t="str">
            <v>Middle</v>
          </cell>
          <cell r="C2084" t="str">
            <v>2015 - 2022</v>
          </cell>
          <cell r="D2084" t="str">
            <v>avg_1_99_imp</v>
          </cell>
          <cell r="E2084" t="str">
            <v>gdp_for_ind</v>
          </cell>
          <cell r="F2084">
            <v>0.32346212863922119</v>
          </cell>
        </row>
        <row r="2085">
          <cell r="A2085" t="str">
            <v>GTM</v>
          </cell>
          <cell r="B2085" t="str">
            <v>Middle</v>
          </cell>
          <cell r="C2085" t="str">
            <v>2015 - 2022</v>
          </cell>
          <cell r="D2085" t="str">
            <v>avg_1_99_imp</v>
          </cell>
          <cell r="E2085" t="str">
            <v>gdp_for_serv</v>
          </cell>
          <cell r="F2085">
            <v>0.40133076906204218</v>
          </cell>
        </row>
        <row r="2086">
          <cell r="A2086" t="str">
            <v>GTM</v>
          </cell>
          <cell r="B2086" t="str">
            <v>Middle</v>
          </cell>
          <cell r="C2086" t="str">
            <v>2015 - 2022</v>
          </cell>
          <cell r="D2086" t="str">
            <v>avg_1_99_imp</v>
          </cell>
          <cell r="E2086" t="str">
            <v>gdp_inf_agri</v>
          </cell>
          <cell r="F2086">
            <v>-0.20726904273033139</v>
          </cell>
        </row>
        <row r="2087">
          <cell r="A2087" t="str">
            <v>GTM</v>
          </cell>
          <cell r="B2087" t="str">
            <v>Middle</v>
          </cell>
          <cell r="C2087" t="str">
            <v>2015 - 2022</v>
          </cell>
          <cell r="D2087" t="str">
            <v>avg_1_99_imp</v>
          </cell>
          <cell r="E2087" t="str">
            <v>gdp_inf_ind</v>
          </cell>
          <cell r="F2087">
            <v>0.102444663643837</v>
          </cell>
        </row>
        <row r="2088">
          <cell r="A2088" t="str">
            <v>GTM</v>
          </cell>
          <cell r="B2088" t="str">
            <v>Middle</v>
          </cell>
          <cell r="C2088" t="str">
            <v>2015 - 2022</v>
          </cell>
          <cell r="D2088" t="str">
            <v>avg_1_99_imp</v>
          </cell>
          <cell r="E2088" t="str">
            <v>gdp_inf_serv</v>
          </cell>
          <cell r="F2088">
            <v>0.62928104400634766</v>
          </cell>
        </row>
        <row r="2089">
          <cell r="A2089" t="str">
            <v>GTM</v>
          </cell>
          <cell r="B2089" t="str">
            <v>Middle</v>
          </cell>
          <cell r="C2089" t="str">
            <v>2015 - 2022</v>
          </cell>
          <cell r="D2089" t="str">
            <v>avg_1_99_imp</v>
          </cell>
          <cell r="E2089" t="str">
            <v>prod_for_agri</v>
          </cell>
          <cell r="F2089">
            <v>-9.862983226776123E-2</v>
          </cell>
        </row>
        <row r="2090">
          <cell r="A2090" t="str">
            <v>GTM</v>
          </cell>
          <cell r="B2090" t="str">
            <v>Middle</v>
          </cell>
          <cell r="C2090" t="str">
            <v>2015 - 2022</v>
          </cell>
          <cell r="D2090" t="str">
            <v>avg_1_99_imp</v>
          </cell>
          <cell r="E2090" t="str">
            <v>prod_for_ind</v>
          </cell>
          <cell r="F2090">
            <v>1.1636919975280759</v>
          </cell>
        </row>
        <row r="2091">
          <cell r="A2091" t="str">
            <v>GTM</v>
          </cell>
          <cell r="B2091" t="str">
            <v>Middle</v>
          </cell>
          <cell r="C2091" t="str">
            <v>2015 - 2022</v>
          </cell>
          <cell r="D2091" t="str">
            <v>avg_1_99_imp</v>
          </cell>
          <cell r="E2091" t="str">
            <v>prod_for_serv</v>
          </cell>
          <cell r="F2091">
            <v>-0.50862693786621094</v>
          </cell>
        </row>
        <row r="2092">
          <cell r="A2092" t="str">
            <v>GTM</v>
          </cell>
          <cell r="B2092" t="str">
            <v>Middle</v>
          </cell>
          <cell r="C2092" t="str">
            <v>2015 - 2022</v>
          </cell>
          <cell r="D2092" t="str">
            <v>avg_1_99_imp</v>
          </cell>
          <cell r="E2092" t="str">
            <v>prod_inf_agri</v>
          </cell>
          <cell r="F2092">
            <v>1.890998005867004</v>
          </cell>
        </row>
        <row r="2093">
          <cell r="A2093" t="str">
            <v>GTM</v>
          </cell>
          <cell r="B2093" t="str">
            <v>Middle</v>
          </cell>
          <cell r="C2093" t="str">
            <v>2015 - 2022</v>
          </cell>
          <cell r="D2093" t="str">
            <v>avg_1_99_imp</v>
          </cell>
          <cell r="E2093" t="str">
            <v>prod_inf_ind</v>
          </cell>
          <cell r="F2093">
            <v>1.4977478981018071</v>
          </cell>
        </row>
        <row r="2094">
          <cell r="A2094" t="str">
            <v>GTM</v>
          </cell>
          <cell r="B2094" t="str">
            <v>Middle</v>
          </cell>
          <cell r="C2094" t="str">
            <v>2015 - 2022</v>
          </cell>
          <cell r="D2094" t="str">
            <v>avg_1_99_imp</v>
          </cell>
          <cell r="E2094" t="str">
            <v>prod_inf_serv</v>
          </cell>
          <cell r="F2094">
            <v>-1.1110788583755491</v>
          </cell>
        </row>
        <row r="2095">
          <cell r="A2095" t="str">
            <v>GTM</v>
          </cell>
          <cell r="B2095" t="str">
            <v>Middle</v>
          </cell>
          <cell r="C2095" t="str">
            <v>2015 - 2022</v>
          </cell>
          <cell r="D2095" t="str">
            <v>reg</v>
          </cell>
          <cell r="E2095" t="str">
            <v>gdp_activity</v>
          </cell>
          <cell r="F2095">
            <v>0.51618075370788574</v>
          </cell>
        </row>
        <row r="2096">
          <cell r="A2096" t="str">
            <v>GTM</v>
          </cell>
          <cell r="B2096" t="str">
            <v>Middle</v>
          </cell>
          <cell r="C2096" t="str">
            <v>2015 - 2022</v>
          </cell>
          <cell r="D2096" t="str">
            <v>reg</v>
          </cell>
          <cell r="E2096" t="str">
            <v>gdp_for_agri</v>
          </cell>
          <cell r="F2096">
            <v>1.706579208374023</v>
          </cell>
        </row>
        <row r="2097">
          <cell r="A2097" t="str">
            <v>GTM</v>
          </cell>
          <cell r="B2097" t="str">
            <v>Middle</v>
          </cell>
          <cell r="C2097" t="str">
            <v>2015 - 2022</v>
          </cell>
          <cell r="D2097" t="str">
            <v>reg</v>
          </cell>
          <cell r="E2097" t="str">
            <v>gdp_for_ind</v>
          </cell>
          <cell r="F2097">
            <v>-0.83534550666809082</v>
          </cell>
        </row>
        <row r="2098">
          <cell r="A2098" t="str">
            <v>GTM</v>
          </cell>
          <cell r="B2098" t="str">
            <v>Middle</v>
          </cell>
          <cell r="C2098" t="str">
            <v>2015 - 2022</v>
          </cell>
          <cell r="D2098" t="str">
            <v>reg</v>
          </cell>
          <cell r="E2098" t="str">
            <v>gdp_for_serv</v>
          </cell>
          <cell r="F2098">
            <v>-5.4009571671485901E-2</v>
          </cell>
        </row>
        <row r="2099">
          <cell r="A2099" t="str">
            <v>GTM</v>
          </cell>
          <cell r="B2099" t="str">
            <v>Middle</v>
          </cell>
          <cell r="C2099" t="str">
            <v>2015 - 2022</v>
          </cell>
          <cell r="D2099" t="str">
            <v>reg</v>
          </cell>
          <cell r="E2099" t="str">
            <v>gdp_inf_agri</v>
          </cell>
          <cell r="F2099">
            <v>-0.13478022813797</v>
          </cell>
        </row>
        <row r="2100">
          <cell r="A2100" t="str">
            <v>GTM</v>
          </cell>
          <cell r="B2100" t="str">
            <v>Middle</v>
          </cell>
          <cell r="C2100" t="str">
            <v>2015 - 2022</v>
          </cell>
          <cell r="D2100" t="str">
            <v>reg</v>
          </cell>
          <cell r="E2100" t="str">
            <v>gdp_inf_ind</v>
          </cell>
          <cell r="F2100">
            <v>1.436356782913208</v>
          </cell>
        </row>
        <row r="2101">
          <cell r="A2101" t="str">
            <v>GTM</v>
          </cell>
          <cell r="B2101" t="str">
            <v>Middle</v>
          </cell>
          <cell r="C2101" t="str">
            <v>2015 - 2022</v>
          </cell>
          <cell r="D2101" t="str">
            <v>reg</v>
          </cell>
          <cell r="E2101" t="str">
            <v>gdp_inf_serv</v>
          </cell>
          <cell r="F2101">
            <v>0.79691410064697266</v>
          </cell>
        </row>
        <row r="2102">
          <cell r="A2102" t="str">
            <v>GTM</v>
          </cell>
          <cell r="B2102" t="str">
            <v>Middle</v>
          </cell>
          <cell r="C2102" t="str">
            <v>2015 - 2022</v>
          </cell>
          <cell r="D2102" t="str">
            <v>reg</v>
          </cell>
          <cell r="E2102" t="str">
            <v>prod_for_agri</v>
          </cell>
          <cell r="F2102">
            <v>-0.54102939367294312</v>
          </cell>
        </row>
        <row r="2103">
          <cell r="A2103" t="str">
            <v>GTM</v>
          </cell>
          <cell r="B2103" t="str">
            <v>Middle</v>
          </cell>
          <cell r="C2103" t="str">
            <v>2015 - 2022</v>
          </cell>
          <cell r="D2103" t="str">
            <v>reg</v>
          </cell>
          <cell r="E2103" t="str">
            <v>prod_for_ind</v>
          </cell>
          <cell r="F2103">
            <v>0.2332529425621033</v>
          </cell>
        </row>
        <row r="2104">
          <cell r="A2104" t="str">
            <v>GTM</v>
          </cell>
          <cell r="B2104" t="str">
            <v>Middle</v>
          </cell>
          <cell r="C2104" t="str">
            <v>2015 - 2022</v>
          </cell>
          <cell r="D2104" t="str">
            <v>reg</v>
          </cell>
          <cell r="E2104" t="str">
            <v>prod_for_serv</v>
          </cell>
          <cell r="F2104">
            <v>-1.127010703086853</v>
          </cell>
        </row>
        <row r="2105">
          <cell r="A2105" t="str">
            <v>GTM</v>
          </cell>
          <cell r="B2105" t="str">
            <v>Middle</v>
          </cell>
          <cell r="C2105" t="str">
            <v>2015 - 2022</v>
          </cell>
          <cell r="D2105" t="str">
            <v>reg</v>
          </cell>
          <cell r="E2105" t="str">
            <v>prod_inf_agri</v>
          </cell>
          <cell r="F2105">
            <v>2.3746836185455318</v>
          </cell>
        </row>
        <row r="2106">
          <cell r="A2106" t="str">
            <v>GTM</v>
          </cell>
          <cell r="B2106" t="str">
            <v>Middle</v>
          </cell>
          <cell r="C2106" t="str">
            <v>2015 - 2022</v>
          </cell>
          <cell r="D2106" t="str">
            <v>reg</v>
          </cell>
          <cell r="E2106" t="str">
            <v>prod_inf_ind</v>
          </cell>
          <cell r="F2106">
            <v>1.5046567916870119</v>
          </cell>
        </row>
        <row r="2107">
          <cell r="A2107" t="str">
            <v>GTM</v>
          </cell>
          <cell r="B2107" t="str">
            <v>Middle</v>
          </cell>
          <cell r="C2107" t="str">
            <v>2015 - 2022</v>
          </cell>
          <cell r="D2107" t="str">
            <v>reg</v>
          </cell>
          <cell r="E2107" t="str">
            <v>prod_inf_serv</v>
          </cell>
          <cell r="F2107">
            <v>-0.59799021482467651</v>
          </cell>
        </row>
        <row r="2108">
          <cell r="A2108" t="str">
            <v>GTM</v>
          </cell>
          <cell r="B2108" t="str">
            <v>Middle</v>
          </cell>
          <cell r="C2108" t="str">
            <v>2015 - 2022</v>
          </cell>
          <cell r="D2108" t="str">
            <v>reg_gdp</v>
          </cell>
          <cell r="E2108" t="str">
            <v>gdp_activity</v>
          </cell>
          <cell r="F2108">
            <v>0.51618075370788574</v>
          </cell>
        </row>
        <row r="2109">
          <cell r="A2109" t="str">
            <v>GTM</v>
          </cell>
          <cell r="B2109" t="str">
            <v>Middle</v>
          </cell>
          <cell r="C2109" t="str">
            <v>2015 - 2022</v>
          </cell>
          <cell r="D2109" t="str">
            <v>reg_gdp</v>
          </cell>
          <cell r="E2109" t="str">
            <v>gdp_for_agri</v>
          </cell>
          <cell r="F2109">
            <v>-6.7601742744445801</v>
          </cell>
        </row>
        <row r="2110">
          <cell r="A2110" t="str">
            <v>GTM</v>
          </cell>
          <cell r="B2110" t="str">
            <v>Middle</v>
          </cell>
          <cell r="C2110" t="str">
            <v>2015 - 2022</v>
          </cell>
          <cell r="D2110" t="str">
            <v>reg_gdp</v>
          </cell>
          <cell r="E2110" t="str">
            <v>gdp_for_ind</v>
          </cell>
          <cell r="F2110">
            <v>-0.89509129524230957</v>
          </cell>
        </row>
        <row r="2111">
          <cell r="A2111" t="str">
            <v>GTM</v>
          </cell>
          <cell r="B2111" t="str">
            <v>Middle</v>
          </cell>
          <cell r="C2111" t="str">
            <v>2015 - 2022</v>
          </cell>
          <cell r="D2111" t="str">
            <v>reg_gdp</v>
          </cell>
          <cell r="E2111" t="str">
            <v>gdp_for_serv</v>
          </cell>
          <cell r="F2111">
            <v>7.0584716796875</v>
          </cell>
        </row>
        <row r="2112">
          <cell r="A2112" t="str">
            <v>GTM</v>
          </cell>
          <cell r="B2112" t="str">
            <v>Middle</v>
          </cell>
          <cell r="C2112" t="str">
            <v>2015 - 2022</v>
          </cell>
          <cell r="D2112" t="str">
            <v>reg_gdp</v>
          </cell>
          <cell r="E2112" t="str">
            <v>gdp_inf_agri</v>
          </cell>
          <cell r="F2112">
            <v>8.521270751953125</v>
          </cell>
        </row>
        <row r="2113">
          <cell r="A2113" t="str">
            <v>GTM</v>
          </cell>
          <cell r="B2113" t="str">
            <v>Middle</v>
          </cell>
          <cell r="C2113" t="str">
            <v>2015 - 2022</v>
          </cell>
          <cell r="D2113" t="str">
            <v>reg_gdp</v>
          </cell>
          <cell r="E2113" t="str">
            <v>gdp_inf_ind</v>
          </cell>
          <cell r="F2113">
            <v>1.6373943090438841</v>
          </cell>
        </row>
        <row r="2114">
          <cell r="A2114" t="str">
            <v>GTM</v>
          </cell>
          <cell r="B2114" t="str">
            <v>Middle</v>
          </cell>
          <cell r="C2114" t="str">
            <v>2015 - 2022</v>
          </cell>
          <cell r="D2114" t="str">
            <v>reg_gdp</v>
          </cell>
          <cell r="E2114" t="str">
            <v>gdp_inf_serv</v>
          </cell>
          <cell r="F2114">
            <v>1.020370244979858</v>
          </cell>
        </row>
        <row r="2115">
          <cell r="A2115" t="str">
            <v>GTM</v>
          </cell>
          <cell r="B2115" t="str">
            <v>Middle</v>
          </cell>
          <cell r="C2115" t="str">
            <v>2015 - 2022</v>
          </cell>
          <cell r="D2115" t="str">
            <v>reg_gdp</v>
          </cell>
          <cell r="E2115" t="str">
            <v>prod_for_agri</v>
          </cell>
          <cell r="F2115">
            <v>-0.26434487104415888</v>
          </cell>
        </row>
        <row r="2116">
          <cell r="A2116" t="str">
            <v>GTM</v>
          </cell>
          <cell r="B2116" t="str">
            <v>Middle</v>
          </cell>
          <cell r="C2116" t="str">
            <v>2015 - 2022</v>
          </cell>
          <cell r="D2116" t="str">
            <v>reg_gdp</v>
          </cell>
          <cell r="E2116" t="str">
            <v>prod_for_ind</v>
          </cell>
          <cell r="F2116">
            <v>0.20701976120471949</v>
          </cell>
        </row>
        <row r="2117">
          <cell r="A2117" t="str">
            <v>GTM</v>
          </cell>
          <cell r="B2117" t="str">
            <v>Middle</v>
          </cell>
          <cell r="C2117" t="str">
            <v>2015 - 2022</v>
          </cell>
          <cell r="D2117" t="str">
            <v>reg_gdp</v>
          </cell>
          <cell r="E2117" t="str">
            <v>prod_for_serv</v>
          </cell>
          <cell r="F2117">
            <v>-1.0185387134552</v>
          </cell>
        </row>
        <row r="2118">
          <cell r="A2118" t="str">
            <v>GTM</v>
          </cell>
          <cell r="B2118" t="str">
            <v>Middle</v>
          </cell>
          <cell r="C2118" t="str">
            <v>2015 - 2022</v>
          </cell>
          <cell r="D2118" t="str">
            <v>reg_gdp</v>
          </cell>
          <cell r="E2118" t="str">
            <v>prod_inf_agri</v>
          </cell>
          <cell r="F2118">
            <v>2.081141471862793</v>
          </cell>
        </row>
        <row r="2119">
          <cell r="A2119" t="str">
            <v>GTM</v>
          </cell>
          <cell r="B2119" t="str">
            <v>Middle</v>
          </cell>
          <cell r="C2119" t="str">
            <v>2015 - 2022</v>
          </cell>
          <cell r="D2119" t="str">
            <v>reg_gdp</v>
          </cell>
          <cell r="E2119" t="str">
            <v>prod_inf_ind</v>
          </cell>
          <cell r="F2119">
            <v>1.457054138183594</v>
          </cell>
        </row>
        <row r="2120">
          <cell r="A2120" t="str">
            <v>GTM</v>
          </cell>
          <cell r="B2120" t="str">
            <v>Middle</v>
          </cell>
          <cell r="C2120" t="str">
            <v>2015 - 2022</v>
          </cell>
          <cell r="D2120" t="str">
            <v>reg_gdp</v>
          </cell>
          <cell r="E2120" t="str">
            <v>prod_inf_serv</v>
          </cell>
          <cell r="F2120">
            <v>1.0738430023193359</v>
          </cell>
        </row>
        <row r="2121">
          <cell r="A2121" t="str">
            <v>GTM</v>
          </cell>
          <cell r="B2121" t="str">
            <v>Middle</v>
          </cell>
          <cell r="C2121" t="str">
            <v>2015 - 2022</v>
          </cell>
          <cell r="D2121" t="str">
            <v>reg_iter</v>
          </cell>
          <cell r="E2121" t="str">
            <v>gdp_activity</v>
          </cell>
          <cell r="F2121">
            <v>0.51668006181716919</v>
          </cell>
        </row>
        <row r="2122">
          <cell r="A2122" t="str">
            <v>GTM</v>
          </cell>
          <cell r="B2122" t="str">
            <v>Middle</v>
          </cell>
          <cell r="C2122" t="str">
            <v>2015 - 2022</v>
          </cell>
          <cell r="D2122" t="str">
            <v>reg_iter</v>
          </cell>
          <cell r="E2122" t="str">
            <v>gdp_for_agri</v>
          </cell>
          <cell r="F2122">
            <v>4.867314338684082</v>
          </cell>
        </row>
        <row r="2123">
          <cell r="A2123" t="str">
            <v>GTM</v>
          </cell>
          <cell r="B2123" t="str">
            <v>Middle</v>
          </cell>
          <cell r="C2123" t="str">
            <v>2015 - 2022</v>
          </cell>
          <cell r="D2123" t="str">
            <v>reg_iter</v>
          </cell>
          <cell r="E2123" t="str">
            <v>gdp_for_ind</v>
          </cell>
          <cell r="F2123">
            <v>-0.31693047285079962</v>
          </cell>
        </row>
        <row r="2124">
          <cell r="A2124" t="str">
            <v>GTM</v>
          </cell>
          <cell r="B2124" t="str">
            <v>Middle</v>
          </cell>
          <cell r="C2124" t="str">
            <v>2015 - 2022</v>
          </cell>
          <cell r="D2124" t="str">
            <v>reg_iter</v>
          </cell>
          <cell r="E2124" t="str">
            <v>gdp_for_serv</v>
          </cell>
          <cell r="F2124">
            <v>0.79077261686325073</v>
          </cell>
        </row>
        <row r="2125">
          <cell r="A2125" t="str">
            <v>GTM</v>
          </cell>
          <cell r="B2125" t="str">
            <v>Middle</v>
          </cell>
          <cell r="C2125" t="str">
            <v>2015 - 2022</v>
          </cell>
          <cell r="D2125" t="str">
            <v>reg_iter</v>
          </cell>
          <cell r="E2125" t="str">
            <v>gdp_inf_agri</v>
          </cell>
          <cell r="F2125">
            <v>9.7896426916122437E-2</v>
          </cell>
        </row>
        <row r="2126">
          <cell r="A2126" t="str">
            <v>GTM</v>
          </cell>
          <cell r="B2126" t="str">
            <v>Middle</v>
          </cell>
          <cell r="C2126" t="str">
            <v>2015 - 2022</v>
          </cell>
          <cell r="D2126" t="str">
            <v>reg_iter</v>
          </cell>
          <cell r="E2126" t="str">
            <v>gdp_inf_ind</v>
          </cell>
          <cell r="F2126">
            <v>0.80800741910934448</v>
          </cell>
        </row>
        <row r="2127">
          <cell r="A2127" t="str">
            <v>GTM</v>
          </cell>
          <cell r="B2127" t="str">
            <v>Middle</v>
          </cell>
          <cell r="C2127" t="str">
            <v>2015 - 2022</v>
          </cell>
          <cell r="D2127" t="str">
            <v>reg_iter</v>
          </cell>
          <cell r="E2127" t="str">
            <v>gdp_inf_serv</v>
          </cell>
          <cell r="F2127">
            <v>0.76036942005157471</v>
          </cell>
        </row>
        <row r="2128">
          <cell r="A2128" t="str">
            <v>GTM</v>
          </cell>
          <cell r="B2128" t="str">
            <v>Middle</v>
          </cell>
          <cell r="C2128" t="str">
            <v>2015 - 2022</v>
          </cell>
          <cell r="D2128" t="str">
            <v>reg_iter</v>
          </cell>
          <cell r="E2128" t="str">
            <v>prod_for_agri</v>
          </cell>
          <cell r="F2128">
            <v>-0.30519148707389832</v>
          </cell>
        </row>
        <row r="2129">
          <cell r="A2129" t="str">
            <v>GTM</v>
          </cell>
          <cell r="B2129" t="str">
            <v>Middle</v>
          </cell>
          <cell r="C2129" t="str">
            <v>2015 - 2022</v>
          </cell>
          <cell r="D2129" t="str">
            <v>reg_iter</v>
          </cell>
          <cell r="E2129" t="str">
            <v>prod_for_ind</v>
          </cell>
          <cell r="F2129">
            <v>-3.8568377494812012E-2</v>
          </cell>
        </row>
        <row r="2130">
          <cell r="A2130" t="str">
            <v>GTM</v>
          </cell>
          <cell r="B2130" t="str">
            <v>Middle</v>
          </cell>
          <cell r="C2130" t="str">
            <v>2015 - 2022</v>
          </cell>
          <cell r="D2130" t="str">
            <v>reg_iter</v>
          </cell>
          <cell r="E2130" t="str">
            <v>prod_for_serv</v>
          </cell>
          <cell r="F2130">
            <v>-1.250003337860107</v>
          </cell>
        </row>
        <row r="2131">
          <cell r="A2131" t="str">
            <v>GTM</v>
          </cell>
          <cell r="B2131" t="str">
            <v>Middle</v>
          </cell>
          <cell r="C2131" t="str">
            <v>2015 - 2022</v>
          </cell>
          <cell r="D2131" t="str">
            <v>reg_iter</v>
          </cell>
          <cell r="E2131" t="str">
            <v>prod_inf_agri</v>
          </cell>
          <cell r="F2131">
            <v>2.2755029201507568</v>
          </cell>
        </row>
        <row r="2132">
          <cell r="A2132" t="str">
            <v>GTM</v>
          </cell>
          <cell r="B2132" t="str">
            <v>Middle</v>
          </cell>
          <cell r="C2132" t="str">
            <v>2015 - 2022</v>
          </cell>
          <cell r="D2132" t="str">
            <v>reg_iter</v>
          </cell>
          <cell r="E2132" t="str">
            <v>prod_inf_ind</v>
          </cell>
          <cell r="F2132">
            <v>1.0992022752761841</v>
          </cell>
        </row>
        <row r="2133">
          <cell r="A2133" t="str">
            <v>GTM</v>
          </cell>
          <cell r="B2133" t="str">
            <v>Middle</v>
          </cell>
          <cell r="C2133" t="str">
            <v>2015 - 2022</v>
          </cell>
          <cell r="D2133" t="str">
            <v>reg_iter</v>
          </cell>
          <cell r="E2133" t="str">
            <v>prod_inf_serv</v>
          </cell>
          <cell r="F2133">
            <v>2.0069010257720952</v>
          </cell>
        </row>
        <row r="2134">
          <cell r="A2134" t="str">
            <v>GTM</v>
          </cell>
          <cell r="B2134" t="str">
            <v>Short</v>
          </cell>
          <cell r="C2134" t="str">
            <v>2018 - 2022</v>
          </cell>
          <cell r="D2134" t="str">
            <v>avg</v>
          </cell>
          <cell r="E2134" t="str">
            <v>gdp_activity</v>
          </cell>
          <cell r="F2134">
            <v>0.2689775824546814</v>
          </cell>
        </row>
        <row r="2135">
          <cell r="A2135" t="str">
            <v>GTM</v>
          </cell>
          <cell r="B2135" t="str">
            <v>Short</v>
          </cell>
          <cell r="C2135" t="str">
            <v>2018 - 2022</v>
          </cell>
          <cell r="D2135" t="str">
            <v>avg</v>
          </cell>
          <cell r="E2135" t="str">
            <v>gdp_for_agri</v>
          </cell>
          <cell r="F2135">
            <v>5.8368902206420898</v>
          </cell>
        </row>
        <row r="2136">
          <cell r="A2136" t="str">
            <v>GTM</v>
          </cell>
          <cell r="B2136" t="str">
            <v>Short</v>
          </cell>
          <cell r="C2136" t="str">
            <v>2018 - 2022</v>
          </cell>
          <cell r="D2136" t="str">
            <v>avg</v>
          </cell>
          <cell r="E2136" t="str">
            <v>gdp_for_ind</v>
          </cell>
          <cell r="F2136">
            <v>1.584962010383606E-2</v>
          </cell>
        </row>
        <row r="2137">
          <cell r="A2137" t="str">
            <v>GTM</v>
          </cell>
          <cell r="B2137" t="str">
            <v>Short</v>
          </cell>
          <cell r="C2137" t="str">
            <v>2018 - 2022</v>
          </cell>
          <cell r="D2137" t="str">
            <v>avg</v>
          </cell>
          <cell r="E2137" t="str">
            <v>gdp_for_serv</v>
          </cell>
          <cell r="F2137">
            <v>8.856549859046936E-3</v>
          </cell>
        </row>
        <row r="2138">
          <cell r="A2138" t="str">
            <v>GTM</v>
          </cell>
          <cell r="B2138" t="str">
            <v>Short</v>
          </cell>
          <cell r="C2138" t="str">
            <v>2018 - 2022</v>
          </cell>
          <cell r="D2138" t="str">
            <v>avg</v>
          </cell>
          <cell r="E2138" t="str">
            <v>gdp_inf_agri</v>
          </cell>
          <cell r="F2138">
            <v>-1.545494079589844</v>
          </cell>
        </row>
        <row r="2139">
          <cell r="A2139" t="str">
            <v>GTM</v>
          </cell>
          <cell r="B2139" t="str">
            <v>Short</v>
          </cell>
          <cell r="C2139" t="str">
            <v>2018 - 2022</v>
          </cell>
          <cell r="D2139" t="str">
            <v>avg</v>
          </cell>
          <cell r="E2139" t="str">
            <v>gdp_inf_ind</v>
          </cell>
          <cell r="F2139">
            <v>1.0037292242050171</v>
          </cell>
        </row>
        <row r="2140">
          <cell r="A2140" t="str">
            <v>GTM</v>
          </cell>
          <cell r="B2140" t="str">
            <v>Short</v>
          </cell>
          <cell r="C2140" t="str">
            <v>2018 - 2022</v>
          </cell>
          <cell r="D2140" t="str">
            <v>avg</v>
          </cell>
          <cell r="E2140" t="str">
            <v>gdp_inf_serv</v>
          </cell>
          <cell r="F2140">
            <v>0.60240656137466431</v>
          </cell>
        </row>
        <row r="2141">
          <cell r="A2141" t="str">
            <v>GTM</v>
          </cell>
          <cell r="B2141" t="str">
            <v>Short</v>
          </cell>
          <cell r="C2141" t="str">
            <v>2018 - 2022</v>
          </cell>
          <cell r="D2141" t="str">
            <v>avg</v>
          </cell>
          <cell r="E2141" t="str">
            <v>prod_for_agri</v>
          </cell>
          <cell r="F2141">
            <v>-0.39792826771736151</v>
          </cell>
        </row>
        <row r="2142">
          <cell r="A2142" t="str">
            <v>GTM</v>
          </cell>
          <cell r="B2142" t="str">
            <v>Short</v>
          </cell>
          <cell r="C2142" t="str">
            <v>2018 - 2022</v>
          </cell>
          <cell r="D2142" t="str">
            <v>avg</v>
          </cell>
          <cell r="E2142" t="str">
            <v>prod_for_ind</v>
          </cell>
          <cell r="F2142">
            <v>1.239136934280396</v>
          </cell>
        </row>
        <row r="2143">
          <cell r="A2143" t="str">
            <v>GTM</v>
          </cell>
          <cell r="B2143" t="str">
            <v>Short</v>
          </cell>
          <cell r="C2143" t="str">
            <v>2018 - 2022</v>
          </cell>
          <cell r="D2143" t="str">
            <v>avg</v>
          </cell>
          <cell r="E2143" t="str">
            <v>prod_for_serv</v>
          </cell>
          <cell r="F2143">
            <v>-0.27182364463806152</v>
          </cell>
        </row>
        <row r="2144">
          <cell r="A2144" t="str">
            <v>GTM</v>
          </cell>
          <cell r="B2144" t="str">
            <v>Short</v>
          </cell>
          <cell r="C2144" t="str">
            <v>2018 - 2022</v>
          </cell>
          <cell r="D2144" t="str">
            <v>avg</v>
          </cell>
          <cell r="E2144" t="str">
            <v>prod_inf_agri</v>
          </cell>
          <cell r="F2144">
            <v>1.9544286727905269</v>
          </cell>
        </row>
        <row r="2145">
          <cell r="A2145" t="str">
            <v>GTM</v>
          </cell>
          <cell r="B2145" t="str">
            <v>Short</v>
          </cell>
          <cell r="C2145" t="str">
            <v>2018 - 2022</v>
          </cell>
          <cell r="D2145" t="str">
            <v>avg</v>
          </cell>
          <cell r="E2145" t="str">
            <v>prod_inf_ind</v>
          </cell>
          <cell r="F2145">
            <v>1.6072642803192141</v>
          </cell>
        </row>
        <row r="2146">
          <cell r="A2146" t="str">
            <v>GTM</v>
          </cell>
          <cell r="B2146" t="str">
            <v>Short</v>
          </cell>
          <cell r="C2146" t="str">
            <v>2018 - 2022</v>
          </cell>
          <cell r="D2146" t="str">
            <v>avg</v>
          </cell>
          <cell r="E2146" t="str">
            <v>prod_inf_serv</v>
          </cell>
          <cell r="F2146">
            <v>-0.50343966484069824</v>
          </cell>
        </row>
        <row r="2147">
          <cell r="A2147" t="str">
            <v>GTM</v>
          </cell>
          <cell r="B2147" t="str">
            <v>Short</v>
          </cell>
          <cell r="C2147" t="str">
            <v>2018 - 2022</v>
          </cell>
          <cell r="D2147" t="str">
            <v>avg_1_99</v>
          </cell>
          <cell r="E2147" t="str">
            <v>gdp_activity</v>
          </cell>
          <cell r="F2147">
            <v>0.2689775824546814</v>
          </cell>
        </row>
        <row r="2148">
          <cell r="A2148" t="str">
            <v>GTM</v>
          </cell>
          <cell r="B2148" t="str">
            <v>Short</v>
          </cell>
          <cell r="C2148" t="str">
            <v>2018 - 2022</v>
          </cell>
          <cell r="D2148" t="str">
            <v>avg_1_99</v>
          </cell>
          <cell r="E2148" t="str">
            <v>gdp_for_agri</v>
          </cell>
          <cell r="F2148">
            <v>5.8368902206420898</v>
          </cell>
        </row>
        <row r="2149">
          <cell r="A2149" t="str">
            <v>GTM</v>
          </cell>
          <cell r="B2149" t="str">
            <v>Short</v>
          </cell>
          <cell r="C2149" t="str">
            <v>2018 - 2022</v>
          </cell>
          <cell r="D2149" t="str">
            <v>avg_1_99</v>
          </cell>
          <cell r="E2149" t="str">
            <v>gdp_for_ind</v>
          </cell>
          <cell r="F2149">
            <v>1.584962010383606E-2</v>
          </cell>
        </row>
        <row r="2150">
          <cell r="A2150" t="str">
            <v>GTM</v>
          </cell>
          <cell r="B2150" t="str">
            <v>Short</v>
          </cell>
          <cell r="C2150" t="str">
            <v>2018 - 2022</v>
          </cell>
          <cell r="D2150" t="str">
            <v>avg_1_99</v>
          </cell>
          <cell r="E2150" t="str">
            <v>gdp_for_serv</v>
          </cell>
          <cell r="F2150">
            <v>0.70218390226364136</v>
          </cell>
        </row>
        <row r="2151">
          <cell r="A2151" t="str">
            <v>GTM</v>
          </cell>
          <cell r="B2151" t="str">
            <v>Short</v>
          </cell>
          <cell r="C2151" t="str">
            <v>2018 - 2022</v>
          </cell>
          <cell r="D2151" t="str">
            <v>avg_1_99</v>
          </cell>
          <cell r="E2151" t="str">
            <v>gdp_inf_agri</v>
          </cell>
          <cell r="F2151">
            <v>-0.33731129765510559</v>
          </cell>
        </row>
        <row r="2152">
          <cell r="A2152" t="str">
            <v>GTM</v>
          </cell>
          <cell r="B2152" t="str">
            <v>Short</v>
          </cell>
          <cell r="C2152" t="str">
            <v>2018 - 2022</v>
          </cell>
          <cell r="D2152" t="str">
            <v>avg_1_99</v>
          </cell>
          <cell r="E2152" t="str">
            <v>gdp_inf_ind</v>
          </cell>
          <cell r="F2152">
            <v>1.0037292242050171</v>
          </cell>
        </row>
        <row r="2153">
          <cell r="A2153" t="str">
            <v>GTM</v>
          </cell>
          <cell r="B2153" t="str">
            <v>Short</v>
          </cell>
          <cell r="C2153" t="str">
            <v>2018 - 2022</v>
          </cell>
          <cell r="D2153" t="str">
            <v>avg_1_99</v>
          </cell>
          <cell r="E2153" t="str">
            <v>gdp_inf_serv</v>
          </cell>
          <cell r="F2153">
            <v>0.60240656137466431</v>
          </cell>
        </row>
        <row r="2154">
          <cell r="A2154" t="str">
            <v>GTM</v>
          </cell>
          <cell r="B2154" t="str">
            <v>Short</v>
          </cell>
          <cell r="C2154" t="str">
            <v>2018 - 2022</v>
          </cell>
          <cell r="D2154" t="str">
            <v>avg_1_99</v>
          </cell>
          <cell r="E2154" t="str">
            <v>prod_for_agri</v>
          </cell>
          <cell r="F2154">
            <v>-0.1525672376155853</v>
          </cell>
        </row>
        <row r="2155">
          <cell r="A2155" t="str">
            <v>GTM</v>
          </cell>
          <cell r="B2155" t="str">
            <v>Short</v>
          </cell>
          <cell r="C2155" t="str">
            <v>2018 - 2022</v>
          </cell>
          <cell r="D2155" t="str">
            <v>avg_1_99</v>
          </cell>
          <cell r="E2155" t="str">
            <v>prod_for_ind</v>
          </cell>
          <cell r="F2155">
            <v>1.239136934280396</v>
          </cell>
        </row>
        <row r="2156">
          <cell r="A2156" t="str">
            <v>GTM</v>
          </cell>
          <cell r="B2156" t="str">
            <v>Short</v>
          </cell>
          <cell r="C2156" t="str">
            <v>2018 - 2022</v>
          </cell>
          <cell r="D2156" t="str">
            <v>avg_1_99</v>
          </cell>
          <cell r="E2156" t="str">
            <v>prod_for_serv</v>
          </cell>
          <cell r="F2156">
            <v>-0.27182364463806152</v>
          </cell>
        </row>
        <row r="2157">
          <cell r="A2157" t="str">
            <v>GTM</v>
          </cell>
          <cell r="B2157" t="str">
            <v>Short</v>
          </cell>
          <cell r="C2157" t="str">
            <v>2018 - 2022</v>
          </cell>
          <cell r="D2157" t="str">
            <v>avg_1_99</v>
          </cell>
          <cell r="E2157" t="str">
            <v>prod_inf_agri</v>
          </cell>
          <cell r="F2157">
            <v>1.9544286727905269</v>
          </cell>
        </row>
        <row r="2158">
          <cell r="A2158" t="str">
            <v>GTM</v>
          </cell>
          <cell r="B2158" t="str">
            <v>Short</v>
          </cell>
          <cell r="C2158" t="str">
            <v>2018 - 2022</v>
          </cell>
          <cell r="D2158" t="str">
            <v>avg_1_99</v>
          </cell>
          <cell r="E2158" t="str">
            <v>prod_inf_ind</v>
          </cell>
          <cell r="F2158">
            <v>2.3935258388519292</v>
          </cell>
        </row>
        <row r="2159">
          <cell r="A2159" t="str">
            <v>GTM</v>
          </cell>
          <cell r="B2159" t="str">
            <v>Short</v>
          </cell>
          <cell r="C2159" t="str">
            <v>2018 - 2022</v>
          </cell>
          <cell r="D2159" t="str">
            <v>avg_1_99</v>
          </cell>
          <cell r="E2159" t="str">
            <v>prod_inf_serv</v>
          </cell>
          <cell r="F2159">
            <v>-1.8256676197052</v>
          </cell>
        </row>
        <row r="2160">
          <cell r="A2160" t="str">
            <v>GTM</v>
          </cell>
          <cell r="B2160" t="str">
            <v>Short</v>
          </cell>
          <cell r="C2160" t="str">
            <v>2018 - 2022</v>
          </cell>
          <cell r="D2160" t="str">
            <v>avg_1_99_imp</v>
          </cell>
          <cell r="E2160" t="str">
            <v>gdp_activity</v>
          </cell>
          <cell r="F2160">
            <v>0.2689775824546814</v>
          </cell>
        </row>
        <row r="2161">
          <cell r="A2161" t="str">
            <v>GTM</v>
          </cell>
          <cell r="B2161" t="str">
            <v>Short</v>
          </cell>
          <cell r="C2161" t="str">
            <v>2018 - 2022</v>
          </cell>
          <cell r="D2161" t="str">
            <v>avg_1_99_imp</v>
          </cell>
          <cell r="E2161" t="str">
            <v>gdp_for_agri</v>
          </cell>
          <cell r="F2161">
            <v>5.8368902206420898</v>
          </cell>
        </row>
        <row r="2162">
          <cell r="A2162" t="str">
            <v>GTM</v>
          </cell>
          <cell r="B2162" t="str">
            <v>Short</v>
          </cell>
          <cell r="C2162" t="str">
            <v>2018 - 2022</v>
          </cell>
          <cell r="D2162" t="str">
            <v>avg_1_99_imp</v>
          </cell>
          <cell r="E2162" t="str">
            <v>gdp_for_ind</v>
          </cell>
          <cell r="F2162">
            <v>1.584962010383606E-2</v>
          </cell>
        </row>
        <row r="2163">
          <cell r="A2163" t="str">
            <v>GTM</v>
          </cell>
          <cell r="B2163" t="str">
            <v>Short</v>
          </cell>
          <cell r="C2163" t="str">
            <v>2018 - 2022</v>
          </cell>
          <cell r="D2163" t="str">
            <v>avg_1_99_imp</v>
          </cell>
          <cell r="E2163" t="str">
            <v>gdp_for_serv</v>
          </cell>
          <cell r="F2163">
            <v>0.62097758054733276</v>
          </cell>
        </row>
        <row r="2164">
          <cell r="A2164" t="str">
            <v>GTM</v>
          </cell>
          <cell r="B2164" t="str">
            <v>Short</v>
          </cell>
          <cell r="C2164" t="str">
            <v>2018 - 2022</v>
          </cell>
          <cell r="D2164" t="str">
            <v>avg_1_99_imp</v>
          </cell>
          <cell r="E2164" t="str">
            <v>gdp_inf_agri</v>
          </cell>
          <cell r="F2164">
            <v>-0.45318552851676941</v>
          </cell>
        </row>
        <row r="2165">
          <cell r="A2165" t="str">
            <v>GTM</v>
          </cell>
          <cell r="B2165" t="str">
            <v>Short</v>
          </cell>
          <cell r="C2165" t="str">
            <v>2018 - 2022</v>
          </cell>
          <cell r="D2165" t="str">
            <v>avg_1_99_imp</v>
          </cell>
          <cell r="E2165" t="str">
            <v>gdp_inf_ind</v>
          </cell>
          <cell r="F2165">
            <v>1.0037292242050171</v>
          </cell>
        </row>
        <row r="2166">
          <cell r="A2166" t="str">
            <v>GTM</v>
          </cell>
          <cell r="B2166" t="str">
            <v>Short</v>
          </cell>
          <cell r="C2166" t="str">
            <v>2018 - 2022</v>
          </cell>
          <cell r="D2166" t="str">
            <v>avg_1_99_imp</v>
          </cell>
          <cell r="E2166" t="str">
            <v>gdp_inf_serv</v>
          </cell>
          <cell r="F2166">
            <v>0.60240656137466431</v>
          </cell>
        </row>
        <row r="2167">
          <cell r="A2167" t="str">
            <v>GTM</v>
          </cell>
          <cell r="B2167" t="str">
            <v>Short</v>
          </cell>
          <cell r="C2167" t="str">
            <v>2018 - 2022</v>
          </cell>
          <cell r="D2167" t="str">
            <v>avg_1_99_imp</v>
          </cell>
          <cell r="E2167" t="str">
            <v>prod_for_agri</v>
          </cell>
          <cell r="F2167">
            <v>-0.23896123468875891</v>
          </cell>
        </row>
        <row r="2168">
          <cell r="A2168" t="str">
            <v>GTM</v>
          </cell>
          <cell r="B2168" t="str">
            <v>Short</v>
          </cell>
          <cell r="C2168" t="str">
            <v>2018 - 2022</v>
          </cell>
          <cell r="D2168" t="str">
            <v>avg_1_99_imp</v>
          </cell>
          <cell r="E2168" t="str">
            <v>prod_for_ind</v>
          </cell>
          <cell r="F2168">
            <v>1.233844637870789</v>
          </cell>
        </row>
        <row r="2169">
          <cell r="A2169" t="str">
            <v>GTM</v>
          </cell>
          <cell r="B2169" t="str">
            <v>Short</v>
          </cell>
          <cell r="C2169" t="str">
            <v>2018 - 2022</v>
          </cell>
          <cell r="D2169" t="str">
            <v>avg_1_99_imp</v>
          </cell>
          <cell r="E2169" t="str">
            <v>prod_for_serv</v>
          </cell>
          <cell r="F2169">
            <v>-0.33401861786842352</v>
          </cell>
        </row>
        <row r="2170">
          <cell r="A2170" t="str">
            <v>GTM</v>
          </cell>
          <cell r="B2170" t="str">
            <v>Short</v>
          </cell>
          <cell r="C2170" t="str">
            <v>2018 - 2022</v>
          </cell>
          <cell r="D2170" t="str">
            <v>avg_1_99_imp</v>
          </cell>
          <cell r="E2170" t="str">
            <v>prod_inf_agri</v>
          </cell>
          <cell r="F2170">
            <v>1.9544286727905269</v>
          </cell>
        </row>
        <row r="2171">
          <cell r="A2171" t="str">
            <v>GTM</v>
          </cell>
          <cell r="B2171" t="str">
            <v>Short</v>
          </cell>
          <cell r="C2171" t="str">
            <v>2018 - 2022</v>
          </cell>
          <cell r="D2171" t="str">
            <v>avg_1_99_imp</v>
          </cell>
          <cell r="E2171" t="str">
            <v>prod_inf_ind</v>
          </cell>
          <cell r="F2171">
            <v>2.405910730361938</v>
          </cell>
        </row>
        <row r="2172">
          <cell r="A2172" t="str">
            <v>GTM</v>
          </cell>
          <cell r="B2172" t="str">
            <v>Short</v>
          </cell>
          <cell r="C2172" t="str">
            <v>2018 - 2022</v>
          </cell>
          <cell r="D2172" t="str">
            <v>avg_1_99_imp</v>
          </cell>
          <cell r="E2172" t="str">
            <v>prod_inf_serv</v>
          </cell>
          <cell r="F2172">
            <v>-1.611162424087524</v>
          </cell>
        </row>
        <row r="2173">
          <cell r="A2173" t="str">
            <v>GTM</v>
          </cell>
          <cell r="B2173" t="str">
            <v>Short</v>
          </cell>
          <cell r="C2173" t="str">
            <v>2018 - 2022</v>
          </cell>
          <cell r="D2173" t="str">
            <v>reg</v>
          </cell>
          <cell r="E2173" t="str">
            <v>gdp_activity</v>
          </cell>
          <cell r="F2173">
            <v>0.1196171790361404</v>
          </cell>
        </row>
        <row r="2174">
          <cell r="A2174" t="str">
            <v>GTM</v>
          </cell>
          <cell r="B2174" t="str">
            <v>Short</v>
          </cell>
          <cell r="C2174" t="str">
            <v>2018 - 2022</v>
          </cell>
          <cell r="D2174" t="str">
            <v>reg</v>
          </cell>
          <cell r="E2174" t="str">
            <v>gdp_for_agri</v>
          </cell>
          <cell r="F2174">
            <v>0.694388747215271</v>
          </cell>
        </row>
        <row r="2175">
          <cell r="A2175" t="str">
            <v>GTM</v>
          </cell>
          <cell r="B2175" t="str">
            <v>Short</v>
          </cell>
          <cell r="C2175" t="str">
            <v>2018 - 2022</v>
          </cell>
          <cell r="D2175" t="str">
            <v>reg</v>
          </cell>
          <cell r="E2175" t="str">
            <v>gdp_for_ind</v>
          </cell>
          <cell r="F2175">
            <v>-0.7705610990524292</v>
          </cell>
        </row>
        <row r="2176">
          <cell r="A2176" t="str">
            <v>GTM</v>
          </cell>
          <cell r="B2176" t="str">
            <v>Short</v>
          </cell>
          <cell r="C2176" t="str">
            <v>2018 - 2022</v>
          </cell>
          <cell r="D2176" t="str">
            <v>reg</v>
          </cell>
          <cell r="E2176" t="str">
            <v>gdp_for_serv</v>
          </cell>
          <cell r="F2176">
            <v>-0.80665451288223267</v>
          </cell>
        </row>
        <row r="2177">
          <cell r="A2177" t="str">
            <v>GTM</v>
          </cell>
          <cell r="B2177" t="str">
            <v>Short</v>
          </cell>
          <cell r="C2177" t="str">
            <v>2018 - 2022</v>
          </cell>
          <cell r="D2177" t="str">
            <v>reg</v>
          </cell>
          <cell r="E2177" t="str">
            <v>gdp_inf_agri</v>
          </cell>
          <cell r="F2177">
            <v>-2.417005062103271</v>
          </cell>
        </row>
        <row r="2178">
          <cell r="A2178" t="str">
            <v>GTM</v>
          </cell>
          <cell r="B2178" t="str">
            <v>Short</v>
          </cell>
          <cell r="C2178" t="str">
            <v>2018 - 2022</v>
          </cell>
          <cell r="D2178" t="str">
            <v>reg</v>
          </cell>
          <cell r="E2178" t="str">
            <v>gdp_inf_ind</v>
          </cell>
          <cell r="F2178">
            <v>1.491701006889343</v>
          </cell>
        </row>
        <row r="2179">
          <cell r="A2179" t="str">
            <v>GTM</v>
          </cell>
          <cell r="B2179" t="str">
            <v>Short</v>
          </cell>
          <cell r="C2179" t="str">
            <v>2018 - 2022</v>
          </cell>
          <cell r="D2179" t="str">
            <v>reg</v>
          </cell>
          <cell r="E2179" t="str">
            <v>gdp_inf_serv</v>
          </cell>
          <cell r="F2179">
            <v>0.70330256223678589</v>
          </cell>
        </row>
        <row r="2180">
          <cell r="A2180" t="str">
            <v>GTM</v>
          </cell>
          <cell r="B2180" t="str">
            <v>Short</v>
          </cell>
          <cell r="C2180" t="str">
            <v>2018 - 2022</v>
          </cell>
          <cell r="D2180" t="str">
            <v>reg</v>
          </cell>
          <cell r="E2180" t="str">
            <v>prod_for_agri</v>
          </cell>
          <cell r="F2180">
            <v>-0.58395546674728394</v>
          </cell>
        </row>
        <row r="2181">
          <cell r="A2181" t="str">
            <v>GTM</v>
          </cell>
          <cell r="B2181" t="str">
            <v>Short</v>
          </cell>
          <cell r="C2181" t="str">
            <v>2018 - 2022</v>
          </cell>
          <cell r="D2181" t="str">
            <v>reg</v>
          </cell>
          <cell r="E2181" t="str">
            <v>prod_for_ind</v>
          </cell>
          <cell r="F2181">
            <v>0.74327647686004639</v>
          </cell>
        </row>
        <row r="2182">
          <cell r="A2182" t="str">
            <v>GTM</v>
          </cell>
          <cell r="B2182" t="str">
            <v>Short</v>
          </cell>
          <cell r="C2182" t="str">
            <v>2018 - 2022</v>
          </cell>
          <cell r="D2182" t="str">
            <v>reg</v>
          </cell>
          <cell r="E2182" t="str">
            <v>prod_for_serv</v>
          </cell>
          <cell r="F2182">
            <v>-1.2144384384155269</v>
          </cell>
        </row>
        <row r="2183">
          <cell r="A2183" t="str">
            <v>GTM</v>
          </cell>
          <cell r="B2183" t="str">
            <v>Short</v>
          </cell>
          <cell r="C2183" t="str">
            <v>2018 - 2022</v>
          </cell>
          <cell r="D2183" t="str">
            <v>reg</v>
          </cell>
          <cell r="E2183" t="str">
            <v>prod_inf_agri</v>
          </cell>
          <cell r="F2183">
            <v>2.4075193405151372</v>
          </cell>
        </row>
        <row r="2184">
          <cell r="A2184" t="str">
            <v>GTM</v>
          </cell>
          <cell r="B2184" t="str">
            <v>Short</v>
          </cell>
          <cell r="C2184" t="str">
            <v>2018 - 2022</v>
          </cell>
          <cell r="D2184" t="str">
            <v>reg</v>
          </cell>
          <cell r="E2184" t="str">
            <v>prod_inf_ind</v>
          </cell>
          <cell r="F2184">
            <v>2.871068000793457</v>
          </cell>
        </row>
        <row r="2185">
          <cell r="A2185" t="str">
            <v>GTM</v>
          </cell>
          <cell r="B2185" t="str">
            <v>Short</v>
          </cell>
          <cell r="C2185" t="str">
            <v>2018 - 2022</v>
          </cell>
          <cell r="D2185" t="str">
            <v>reg</v>
          </cell>
          <cell r="E2185" t="str">
            <v>prod_inf_serv</v>
          </cell>
          <cell r="F2185">
            <v>-5.3267896175384521E-2</v>
          </cell>
        </row>
        <row r="2186">
          <cell r="A2186" t="str">
            <v>GTM</v>
          </cell>
          <cell r="B2186" t="str">
            <v>Short</v>
          </cell>
          <cell r="C2186" t="str">
            <v>2018 - 2022</v>
          </cell>
          <cell r="D2186" t="str">
            <v>reg_gdp</v>
          </cell>
          <cell r="E2186" t="str">
            <v>gdp_activity</v>
          </cell>
          <cell r="F2186">
            <v>0.1196171790361404</v>
          </cell>
        </row>
        <row r="2187">
          <cell r="A2187" t="str">
            <v>GTM</v>
          </cell>
          <cell r="B2187" t="str">
            <v>Short</v>
          </cell>
          <cell r="C2187" t="str">
            <v>2018 - 2022</v>
          </cell>
          <cell r="D2187" t="str">
            <v>reg_gdp</v>
          </cell>
          <cell r="E2187" t="str">
            <v>gdp_for_agri</v>
          </cell>
          <cell r="F2187">
            <v>-48.204013824462891</v>
          </cell>
        </row>
        <row r="2188">
          <cell r="A2188" t="str">
            <v>GTM</v>
          </cell>
          <cell r="B2188" t="str">
            <v>Short</v>
          </cell>
          <cell r="C2188" t="str">
            <v>2018 - 2022</v>
          </cell>
          <cell r="D2188" t="str">
            <v>reg_gdp</v>
          </cell>
          <cell r="E2188" t="str">
            <v>gdp_for_ind</v>
          </cell>
          <cell r="F2188">
            <v>-15.207663536071779</v>
          </cell>
        </row>
        <row r="2189">
          <cell r="A2189" t="str">
            <v>GTM</v>
          </cell>
          <cell r="B2189" t="str">
            <v>Short</v>
          </cell>
          <cell r="C2189" t="str">
            <v>2018 - 2022</v>
          </cell>
          <cell r="D2189" t="str">
            <v>reg_gdp</v>
          </cell>
          <cell r="E2189" t="str">
            <v>gdp_for_serv</v>
          </cell>
          <cell r="F2189">
            <v>-7.9645528793334961</v>
          </cell>
        </row>
        <row r="2190">
          <cell r="A2190" t="str">
            <v>GTM</v>
          </cell>
          <cell r="B2190" t="str">
            <v>Short</v>
          </cell>
          <cell r="C2190" t="str">
            <v>2018 - 2022</v>
          </cell>
          <cell r="D2190" t="str">
            <v>reg_gdp</v>
          </cell>
          <cell r="E2190" t="str">
            <v>gdp_inf_agri</v>
          </cell>
          <cell r="F2190">
            <v>-0.59506654739379883</v>
          </cell>
        </row>
        <row r="2191">
          <cell r="A2191" t="str">
            <v>GTM</v>
          </cell>
          <cell r="B2191" t="str">
            <v>Short</v>
          </cell>
          <cell r="C2191" t="str">
            <v>2018 - 2022</v>
          </cell>
          <cell r="D2191" t="str">
            <v>reg_gdp</v>
          </cell>
          <cell r="E2191" t="str">
            <v>gdp_inf_ind</v>
          </cell>
          <cell r="F2191">
            <v>20.321842193603519</v>
          </cell>
        </row>
        <row r="2192">
          <cell r="A2192" t="str">
            <v>GTM</v>
          </cell>
          <cell r="B2192" t="str">
            <v>Short</v>
          </cell>
          <cell r="C2192" t="str">
            <v>2018 - 2022</v>
          </cell>
          <cell r="D2192" t="str">
            <v>reg_gdp</v>
          </cell>
          <cell r="E2192" t="str">
            <v>gdp_inf_serv</v>
          </cell>
          <cell r="F2192">
            <v>-7.8061518669128418</v>
          </cell>
        </row>
        <row r="2193">
          <cell r="A2193" t="str">
            <v>GTM</v>
          </cell>
          <cell r="B2193" t="str">
            <v>Short</v>
          </cell>
          <cell r="C2193" t="str">
            <v>2018 - 2022</v>
          </cell>
          <cell r="D2193" t="str">
            <v>reg_gdp</v>
          </cell>
          <cell r="E2193" t="str">
            <v>prod_for_agri</v>
          </cell>
          <cell r="F2193">
            <v>-8.6874291300773621E-2</v>
          </cell>
        </row>
        <row r="2194">
          <cell r="A2194" t="str">
            <v>GTM</v>
          </cell>
          <cell r="B2194" t="str">
            <v>Short</v>
          </cell>
          <cell r="C2194" t="str">
            <v>2018 - 2022</v>
          </cell>
          <cell r="D2194" t="str">
            <v>reg_gdp</v>
          </cell>
          <cell r="E2194" t="str">
            <v>prod_for_ind</v>
          </cell>
          <cell r="F2194">
            <v>0.6684720516204834</v>
          </cell>
        </row>
        <row r="2195">
          <cell r="A2195" t="str">
            <v>GTM</v>
          </cell>
          <cell r="B2195" t="str">
            <v>Short</v>
          </cell>
          <cell r="C2195" t="str">
            <v>2018 - 2022</v>
          </cell>
          <cell r="D2195" t="str">
            <v>reg_gdp</v>
          </cell>
          <cell r="E2195" t="str">
            <v>prod_for_serv</v>
          </cell>
          <cell r="F2195">
            <v>-0.57185471057891846</v>
          </cell>
        </row>
        <row r="2196">
          <cell r="A2196" t="str">
            <v>GTM</v>
          </cell>
          <cell r="B2196" t="str">
            <v>Short</v>
          </cell>
          <cell r="C2196" t="str">
            <v>2018 - 2022</v>
          </cell>
          <cell r="D2196" t="str">
            <v>reg_gdp</v>
          </cell>
          <cell r="E2196" t="str">
            <v>prod_inf_agri</v>
          </cell>
          <cell r="F2196">
            <v>3.6401772499084468</v>
          </cell>
        </row>
        <row r="2197">
          <cell r="A2197" t="str">
            <v>GTM</v>
          </cell>
          <cell r="B2197" t="str">
            <v>Short</v>
          </cell>
          <cell r="C2197" t="str">
            <v>2018 - 2022</v>
          </cell>
          <cell r="D2197" t="str">
            <v>reg_gdp</v>
          </cell>
          <cell r="E2197" t="str">
            <v>prod_inf_ind</v>
          </cell>
          <cell r="F2197">
            <v>2.8102669715881352</v>
          </cell>
        </row>
        <row r="2198">
          <cell r="A2198" t="str">
            <v>GTM</v>
          </cell>
          <cell r="B2198" t="str">
            <v>Short</v>
          </cell>
          <cell r="C2198" t="str">
            <v>2018 - 2022</v>
          </cell>
          <cell r="D2198" t="str">
            <v>reg_gdp</v>
          </cell>
          <cell r="E2198" t="str">
            <v>prod_inf_serv</v>
          </cell>
          <cell r="F2198">
            <v>1.5995830297470091</v>
          </cell>
        </row>
        <row r="2199">
          <cell r="A2199" t="str">
            <v>GTM</v>
          </cell>
          <cell r="B2199" t="str">
            <v>Short</v>
          </cell>
          <cell r="C2199" t="str">
            <v>2018 - 2022</v>
          </cell>
          <cell r="D2199" t="str">
            <v>reg_iter</v>
          </cell>
          <cell r="E2199" t="str">
            <v>gdp_activity</v>
          </cell>
          <cell r="F2199">
            <v>7.1963876485824585E-2</v>
          </cell>
        </row>
        <row r="2200">
          <cell r="A2200" t="str">
            <v>GTM</v>
          </cell>
          <cell r="B2200" t="str">
            <v>Short</v>
          </cell>
          <cell r="C2200" t="str">
            <v>2018 - 2022</v>
          </cell>
          <cell r="D2200" t="str">
            <v>reg_iter</v>
          </cell>
          <cell r="E2200" t="str">
            <v>gdp_for_agri</v>
          </cell>
          <cell r="F2200">
            <v>4.9355826377868652</v>
          </cell>
        </row>
        <row r="2201">
          <cell r="A2201" t="str">
            <v>GTM</v>
          </cell>
          <cell r="B2201" t="str">
            <v>Short</v>
          </cell>
          <cell r="C2201" t="str">
            <v>2018 - 2022</v>
          </cell>
          <cell r="D2201" t="str">
            <v>reg_iter</v>
          </cell>
          <cell r="E2201" t="str">
            <v>gdp_for_ind</v>
          </cell>
          <cell r="F2201">
            <v>-0.2284662127494812</v>
          </cell>
        </row>
        <row r="2202">
          <cell r="A2202" t="str">
            <v>GTM</v>
          </cell>
          <cell r="B2202" t="str">
            <v>Short</v>
          </cell>
          <cell r="C2202" t="str">
            <v>2018 - 2022</v>
          </cell>
          <cell r="D2202" t="str">
            <v>reg_iter</v>
          </cell>
          <cell r="E2202" t="str">
            <v>gdp_for_serv</v>
          </cell>
          <cell r="F2202">
            <v>9.744640439748764E-2</v>
          </cell>
        </row>
        <row r="2203">
          <cell r="A2203" t="str">
            <v>GTM</v>
          </cell>
          <cell r="B2203" t="str">
            <v>Short</v>
          </cell>
          <cell r="C2203" t="str">
            <v>2018 - 2022</v>
          </cell>
          <cell r="D2203" t="str">
            <v>reg_iter</v>
          </cell>
          <cell r="E2203" t="str">
            <v>gdp_inf_agri</v>
          </cell>
          <cell r="F2203">
            <v>-3.174592256546021</v>
          </cell>
        </row>
        <row r="2204">
          <cell r="A2204" t="str">
            <v>GTM</v>
          </cell>
          <cell r="B2204" t="str">
            <v>Short</v>
          </cell>
          <cell r="C2204" t="str">
            <v>2018 - 2022</v>
          </cell>
          <cell r="D2204" t="str">
            <v>reg_iter</v>
          </cell>
          <cell r="E2204" t="str">
            <v>gdp_inf_ind</v>
          </cell>
          <cell r="F2204">
            <v>0.78499150276184082</v>
          </cell>
        </row>
        <row r="2205">
          <cell r="A2205" t="str">
            <v>GTM</v>
          </cell>
          <cell r="B2205" t="str">
            <v>Short</v>
          </cell>
          <cell r="C2205" t="str">
            <v>2018 - 2022</v>
          </cell>
          <cell r="D2205" t="str">
            <v>reg_iter</v>
          </cell>
          <cell r="E2205" t="str">
            <v>gdp_inf_serv</v>
          </cell>
          <cell r="F2205">
            <v>0.66342246532440186</v>
          </cell>
        </row>
        <row r="2206">
          <cell r="A2206" t="str">
            <v>GTM</v>
          </cell>
          <cell r="B2206" t="str">
            <v>Short</v>
          </cell>
          <cell r="C2206" t="str">
            <v>2018 - 2022</v>
          </cell>
          <cell r="D2206" t="str">
            <v>reg_iter</v>
          </cell>
          <cell r="E2206" t="str">
            <v>prod_for_agri</v>
          </cell>
          <cell r="F2206">
            <v>-0.41849836707115168</v>
          </cell>
        </row>
        <row r="2207">
          <cell r="A2207" t="str">
            <v>GTM</v>
          </cell>
          <cell r="B2207" t="str">
            <v>Short</v>
          </cell>
          <cell r="C2207" t="str">
            <v>2018 - 2022</v>
          </cell>
          <cell r="D2207" t="str">
            <v>reg_iter</v>
          </cell>
          <cell r="E2207" t="str">
            <v>prod_for_ind</v>
          </cell>
          <cell r="F2207">
            <v>0.2129230201244354</v>
          </cell>
        </row>
        <row r="2208">
          <cell r="A2208" t="str">
            <v>GTM</v>
          </cell>
          <cell r="B2208" t="str">
            <v>Short</v>
          </cell>
          <cell r="C2208" t="str">
            <v>2018 - 2022</v>
          </cell>
          <cell r="D2208" t="str">
            <v>reg_iter</v>
          </cell>
          <cell r="E2208" t="str">
            <v>prod_for_serv</v>
          </cell>
          <cell r="F2208">
            <v>-1.216595411300659</v>
          </cell>
        </row>
        <row r="2209">
          <cell r="A2209" t="str">
            <v>GTM</v>
          </cell>
          <cell r="B2209" t="str">
            <v>Short</v>
          </cell>
          <cell r="C2209" t="str">
            <v>2018 - 2022</v>
          </cell>
          <cell r="D2209" t="str">
            <v>reg_iter</v>
          </cell>
          <cell r="E2209" t="str">
            <v>prod_inf_agri</v>
          </cell>
          <cell r="F2209">
            <v>2.6624021530151372</v>
          </cell>
        </row>
        <row r="2210">
          <cell r="A2210" t="str">
            <v>GTM</v>
          </cell>
          <cell r="B2210" t="str">
            <v>Short</v>
          </cell>
          <cell r="C2210" t="str">
            <v>2018 - 2022</v>
          </cell>
          <cell r="D2210" t="str">
            <v>reg_iter</v>
          </cell>
          <cell r="E2210" t="str">
            <v>prod_inf_ind</v>
          </cell>
          <cell r="F2210">
            <v>2.9474692344665532</v>
          </cell>
        </row>
        <row r="2211">
          <cell r="A2211" t="str">
            <v>GTM</v>
          </cell>
          <cell r="B2211" t="str">
            <v>Short</v>
          </cell>
          <cell r="C2211" t="str">
            <v>2018 - 2022</v>
          </cell>
          <cell r="D2211" t="str">
            <v>reg_iter</v>
          </cell>
          <cell r="E2211" t="str">
            <v>prod_inf_serv</v>
          </cell>
          <cell r="F2211">
            <v>2.6801764965057369</v>
          </cell>
        </row>
        <row r="2212">
          <cell r="A2212" t="str">
            <v>HND</v>
          </cell>
          <cell r="B2212" t="str">
            <v>Long</v>
          </cell>
          <cell r="C2212" t="str">
            <v>2006 - 2019</v>
          </cell>
          <cell r="D2212" t="str">
            <v>avg</v>
          </cell>
          <cell r="E2212" t="str">
            <v>gdp_activity</v>
          </cell>
          <cell r="F2212">
            <v>0.4212106466293335</v>
          </cell>
        </row>
        <row r="2213">
          <cell r="A2213" t="str">
            <v>HND</v>
          </cell>
          <cell r="B2213" t="str">
            <v>Long</v>
          </cell>
          <cell r="C2213" t="str">
            <v>2006 - 2019</v>
          </cell>
          <cell r="D2213" t="str">
            <v>avg</v>
          </cell>
          <cell r="E2213" t="str">
            <v>gdp_for_agri</v>
          </cell>
          <cell r="F2213">
            <v>3.0176961421966548</v>
          </cell>
        </row>
        <row r="2214">
          <cell r="A2214" t="str">
            <v>HND</v>
          </cell>
          <cell r="B2214" t="str">
            <v>Long</v>
          </cell>
          <cell r="C2214" t="str">
            <v>2006 - 2019</v>
          </cell>
          <cell r="D2214" t="str">
            <v>avg</v>
          </cell>
          <cell r="E2214" t="str">
            <v>gdp_for_ind</v>
          </cell>
          <cell r="F2214">
            <v>2.566986083984375</v>
          </cell>
        </row>
        <row r="2215">
          <cell r="A2215" t="str">
            <v>HND</v>
          </cell>
          <cell r="B2215" t="str">
            <v>Long</v>
          </cell>
          <cell r="C2215" t="str">
            <v>2006 - 2019</v>
          </cell>
          <cell r="D2215" t="str">
            <v>avg</v>
          </cell>
          <cell r="E2215" t="str">
            <v>gdp_for_serv</v>
          </cell>
          <cell r="F2215">
            <v>2.000532865524292</v>
          </cell>
        </row>
        <row r="2216">
          <cell r="A2216" t="str">
            <v>HND</v>
          </cell>
          <cell r="B2216" t="str">
            <v>Long</v>
          </cell>
          <cell r="C2216" t="str">
            <v>2006 - 2019</v>
          </cell>
          <cell r="D2216" t="str">
            <v>avg</v>
          </cell>
          <cell r="E2216" t="str">
            <v>gdp_inf_agri</v>
          </cell>
          <cell r="F2216">
            <v>0.28205299377441412</v>
          </cell>
        </row>
        <row r="2217">
          <cell r="A2217" t="str">
            <v>HND</v>
          </cell>
          <cell r="B2217" t="str">
            <v>Long</v>
          </cell>
          <cell r="C2217" t="str">
            <v>2006 - 2019</v>
          </cell>
          <cell r="D2217" t="str">
            <v>avg</v>
          </cell>
          <cell r="E2217" t="str">
            <v>gdp_inf_ind</v>
          </cell>
          <cell r="F2217">
            <v>0.8474695086479187</v>
          </cell>
        </row>
        <row r="2218">
          <cell r="A2218" t="str">
            <v>HND</v>
          </cell>
          <cell r="B2218" t="str">
            <v>Long</v>
          </cell>
          <cell r="C2218" t="str">
            <v>2006 - 2019</v>
          </cell>
          <cell r="D2218" t="str">
            <v>avg</v>
          </cell>
          <cell r="E2218" t="str">
            <v>gdp_inf_serv</v>
          </cell>
          <cell r="F2218">
            <v>1.4913936853408809</v>
          </cell>
        </row>
        <row r="2219">
          <cell r="A2219" t="str">
            <v>HND</v>
          </cell>
          <cell r="B2219" t="str">
            <v>Long</v>
          </cell>
          <cell r="C2219" t="str">
            <v>2006 - 2019</v>
          </cell>
          <cell r="D2219" t="str">
            <v>avg</v>
          </cell>
          <cell r="E2219" t="str">
            <v>prod_for_agri</v>
          </cell>
          <cell r="F2219">
            <v>-14.29337787628174</v>
          </cell>
        </row>
        <row r="2220">
          <cell r="A2220" t="str">
            <v>HND</v>
          </cell>
          <cell r="B2220" t="str">
            <v>Long</v>
          </cell>
          <cell r="C2220" t="str">
            <v>2006 - 2019</v>
          </cell>
          <cell r="D2220" t="str">
            <v>avg</v>
          </cell>
          <cell r="E2220" t="str">
            <v>prod_for_ind</v>
          </cell>
          <cell r="F2220">
            <v>28.81971549987793</v>
          </cell>
        </row>
        <row r="2221">
          <cell r="A2221" t="str">
            <v>HND</v>
          </cell>
          <cell r="B2221" t="str">
            <v>Long</v>
          </cell>
          <cell r="C2221" t="str">
            <v>2006 - 2019</v>
          </cell>
          <cell r="D2221" t="str">
            <v>avg</v>
          </cell>
          <cell r="E2221" t="str">
            <v>prod_for_serv</v>
          </cell>
          <cell r="F2221">
            <v>-1.2742958068847661</v>
          </cell>
        </row>
        <row r="2222">
          <cell r="A2222" t="str">
            <v>HND</v>
          </cell>
          <cell r="B2222" t="str">
            <v>Long</v>
          </cell>
          <cell r="C2222" t="str">
            <v>2006 - 2019</v>
          </cell>
          <cell r="D2222" t="str">
            <v>avg</v>
          </cell>
          <cell r="E2222" t="str">
            <v>prod_inf_agri</v>
          </cell>
          <cell r="F2222">
            <v>4.2429695129394531</v>
          </cell>
        </row>
        <row r="2223">
          <cell r="A2223" t="str">
            <v>HND</v>
          </cell>
          <cell r="B2223" t="str">
            <v>Long</v>
          </cell>
          <cell r="C2223" t="str">
            <v>2006 - 2019</v>
          </cell>
          <cell r="D2223" t="str">
            <v>avg</v>
          </cell>
          <cell r="E2223" t="str">
            <v>prod_inf_ind</v>
          </cell>
          <cell r="F2223">
            <v>-12.81987476348877</v>
          </cell>
        </row>
        <row r="2224">
          <cell r="A2224" t="str">
            <v>HND</v>
          </cell>
          <cell r="B2224" t="str">
            <v>Long</v>
          </cell>
          <cell r="C2224" t="str">
            <v>2006 - 2019</v>
          </cell>
          <cell r="D2224" t="str">
            <v>avg</v>
          </cell>
          <cell r="E2224" t="str">
            <v>prod_inf_serv</v>
          </cell>
          <cell r="F2224">
            <v>1.566122889518738</v>
          </cell>
        </row>
        <row r="2225">
          <cell r="A2225" t="str">
            <v>HND</v>
          </cell>
          <cell r="B2225" t="str">
            <v>Long</v>
          </cell>
          <cell r="C2225" t="str">
            <v>2006 - 2019</v>
          </cell>
          <cell r="D2225" t="str">
            <v>avg_1_99</v>
          </cell>
          <cell r="E2225" t="str">
            <v>gdp_activity</v>
          </cell>
          <cell r="F2225">
            <v>0.49198228120803827</v>
          </cell>
        </row>
        <row r="2226">
          <cell r="A2226" t="str">
            <v>HND</v>
          </cell>
          <cell r="B2226" t="str">
            <v>Long</v>
          </cell>
          <cell r="C2226" t="str">
            <v>2006 - 2019</v>
          </cell>
          <cell r="D2226" t="str">
            <v>avg_1_99</v>
          </cell>
          <cell r="E2226" t="str">
            <v>gdp_for_agri</v>
          </cell>
          <cell r="F2226">
            <v>0.90215837955474854</v>
          </cell>
        </row>
        <row r="2227">
          <cell r="A2227" t="str">
            <v>HND</v>
          </cell>
          <cell r="B2227" t="str">
            <v>Long</v>
          </cell>
          <cell r="C2227" t="str">
            <v>2006 - 2019</v>
          </cell>
          <cell r="D2227" t="str">
            <v>avg_1_99</v>
          </cell>
          <cell r="E2227" t="str">
            <v>gdp_for_ind</v>
          </cell>
          <cell r="F2227">
            <v>0.67287838459014893</v>
          </cell>
        </row>
        <row r="2228">
          <cell r="A2228" t="str">
            <v>HND</v>
          </cell>
          <cell r="B2228" t="str">
            <v>Long</v>
          </cell>
          <cell r="C2228" t="str">
            <v>2006 - 2019</v>
          </cell>
          <cell r="D2228" t="str">
            <v>avg_1_99</v>
          </cell>
          <cell r="E2228" t="str">
            <v>gdp_for_serv</v>
          </cell>
          <cell r="F2228">
            <v>0.80148184299468994</v>
          </cell>
        </row>
        <row r="2229">
          <cell r="A2229" t="str">
            <v>HND</v>
          </cell>
          <cell r="B2229" t="str">
            <v>Long</v>
          </cell>
          <cell r="C2229" t="str">
            <v>2006 - 2019</v>
          </cell>
          <cell r="D2229" t="str">
            <v>avg_1_99</v>
          </cell>
          <cell r="E2229" t="str">
            <v>gdp_inf_agri</v>
          </cell>
          <cell r="F2229">
            <v>6.0667626559734338E-2</v>
          </cell>
        </row>
        <row r="2230">
          <cell r="A2230" t="str">
            <v>HND</v>
          </cell>
          <cell r="B2230" t="str">
            <v>Long</v>
          </cell>
          <cell r="C2230" t="str">
            <v>2006 - 2019</v>
          </cell>
          <cell r="D2230" t="str">
            <v>avg_1_99</v>
          </cell>
          <cell r="E2230" t="str">
            <v>gdp_inf_ind</v>
          </cell>
          <cell r="F2230">
            <v>0.83545225858688354</v>
          </cell>
        </row>
        <row r="2231">
          <cell r="A2231" t="str">
            <v>HND</v>
          </cell>
          <cell r="B2231" t="str">
            <v>Long</v>
          </cell>
          <cell r="C2231" t="str">
            <v>2006 - 2019</v>
          </cell>
          <cell r="D2231" t="str">
            <v>avg_1_99</v>
          </cell>
          <cell r="E2231" t="str">
            <v>gdp_inf_serv</v>
          </cell>
          <cell r="F2231">
            <v>1.3791476488113401</v>
          </cell>
        </row>
        <row r="2232">
          <cell r="A2232" t="str">
            <v>HND</v>
          </cell>
          <cell r="B2232" t="str">
            <v>Long</v>
          </cell>
          <cell r="C2232" t="str">
            <v>2006 - 2019</v>
          </cell>
          <cell r="D2232" t="str">
            <v>avg_1_99</v>
          </cell>
          <cell r="E2232" t="str">
            <v>prod_for_agri</v>
          </cell>
          <cell r="F2232">
            <v>-9.7996978759765625</v>
          </cell>
        </row>
        <row r="2233">
          <cell r="A2233" t="str">
            <v>HND</v>
          </cell>
          <cell r="B2233" t="str">
            <v>Long</v>
          </cell>
          <cell r="C2233" t="str">
            <v>2006 - 2019</v>
          </cell>
          <cell r="D2233" t="str">
            <v>avg_1_99</v>
          </cell>
          <cell r="E2233" t="str">
            <v>prod_for_ind</v>
          </cell>
          <cell r="F2233">
            <v>5.641664981842041</v>
          </cell>
        </row>
        <row r="2234">
          <cell r="A2234" t="str">
            <v>HND</v>
          </cell>
          <cell r="B2234" t="str">
            <v>Long</v>
          </cell>
          <cell r="C2234" t="str">
            <v>2006 - 2019</v>
          </cell>
          <cell r="D2234" t="str">
            <v>avg_1_99</v>
          </cell>
          <cell r="E2234" t="str">
            <v>prod_for_serv</v>
          </cell>
          <cell r="F2234">
            <v>-1.030040979385376</v>
          </cell>
        </row>
        <row r="2235">
          <cell r="A2235" t="str">
            <v>HND</v>
          </cell>
          <cell r="B2235" t="str">
            <v>Long</v>
          </cell>
          <cell r="C2235" t="str">
            <v>2006 - 2019</v>
          </cell>
          <cell r="D2235" t="str">
            <v>avg_1_99</v>
          </cell>
          <cell r="E2235" t="str">
            <v>prod_inf_agri</v>
          </cell>
          <cell r="F2235">
            <v>0.96045529842376709</v>
          </cell>
        </row>
        <row r="2236">
          <cell r="A2236" t="str">
            <v>HND</v>
          </cell>
          <cell r="B2236" t="str">
            <v>Long</v>
          </cell>
          <cell r="C2236" t="str">
            <v>2006 - 2019</v>
          </cell>
          <cell r="D2236" t="str">
            <v>avg_1_99</v>
          </cell>
          <cell r="E2236" t="str">
            <v>prod_inf_ind</v>
          </cell>
          <cell r="F2236">
            <v>-1.393092155456543</v>
          </cell>
        </row>
        <row r="2237">
          <cell r="A2237" t="str">
            <v>HND</v>
          </cell>
          <cell r="B2237" t="str">
            <v>Long</v>
          </cell>
          <cell r="C2237" t="str">
            <v>2006 - 2019</v>
          </cell>
          <cell r="D2237" t="str">
            <v>avg_1_99</v>
          </cell>
          <cell r="E2237" t="str">
            <v>prod_inf_serv</v>
          </cell>
          <cell r="F2237">
            <v>1.119149327278137</v>
          </cell>
        </row>
        <row r="2238">
          <cell r="A2238" t="str">
            <v>HND</v>
          </cell>
          <cell r="B2238" t="str">
            <v>Long</v>
          </cell>
          <cell r="C2238" t="str">
            <v>2006 - 2019</v>
          </cell>
          <cell r="D2238" t="str">
            <v>avg_1_99_imp</v>
          </cell>
          <cell r="E2238" t="str">
            <v>gdp_activity</v>
          </cell>
          <cell r="F2238">
            <v>0.49780583381652832</v>
          </cell>
        </row>
        <row r="2239">
          <cell r="A2239" t="str">
            <v>HND</v>
          </cell>
          <cell r="B2239" t="str">
            <v>Long</v>
          </cell>
          <cell r="C2239" t="str">
            <v>2006 - 2019</v>
          </cell>
          <cell r="D2239" t="str">
            <v>avg_1_99_imp</v>
          </cell>
          <cell r="E2239" t="str">
            <v>gdp_for_agri</v>
          </cell>
          <cell r="F2239">
            <v>1.11151647567749</v>
          </cell>
        </row>
        <row r="2240">
          <cell r="A2240" t="str">
            <v>HND</v>
          </cell>
          <cell r="B2240" t="str">
            <v>Long</v>
          </cell>
          <cell r="C2240" t="str">
            <v>2006 - 2019</v>
          </cell>
          <cell r="D2240" t="str">
            <v>avg_1_99_imp</v>
          </cell>
          <cell r="E2240" t="str">
            <v>gdp_for_ind</v>
          </cell>
          <cell r="F2240">
            <v>0.72182953357696533</v>
          </cell>
        </row>
        <row r="2241">
          <cell r="A2241" t="str">
            <v>HND</v>
          </cell>
          <cell r="B2241" t="str">
            <v>Long</v>
          </cell>
          <cell r="C2241" t="str">
            <v>2006 - 2019</v>
          </cell>
          <cell r="D2241" t="str">
            <v>avg_1_99_imp</v>
          </cell>
          <cell r="E2241" t="str">
            <v>gdp_for_serv</v>
          </cell>
          <cell r="F2241">
            <v>0.91214144229888916</v>
          </cell>
        </row>
        <row r="2242">
          <cell r="A2242" t="str">
            <v>HND</v>
          </cell>
          <cell r="B2242" t="str">
            <v>Long</v>
          </cell>
          <cell r="C2242" t="str">
            <v>2006 - 2019</v>
          </cell>
          <cell r="D2242" t="str">
            <v>avg_1_99_imp</v>
          </cell>
          <cell r="E2242" t="str">
            <v>gdp_inf_agri</v>
          </cell>
          <cell r="F2242">
            <v>2.3240229114890099E-2</v>
          </cell>
        </row>
        <row r="2243">
          <cell r="A2243" t="str">
            <v>HND</v>
          </cell>
          <cell r="B2243" t="str">
            <v>Long</v>
          </cell>
          <cell r="C2243" t="str">
            <v>2006 - 2019</v>
          </cell>
          <cell r="D2243" t="str">
            <v>avg_1_99_imp</v>
          </cell>
          <cell r="E2243" t="str">
            <v>gdp_inf_ind</v>
          </cell>
          <cell r="F2243">
            <v>0.83649331331253052</v>
          </cell>
        </row>
        <row r="2244">
          <cell r="A2244" t="str">
            <v>HND</v>
          </cell>
          <cell r="B2244" t="str">
            <v>Long</v>
          </cell>
          <cell r="C2244" t="str">
            <v>2006 - 2019</v>
          </cell>
          <cell r="D2244" t="str">
            <v>avg_1_99_imp</v>
          </cell>
          <cell r="E2244" t="str">
            <v>gdp_inf_serv</v>
          </cell>
          <cell r="F2244">
            <v>1.3357372283935549</v>
          </cell>
        </row>
        <row r="2245">
          <cell r="A2245" t="str">
            <v>HND</v>
          </cell>
          <cell r="B2245" t="str">
            <v>Long</v>
          </cell>
          <cell r="C2245" t="str">
            <v>2006 - 2019</v>
          </cell>
          <cell r="D2245" t="str">
            <v>avg_1_99_imp</v>
          </cell>
          <cell r="E2245" t="str">
            <v>prod_for_agri</v>
          </cell>
          <cell r="F2245">
            <v>-2.3294968605041499</v>
          </cell>
        </row>
        <row r="2246">
          <cell r="A2246" t="str">
            <v>HND</v>
          </cell>
          <cell r="B2246" t="str">
            <v>Long</v>
          </cell>
          <cell r="C2246" t="str">
            <v>2006 - 2019</v>
          </cell>
          <cell r="D2246" t="str">
            <v>avg_1_99_imp</v>
          </cell>
          <cell r="E2246" t="str">
            <v>prod_for_ind</v>
          </cell>
          <cell r="F2246">
            <v>0.35331383347511292</v>
          </cell>
        </row>
        <row r="2247">
          <cell r="A2247" t="str">
            <v>HND</v>
          </cell>
          <cell r="B2247" t="str">
            <v>Long</v>
          </cell>
          <cell r="C2247" t="str">
            <v>2006 - 2019</v>
          </cell>
          <cell r="D2247" t="str">
            <v>avg_1_99_imp</v>
          </cell>
          <cell r="E2247" t="str">
            <v>prod_for_serv</v>
          </cell>
          <cell r="F2247">
            <v>-0.1242160573601723</v>
          </cell>
        </row>
        <row r="2248">
          <cell r="A2248" t="str">
            <v>HND</v>
          </cell>
          <cell r="B2248" t="str">
            <v>Long</v>
          </cell>
          <cell r="C2248" t="str">
            <v>2006 - 2019</v>
          </cell>
          <cell r="D2248" t="str">
            <v>avg_1_99_imp</v>
          </cell>
          <cell r="E2248" t="str">
            <v>prod_inf_agri</v>
          </cell>
          <cell r="F2248">
            <v>0.82525175809860229</v>
          </cell>
        </row>
        <row r="2249">
          <cell r="A2249" t="str">
            <v>HND</v>
          </cell>
          <cell r="B2249" t="str">
            <v>Long</v>
          </cell>
          <cell r="C2249" t="str">
            <v>2006 - 2019</v>
          </cell>
          <cell r="D2249" t="str">
            <v>avg_1_99_imp</v>
          </cell>
          <cell r="E2249" t="str">
            <v>prod_inf_ind</v>
          </cell>
          <cell r="F2249">
            <v>-1.276655435562134</v>
          </cell>
        </row>
        <row r="2250">
          <cell r="A2250" t="str">
            <v>HND</v>
          </cell>
          <cell r="B2250" t="str">
            <v>Long</v>
          </cell>
          <cell r="C2250" t="str">
            <v>2006 - 2019</v>
          </cell>
          <cell r="D2250" t="str">
            <v>avg_1_99_imp</v>
          </cell>
          <cell r="E2250" t="str">
            <v>prod_inf_serv</v>
          </cell>
          <cell r="F2250">
            <v>1.096075773239136</v>
          </cell>
        </row>
        <row r="2251">
          <cell r="A2251" t="str">
            <v>HND</v>
          </cell>
          <cell r="B2251" t="str">
            <v>Long</v>
          </cell>
          <cell r="C2251" t="str">
            <v>2006 - 2019</v>
          </cell>
          <cell r="D2251" t="str">
            <v>med_reg</v>
          </cell>
          <cell r="E2251" t="str">
            <v>gdp_activity</v>
          </cell>
          <cell r="F2251">
            <v>0.77619415521621704</v>
          </cell>
        </row>
        <row r="2252">
          <cell r="A2252" t="str">
            <v>HND</v>
          </cell>
          <cell r="B2252" t="str">
            <v>Long</v>
          </cell>
          <cell r="C2252" t="str">
            <v>2006 - 2019</v>
          </cell>
          <cell r="D2252" t="str">
            <v>med_reg</v>
          </cell>
          <cell r="E2252" t="str">
            <v>gdp_for_agri</v>
          </cell>
          <cell r="F2252">
            <v>1.0267360210418699</v>
          </cell>
        </row>
        <row r="2253">
          <cell r="A2253" t="str">
            <v>HND</v>
          </cell>
          <cell r="B2253" t="str">
            <v>Long</v>
          </cell>
          <cell r="C2253" t="str">
            <v>2006 - 2019</v>
          </cell>
          <cell r="D2253" t="str">
            <v>med_reg</v>
          </cell>
          <cell r="E2253" t="str">
            <v>gdp_for_ind</v>
          </cell>
          <cell r="F2253">
            <v>0.92654836177825928</v>
          </cell>
        </row>
        <row r="2254">
          <cell r="A2254" t="str">
            <v>HND</v>
          </cell>
          <cell r="B2254" t="str">
            <v>Long</v>
          </cell>
          <cell r="C2254" t="str">
            <v>2006 - 2019</v>
          </cell>
          <cell r="D2254" t="str">
            <v>med_reg</v>
          </cell>
          <cell r="E2254" t="str">
            <v>gdp_for_serv</v>
          </cell>
          <cell r="F2254">
            <v>0.5790402889251709</v>
          </cell>
        </row>
        <row r="2255">
          <cell r="A2255" t="str">
            <v>HND</v>
          </cell>
          <cell r="B2255" t="str">
            <v>Long</v>
          </cell>
          <cell r="C2255" t="str">
            <v>2006 - 2019</v>
          </cell>
          <cell r="D2255" t="str">
            <v>med_reg</v>
          </cell>
          <cell r="E2255" t="str">
            <v>gdp_inf_agri</v>
          </cell>
          <cell r="F2255">
            <v>0.1085185706615448</v>
          </cell>
        </row>
        <row r="2256">
          <cell r="A2256" t="str">
            <v>HND</v>
          </cell>
          <cell r="B2256" t="str">
            <v>Long</v>
          </cell>
          <cell r="C2256" t="str">
            <v>2006 - 2019</v>
          </cell>
          <cell r="D2256" t="str">
            <v>med_reg</v>
          </cell>
          <cell r="E2256" t="str">
            <v>gdp_inf_ind</v>
          </cell>
          <cell r="F2256">
            <v>1.112722516059875</v>
          </cell>
        </row>
        <row r="2257">
          <cell r="A2257" t="str">
            <v>HND</v>
          </cell>
          <cell r="B2257" t="str">
            <v>Long</v>
          </cell>
          <cell r="C2257" t="str">
            <v>2006 - 2019</v>
          </cell>
          <cell r="D2257" t="str">
            <v>med_reg</v>
          </cell>
          <cell r="E2257" t="str">
            <v>gdp_inf_serv</v>
          </cell>
          <cell r="F2257">
            <v>1.2434642314910891</v>
          </cell>
        </row>
        <row r="2258">
          <cell r="A2258" t="str">
            <v>HND</v>
          </cell>
          <cell r="B2258" t="str">
            <v>Long</v>
          </cell>
          <cell r="C2258" t="str">
            <v>2006 - 2019</v>
          </cell>
          <cell r="D2258" t="str">
            <v>med_reg</v>
          </cell>
          <cell r="E2258" t="str">
            <v>prod_for_agri</v>
          </cell>
          <cell r="F2258">
            <v>-0.16332106292247769</v>
          </cell>
        </row>
        <row r="2259">
          <cell r="A2259" t="str">
            <v>HND</v>
          </cell>
          <cell r="B2259" t="str">
            <v>Long</v>
          </cell>
          <cell r="C2259" t="str">
            <v>2006 - 2019</v>
          </cell>
          <cell r="D2259" t="str">
            <v>med_reg</v>
          </cell>
          <cell r="E2259" t="str">
            <v>prod_for_ind</v>
          </cell>
          <cell r="F2259">
            <v>-6.334686279296875E-2</v>
          </cell>
        </row>
        <row r="2260">
          <cell r="A2260" t="str">
            <v>HND</v>
          </cell>
          <cell r="B2260" t="str">
            <v>Long</v>
          </cell>
          <cell r="C2260" t="str">
            <v>2006 - 2019</v>
          </cell>
          <cell r="D2260" t="str">
            <v>med_reg</v>
          </cell>
          <cell r="E2260" t="str">
            <v>prod_for_serv</v>
          </cell>
          <cell r="F2260">
            <v>0.24857074022293091</v>
          </cell>
        </row>
        <row r="2261">
          <cell r="A2261" t="str">
            <v>HND</v>
          </cell>
          <cell r="B2261" t="str">
            <v>Long</v>
          </cell>
          <cell r="C2261" t="str">
            <v>2006 - 2019</v>
          </cell>
          <cell r="D2261" t="str">
            <v>med_reg</v>
          </cell>
          <cell r="E2261" t="str">
            <v>prod_inf_agri</v>
          </cell>
          <cell r="F2261">
            <v>-0.89522761106491089</v>
          </cell>
        </row>
        <row r="2262">
          <cell r="A2262" t="str">
            <v>HND</v>
          </cell>
          <cell r="B2262" t="str">
            <v>Long</v>
          </cell>
          <cell r="C2262" t="str">
            <v>2006 - 2019</v>
          </cell>
          <cell r="D2262" t="str">
            <v>med_reg</v>
          </cell>
          <cell r="E2262" t="str">
            <v>prod_inf_ind</v>
          </cell>
          <cell r="F2262">
            <v>2.1236588954925542</v>
          </cell>
        </row>
        <row r="2263">
          <cell r="A2263" t="str">
            <v>HND</v>
          </cell>
          <cell r="B2263" t="str">
            <v>Long</v>
          </cell>
          <cell r="C2263" t="str">
            <v>2006 - 2019</v>
          </cell>
          <cell r="D2263" t="str">
            <v>med_reg</v>
          </cell>
          <cell r="E2263" t="str">
            <v>prod_inf_serv</v>
          </cell>
          <cell r="F2263">
            <v>0.92155879735946655</v>
          </cell>
        </row>
        <row r="2264">
          <cell r="A2264" t="str">
            <v>HND</v>
          </cell>
          <cell r="B2264" t="str">
            <v>Long</v>
          </cell>
          <cell r="C2264" t="str">
            <v>2006 - 2019</v>
          </cell>
          <cell r="D2264" t="str">
            <v>reg</v>
          </cell>
          <cell r="E2264" t="str">
            <v>gdp_activity</v>
          </cell>
          <cell r="F2264">
            <v>0.85317349433898926</v>
          </cell>
        </row>
        <row r="2265">
          <cell r="A2265" t="str">
            <v>HND</v>
          </cell>
          <cell r="B2265" t="str">
            <v>Long</v>
          </cell>
          <cell r="C2265" t="str">
            <v>2006 - 2019</v>
          </cell>
          <cell r="D2265" t="str">
            <v>reg</v>
          </cell>
          <cell r="E2265" t="str">
            <v>gdp_for_agri</v>
          </cell>
          <cell r="F2265">
            <v>1.0660103559494021</v>
          </cell>
        </row>
        <row r="2266">
          <cell r="A2266" t="str">
            <v>HND</v>
          </cell>
          <cell r="B2266" t="str">
            <v>Long</v>
          </cell>
          <cell r="C2266" t="str">
            <v>2006 - 2019</v>
          </cell>
          <cell r="D2266" t="str">
            <v>reg</v>
          </cell>
          <cell r="E2266" t="str">
            <v>gdp_for_ind</v>
          </cell>
          <cell r="F2266">
            <v>1.090876460075378</v>
          </cell>
        </row>
        <row r="2267">
          <cell r="A2267" t="str">
            <v>HND</v>
          </cell>
          <cell r="B2267" t="str">
            <v>Long</v>
          </cell>
          <cell r="C2267" t="str">
            <v>2006 - 2019</v>
          </cell>
          <cell r="D2267" t="str">
            <v>reg</v>
          </cell>
          <cell r="E2267" t="str">
            <v>gdp_for_serv</v>
          </cell>
          <cell r="F2267">
            <v>0.55140775442123413</v>
          </cell>
        </row>
        <row r="2268">
          <cell r="A2268" t="str">
            <v>HND</v>
          </cell>
          <cell r="B2268" t="str">
            <v>Long</v>
          </cell>
          <cell r="C2268" t="str">
            <v>2006 - 2019</v>
          </cell>
          <cell r="D2268" t="str">
            <v>reg</v>
          </cell>
          <cell r="E2268" t="str">
            <v>gdp_inf_agri</v>
          </cell>
          <cell r="F2268">
            <v>8.1781283020973206E-2</v>
          </cell>
        </row>
        <row r="2269">
          <cell r="A2269" t="str">
            <v>HND</v>
          </cell>
          <cell r="B2269" t="str">
            <v>Long</v>
          </cell>
          <cell r="C2269" t="str">
            <v>2006 - 2019</v>
          </cell>
          <cell r="D2269" t="str">
            <v>reg</v>
          </cell>
          <cell r="E2269" t="str">
            <v>gdp_inf_ind</v>
          </cell>
          <cell r="F2269">
            <v>1.029390692710876</v>
          </cell>
        </row>
        <row r="2270">
          <cell r="A2270" t="str">
            <v>HND</v>
          </cell>
          <cell r="B2270" t="str">
            <v>Long</v>
          </cell>
          <cell r="C2270" t="str">
            <v>2006 - 2019</v>
          </cell>
          <cell r="D2270" t="str">
            <v>reg</v>
          </cell>
          <cell r="E2270" t="str">
            <v>gdp_inf_serv</v>
          </cell>
          <cell r="F2270">
            <v>1.2419395446777339</v>
          </cell>
        </row>
        <row r="2271">
          <cell r="A2271" t="str">
            <v>HND</v>
          </cell>
          <cell r="B2271" t="str">
            <v>Long</v>
          </cell>
          <cell r="C2271" t="str">
            <v>2006 - 2019</v>
          </cell>
          <cell r="D2271" t="str">
            <v>reg</v>
          </cell>
          <cell r="E2271" t="str">
            <v>prod_for_agri</v>
          </cell>
          <cell r="F2271">
            <v>-0.45094296336174011</v>
          </cell>
        </row>
        <row r="2272">
          <cell r="A2272" t="str">
            <v>HND</v>
          </cell>
          <cell r="B2272" t="str">
            <v>Long</v>
          </cell>
          <cell r="C2272" t="str">
            <v>2006 - 2019</v>
          </cell>
          <cell r="D2272" t="str">
            <v>reg</v>
          </cell>
          <cell r="E2272" t="str">
            <v>prod_for_ind</v>
          </cell>
          <cell r="F2272">
            <v>0.46469703316688538</v>
          </cell>
        </row>
        <row r="2273">
          <cell r="A2273" t="str">
            <v>HND</v>
          </cell>
          <cell r="B2273" t="str">
            <v>Long</v>
          </cell>
          <cell r="C2273" t="str">
            <v>2006 - 2019</v>
          </cell>
          <cell r="D2273" t="str">
            <v>reg</v>
          </cell>
          <cell r="E2273" t="str">
            <v>prod_for_serv</v>
          </cell>
          <cell r="F2273">
            <v>-7.7056653797626495E-2</v>
          </cell>
        </row>
        <row r="2274">
          <cell r="A2274" t="str">
            <v>HND</v>
          </cell>
          <cell r="B2274" t="str">
            <v>Long</v>
          </cell>
          <cell r="C2274" t="str">
            <v>2006 - 2019</v>
          </cell>
          <cell r="D2274" t="str">
            <v>reg</v>
          </cell>
          <cell r="E2274" t="str">
            <v>prod_inf_agri</v>
          </cell>
          <cell r="F2274">
            <v>-0.99126076698303223</v>
          </cell>
        </row>
        <row r="2275">
          <cell r="A2275" t="str">
            <v>HND</v>
          </cell>
          <cell r="B2275" t="str">
            <v>Long</v>
          </cell>
          <cell r="C2275" t="str">
            <v>2006 - 2019</v>
          </cell>
          <cell r="D2275" t="str">
            <v>reg</v>
          </cell>
          <cell r="E2275" t="str">
            <v>prod_inf_ind</v>
          </cell>
          <cell r="F2275">
            <v>0.38518095016479492</v>
          </cell>
        </row>
        <row r="2276">
          <cell r="A2276" t="str">
            <v>HND</v>
          </cell>
          <cell r="B2276" t="str">
            <v>Long</v>
          </cell>
          <cell r="C2276" t="str">
            <v>2006 - 2019</v>
          </cell>
          <cell r="D2276" t="str">
            <v>reg</v>
          </cell>
          <cell r="E2276" t="str">
            <v>prod_inf_serv</v>
          </cell>
          <cell r="F2276">
            <v>2.1037929058074951</v>
          </cell>
        </row>
        <row r="2277">
          <cell r="A2277" t="str">
            <v>HND</v>
          </cell>
          <cell r="B2277" t="str">
            <v>Long</v>
          </cell>
          <cell r="C2277" t="str">
            <v>2006 - 2019</v>
          </cell>
          <cell r="D2277" t="str">
            <v>reg_gdp</v>
          </cell>
          <cell r="E2277" t="str">
            <v>gdp_activity</v>
          </cell>
          <cell r="F2277">
            <v>0.85317349433898926</v>
          </cell>
        </row>
        <row r="2278">
          <cell r="A2278" t="str">
            <v>HND</v>
          </cell>
          <cell r="B2278" t="str">
            <v>Long</v>
          </cell>
          <cell r="C2278" t="str">
            <v>2006 - 2019</v>
          </cell>
          <cell r="D2278" t="str">
            <v>reg_gdp</v>
          </cell>
          <cell r="E2278" t="str">
            <v>gdp_for_agri</v>
          </cell>
          <cell r="F2278">
            <v>-1.9576209783554079</v>
          </cell>
        </row>
        <row r="2279">
          <cell r="A2279" t="str">
            <v>HND</v>
          </cell>
          <cell r="B2279" t="str">
            <v>Long</v>
          </cell>
          <cell r="C2279" t="str">
            <v>2006 - 2019</v>
          </cell>
          <cell r="D2279" t="str">
            <v>reg_gdp</v>
          </cell>
          <cell r="E2279" t="str">
            <v>gdp_for_ind</v>
          </cell>
          <cell r="F2279">
            <v>2.1845278739929199</v>
          </cell>
        </row>
        <row r="2280">
          <cell r="A2280" t="str">
            <v>HND</v>
          </cell>
          <cell r="B2280" t="str">
            <v>Long</v>
          </cell>
          <cell r="C2280" t="str">
            <v>2006 - 2019</v>
          </cell>
          <cell r="D2280" t="str">
            <v>reg_gdp</v>
          </cell>
          <cell r="E2280" t="str">
            <v>gdp_for_serv</v>
          </cell>
          <cell r="F2280">
            <v>2.1241292953491211</v>
          </cell>
        </row>
        <row r="2281">
          <cell r="A2281" t="str">
            <v>HND</v>
          </cell>
          <cell r="B2281" t="str">
            <v>Long</v>
          </cell>
          <cell r="C2281" t="str">
            <v>2006 - 2019</v>
          </cell>
          <cell r="D2281" t="str">
            <v>reg_gdp</v>
          </cell>
          <cell r="E2281" t="str">
            <v>gdp_inf_agri</v>
          </cell>
          <cell r="F2281">
            <v>0.92453563213348389</v>
          </cell>
        </row>
        <row r="2282">
          <cell r="A2282" t="str">
            <v>HND</v>
          </cell>
          <cell r="B2282" t="str">
            <v>Long</v>
          </cell>
          <cell r="C2282" t="str">
            <v>2006 - 2019</v>
          </cell>
          <cell r="D2282" t="str">
            <v>reg_gdp</v>
          </cell>
          <cell r="E2282" t="str">
            <v>gdp_inf_ind</v>
          </cell>
          <cell r="F2282">
            <v>0.23984529078006739</v>
          </cell>
        </row>
        <row r="2283">
          <cell r="A2283" t="str">
            <v>HND</v>
          </cell>
          <cell r="B2283" t="str">
            <v>Long</v>
          </cell>
          <cell r="C2283" t="str">
            <v>2006 - 2019</v>
          </cell>
          <cell r="D2283" t="str">
            <v>reg_gdp</v>
          </cell>
          <cell r="E2283" t="str">
            <v>gdp_inf_serv</v>
          </cell>
          <cell r="F2283">
            <v>1.282995939254761</v>
          </cell>
        </row>
        <row r="2284">
          <cell r="A2284" t="str">
            <v>HND</v>
          </cell>
          <cell r="B2284" t="str">
            <v>Long</v>
          </cell>
          <cell r="C2284" t="str">
            <v>2006 - 2019</v>
          </cell>
          <cell r="D2284" t="str">
            <v>reg_gdp</v>
          </cell>
          <cell r="E2284" t="str">
            <v>prod_for_agri</v>
          </cell>
          <cell r="F2284">
            <v>-1.512370705604553</v>
          </cell>
        </row>
        <row r="2285">
          <cell r="A2285" t="str">
            <v>HND</v>
          </cell>
          <cell r="B2285" t="str">
            <v>Long</v>
          </cell>
          <cell r="C2285" t="str">
            <v>2006 - 2019</v>
          </cell>
          <cell r="D2285" t="str">
            <v>reg_gdp</v>
          </cell>
          <cell r="E2285" t="str">
            <v>prod_for_ind</v>
          </cell>
          <cell r="F2285">
            <v>0.56881332397460938</v>
          </cell>
        </row>
        <row r="2286">
          <cell r="A2286" t="str">
            <v>HND</v>
          </cell>
          <cell r="B2286" t="str">
            <v>Long</v>
          </cell>
          <cell r="C2286" t="str">
            <v>2006 - 2019</v>
          </cell>
          <cell r="D2286" t="str">
            <v>reg_gdp</v>
          </cell>
          <cell r="E2286" t="str">
            <v>prod_for_serv</v>
          </cell>
          <cell r="F2286">
            <v>-9.5806442201137543E-2</v>
          </cell>
        </row>
        <row r="2287">
          <cell r="A2287" t="str">
            <v>HND</v>
          </cell>
          <cell r="B2287" t="str">
            <v>Long</v>
          </cell>
          <cell r="C2287" t="str">
            <v>2006 - 2019</v>
          </cell>
          <cell r="D2287" t="str">
            <v>reg_gdp</v>
          </cell>
          <cell r="E2287" t="str">
            <v>prod_inf_agri</v>
          </cell>
          <cell r="F2287">
            <v>-0.40627267956733698</v>
          </cell>
        </row>
        <row r="2288">
          <cell r="A2288" t="str">
            <v>HND</v>
          </cell>
          <cell r="B2288" t="str">
            <v>Long</v>
          </cell>
          <cell r="C2288" t="str">
            <v>2006 - 2019</v>
          </cell>
          <cell r="D2288" t="str">
            <v>reg_gdp</v>
          </cell>
          <cell r="E2288" t="str">
            <v>prod_inf_ind</v>
          </cell>
          <cell r="F2288">
            <v>-0.40224677324295038</v>
          </cell>
        </row>
        <row r="2289">
          <cell r="A2289" t="str">
            <v>HND</v>
          </cell>
          <cell r="B2289" t="str">
            <v>Long</v>
          </cell>
          <cell r="C2289" t="str">
            <v>2006 - 2019</v>
          </cell>
          <cell r="D2289" t="str">
            <v>reg_gdp</v>
          </cell>
          <cell r="E2289" t="str">
            <v>prod_inf_serv</v>
          </cell>
          <cell r="F2289">
            <v>1.0110899209976201</v>
          </cell>
        </row>
        <row r="2290">
          <cell r="A2290" t="str">
            <v>HND</v>
          </cell>
          <cell r="B2290" t="str">
            <v>Long</v>
          </cell>
          <cell r="C2290" t="str">
            <v>2006 - 2019</v>
          </cell>
          <cell r="D2290" t="str">
            <v>reg_iter</v>
          </cell>
          <cell r="E2290" t="str">
            <v>gdp_activity</v>
          </cell>
          <cell r="F2290">
            <v>0.78138595819473267</v>
          </cell>
        </row>
        <row r="2291">
          <cell r="A2291" t="str">
            <v>HND</v>
          </cell>
          <cell r="B2291" t="str">
            <v>Long</v>
          </cell>
          <cell r="C2291" t="str">
            <v>2006 - 2019</v>
          </cell>
          <cell r="D2291" t="str">
            <v>reg_iter</v>
          </cell>
          <cell r="E2291" t="str">
            <v>gdp_for_agri</v>
          </cell>
          <cell r="F2291">
            <v>1.627821087837219</v>
          </cell>
        </row>
        <row r="2292">
          <cell r="A2292" t="str">
            <v>HND</v>
          </cell>
          <cell r="B2292" t="str">
            <v>Long</v>
          </cell>
          <cell r="C2292" t="str">
            <v>2006 - 2019</v>
          </cell>
          <cell r="D2292" t="str">
            <v>reg_iter</v>
          </cell>
          <cell r="E2292" t="str">
            <v>gdp_for_ind</v>
          </cell>
          <cell r="F2292">
            <v>1.8406540155410771</v>
          </cell>
        </row>
        <row r="2293">
          <cell r="A2293" t="str">
            <v>HND</v>
          </cell>
          <cell r="B2293" t="str">
            <v>Long</v>
          </cell>
          <cell r="C2293" t="str">
            <v>2006 - 2019</v>
          </cell>
          <cell r="D2293" t="str">
            <v>reg_iter</v>
          </cell>
          <cell r="E2293" t="str">
            <v>gdp_for_serv</v>
          </cell>
          <cell r="F2293">
            <v>0.77193427085876465</v>
          </cell>
        </row>
        <row r="2294">
          <cell r="A2294" t="str">
            <v>HND</v>
          </cell>
          <cell r="B2294" t="str">
            <v>Long</v>
          </cell>
          <cell r="C2294" t="str">
            <v>2006 - 2019</v>
          </cell>
          <cell r="D2294" t="str">
            <v>reg_iter</v>
          </cell>
          <cell r="E2294" t="str">
            <v>gdp_inf_agri</v>
          </cell>
          <cell r="F2294">
            <v>-0.2379588782787323</v>
          </cell>
        </row>
        <row r="2295">
          <cell r="A2295" t="str">
            <v>HND</v>
          </cell>
          <cell r="B2295" t="str">
            <v>Long</v>
          </cell>
          <cell r="C2295" t="str">
            <v>2006 - 2019</v>
          </cell>
          <cell r="D2295" t="str">
            <v>reg_iter</v>
          </cell>
          <cell r="E2295" t="str">
            <v>gdp_inf_ind</v>
          </cell>
          <cell r="F2295">
            <v>0.87011998891830444</v>
          </cell>
        </row>
        <row r="2296">
          <cell r="A2296" t="str">
            <v>HND</v>
          </cell>
          <cell r="B2296" t="str">
            <v>Long</v>
          </cell>
          <cell r="C2296" t="str">
            <v>2006 - 2019</v>
          </cell>
          <cell r="D2296" t="str">
            <v>reg_iter</v>
          </cell>
          <cell r="E2296" t="str">
            <v>gdp_inf_serv</v>
          </cell>
          <cell r="F2296">
            <v>1.198522210121155</v>
          </cell>
        </row>
        <row r="2297">
          <cell r="A2297" t="str">
            <v>HND</v>
          </cell>
          <cell r="B2297" t="str">
            <v>Long</v>
          </cell>
          <cell r="C2297" t="str">
            <v>2006 - 2019</v>
          </cell>
          <cell r="D2297" t="str">
            <v>reg_iter</v>
          </cell>
          <cell r="E2297" t="str">
            <v>prod_for_agri</v>
          </cell>
          <cell r="F2297">
            <v>-0.72372925281524658</v>
          </cell>
        </row>
        <row r="2298">
          <cell r="A2298" t="str">
            <v>HND</v>
          </cell>
          <cell r="B2298" t="str">
            <v>Long</v>
          </cell>
          <cell r="C2298" t="str">
            <v>2006 - 2019</v>
          </cell>
          <cell r="D2298" t="str">
            <v>reg_iter</v>
          </cell>
          <cell r="E2298" t="str">
            <v>prod_for_ind</v>
          </cell>
          <cell r="F2298">
            <v>0.22070355713367459</v>
          </cell>
        </row>
        <row r="2299">
          <cell r="A2299" t="str">
            <v>HND</v>
          </cell>
          <cell r="B2299" t="str">
            <v>Long</v>
          </cell>
          <cell r="C2299" t="str">
            <v>2006 - 2019</v>
          </cell>
          <cell r="D2299" t="str">
            <v>reg_iter</v>
          </cell>
          <cell r="E2299" t="str">
            <v>prod_for_serv</v>
          </cell>
          <cell r="F2299">
            <v>-6.2083728611469269E-2</v>
          </cell>
        </row>
        <row r="2300">
          <cell r="A2300" t="str">
            <v>HND</v>
          </cell>
          <cell r="B2300" t="str">
            <v>Long</v>
          </cell>
          <cell r="C2300" t="str">
            <v>2006 - 2019</v>
          </cell>
          <cell r="D2300" t="str">
            <v>reg_iter</v>
          </cell>
          <cell r="E2300" t="str">
            <v>prod_inf_agri</v>
          </cell>
          <cell r="F2300">
            <v>-0.91394263505935669</v>
          </cell>
        </row>
        <row r="2301">
          <cell r="A2301" t="str">
            <v>HND</v>
          </cell>
          <cell r="B2301" t="str">
            <v>Long</v>
          </cell>
          <cell r="C2301" t="str">
            <v>2006 - 2019</v>
          </cell>
          <cell r="D2301" t="str">
            <v>reg_iter</v>
          </cell>
          <cell r="E2301" t="str">
            <v>prod_inf_ind</v>
          </cell>
          <cell r="F2301">
            <v>1.148490190505981</v>
          </cell>
        </row>
        <row r="2302">
          <cell r="A2302" t="str">
            <v>HND</v>
          </cell>
          <cell r="B2302" t="str">
            <v>Long</v>
          </cell>
          <cell r="C2302" t="str">
            <v>2006 - 2019</v>
          </cell>
          <cell r="D2302" t="str">
            <v>reg_iter</v>
          </cell>
          <cell r="E2302" t="str">
            <v>prod_inf_serv</v>
          </cell>
          <cell r="F2302">
            <v>1.75859010219574</v>
          </cell>
        </row>
        <row r="2303">
          <cell r="A2303" t="str">
            <v>HND</v>
          </cell>
          <cell r="B2303" t="str">
            <v>Middle</v>
          </cell>
          <cell r="C2303" t="str">
            <v>2015 - 2019</v>
          </cell>
          <cell r="D2303" t="str">
            <v>avg</v>
          </cell>
          <cell r="E2303" t="str">
            <v>gdp_activity</v>
          </cell>
          <cell r="F2303">
            <v>0.56960880756378174</v>
          </cell>
        </row>
        <row r="2304">
          <cell r="A2304" t="str">
            <v>HND</v>
          </cell>
          <cell r="B2304" t="str">
            <v>Middle</v>
          </cell>
          <cell r="C2304" t="str">
            <v>2015 - 2019</v>
          </cell>
          <cell r="D2304" t="str">
            <v>avg</v>
          </cell>
          <cell r="E2304" t="str">
            <v>gdp_for_agri</v>
          </cell>
          <cell r="F2304">
            <v>2.7498843669891362</v>
          </cell>
        </row>
        <row r="2305">
          <cell r="A2305" t="str">
            <v>HND</v>
          </cell>
          <cell r="B2305" t="str">
            <v>Middle</v>
          </cell>
          <cell r="C2305" t="str">
            <v>2015 - 2019</v>
          </cell>
          <cell r="D2305" t="str">
            <v>avg</v>
          </cell>
          <cell r="E2305" t="str">
            <v>gdp_for_ind</v>
          </cell>
          <cell r="F2305">
            <v>0.38259947299957281</v>
          </cell>
        </row>
        <row r="2306">
          <cell r="A2306" t="str">
            <v>HND</v>
          </cell>
          <cell r="B2306" t="str">
            <v>Middle</v>
          </cell>
          <cell r="C2306" t="str">
            <v>2015 - 2019</v>
          </cell>
          <cell r="D2306" t="str">
            <v>avg</v>
          </cell>
          <cell r="E2306" t="str">
            <v>gdp_for_serv</v>
          </cell>
          <cell r="F2306">
            <v>0.25758394598960882</v>
          </cell>
        </row>
        <row r="2307">
          <cell r="A2307" t="str">
            <v>HND</v>
          </cell>
          <cell r="B2307" t="str">
            <v>Middle</v>
          </cell>
          <cell r="C2307" t="str">
            <v>2015 - 2019</v>
          </cell>
          <cell r="D2307" t="str">
            <v>avg</v>
          </cell>
          <cell r="E2307" t="str">
            <v>gdp_inf_agri</v>
          </cell>
          <cell r="F2307">
            <v>1.914789199829102</v>
          </cell>
        </row>
        <row r="2308">
          <cell r="A2308" t="str">
            <v>HND</v>
          </cell>
          <cell r="B2308" t="str">
            <v>Middle</v>
          </cell>
          <cell r="C2308" t="str">
            <v>2015 - 2019</v>
          </cell>
          <cell r="D2308" t="str">
            <v>avg</v>
          </cell>
          <cell r="E2308" t="str">
            <v>gdp_inf_ind</v>
          </cell>
          <cell r="F2308">
            <v>1.0181165933609011</v>
          </cell>
        </row>
        <row r="2309">
          <cell r="A2309" t="str">
            <v>HND</v>
          </cell>
          <cell r="B2309" t="str">
            <v>Middle</v>
          </cell>
          <cell r="C2309" t="str">
            <v>2015 - 2019</v>
          </cell>
          <cell r="D2309" t="str">
            <v>avg</v>
          </cell>
          <cell r="E2309" t="str">
            <v>gdp_inf_serv</v>
          </cell>
          <cell r="F2309">
            <v>1.3136112689971919</v>
          </cell>
        </row>
        <row r="2310">
          <cell r="A2310" t="str">
            <v>HND</v>
          </cell>
          <cell r="B2310" t="str">
            <v>Middle</v>
          </cell>
          <cell r="C2310" t="str">
            <v>2015 - 2019</v>
          </cell>
          <cell r="D2310" t="str">
            <v>avg</v>
          </cell>
          <cell r="E2310" t="str">
            <v>prod_for_agri</v>
          </cell>
          <cell r="F2310">
            <v>-31.76740646362305</v>
          </cell>
        </row>
        <row r="2311">
          <cell r="A2311" t="str">
            <v>HND</v>
          </cell>
          <cell r="B2311" t="str">
            <v>Middle</v>
          </cell>
          <cell r="C2311" t="str">
            <v>2015 - 2019</v>
          </cell>
          <cell r="D2311" t="str">
            <v>avg</v>
          </cell>
          <cell r="E2311" t="str">
            <v>prod_for_ind</v>
          </cell>
          <cell r="F2311">
            <v>59.289390563964837</v>
          </cell>
        </row>
        <row r="2312">
          <cell r="A2312" t="str">
            <v>HND</v>
          </cell>
          <cell r="B2312" t="str">
            <v>Middle</v>
          </cell>
          <cell r="C2312" t="str">
            <v>2015 - 2019</v>
          </cell>
          <cell r="D2312" t="str">
            <v>avg</v>
          </cell>
          <cell r="E2312" t="str">
            <v>prod_for_serv</v>
          </cell>
          <cell r="F2312">
            <v>-0.27699562907218928</v>
          </cell>
        </row>
        <row r="2313">
          <cell r="A2313" t="str">
            <v>HND</v>
          </cell>
          <cell r="B2313" t="str">
            <v>Middle</v>
          </cell>
          <cell r="C2313" t="str">
            <v>2015 - 2019</v>
          </cell>
          <cell r="D2313" t="str">
            <v>avg</v>
          </cell>
          <cell r="E2313" t="str">
            <v>prod_inf_agri</v>
          </cell>
          <cell r="F2313">
            <v>8.5512762069702148</v>
          </cell>
        </row>
        <row r="2314">
          <cell r="A2314" t="str">
            <v>HND</v>
          </cell>
          <cell r="B2314" t="str">
            <v>Middle</v>
          </cell>
          <cell r="C2314" t="str">
            <v>2015 - 2019</v>
          </cell>
          <cell r="D2314" t="str">
            <v>avg</v>
          </cell>
          <cell r="E2314" t="str">
            <v>prod_inf_ind</v>
          </cell>
          <cell r="F2314">
            <v>-28.411813735961911</v>
          </cell>
        </row>
        <row r="2315">
          <cell r="A2315" t="str">
            <v>HND</v>
          </cell>
          <cell r="B2315" t="str">
            <v>Middle</v>
          </cell>
          <cell r="C2315" t="str">
            <v>2015 - 2019</v>
          </cell>
          <cell r="D2315" t="str">
            <v>avg</v>
          </cell>
          <cell r="E2315" t="str">
            <v>prod_inf_serv</v>
          </cell>
          <cell r="F2315">
            <v>3.6548376083374019E-3</v>
          </cell>
        </row>
        <row r="2316">
          <cell r="A2316" t="str">
            <v>HND</v>
          </cell>
          <cell r="B2316" t="str">
            <v>Middle</v>
          </cell>
          <cell r="C2316" t="str">
            <v>2015 - 2019</v>
          </cell>
          <cell r="D2316" t="str">
            <v>avg_1_99</v>
          </cell>
          <cell r="E2316" t="str">
            <v>gdp_activity</v>
          </cell>
          <cell r="F2316">
            <v>0.56960880756378174</v>
          </cell>
        </row>
        <row r="2317">
          <cell r="A2317" t="str">
            <v>HND</v>
          </cell>
          <cell r="B2317" t="str">
            <v>Middle</v>
          </cell>
          <cell r="C2317" t="str">
            <v>2015 - 2019</v>
          </cell>
          <cell r="D2317" t="str">
            <v>avg_1_99</v>
          </cell>
          <cell r="E2317" t="str">
            <v>gdp_for_agri</v>
          </cell>
          <cell r="F2317">
            <v>2.7498843669891362</v>
          </cell>
        </row>
        <row r="2318">
          <cell r="A2318" t="str">
            <v>HND</v>
          </cell>
          <cell r="B2318" t="str">
            <v>Middle</v>
          </cell>
          <cell r="C2318" t="str">
            <v>2015 - 2019</v>
          </cell>
          <cell r="D2318" t="str">
            <v>avg_1_99</v>
          </cell>
          <cell r="E2318" t="str">
            <v>gdp_for_ind</v>
          </cell>
          <cell r="F2318">
            <v>0.38259947299957281</v>
          </cell>
        </row>
        <row r="2319">
          <cell r="A2319" t="str">
            <v>HND</v>
          </cell>
          <cell r="B2319" t="str">
            <v>Middle</v>
          </cell>
          <cell r="C2319" t="str">
            <v>2015 - 2019</v>
          </cell>
          <cell r="D2319" t="str">
            <v>avg_1_99</v>
          </cell>
          <cell r="E2319" t="str">
            <v>gdp_for_serv</v>
          </cell>
          <cell r="F2319">
            <v>0.96706759929656982</v>
          </cell>
        </row>
        <row r="2320">
          <cell r="A2320" t="str">
            <v>HND</v>
          </cell>
          <cell r="B2320" t="str">
            <v>Middle</v>
          </cell>
          <cell r="C2320" t="str">
            <v>2015 - 2019</v>
          </cell>
          <cell r="D2320" t="str">
            <v>avg_1_99</v>
          </cell>
          <cell r="E2320" t="str">
            <v>gdp_inf_agri</v>
          </cell>
          <cell r="F2320">
            <v>0.17787736654281619</v>
          </cell>
        </row>
        <row r="2321">
          <cell r="A2321" t="str">
            <v>HND</v>
          </cell>
          <cell r="B2321" t="str">
            <v>Middle</v>
          </cell>
          <cell r="C2321" t="str">
            <v>2015 - 2019</v>
          </cell>
          <cell r="D2321" t="str">
            <v>avg_1_99</v>
          </cell>
          <cell r="E2321" t="str">
            <v>gdp_inf_ind</v>
          </cell>
          <cell r="F2321">
            <v>1.0181165933609011</v>
          </cell>
        </row>
        <row r="2322">
          <cell r="A2322" t="str">
            <v>HND</v>
          </cell>
          <cell r="B2322" t="str">
            <v>Middle</v>
          </cell>
          <cell r="C2322" t="str">
            <v>2015 - 2019</v>
          </cell>
          <cell r="D2322" t="str">
            <v>avg_1_99</v>
          </cell>
          <cell r="E2322" t="str">
            <v>gdp_inf_serv</v>
          </cell>
          <cell r="F2322">
            <v>1.9414457082748411</v>
          </cell>
        </row>
        <row r="2323">
          <cell r="A2323" t="str">
            <v>HND</v>
          </cell>
          <cell r="B2323" t="str">
            <v>Middle</v>
          </cell>
          <cell r="C2323" t="str">
            <v>2015 - 2019</v>
          </cell>
          <cell r="D2323" t="str">
            <v>avg_1_99</v>
          </cell>
          <cell r="E2323" t="str">
            <v>prod_for_agri</v>
          </cell>
          <cell r="F2323">
            <v>-18.983926773071289</v>
          </cell>
        </row>
        <row r="2324">
          <cell r="A2324" t="str">
            <v>HND</v>
          </cell>
          <cell r="B2324" t="str">
            <v>Middle</v>
          </cell>
          <cell r="C2324" t="str">
            <v>2015 - 2019</v>
          </cell>
          <cell r="D2324" t="str">
            <v>avg_1_99</v>
          </cell>
          <cell r="E2324" t="str">
            <v>prod_for_ind</v>
          </cell>
          <cell r="F2324">
            <v>2.3423364162445068</v>
          </cell>
        </row>
        <row r="2325">
          <cell r="A2325" t="str">
            <v>HND</v>
          </cell>
          <cell r="B2325" t="str">
            <v>Middle</v>
          </cell>
          <cell r="C2325" t="str">
            <v>2015 - 2019</v>
          </cell>
          <cell r="D2325" t="str">
            <v>avg_1_99</v>
          </cell>
          <cell r="E2325" t="str">
            <v>prod_for_serv</v>
          </cell>
          <cell r="F2325">
            <v>-0.27699562907218928</v>
          </cell>
        </row>
        <row r="2326">
          <cell r="A2326" t="str">
            <v>HND</v>
          </cell>
          <cell r="B2326" t="str">
            <v>Middle</v>
          </cell>
          <cell r="C2326" t="str">
            <v>2015 - 2019</v>
          </cell>
          <cell r="D2326" t="str">
            <v>avg_1_99</v>
          </cell>
          <cell r="E2326" t="str">
            <v>prod_inf_agri</v>
          </cell>
          <cell r="F2326">
            <v>0.48176628351211548</v>
          </cell>
        </row>
        <row r="2327">
          <cell r="A2327" t="str">
            <v>HND</v>
          </cell>
          <cell r="B2327" t="str">
            <v>Middle</v>
          </cell>
          <cell r="C2327" t="str">
            <v>2015 - 2019</v>
          </cell>
          <cell r="D2327" t="str">
            <v>avg_1_99</v>
          </cell>
          <cell r="E2327" t="str">
            <v>prod_inf_ind</v>
          </cell>
          <cell r="F2327">
            <v>-0.71716415882110596</v>
          </cell>
        </row>
        <row r="2328">
          <cell r="A2328" t="str">
            <v>HND</v>
          </cell>
          <cell r="B2328" t="str">
            <v>Middle</v>
          </cell>
          <cell r="C2328" t="str">
            <v>2015 - 2019</v>
          </cell>
          <cell r="D2328" t="str">
            <v>avg_1_99</v>
          </cell>
          <cell r="E2328" t="str">
            <v>prod_inf_serv</v>
          </cell>
          <cell r="F2328">
            <v>1.599576950073242</v>
          </cell>
        </row>
        <row r="2329">
          <cell r="A2329" t="str">
            <v>HND</v>
          </cell>
          <cell r="B2329" t="str">
            <v>Middle</v>
          </cell>
          <cell r="C2329" t="str">
            <v>2015 - 2019</v>
          </cell>
          <cell r="D2329" t="str">
            <v>avg_1_99_imp</v>
          </cell>
          <cell r="E2329" t="str">
            <v>gdp_activity</v>
          </cell>
          <cell r="F2329">
            <v>0.56960880756378174</v>
          </cell>
        </row>
        <row r="2330">
          <cell r="A2330" t="str">
            <v>HND</v>
          </cell>
          <cell r="B2330" t="str">
            <v>Middle</v>
          </cell>
          <cell r="C2330" t="str">
            <v>2015 - 2019</v>
          </cell>
          <cell r="D2330" t="str">
            <v>avg_1_99_imp</v>
          </cell>
          <cell r="E2330" t="str">
            <v>gdp_for_agri</v>
          </cell>
          <cell r="F2330">
            <v>2.7498843669891362</v>
          </cell>
        </row>
        <row r="2331">
          <cell r="A2331" t="str">
            <v>HND</v>
          </cell>
          <cell r="B2331" t="str">
            <v>Middle</v>
          </cell>
          <cell r="C2331" t="str">
            <v>2015 - 2019</v>
          </cell>
          <cell r="D2331" t="str">
            <v>avg_1_99_imp</v>
          </cell>
          <cell r="E2331" t="str">
            <v>gdp_for_ind</v>
          </cell>
          <cell r="F2331">
            <v>0.38259947299957281</v>
          </cell>
        </row>
        <row r="2332">
          <cell r="A2332" t="str">
            <v>HND</v>
          </cell>
          <cell r="B2332" t="str">
            <v>Middle</v>
          </cell>
          <cell r="C2332" t="str">
            <v>2015 - 2019</v>
          </cell>
          <cell r="D2332" t="str">
            <v>avg_1_99_imp</v>
          </cell>
          <cell r="E2332" t="str">
            <v>gdp_for_serv</v>
          </cell>
          <cell r="F2332">
            <v>1.1262221336364751</v>
          </cell>
        </row>
        <row r="2333">
          <cell r="A2333" t="str">
            <v>HND</v>
          </cell>
          <cell r="B2333" t="str">
            <v>Middle</v>
          </cell>
          <cell r="C2333" t="str">
            <v>2015 - 2019</v>
          </cell>
          <cell r="D2333" t="str">
            <v>avg_1_99_imp</v>
          </cell>
          <cell r="E2333" t="str">
            <v>gdp_inf_agri</v>
          </cell>
          <cell r="F2333">
            <v>0.23287126421928411</v>
          </cell>
        </row>
        <row r="2334">
          <cell r="A2334" t="str">
            <v>HND</v>
          </cell>
          <cell r="B2334" t="str">
            <v>Middle</v>
          </cell>
          <cell r="C2334" t="str">
            <v>2015 - 2019</v>
          </cell>
          <cell r="D2334" t="str">
            <v>avg_1_99_imp</v>
          </cell>
          <cell r="E2334" t="str">
            <v>gdp_inf_ind</v>
          </cell>
          <cell r="F2334">
            <v>1.0181165933609011</v>
          </cell>
        </row>
        <row r="2335">
          <cell r="A2335" t="str">
            <v>HND</v>
          </cell>
          <cell r="B2335" t="str">
            <v>Middle</v>
          </cell>
          <cell r="C2335" t="str">
            <v>2015 - 2019</v>
          </cell>
          <cell r="D2335" t="str">
            <v>avg_1_99_imp</v>
          </cell>
          <cell r="E2335" t="str">
            <v>gdp_inf_serv</v>
          </cell>
          <cell r="F2335">
            <v>1.953458786010742</v>
          </cell>
        </row>
        <row r="2336">
          <cell r="A2336" t="str">
            <v>HND</v>
          </cell>
          <cell r="B2336" t="str">
            <v>Middle</v>
          </cell>
          <cell r="C2336" t="str">
            <v>2015 - 2019</v>
          </cell>
          <cell r="D2336" t="str">
            <v>avg_1_99_imp</v>
          </cell>
          <cell r="E2336" t="str">
            <v>prod_for_agri</v>
          </cell>
          <cell r="F2336">
            <v>-1.685571670532227</v>
          </cell>
        </row>
        <row r="2337">
          <cell r="A2337" t="str">
            <v>HND</v>
          </cell>
          <cell r="B2337" t="str">
            <v>Middle</v>
          </cell>
          <cell r="C2337" t="str">
            <v>2015 - 2019</v>
          </cell>
          <cell r="D2337" t="str">
            <v>avg_1_99_imp</v>
          </cell>
          <cell r="E2337" t="str">
            <v>prod_for_ind</v>
          </cell>
          <cell r="F2337">
            <v>-0.21653954684734339</v>
          </cell>
        </row>
        <row r="2338">
          <cell r="A2338" t="str">
            <v>HND</v>
          </cell>
          <cell r="B2338" t="str">
            <v>Middle</v>
          </cell>
          <cell r="C2338" t="str">
            <v>2015 - 2019</v>
          </cell>
          <cell r="D2338" t="str">
            <v>avg_1_99_imp</v>
          </cell>
          <cell r="E2338" t="str">
            <v>prod_for_serv</v>
          </cell>
          <cell r="F2338">
            <v>0.15229456126689911</v>
          </cell>
        </row>
        <row r="2339">
          <cell r="A2339" t="str">
            <v>HND</v>
          </cell>
          <cell r="B2339" t="str">
            <v>Middle</v>
          </cell>
          <cell r="C2339" t="str">
            <v>2015 - 2019</v>
          </cell>
          <cell r="D2339" t="str">
            <v>avg_1_99_imp</v>
          </cell>
          <cell r="E2339" t="str">
            <v>prod_inf_agri</v>
          </cell>
          <cell r="F2339">
            <v>0.43897375464439392</v>
          </cell>
        </row>
        <row r="2340">
          <cell r="A2340" t="str">
            <v>HND</v>
          </cell>
          <cell r="B2340" t="str">
            <v>Middle</v>
          </cell>
          <cell r="C2340" t="str">
            <v>2015 - 2019</v>
          </cell>
          <cell r="D2340" t="str">
            <v>avg_1_99_imp</v>
          </cell>
          <cell r="E2340" t="str">
            <v>prod_inf_ind</v>
          </cell>
          <cell r="F2340">
            <v>-9.7435079514980316E-2</v>
          </cell>
        </row>
        <row r="2341">
          <cell r="A2341" t="str">
            <v>HND</v>
          </cell>
          <cell r="B2341" t="str">
            <v>Middle</v>
          </cell>
          <cell r="C2341" t="str">
            <v>2015 - 2019</v>
          </cell>
          <cell r="D2341" t="str">
            <v>avg_1_99_imp</v>
          </cell>
          <cell r="E2341" t="str">
            <v>prod_inf_serv</v>
          </cell>
          <cell r="F2341">
            <v>1.6067547798156741</v>
          </cell>
        </row>
        <row r="2342">
          <cell r="A2342" t="str">
            <v>HND</v>
          </cell>
          <cell r="B2342" t="str">
            <v>Middle</v>
          </cell>
          <cell r="C2342" t="str">
            <v>2015 - 2019</v>
          </cell>
          <cell r="D2342" t="str">
            <v>reg</v>
          </cell>
          <cell r="E2342" t="str">
            <v>gdp_activity</v>
          </cell>
          <cell r="F2342">
            <v>0.60604369640350342</v>
          </cell>
        </row>
        <row r="2343">
          <cell r="A2343" t="str">
            <v>HND</v>
          </cell>
          <cell r="B2343" t="str">
            <v>Middle</v>
          </cell>
          <cell r="C2343" t="str">
            <v>2015 - 2019</v>
          </cell>
          <cell r="D2343" t="str">
            <v>reg</v>
          </cell>
          <cell r="E2343" t="str">
            <v>gdp_for_agri</v>
          </cell>
          <cell r="F2343">
            <v>1.368144631385803</v>
          </cell>
        </row>
        <row r="2344">
          <cell r="A2344" t="str">
            <v>HND</v>
          </cell>
          <cell r="B2344" t="str">
            <v>Middle</v>
          </cell>
          <cell r="C2344" t="str">
            <v>2015 - 2019</v>
          </cell>
          <cell r="D2344" t="str">
            <v>reg</v>
          </cell>
          <cell r="E2344" t="str">
            <v>gdp_for_ind</v>
          </cell>
          <cell r="F2344">
            <v>-1.6952931880950931E-2</v>
          </cell>
        </row>
        <row r="2345">
          <cell r="A2345" t="str">
            <v>HND</v>
          </cell>
          <cell r="B2345" t="str">
            <v>Middle</v>
          </cell>
          <cell r="C2345" t="str">
            <v>2015 - 2019</v>
          </cell>
          <cell r="D2345" t="str">
            <v>reg</v>
          </cell>
          <cell r="E2345" t="str">
            <v>gdp_for_serv</v>
          </cell>
          <cell r="F2345">
            <v>0.83851766586303711</v>
          </cell>
        </row>
        <row r="2346">
          <cell r="A2346" t="str">
            <v>HND</v>
          </cell>
          <cell r="B2346" t="str">
            <v>Middle</v>
          </cell>
          <cell r="C2346" t="str">
            <v>2015 - 2019</v>
          </cell>
          <cell r="D2346" t="str">
            <v>reg</v>
          </cell>
          <cell r="E2346" t="str">
            <v>gdp_inf_agri</v>
          </cell>
          <cell r="F2346">
            <v>0.16867996752262121</v>
          </cell>
        </row>
        <row r="2347">
          <cell r="A2347" t="str">
            <v>HND</v>
          </cell>
          <cell r="B2347" t="str">
            <v>Middle</v>
          </cell>
          <cell r="C2347" t="str">
            <v>2015 - 2019</v>
          </cell>
          <cell r="D2347" t="str">
            <v>reg</v>
          </cell>
          <cell r="E2347" t="str">
            <v>gdp_inf_ind</v>
          </cell>
          <cell r="F2347">
            <v>1.2097902297973631</v>
          </cell>
        </row>
        <row r="2348">
          <cell r="A2348" t="str">
            <v>HND</v>
          </cell>
          <cell r="B2348" t="str">
            <v>Middle</v>
          </cell>
          <cell r="C2348" t="str">
            <v>2015 - 2019</v>
          </cell>
          <cell r="D2348" t="str">
            <v>reg</v>
          </cell>
          <cell r="E2348" t="str">
            <v>gdp_inf_serv</v>
          </cell>
          <cell r="F2348">
            <v>1.105223417282104</v>
          </cell>
        </row>
        <row r="2349">
          <cell r="A2349" t="str">
            <v>HND</v>
          </cell>
          <cell r="B2349" t="str">
            <v>Middle</v>
          </cell>
          <cell r="C2349" t="str">
            <v>2015 - 2019</v>
          </cell>
          <cell r="D2349" t="str">
            <v>reg</v>
          </cell>
          <cell r="E2349" t="str">
            <v>prod_for_agri</v>
          </cell>
          <cell r="F2349">
            <v>-4.1018698364496231E-2</v>
          </cell>
        </row>
        <row r="2350">
          <cell r="A2350" t="str">
            <v>HND</v>
          </cell>
          <cell r="B2350" t="str">
            <v>Middle</v>
          </cell>
          <cell r="C2350" t="str">
            <v>2015 - 2019</v>
          </cell>
          <cell r="D2350" t="str">
            <v>reg</v>
          </cell>
          <cell r="E2350" t="str">
            <v>prod_for_ind</v>
          </cell>
          <cell r="F2350">
            <v>0.1631673127412796</v>
          </cell>
        </row>
        <row r="2351">
          <cell r="A2351" t="str">
            <v>HND</v>
          </cell>
          <cell r="B2351" t="str">
            <v>Middle</v>
          </cell>
          <cell r="C2351" t="str">
            <v>2015 - 2019</v>
          </cell>
          <cell r="D2351" t="str">
            <v>reg</v>
          </cell>
          <cell r="E2351" t="str">
            <v>prod_for_serv</v>
          </cell>
          <cell r="F2351">
            <v>0.45533794164657593</v>
          </cell>
        </row>
        <row r="2352">
          <cell r="A2352" t="str">
            <v>HND</v>
          </cell>
          <cell r="B2352" t="str">
            <v>Middle</v>
          </cell>
          <cell r="C2352" t="str">
            <v>2015 - 2019</v>
          </cell>
          <cell r="D2352" t="str">
            <v>reg</v>
          </cell>
          <cell r="E2352" t="str">
            <v>prod_inf_agri</v>
          </cell>
          <cell r="F2352">
            <v>-0.46918129920959473</v>
          </cell>
        </row>
        <row r="2353">
          <cell r="A2353" t="str">
            <v>HND</v>
          </cell>
          <cell r="B2353" t="str">
            <v>Middle</v>
          </cell>
          <cell r="C2353" t="str">
            <v>2015 - 2019</v>
          </cell>
          <cell r="D2353" t="str">
            <v>reg</v>
          </cell>
          <cell r="E2353" t="str">
            <v>prod_inf_ind</v>
          </cell>
          <cell r="F2353">
            <v>3.401835441589355</v>
          </cell>
        </row>
        <row r="2354">
          <cell r="A2354" t="str">
            <v>HND</v>
          </cell>
          <cell r="B2354" t="str">
            <v>Middle</v>
          </cell>
          <cell r="C2354" t="str">
            <v>2015 - 2019</v>
          </cell>
          <cell r="D2354" t="str">
            <v>reg</v>
          </cell>
          <cell r="E2354" t="str">
            <v>prod_inf_serv</v>
          </cell>
          <cell r="F2354">
            <v>2.032429695129395</v>
          </cell>
        </row>
        <row r="2355">
          <cell r="A2355" t="str">
            <v>HND</v>
          </cell>
          <cell r="B2355" t="str">
            <v>Middle</v>
          </cell>
          <cell r="C2355" t="str">
            <v>2015 - 2019</v>
          </cell>
          <cell r="D2355" t="str">
            <v>reg_gdp</v>
          </cell>
          <cell r="E2355" t="str">
            <v>gdp_activity</v>
          </cell>
          <cell r="F2355">
            <v>0.60604369640350342</v>
          </cell>
        </row>
        <row r="2356">
          <cell r="A2356" t="str">
            <v>HND</v>
          </cell>
          <cell r="B2356" t="str">
            <v>Middle</v>
          </cell>
          <cell r="C2356" t="str">
            <v>2015 - 2019</v>
          </cell>
          <cell r="D2356" t="str">
            <v>reg_gdp</v>
          </cell>
          <cell r="E2356" t="str">
            <v>gdp_for_agri</v>
          </cell>
          <cell r="F2356">
            <v>1.315754294395447</v>
          </cell>
        </row>
        <row r="2357">
          <cell r="A2357" t="str">
            <v>HND</v>
          </cell>
          <cell r="B2357" t="str">
            <v>Middle</v>
          </cell>
          <cell r="C2357" t="str">
            <v>2015 - 2019</v>
          </cell>
          <cell r="D2357" t="str">
            <v>reg_gdp</v>
          </cell>
          <cell r="E2357" t="str">
            <v>gdp_for_ind</v>
          </cell>
          <cell r="F2357">
            <v>-1.6115177869796751</v>
          </cell>
        </row>
        <row r="2358">
          <cell r="A2358" t="str">
            <v>HND</v>
          </cell>
          <cell r="B2358" t="str">
            <v>Middle</v>
          </cell>
          <cell r="C2358" t="str">
            <v>2015 - 2019</v>
          </cell>
          <cell r="D2358" t="str">
            <v>reg_gdp</v>
          </cell>
          <cell r="E2358" t="str">
            <v>gdp_for_serv</v>
          </cell>
          <cell r="F2358">
            <v>4.4636049270629883</v>
          </cell>
        </row>
        <row r="2359">
          <cell r="A2359" t="str">
            <v>HND</v>
          </cell>
          <cell r="B2359" t="str">
            <v>Middle</v>
          </cell>
          <cell r="C2359" t="str">
            <v>2015 - 2019</v>
          </cell>
          <cell r="D2359" t="str">
            <v>reg_gdp</v>
          </cell>
          <cell r="E2359" t="str">
            <v>gdp_inf_agri</v>
          </cell>
          <cell r="F2359">
            <v>1.790759205818176</v>
          </cell>
        </row>
        <row r="2360">
          <cell r="A2360" t="str">
            <v>HND</v>
          </cell>
          <cell r="B2360" t="str">
            <v>Middle</v>
          </cell>
          <cell r="C2360" t="str">
            <v>2015 - 2019</v>
          </cell>
          <cell r="D2360" t="str">
            <v>reg_gdp</v>
          </cell>
          <cell r="E2360" t="str">
            <v>gdp_inf_ind</v>
          </cell>
          <cell r="F2360">
            <v>1.2678849697113039</v>
          </cell>
        </row>
        <row r="2361">
          <cell r="A2361" t="str">
            <v>HND</v>
          </cell>
          <cell r="B2361" t="str">
            <v>Middle</v>
          </cell>
          <cell r="C2361" t="str">
            <v>2015 - 2019</v>
          </cell>
          <cell r="D2361" t="str">
            <v>reg_gdp</v>
          </cell>
          <cell r="E2361" t="str">
            <v>gdp_inf_serv</v>
          </cell>
          <cell r="F2361">
            <v>-2.169023990631104</v>
          </cell>
        </row>
        <row r="2362">
          <cell r="A2362" t="str">
            <v>HND</v>
          </cell>
          <cell r="B2362" t="str">
            <v>Middle</v>
          </cell>
          <cell r="C2362" t="str">
            <v>2015 - 2019</v>
          </cell>
          <cell r="D2362" t="str">
            <v>reg_gdp</v>
          </cell>
          <cell r="E2362" t="str">
            <v>prod_for_agri</v>
          </cell>
          <cell r="F2362">
            <v>-1.550096869468689</v>
          </cell>
        </row>
        <row r="2363">
          <cell r="A2363" t="str">
            <v>HND</v>
          </cell>
          <cell r="B2363" t="str">
            <v>Middle</v>
          </cell>
          <cell r="C2363" t="str">
            <v>2015 - 2019</v>
          </cell>
          <cell r="D2363" t="str">
            <v>reg_gdp</v>
          </cell>
          <cell r="E2363" t="str">
            <v>prod_for_ind</v>
          </cell>
          <cell r="F2363">
            <v>-0.2270825058221817</v>
          </cell>
        </row>
        <row r="2364">
          <cell r="A2364" t="str">
            <v>HND</v>
          </cell>
          <cell r="B2364" t="str">
            <v>Middle</v>
          </cell>
          <cell r="C2364" t="str">
            <v>2015 - 2019</v>
          </cell>
          <cell r="D2364" t="str">
            <v>reg_gdp</v>
          </cell>
          <cell r="E2364" t="str">
            <v>prod_for_serv</v>
          </cell>
          <cell r="F2364">
            <v>0.36475744843482971</v>
          </cell>
        </row>
        <row r="2365">
          <cell r="A2365" t="str">
            <v>HND</v>
          </cell>
          <cell r="B2365" t="str">
            <v>Middle</v>
          </cell>
          <cell r="C2365" t="str">
            <v>2015 - 2019</v>
          </cell>
          <cell r="D2365" t="str">
            <v>reg_gdp</v>
          </cell>
          <cell r="E2365" t="str">
            <v>prod_inf_agri</v>
          </cell>
          <cell r="F2365">
            <v>0.94963359832763672</v>
          </cell>
        </row>
        <row r="2366">
          <cell r="A2366" t="str">
            <v>HND</v>
          </cell>
          <cell r="B2366" t="str">
            <v>Middle</v>
          </cell>
          <cell r="C2366" t="str">
            <v>2015 - 2019</v>
          </cell>
          <cell r="D2366" t="str">
            <v>reg_gdp</v>
          </cell>
          <cell r="E2366" t="str">
            <v>prod_inf_ind</v>
          </cell>
          <cell r="F2366">
            <v>3.3300337791442871</v>
          </cell>
        </row>
        <row r="2367">
          <cell r="A2367" t="str">
            <v>HND</v>
          </cell>
          <cell r="B2367" t="str">
            <v>Middle</v>
          </cell>
          <cell r="C2367" t="str">
            <v>2015 - 2019</v>
          </cell>
          <cell r="D2367" t="str">
            <v>reg_gdp</v>
          </cell>
          <cell r="E2367" t="str">
            <v>prod_inf_serv</v>
          </cell>
          <cell r="F2367">
            <v>2.0654797554016109</v>
          </cell>
        </row>
        <row r="2368">
          <cell r="A2368" t="str">
            <v>HND</v>
          </cell>
          <cell r="B2368" t="str">
            <v>Middle</v>
          </cell>
          <cell r="C2368" t="str">
            <v>2015 - 2019</v>
          </cell>
          <cell r="D2368" t="str">
            <v>reg_iter</v>
          </cell>
          <cell r="E2368" t="str">
            <v>gdp_activity</v>
          </cell>
          <cell r="F2368">
            <v>0.46021237969398499</v>
          </cell>
        </row>
        <row r="2369">
          <cell r="A2369" t="str">
            <v>HND</v>
          </cell>
          <cell r="B2369" t="str">
            <v>Middle</v>
          </cell>
          <cell r="C2369" t="str">
            <v>2015 - 2019</v>
          </cell>
          <cell r="D2369" t="str">
            <v>reg_iter</v>
          </cell>
          <cell r="E2369" t="str">
            <v>gdp_for_agri</v>
          </cell>
          <cell r="F2369">
            <v>1.512671113014221</v>
          </cell>
        </row>
        <row r="2370">
          <cell r="A2370" t="str">
            <v>HND</v>
          </cell>
          <cell r="B2370" t="str">
            <v>Middle</v>
          </cell>
          <cell r="C2370" t="str">
            <v>2015 - 2019</v>
          </cell>
          <cell r="D2370" t="str">
            <v>reg_iter</v>
          </cell>
          <cell r="E2370" t="str">
            <v>gdp_for_ind</v>
          </cell>
          <cell r="F2370">
            <v>0.32351449131965643</v>
          </cell>
        </row>
        <row r="2371">
          <cell r="A2371" t="str">
            <v>HND</v>
          </cell>
          <cell r="B2371" t="str">
            <v>Middle</v>
          </cell>
          <cell r="C2371" t="str">
            <v>2015 - 2019</v>
          </cell>
          <cell r="D2371" t="str">
            <v>reg_iter</v>
          </cell>
          <cell r="E2371" t="str">
            <v>gdp_for_serv</v>
          </cell>
          <cell r="F2371">
            <v>1.1351960897445681</v>
          </cell>
        </row>
        <row r="2372">
          <cell r="A2372" t="str">
            <v>HND</v>
          </cell>
          <cell r="B2372" t="str">
            <v>Middle</v>
          </cell>
          <cell r="C2372" t="str">
            <v>2015 - 2019</v>
          </cell>
          <cell r="D2372" t="str">
            <v>reg_iter</v>
          </cell>
          <cell r="E2372" t="str">
            <v>gdp_inf_agri</v>
          </cell>
          <cell r="F2372">
            <v>-0.50933557748794556</v>
          </cell>
        </row>
        <row r="2373">
          <cell r="A2373" t="str">
            <v>HND</v>
          </cell>
          <cell r="B2373" t="str">
            <v>Middle</v>
          </cell>
          <cell r="C2373" t="str">
            <v>2015 - 2019</v>
          </cell>
          <cell r="D2373" t="str">
            <v>reg_iter</v>
          </cell>
          <cell r="E2373" t="str">
            <v>gdp_inf_ind</v>
          </cell>
          <cell r="F2373">
            <v>1.0155501365661621</v>
          </cell>
        </row>
        <row r="2374">
          <cell r="A2374" t="str">
            <v>HND</v>
          </cell>
          <cell r="B2374" t="str">
            <v>Middle</v>
          </cell>
          <cell r="C2374" t="str">
            <v>2015 - 2019</v>
          </cell>
          <cell r="D2374" t="str">
            <v>reg_iter</v>
          </cell>
          <cell r="E2374" t="str">
            <v>gdp_inf_serv</v>
          </cell>
          <cell r="F2374">
            <v>0.9308275580406189</v>
          </cell>
        </row>
        <row r="2375">
          <cell r="A2375" t="str">
            <v>HND</v>
          </cell>
          <cell r="B2375" t="str">
            <v>Middle</v>
          </cell>
          <cell r="C2375" t="str">
            <v>2015 - 2019</v>
          </cell>
          <cell r="D2375" t="str">
            <v>reg_iter</v>
          </cell>
          <cell r="E2375" t="str">
            <v>prod_for_agri</v>
          </cell>
          <cell r="F2375">
            <v>-0.17852726578712461</v>
          </cell>
        </row>
        <row r="2376">
          <cell r="A2376" t="str">
            <v>HND</v>
          </cell>
          <cell r="B2376" t="str">
            <v>Middle</v>
          </cell>
          <cell r="C2376" t="str">
            <v>2015 - 2019</v>
          </cell>
          <cell r="D2376" t="str">
            <v>reg_iter</v>
          </cell>
          <cell r="E2376" t="str">
            <v>prod_for_ind</v>
          </cell>
          <cell r="F2376">
            <v>1.8372369930148121E-2</v>
          </cell>
        </row>
        <row r="2377">
          <cell r="A2377" t="str">
            <v>HND</v>
          </cell>
          <cell r="B2377" t="str">
            <v>Middle</v>
          </cell>
          <cell r="C2377" t="str">
            <v>2015 - 2019</v>
          </cell>
          <cell r="D2377" t="str">
            <v>reg_iter</v>
          </cell>
          <cell r="E2377" t="str">
            <v>prod_for_serv</v>
          </cell>
          <cell r="F2377">
            <v>0.25213354825973511</v>
          </cell>
        </row>
        <row r="2378">
          <cell r="A2378" t="str">
            <v>HND</v>
          </cell>
          <cell r="B2378" t="str">
            <v>Middle</v>
          </cell>
          <cell r="C2378" t="str">
            <v>2015 - 2019</v>
          </cell>
          <cell r="D2378" t="str">
            <v>reg_iter</v>
          </cell>
          <cell r="E2378" t="str">
            <v>prod_inf_agri</v>
          </cell>
          <cell r="F2378">
            <v>-0.31273800134658808</v>
          </cell>
        </row>
        <row r="2379">
          <cell r="A2379" t="str">
            <v>HND</v>
          </cell>
          <cell r="B2379" t="str">
            <v>Middle</v>
          </cell>
          <cell r="C2379" t="str">
            <v>2015 - 2019</v>
          </cell>
          <cell r="D2379" t="str">
            <v>reg_iter</v>
          </cell>
          <cell r="E2379" t="str">
            <v>prod_inf_ind</v>
          </cell>
          <cell r="F2379">
            <v>3.4011247158050542</v>
          </cell>
        </row>
        <row r="2380">
          <cell r="A2380" t="str">
            <v>HND</v>
          </cell>
          <cell r="B2380" t="str">
            <v>Middle</v>
          </cell>
          <cell r="C2380" t="str">
            <v>2015 - 2019</v>
          </cell>
          <cell r="D2380" t="str">
            <v>reg_iter</v>
          </cell>
          <cell r="E2380" t="str">
            <v>prod_inf_serv</v>
          </cell>
          <cell r="F2380">
            <v>1.982781767845154</v>
          </cell>
        </row>
        <row r="2381">
          <cell r="A2381" t="str">
            <v>HND</v>
          </cell>
          <cell r="B2381" t="str">
            <v>Short</v>
          </cell>
          <cell r="C2381" t="str">
            <v>2018 - 2019</v>
          </cell>
          <cell r="D2381" t="str">
            <v>avg</v>
          </cell>
          <cell r="E2381" t="str">
            <v>gdp_activity</v>
          </cell>
          <cell r="F2381">
            <v>5.5105924606323242E-2</v>
          </cell>
        </row>
        <row r="2382">
          <cell r="A2382" t="str">
            <v>HND</v>
          </cell>
          <cell r="B2382" t="str">
            <v>Short</v>
          </cell>
          <cell r="C2382" t="str">
            <v>2018 - 2019</v>
          </cell>
          <cell r="D2382" t="str">
            <v>avg</v>
          </cell>
          <cell r="E2382" t="str">
            <v>gdp_for_agri</v>
          </cell>
          <cell r="F2382">
            <v>2.302338600158691</v>
          </cell>
        </row>
        <row r="2383">
          <cell r="A2383" t="str">
            <v>HND</v>
          </cell>
          <cell r="B2383" t="str">
            <v>Short</v>
          </cell>
          <cell r="C2383" t="str">
            <v>2018 - 2019</v>
          </cell>
          <cell r="D2383" t="str">
            <v>avg</v>
          </cell>
          <cell r="E2383" t="str">
            <v>gdp_for_ind</v>
          </cell>
          <cell r="F2383">
            <v>1.2833073139190669</v>
          </cell>
        </row>
        <row r="2384">
          <cell r="A2384" t="str">
            <v>HND</v>
          </cell>
          <cell r="B2384" t="str">
            <v>Short</v>
          </cell>
          <cell r="C2384" t="str">
            <v>2018 - 2019</v>
          </cell>
          <cell r="D2384" t="str">
            <v>avg</v>
          </cell>
          <cell r="E2384" t="str">
            <v>gdp_for_serv</v>
          </cell>
          <cell r="F2384">
            <v>1.7672044038772581</v>
          </cell>
        </row>
        <row r="2385">
          <cell r="A2385" t="str">
            <v>HND</v>
          </cell>
          <cell r="B2385" t="str">
            <v>Short</v>
          </cell>
          <cell r="C2385" t="str">
            <v>2018 - 2019</v>
          </cell>
          <cell r="D2385" t="str">
            <v>avg</v>
          </cell>
          <cell r="E2385" t="str">
            <v>gdp_inf_agri</v>
          </cell>
          <cell r="F2385">
            <v>4.3696022033691406</v>
          </cell>
        </row>
        <row r="2386">
          <cell r="A2386" t="str">
            <v>HND</v>
          </cell>
          <cell r="B2386" t="str">
            <v>Short</v>
          </cell>
          <cell r="C2386" t="str">
            <v>2018 - 2019</v>
          </cell>
          <cell r="D2386" t="str">
            <v>avg</v>
          </cell>
          <cell r="E2386" t="str">
            <v>gdp_inf_ind</v>
          </cell>
          <cell r="F2386">
            <v>0.90791761875152588</v>
          </cell>
        </row>
        <row r="2387">
          <cell r="A2387" t="str">
            <v>HND</v>
          </cell>
          <cell r="B2387" t="str">
            <v>Short</v>
          </cell>
          <cell r="C2387" t="str">
            <v>2018 - 2019</v>
          </cell>
          <cell r="D2387" t="str">
            <v>avg</v>
          </cell>
          <cell r="E2387" t="str">
            <v>gdp_inf_serv</v>
          </cell>
          <cell r="F2387">
            <v>0.75619816780090332</v>
          </cell>
        </row>
        <row r="2388">
          <cell r="A2388" t="str">
            <v>HND</v>
          </cell>
          <cell r="B2388" t="str">
            <v>Short</v>
          </cell>
          <cell r="C2388" t="str">
            <v>2018 - 2019</v>
          </cell>
          <cell r="D2388" t="str">
            <v>avg</v>
          </cell>
          <cell r="E2388" t="str">
            <v>prod_for_agri</v>
          </cell>
          <cell r="F2388">
            <v>-0.89527666568756104</v>
          </cell>
        </row>
        <row r="2389">
          <cell r="A2389" t="str">
            <v>HND</v>
          </cell>
          <cell r="B2389" t="str">
            <v>Short</v>
          </cell>
          <cell r="C2389" t="str">
            <v>2018 - 2019</v>
          </cell>
          <cell r="D2389" t="str">
            <v>avg</v>
          </cell>
          <cell r="E2389" t="str">
            <v>prod_for_ind</v>
          </cell>
          <cell r="F2389">
            <v>144.7099609375</v>
          </cell>
        </row>
        <row r="2390">
          <cell r="A2390" t="str">
            <v>HND</v>
          </cell>
          <cell r="B2390" t="str">
            <v>Short</v>
          </cell>
          <cell r="C2390" t="str">
            <v>2018 - 2019</v>
          </cell>
          <cell r="D2390" t="str">
            <v>avg</v>
          </cell>
          <cell r="E2390" t="str">
            <v>prod_for_serv</v>
          </cell>
          <cell r="F2390">
            <v>0.36436635255813599</v>
          </cell>
        </row>
        <row r="2391">
          <cell r="A2391" t="str">
            <v>HND</v>
          </cell>
          <cell r="B2391" t="str">
            <v>Short</v>
          </cell>
          <cell r="C2391" t="str">
            <v>2018 - 2019</v>
          </cell>
          <cell r="D2391" t="str">
            <v>avg</v>
          </cell>
          <cell r="E2391" t="str">
            <v>prod_inf_agri</v>
          </cell>
          <cell r="F2391">
            <v>0.76080775260925293</v>
          </cell>
        </row>
        <row r="2392">
          <cell r="A2392" t="str">
            <v>HND</v>
          </cell>
          <cell r="B2392" t="str">
            <v>Short</v>
          </cell>
          <cell r="C2392" t="str">
            <v>2018 - 2019</v>
          </cell>
          <cell r="D2392" t="str">
            <v>avg</v>
          </cell>
          <cell r="E2392" t="str">
            <v>prod_inf_ind</v>
          </cell>
          <cell r="F2392">
            <v>-69.953788757324219</v>
          </cell>
        </row>
        <row r="2393">
          <cell r="A2393" t="str">
            <v>HND</v>
          </cell>
          <cell r="B2393" t="str">
            <v>Short</v>
          </cell>
          <cell r="C2393" t="str">
            <v>2018 - 2019</v>
          </cell>
          <cell r="D2393" t="str">
            <v>avg</v>
          </cell>
          <cell r="E2393" t="str">
            <v>prod_inf_serv</v>
          </cell>
          <cell r="F2393">
            <v>2.218445777893066</v>
          </cell>
        </row>
        <row r="2394">
          <cell r="A2394" t="str">
            <v>HND</v>
          </cell>
          <cell r="B2394" t="str">
            <v>Short</v>
          </cell>
          <cell r="C2394" t="str">
            <v>2018 - 2019</v>
          </cell>
          <cell r="D2394" t="str">
            <v>avg_1_99</v>
          </cell>
          <cell r="E2394" t="str">
            <v>gdp_activity</v>
          </cell>
          <cell r="F2394">
            <v>5.5105924606323242E-2</v>
          </cell>
        </row>
        <row r="2395">
          <cell r="A2395" t="str">
            <v>HND</v>
          </cell>
          <cell r="B2395" t="str">
            <v>Short</v>
          </cell>
          <cell r="C2395" t="str">
            <v>2018 - 2019</v>
          </cell>
          <cell r="D2395" t="str">
            <v>avg_1_99</v>
          </cell>
          <cell r="E2395" t="str">
            <v>gdp_for_agri</v>
          </cell>
          <cell r="F2395">
            <v>2.302338600158691</v>
          </cell>
        </row>
        <row r="2396">
          <cell r="A2396" t="str">
            <v>HND</v>
          </cell>
          <cell r="B2396" t="str">
            <v>Short</v>
          </cell>
          <cell r="C2396" t="str">
            <v>2018 - 2019</v>
          </cell>
          <cell r="D2396" t="str">
            <v>avg_1_99</v>
          </cell>
          <cell r="E2396" t="str">
            <v>gdp_for_ind</v>
          </cell>
          <cell r="F2396">
            <v>1.2833073139190669</v>
          </cell>
        </row>
        <row r="2397">
          <cell r="A2397" t="str">
            <v>HND</v>
          </cell>
          <cell r="B2397" t="str">
            <v>Short</v>
          </cell>
          <cell r="C2397" t="str">
            <v>2018 - 2019</v>
          </cell>
          <cell r="D2397" t="str">
            <v>avg_1_99</v>
          </cell>
          <cell r="E2397" t="str">
            <v>gdp_for_serv</v>
          </cell>
          <cell r="F2397">
            <v>1.7672044038772581</v>
          </cell>
        </row>
        <row r="2398">
          <cell r="A2398" t="str">
            <v>HND</v>
          </cell>
          <cell r="B2398" t="str">
            <v>Short</v>
          </cell>
          <cell r="C2398" t="str">
            <v>2018 - 2019</v>
          </cell>
          <cell r="D2398" t="str">
            <v>avg_1_99</v>
          </cell>
          <cell r="E2398" t="str">
            <v>gdp_inf_agri</v>
          </cell>
          <cell r="F2398">
            <v>-0.12323151528835299</v>
          </cell>
        </row>
        <row r="2399">
          <cell r="A2399" t="str">
            <v>HND</v>
          </cell>
          <cell r="B2399" t="str">
            <v>Short</v>
          </cell>
          <cell r="C2399" t="str">
            <v>2018 - 2019</v>
          </cell>
          <cell r="D2399" t="str">
            <v>avg_1_99</v>
          </cell>
          <cell r="E2399" t="str">
            <v>gdp_inf_ind</v>
          </cell>
          <cell r="F2399">
            <v>0.90791761875152588</v>
          </cell>
        </row>
        <row r="2400">
          <cell r="A2400" t="str">
            <v>HND</v>
          </cell>
          <cell r="B2400" t="str">
            <v>Short</v>
          </cell>
          <cell r="C2400" t="str">
            <v>2018 - 2019</v>
          </cell>
          <cell r="D2400" t="str">
            <v>avg_1_99</v>
          </cell>
          <cell r="E2400" t="str">
            <v>gdp_inf_serv</v>
          </cell>
          <cell r="F2400">
            <v>2.7101230621337891</v>
          </cell>
        </row>
        <row r="2401">
          <cell r="A2401" t="str">
            <v>HND</v>
          </cell>
          <cell r="B2401" t="str">
            <v>Short</v>
          </cell>
          <cell r="C2401" t="str">
            <v>2018 - 2019</v>
          </cell>
          <cell r="D2401" t="str">
            <v>avg_1_99</v>
          </cell>
          <cell r="E2401" t="str">
            <v>prod_for_agri</v>
          </cell>
          <cell r="F2401">
            <v>-0.89527666568756104</v>
          </cell>
        </row>
        <row r="2402">
          <cell r="A2402" t="str">
            <v>HND</v>
          </cell>
          <cell r="B2402" t="str">
            <v>Short</v>
          </cell>
          <cell r="C2402" t="str">
            <v>2018 - 2019</v>
          </cell>
          <cell r="D2402" t="str">
            <v>avg_1_99</v>
          </cell>
          <cell r="E2402" t="str">
            <v>prod_for_ind</v>
          </cell>
        </row>
        <row r="2403">
          <cell r="A2403" t="str">
            <v>HND</v>
          </cell>
          <cell r="B2403" t="str">
            <v>Short</v>
          </cell>
          <cell r="C2403" t="str">
            <v>2018 - 2019</v>
          </cell>
          <cell r="D2403" t="str">
            <v>avg_1_99</v>
          </cell>
          <cell r="E2403" t="str">
            <v>prod_for_serv</v>
          </cell>
          <cell r="F2403">
            <v>0.36436635255813599</v>
          </cell>
        </row>
        <row r="2404">
          <cell r="A2404" t="str">
            <v>HND</v>
          </cell>
          <cell r="B2404" t="str">
            <v>Short</v>
          </cell>
          <cell r="C2404" t="str">
            <v>2018 - 2019</v>
          </cell>
          <cell r="D2404" t="str">
            <v>avg_1_99</v>
          </cell>
          <cell r="E2404" t="str">
            <v>prod_inf_agri</v>
          </cell>
          <cell r="F2404">
            <v>0.76080775260925293</v>
          </cell>
        </row>
        <row r="2405">
          <cell r="A2405" t="str">
            <v>HND</v>
          </cell>
          <cell r="B2405" t="str">
            <v>Short</v>
          </cell>
          <cell r="C2405" t="str">
            <v>2018 - 2019</v>
          </cell>
          <cell r="D2405" t="str">
            <v>avg_1_99</v>
          </cell>
          <cell r="E2405" t="str">
            <v>prod_inf_ind</v>
          </cell>
        </row>
        <row r="2406">
          <cell r="A2406" t="str">
            <v>HND</v>
          </cell>
          <cell r="B2406" t="str">
            <v>Short</v>
          </cell>
          <cell r="C2406" t="str">
            <v>2018 - 2019</v>
          </cell>
          <cell r="D2406" t="str">
            <v>avg_1_99</v>
          </cell>
          <cell r="E2406" t="str">
            <v>prod_inf_serv</v>
          </cell>
          <cell r="F2406">
            <v>2.218445777893066</v>
          </cell>
        </row>
        <row r="2407">
          <cell r="A2407" t="str">
            <v>HND</v>
          </cell>
          <cell r="B2407" t="str">
            <v>Short</v>
          </cell>
          <cell r="C2407" t="str">
            <v>2018 - 2019</v>
          </cell>
          <cell r="D2407" t="str">
            <v>avg_1_99_imp</v>
          </cell>
          <cell r="E2407" t="str">
            <v>gdp_activity</v>
          </cell>
          <cell r="F2407">
            <v>5.5105924606323242E-2</v>
          </cell>
        </row>
        <row r="2408">
          <cell r="A2408" t="str">
            <v>HND</v>
          </cell>
          <cell r="B2408" t="str">
            <v>Short</v>
          </cell>
          <cell r="C2408" t="str">
            <v>2018 - 2019</v>
          </cell>
          <cell r="D2408" t="str">
            <v>avg_1_99_imp</v>
          </cell>
          <cell r="E2408" t="str">
            <v>gdp_for_agri</v>
          </cell>
          <cell r="F2408">
            <v>2.302338600158691</v>
          </cell>
        </row>
        <row r="2409">
          <cell r="A2409" t="str">
            <v>HND</v>
          </cell>
          <cell r="B2409" t="str">
            <v>Short</v>
          </cell>
          <cell r="C2409" t="str">
            <v>2018 - 2019</v>
          </cell>
          <cell r="D2409" t="str">
            <v>avg_1_99_imp</v>
          </cell>
          <cell r="E2409" t="str">
            <v>gdp_for_ind</v>
          </cell>
          <cell r="F2409">
            <v>1.2833073139190669</v>
          </cell>
        </row>
        <row r="2410">
          <cell r="A2410" t="str">
            <v>HND</v>
          </cell>
          <cell r="B2410" t="str">
            <v>Short</v>
          </cell>
          <cell r="C2410" t="str">
            <v>2018 - 2019</v>
          </cell>
          <cell r="D2410" t="str">
            <v>avg_1_99_imp</v>
          </cell>
          <cell r="E2410" t="str">
            <v>gdp_for_serv</v>
          </cell>
          <cell r="F2410">
            <v>1.7672044038772581</v>
          </cell>
        </row>
        <row r="2411">
          <cell r="A2411" t="str">
            <v>HND</v>
          </cell>
          <cell r="B2411" t="str">
            <v>Short</v>
          </cell>
          <cell r="C2411" t="str">
            <v>2018 - 2019</v>
          </cell>
          <cell r="D2411" t="str">
            <v>avg_1_99_imp</v>
          </cell>
          <cell r="E2411" t="str">
            <v>gdp_inf_agri</v>
          </cell>
          <cell r="F2411">
            <v>-0.12323151528835299</v>
          </cell>
        </row>
        <row r="2412">
          <cell r="A2412" t="str">
            <v>HND</v>
          </cell>
          <cell r="B2412" t="str">
            <v>Short</v>
          </cell>
          <cell r="C2412" t="str">
            <v>2018 - 2019</v>
          </cell>
          <cell r="D2412" t="str">
            <v>avg_1_99_imp</v>
          </cell>
          <cell r="E2412" t="str">
            <v>gdp_inf_ind</v>
          </cell>
          <cell r="F2412">
            <v>0.90791761875152588</v>
          </cell>
        </row>
        <row r="2413">
          <cell r="A2413" t="str">
            <v>HND</v>
          </cell>
          <cell r="B2413" t="str">
            <v>Short</v>
          </cell>
          <cell r="C2413" t="str">
            <v>2018 - 2019</v>
          </cell>
          <cell r="D2413" t="str">
            <v>avg_1_99_imp</v>
          </cell>
          <cell r="E2413" t="str">
            <v>gdp_inf_serv</v>
          </cell>
          <cell r="F2413">
            <v>2.7101230621337891</v>
          </cell>
        </row>
        <row r="2414">
          <cell r="A2414" t="str">
            <v>HND</v>
          </cell>
          <cell r="B2414" t="str">
            <v>Short</v>
          </cell>
          <cell r="C2414" t="str">
            <v>2018 - 2019</v>
          </cell>
          <cell r="D2414" t="str">
            <v>avg_1_99_imp</v>
          </cell>
          <cell r="E2414" t="str">
            <v>prod_for_agri</v>
          </cell>
          <cell r="F2414">
            <v>-0.89527666568756104</v>
          </cell>
        </row>
        <row r="2415">
          <cell r="A2415" t="str">
            <v>HND</v>
          </cell>
          <cell r="B2415" t="str">
            <v>Short</v>
          </cell>
          <cell r="C2415" t="str">
            <v>2018 - 2019</v>
          </cell>
          <cell r="D2415" t="str">
            <v>avg_1_99_imp</v>
          </cell>
          <cell r="E2415" t="str">
            <v>prod_for_ind</v>
          </cell>
        </row>
        <row r="2416">
          <cell r="A2416" t="str">
            <v>HND</v>
          </cell>
          <cell r="B2416" t="str">
            <v>Short</v>
          </cell>
          <cell r="C2416" t="str">
            <v>2018 - 2019</v>
          </cell>
          <cell r="D2416" t="str">
            <v>avg_1_99_imp</v>
          </cell>
          <cell r="E2416" t="str">
            <v>prod_for_serv</v>
          </cell>
          <cell r="F2416">
            <v>0.36436635255813599</v>
          </cell>
        </row>
        <row r="2417">
          <cell r="A2417" t="str">
            <v>HND</v>
          </cell>
          <cell r="B2417" t="str">
            <v>Short</v>
          </cell>
          <cell r="C2417" t="str">
            <v>2018 - 2019</v>
          </cell>
          <cell r="D2417" t="str">
            <v>avg_1_99_imp</v>
          </cell>
          <cell r="E2417" t="str">
            <v>prod_inf_agri</v>
          </cell>
          <cell r="F2417">
            <v>0.76080775260925293</v>
          </cell>
        </row>
        <row r="2418">
          <cell r="A2418" t="str">
            <v>HND</v>
          </cell>
          <cell r="B2418" t="str">
            <v>Short</v>
          </cell>
          <cell r="C2418" t="str">
            <v>2018 - 2019</v>
          </cell>
          <cell r="D2418" t="str">
            <v>avg_1_99_imp</v>
          </cell>
          <cell r="E2418" t="str">
            <v>prod_inf_ind</v>
          </cell>
        </row>
        <row r="2419">
          <cell r="A2419" t="str">
            <v>HND</v>
          </cell>
          <cell r="B2419" t="str">
            <v>Short</v>
          </cell>
          <cell r="C2419" t="str">
            <v>2018 - 2019</v>
          </cell>
          <cell r="D2419" t="str">
            <v>avg_1_99_imp</v>
          </cell>
          <cell r="E2419" t="str">
            <v>prod_inf_serv</v>
          </cell>
          <cell r="F2419">
            <v>2.218445777893066</v>
          </cell>
        </row>
        <row r="2420">
          <cell r="A2420" t="str">
            <v>HND</v>
          </cell>
          <cell r="B2420" t="str">
            <v>Short</v>
          </cell>
          <cell r="C2420" t="str">
            <v>2018 - 2019</v>
          </cell>
          <cell r="D2420" t="str">
            <v>reg</v>
          </cell>
          <cell r="E2420" t="str">
            <v>gdp_activity</v>
          </cell>
          <cell r="F2420">
            <v>-1.293185710906982</v>
          </cell>
        </row>
        <row r="2421">
          <cell r="A2421" t="str">
            <v>HND</v>
          </cell>
          <cell r="B2421" t="str">
            <v>Short</v>
          </cell>
          <cell r="C2421" t="str">
            <v>2018 - 2019</v>
          </cell>
          <cell r="D2421" t="str">
            <v>reg</v>
          </cell>
          <cell r="E2421" t="str">
            <v>gdp_for_agri</v>
          </cell>
          <cell r="F2421">
            <v>2.59535813331604</v>
          </cell>
        </row>
        <row r="2422">
          <cell r="A2422" t="str">
            <v>HND</v>
          </cell>
          <cell r="B2422" t="str">
            <v>Short</v>
          </cell>
          <cell r="C2422" t="str">
            <v>2018 - 2019</v>
          </cell>
          <cell r="D2422" t="str">
            <v>reg</v>
          </cell>
          <cell r="E2422" t="str">
            <v>gdp_for_ind</v>
          </cell>
          <cell r="F2422">
            <v>1.255659222602844</v>
          </cell>
        </row>
        <row r="2423">
          <cell r="A2423" t="str">
            <v>HND</v>
          </cell>
          <cell r="B2423" t="str">
            <v>Short</v>
          </cell>
          <cell r="C2423" t="str">
            <v>2018 - 2019</v>
          </cell>
          <cell r="D2423" t="str">
            <v>reg</v>
          </cell>
          <cell r="E2423" t="str">
            <v>gdp_for_serv</v>
          </cell>
          <cell r="F2423">
            <v>1.1382268667221069</v>
          </cell>
        </row>
        <row r="2424">
          <cell r="A2424" t="str">
            <v>HND</v>
          </cell>
          <cell r="B2424" t="str">
            <v>Short</v>
          </cell>
          <cell r="C2424" t="str">
            <v>2018 - 2019</v>
          </cell>
          <cell r="D2424" t="str">
            <v>reg</v>
          </cell>
          <cell r="E2424" t="str">
            <v>gdp_inf_agri</v>
          </cell>
          <cell r="F2424">
            <v>9.2470417022705078</v>
          </cell>
        </row>
        <row r="2425">
          <cell r="A2425" t="str">
            <v>HND</v>
          </cell>
          <cell r="B2425" t="str">
            <v>Short</v>
          </cell>
          <cell r="C2425" t="str">
            <v>2018 - 2019</v>
          </cell>
          <cell r="D2425" t="str">
            <v>reg</v>
          </cell>
          <cell r="E2425" t="str">
            <v>gdp_inf_ind</v>
          </cell>
          <cell r="F2425">
            <v>0.91280651092529297</v>
          </cell>
        </row>
        <row r="2426">
          <cell r="A2426" t="str">
            <v>HND</v>
          </cell>
          <cell r="B2426" t="str">
            <v>Short</v>
          </cell>
          <cell r="C2426" t="str">
            <v>2018 - 2019</v>
          </cell>
          <cell r="D2426" t="str">
            <v>reg</v>
          </cell>
          <cell r="E2426" t="str">
            <v>gdp_inf_serv</v>
          </cell>
          <cell r="F2426">
            <v>-1.252426743507385</v>
          </cell>
        </row>
        <row r="2427">
          <cell r="A2427" t="str">
            <v>HND</v>
          </cell>
          <cell r="B2427" t="str">
            <v>Short</v>
          </cell>
          <cell r="C2427" t="str">
            <v>2018 - 2019</v>
          </cell>
          <cell r="D2427" t="str">
            <v>reg</v>
          </cell>
          <cell r="E2427" t="str">
            <v>prod_for_agri</v>
          </cell>
          <cell r="F2427">
            <v>0.32586169242858892</v>
          </cell>
        </row>
        <row r="2428">
          <cell r="A2428" t="str">
            <v>HND</v>
          </cell>
          <cell r="B2428" t="str">
            <v>Short</v>
          </cell>
          <cell r="C2428" t="str">
            <v>2018 - 2019</v>
          </cell>
          <cell r="D2428" t="str">
            <v>reg</v>
          </cell>
          <cell r="E2428" t="str">
            <v>prod_for_ind</v>
          </cell>
          <cell r="F2428">
            <v>351.82730102539063</v>
          </cell>
        </row>
        <row r="2429">
          <cell r="A2429" t="str">
            <v>HND</v>
          </cell>
          <cell r="B2429" t="str">
            <v>Short</v>
          </cell>
          <cell r="C2429" t="str">
            <v>2018 - 2019</v>
          </cell>
          <cell r="D2429" t="str">
            <v>reg</v>
          </cell>
          <cell r="E2429" t="str">
            <v>prod_for_serv</v>
          </cell>
          <cell r="F2429">
            <v>0.43877193331718439</v>
          </cell>
        </row>
        <row r="2430">
          <cell r="A2430" t="str">
            <v>HND</v>
          </cell>
          <cell r="B2430" t="str">
            <v>Short</v>
          </cell>
          <cell r="C2430" t="str">
            <v>2018 - 2019</v>
          </cell>
          <cell r="D2430" t="str">
            <v>reg</v>
          </cell>
          <cell r="E2430" t="str">
            <v>prod_inf_agri</v>
          </cell>
          <cell r="F2430">
            <v>0.38467317819595342</v>
          </cell>
        </row>
        <row r="2431">
          <cell r="A2431" t="str">
            <v>HND</v>
          </cell>
          <cell r="B2431" t="str">
            <v>Short</v>
          </cell>
          <cell r="C2431" t="str">
            <v>2018 - 2019</v>
          </cell>
          <cell r="D2431" t="str">
            <v>reg</v>
          </cell>
          <cell r="E2431" t="str">
            <v>prod_inf_ind</v>
          </cell>
          <cell r="F2431">
            <v>-187.72691345214841</v>
          </cell>
        </row>
        <row r="2432">
          <cell r="A2432" t="str">
            <v>HND</v>
          </cell>
          <cell r="B2432" t="str">
            <v>Short</v>
          </cell>
          <cell r="C2432" t="str">
            <v>2018 - 2019</v>
          </cell>
          <cell r="D2432" t="str">
            <v>reg</v>
          </cell>
          <cell r="E2432" t="str">
            <v>prod_inf_serv</v>
          </cell>
          <cell r="F2432">
            <v>2.0555710792541499</v>
          </cell>
        </row>
        <row r="2433">
          <cell r="A2433" t="str">
            <v>HND</v>
          </cell>
          <cell r="B2433" t="str">
            <v>Short</v>
          </cell>
          <cell r="C2433" t="str">
            <v>2018 - 2019</v>
          </cell>
          <cell r="D2433" t="str">
            <v>reg_gdp</v>
          </cell>
          <cell r="E2433" t="str">
            <v>gdp_activity</v>
          </cell>
          <cell r="F2433">
            <v>-1.293185710906982</v>
          </cell>
        </row>
        <row r="2434">
          <cell r="A2434" t="str">
            <v>HND</v>
          </cell>
          <cell r="B2434" t="str">
            <v>Short</v>
          </cell>
          <cell r="C2434" t="str">
            <v>2018 - 2019</v>
          </cell>
          <cell r="D2434" t="str">
            <v>reg_gdp</v>
          </cell>
          <cell r="E2434" t="str">
            <v>gdp_for_agri</v>
          </cell>
          <cell r="F2434">
            <v>0</v>
          </cell>
        </row>
        <row r="2435">
          <cell r="A2435" t="str">
            <v>HND</v>
          </cell>
          <cell r="B2435" t="str">
            <v>Short</v>
          </cell>
          <cell r="C2435" t="str">
            <v>2018 - 2019</v>
          </cell>
          <cell r="D2435" t="str">
            <v>reg_gdp</v>
          </cell>
          <cell r="E2435" t="str">
            <v>gdp_for_ind</v>
          </cell>
          <cell r="F2435">
            <v>0</v>
          </cell>
        </row>
        <row r="2436">
          <cell r="A2436" t="str">
            <v>HND</v>
          </cell>
          <cell r="B2436" t="str">
            <v>Short</v>
          </cell>
          <cell r="C2436" t="str">
            <v>2018 - 2019</v>
          </cell>
          <cell r="D2436" t="str">
            <v>reg_gdp</v>
          </cell>
          <cell r="E2436" t="str">
            <v>gdp_for_serv</v>
          </cell>
          <cell r="F2436">
            <v>1.1382268667221069</v>
          </cell>
        </row>
        <row r="2437">
          <cell r="A2437" t="str">
            <v>HND</v>
          </cell>
          <cell r="B2437" t="str">
            <v>Short</v>
          </cell>
          <cell r="C2437" t="str">
            <v>2018 - 2019</v>
          </cell>
          <cell r="D2437" t="str">
            <v>reg_gdp</v>
          </cell>
          <cell r="E2437" t="str">
            <v>gdp_inf_agri</v>
          </cell>
          <cell r="F2437">
            <v>0</v>
          </cell>
        </row>
        <row r="2438">
          <cell r="A2438" t="str">
            <v>HND</v>
          </cell>
          <cell r="B2438" t="str">
            <v>Short</v>
          </cell>
          <cell r="C2438" t="str">
            <v>2018 - 2019</v>
          </cell>
          <cell r="D2438" t="str">
            <v>reg_gdp</v>
          </cell>
          <cell r="E2438" t="str">
            <v>gdp_inf_ind</v>
          </cell>
          <cell r="F2438">
            <v>0</v>
          </cell>
        </row>
        <row r="2439">
          <cell r="A2439" t="str">
            <v>HND</v>
          </cell>
          <cell r="B2439" t="str">
            <v>Short</v>
          </cell>
          <cell r="C2439" t="str">
            <v>2018 - 2019</v>
          </cell>
          <cell r="D2439" t="str">
            <v>reg_gdp</v>
          </cell>
          <cell r="E2439" t="str">
            <v>gdp_inf_serv</v>
          </cell>
          <cell r="F2439">
            <v>-1.252426743507385</v>
          </cell>
        </row>
        <row r="2440">
          <cell r="A2440" t="str">
            <v>HND</v>
          </cell>
          <cell r="B2440" t="str">
            <v>Short</v>
          </cell>
          <cell r="C2440" t="str">
            <v>2018 - 2019</v>
          </cell>
          <cell r="D2440" t="str">
            <v>reg_gdp</v>
          </cell>
          <cell r="E2440" t="str">
            <v>prod_for_agri</v>
          </cell>
          <cell r="F2440">
            <v>0.32586169242858892</v>
          </cell>
        </row>
        <row r="2441">
          <cell r="A2441" t="str">
            <v>HND</v>
          </cell>
          <cell r="B2441" t="str">
            <v>Short</v>
          </cell>
          <cell r="C2441" t="str">
            <v>2018 - 2019</v>
          </cell>
          <cell r="D2441" t="str">
            <v>reg_gdp</v>
          </cell>
          <cell r="E2441" t="str">
            <v>prod_for_ind</v>
          </cell>
          <cell r="F2441">
            <v>0</v>
          </cell>
        </row>
        <row r="2442">
          <cell r="A2442" t="str">
            <v>HND</v>
          </cell>
          <cell r="B2442" t="str">
            <v>Short</v>
          </cell>
          <cell r="C2442" t="str">
            <v>2018 - 2019</v>
          </cell>
          <cell r="D2442" t="str">
            <v>reg_gdp</v>
          </cell>
          <cell r="E2442" t="str">
            <v>prod_for_serv</v>
          </cell>
          <cell r="F2442">
            <v>0.43877193331718439</v>
          </cell>
        </row>
        <row r="2443">
          <cell r="A2443" t="str">
            <v>HND</v>
          </cell>
          <cell r="B2443" t="str">
            <v>Short</v>
          </cell>
          <cell r="C2443" t="str">
            <v>2018 - 2019</v>
          </cell>
          <cell r="D2443" t="str">
            <v>reg_gdp</v>
          </cell>
          <cell r="E2443" t="str">
            <v>prod_inf_agri</v>
          </cell>
          <cell r="F2443">
            <v>0.38467317819595342</v>
          </cell>
        </row>
        <row r="2444">
          <cell r="A2444" t="str">
            <v>HND</v>
          </cell>
          <cell r="B2444" t="str">
            <v>Short</v>
          </cell>
          <cell r="C2444" t="str">
            <v>2018 - 2019</v>
          </cell>
          <cell r="D2444" t="str">
            <v>reg_gdp</v>
          </cell>
          <cell r="E2444" t="str">
            <v>prod_inf_ind</v>
          </cell>
          <cell r="F2444">
            <v>0</v>
          </cell>
        </row>
        <row r="2445">
          <cell r="A2445" t="str">
            <v>HND</v>
          </cell>
          <cell r="B2445" t="str">
            <v>Short</v>
          </cell>
          <cell r="C2445" t="str">
            <v>2018 - 2019</v>
          </cell>
          <cell r="D2445" t="str">
            <v>reg_gdp</v>
          </cell>
          <cell r="E2445" t="str">
            <v>prod_inf_serv</v>
          </cell>
          <cell r="F2445">
            <v>2.0555710792541499</v>
          </cell>
        </row>
        <row r="2446">
          <cell r="A2446" t="str">
            <v>HND</v>
          </cell>
          <cell r="B2446" t="str">
            <v>Short</v>
          </cell>
          <cell r="C2446" t="str">
            <v>2018 - 2019</v>
          </cell>
          <cell r="D2446" t="str">
            <v>reg_iter</v>
          </cell>
          <cell r="E2446" t="str">
            <v>gdp_activity</v>
          </cell>
          <cell r="F2446">
            <v>0</v>
          </cell>
        </row>
        <row r="2447">
          <cell r="A2447" t="str">
            <v>HND</v>
          </cell>
          <cell r="B2447" t="str">
            <v>Short</v>
          </cell>
          <cell r="C2447" t="str">
            <v>2018 - 2019</v>
          </cell>
          <cell r="D2447" t="str">
            <v>reg_iter</v>
          </cell>
          <cell r="E2447" t="str">
            <v>gdp_for_agri</v>
          </cell>
          <cell r="F2447">
            <v>0</v>
          </cell>
        </row>
        <row r="2448">
          <cell r="A2448" t="str">
            <v>HND</v>
          </cell>
          <cell r="B2448" t="str">
            <v>Short</v>
          </cell>
          <cell r="C2448" t="str">
            <v>2018 - 2019</v>
          </cell>
          <cell r="D2448" t="str">
            <v>reg_iter</v>
          </cell>
          <cell r="E2448" t="str">
            <v>gdp_for_ind</v>
          </cell>
          <cell r="F2448">
            <v>0</v>
          </cell>
        </row>
        <row r="2449">
          <cell r="A2449" t="str">
            <v>HND</v>
          </cell>
          <cell r="B2449" t="str">
            <v>Short</v>
          </cell>
          <cell r="C2449" t="str">
            <v>2018 - 2019</v>
          </cell>
          <cell r="D2449" t="str">
            <v>reg_iter</v>
          </cell>
          <cell r="E2449" t="str">
            <v>gdp_for_serv</v>
          </cell>
          <cell r="F2449">
            <v>0</v>
          </cell>
        </row>
        <row r="2450">
          <cell r="A2450" t="str">
            <v>HND</v>
          </cell>
          <cell r="B2450" t="str">
            <v>Short</v>
          </cell>
          <cell r="C2450" t="str">
            <v>2018 - 2019</v>
          </cell>
          <cell r="D2450" t="str">
            <v>reg_iter</v>
          </cell>
          <cell r="E2450" t="str">
            <v>gdp_inf_agri</v>
          </cell>
          <cell r="F2450">
            <v>0</v>
          </cell>
        </row>
        <row r="2451">
          <cell r="A2451" t="str">
            <v>HND</v>
          </cell>
          <cell r="B2451" t="str">
            <v>Short</v>
          </cell>
          <cell r="C2451" t="str">
            <v>2018 - 2019</v>
          </cell>
          <cell r="D2451" t="str">
            <v>reg_iter</v>
          </cell>
          <cell r="E2451" t="str">
            <v>gdp_inf_ind</v>
          </cell>
          <cell r="F2451">
            <v>0</v>
          </cell>
        </row>
        <row r="2452">
          <cell r="A2452" t="str">
            <v>HND</v>
          </cell>
          <cell r="B2452" t="str">
            <v>Short</v>
          </cell>
          <cell r="C2452" t="str">
            <v>2018 - 2019</v>
          </cell>
          <cell r="D2452" t="str">
            <v>reg_iter</v>
          </cell>
          <cell r="E2452" t="str">
            <v>gdp_inf_serv</v>
          </cell>
          <cell r="F2452">
            <v>0</v>
          </cell>
        </row>
        <row r="2453">
          <cell r="A2453" t="str">
            <v>HND</v>
          </cell>
          <cell r="B2453" t="str">
            <v>Short</v>
          </cell>
          <cell r="C2453" t="str">
            <v>2018 - 2019</v>
          </cell>
          <cell r="D2453" t="str">
            <v>reg_iter</v>
          </cell>
          <cell r="E2453" t="str">
            <v>prod_for_agri</v>
          </cell>
          <cell r="F2453">
            <v>0</v>
          </cell>
        </row>
        <row r="2454">
          <cell r="A2454" t="str">
            <v>HND</v>
          </cell>
          <cell r="B2454" t="str">
            <v>Short</v>
          </cell>
          <cell r="C2454" t="str">
            <v>2018 - 2019</v>
          </cell>
          <cell r="D2454" t="str">
            <v>reg_iter</v>
          </cell>
          <cell r="E2454" t="str">
            <v>prod_for_ind</v>
          </cell>
          <cell r="F2454">
            <v>0</v>
          </cell>
        </row>
        <row r="2455">
          <cell r="A2455" t="str">
            <v>HND</v>
          </cell>
          <cell r="B2455" t="str">
            <v>Short</v>
          </cell>
          <cell r="C2455" t="str">
            <v>2018 - 2019</v>
          </cell>
          <cell r="D2455" t="str">
            <v>reg_iter</v>
          </cell>
          <cell r="E2455" t="str">
            <v>prod_for_serv</v>
          </cell>
          <cell r="F2455">
            <v>0</v>
          </cell>
        </row>
        <row r="2456">
          <cell r="A2456" t="str">
            <v>HND</v>
          </cell>
          <cell r="B2456" t="str">
            <v>Short</v>
          </cell>
          <cell r="C2456" t="str">
            <v>2018 - 2019</v>
          </cell>
          <cell r="D2456" t="str">
            <v>reg_iter</v>
          </cell>
          <cell r="E2456" t="str">
            <v>prod_inf_agri</v>
          </cell>
          <cell r="F2456">
            <v>0</v>
          </cell>
        </row>
        <row r="2457">
          <cell r="A2457" t="str">
            <v>HND</v>
          </cell>
          <cell r="B2457" t="str">
            <v>Short</v>
          </cell>
          <cell r="C2457" t="str">
            <v>2018 - 2019</v>
          </cell>
          <cell r="D2457" t="str">
            <v>reg_iter</v>
          </cell>
          <cell r="E2457" t="str">
            <v>prod_inf_ind</v>
          </cell>
          <cell r="F2457">
            <v>0</v>
          </cell>
        </row>
        <row r="2458">
          <cell r="A2458" t="str">
            <v>HND</v>
          </cell>
          <cell r="B2458" t="str">
            <v>Short</v>
          </cell>
          <cell r="C2458" t="str">
            <v>2018 - 2019</v>
          </cell>
          <cell r="D2458" t="str">
            <v>reg_iter</v>
          </cell>
          <cell r="E2458" t="str">
            <v>prod_inf_serv</v>
          </cell>
          <cell r="F2458">
            <v>0</v>
          </cell>
        </row>
        <row r="2459">
          <cell r="A2459" t="str">
            <v>MEX</v>
          </cell>
          <cell r="B2459" t="str">
            <v>Long</v>
          </cell>
          <cell r="C2459" t="str">
            <v>2006 - 2022</v>
          </cell>
          <cell r="D2459" t="str">
            <v>avg</v>
          </cell>
          <cell r="E2459" t="str">
            <v>gdp_activity</v>
          </cell>
          <cell r="F2459">
            <v>0.34904143214225769</v>
          </cell>
        </row>
        <row r="2460">
          <cell r="A2460" t="str">
            <v>MEX</v>
          </cell>
          <cell r="B2460" t="str">
            <v>Long</v>
          </cell>
          <cell r="C2460" t="str">
            <v>2006 - 2022</v>
          </cell>
          <cell r="D2460" t="str">
            <v>avg</v>
          </cell>
          <cell r="E2460" t="str">
            <v>gdp_for_agri</v>
          </cell>
          <cell r="F2460">
            <v>2.101197481155396</v>
          </cell>
        </row>
        <row r="2461">
          <cell r="A2461" t="str">
            <v>MEX</v>
          </cell>
          <cell r="B2461" t="str">
            <v>Long</v>
          </cell>
          <cell r="C2461" t="str">
            <v>2006 - 2022</v>
          </cell>
          <cell r="D2461" t="str">
            <v>avg</v>
          </cell>
          <cell r="E2461" t="str">
            <v>gdp_for_ind</v>
          </cell>
          <cell r="F2461">
            <v>4.7025394439697266</v>
          </cell>
        </row>
        <row r="2462">
          <cell r="A2462" t="str">
            <v>MEX</v>
          </cell>
          <cell r="B2462" t="str">
            <v>Long</v>
          </cell>
          <cell r="C2462" t="str">
            <v>2006 - 2022</v>
          </cell>
          <cell r="D2462" t="str">
            <v>avg</v>
          </cell>
          <cell r="E2462" t="str">
            <v>gdp_for_serv</v>
          </cell>
          <cell r="F2462">
            <v>2.0900647640228271</v>
          </cell>
        </row>
        <row r="2463">
          <cell r="A2463" t="str">
            <v>MEX</v>
          </cell>
          <cell r="B2463" t="str">
            <v>Long</v>
          </cell>
          <cell r="C2463" t="str">
            <v>2006 - 2022</v>
          </cell>
          <cell r="D2463" t="str">
            <v>avg</v>
          </cell>
          <cell r="E2463" t="str">
            <v>gdp_inf_agri</v>
          </cell>
          <cell r="F2463">
            <v>2.112596988677979</v>
          </cell>
        </row>
        <row r="2464">
          <cell r="A2464" t="str">
            <v>MEX</v>
          </cell>
          <cell r="B2464" t="str">
            <v>Long</v>
          </cell>
          <cell r="C2464" t="str">
            <v>2006 - 2022</v>
          </cell>
          <cell r="D2464" t="str">
            <v>avg</v>
          </cell>
          <cell r="E2464" t="str">
            <v>gdp_inf_ind</v>
          </cell>
          <cell r="F2464">
            <v>-1.003165602684021</v>
          </cell>
        </row>
        <row r="2465">
          <cell r="A2465" t="str">
            <v>MEX</v>
          </cell>
          <cell r="B2465" t="str">
            <v>Long</v>
          </cell>
          <cell r="C2465" t="str">
            <v>2006 - 2022</v>
          </cell>
          <cell r="D2465" t="str">
            <v>avg</v>
          </cell>
          <cell r="E2465" t="str">
            <v>gdp_inf_serv</v>
          </cell>
          <cell r="F2465">
            <v>0.13802690804004669</v>
          </cell>
        </row>
        <row r="2466">
          <cell r="A2466" t="str">
            <v>MEX</v>
          </cell>
          <cell r="B2466" t="str">
            <v>Long</v>
          </cell>
          <cell r="C2466" t="str">
            <v>2006 - 2022</v>
          </cell>
          <cell r="D2466" t="str">
            <v>avg</v>
          </cell>
          <cell r="E2466" t="str">
            <v>prod_for_agri</v>
          </cell>
          <cell r="F2466">
            <v>0.83526384830474854</v>
          </cell>
        </row>
        <row r="2467">
          <cell r="A2467" t="str">
            <v>MEX</v>
          </cell>
          <cell r="B2467" t="str">
            <v>Long</v>
          </cell>
          <cell r="C2467" t="str">
            <v>2006 - 2022</v>
          </cell>
          <cell r="D2467" t="str">
            <v>avg</v>
          </cell>
          <cell r="E2467" t="str">
            <v>prod_for_ind</v>
          </cell>
          <cell r="F2467">
            <v>-1.54765248298645</v>
          </cell>
        </row>
        <row r="2468">
          <cell r="A2468" t="str">
            <v>MEX</v>
          </cell>
          <cell r="B2468" t="str">
            <v>Long</v>
          </cell>
          <cell r="C2468" t="str">
            <v>2006 - 2022</v>
          </cell>
          <cell r="D2468" t="str">
            <v>avg</v>
          </cell>
          <cell r="E2468" t="str">
            <v>prod_for_serv</v>
          </cell>
          <cell r="F2468">
            <v>-12.620511054992679</v>
          </cell>
        </row>
        <row r="2469">
          <cell r="A2469" t="str">
            <v>MEX</v>
          </cell>
          <cell r="B2469" t="str">
            <v>Long</v>
          </cell>
          <cell r="C2469" t="str">
            <v>2006 - 2022</v>
          </cell>
          <cell r="D2469" t="str">
            <v>avg</v>
          </cell>
          <cell r="E2469" t="str">
            <v>prod_inf_agri</v>
          </cell>
          <cell r="F2469">
            <v>-2.4394814968109131</v>
          </cell>
        </row>
        <row r="2470">
          <cell r="A2470" t="str">
            <v>MEX</v>
          </cell>
          <cell r="B2470" t="str">
            <v>Long</v>
          </cell>
          <cell r="C2470" t="str">
            <v>2006 - 2022</v>
          </cell>
          <cell r="D2470" t="str">
            <v>avg</v>
          </cell>
          <cell r="E2470" t="str">
            <v>prod_inf_ind</v>
          </cell>
          <cell r="F2470">
            <v>-3.584290742874146</v>
          </cell>
        </row>
        <row r="2471">
          <cell r="A2471" t="str">
            <v>MEX</v>
          </cell>
          <cell r="B2471" t="str">
            <v>Long</v>
          </cell>
          <cell r="C2471" t="str">
            <v>2006 - 2022</v>
          </cell>
          <cell r="D2471" t="str">
            <v>avg</v>
          </cell>
          <cell r="E2471" t="str">
            <v>prod_inf_serv</v>
          </cell>
          <cell r="F2471">
            <v>15.768491744995121</v>
          </cell>
        </row>
        <row r="2472">
          <cell r="A2472" t="str">
            <v>MEX</v>
          </cell>
          <cell r="B2472" t="str">
            <v>Long</v>
          </cell>
          <cell r="C2472" t="str">
            <v>2006 - 2022</v>
          </cell>
          <cell r="D2472" t="str">
            <v>avg_1_99</v>
          </cell>
          <cell r="E2472" t="str">
            <v>gdp_activity</v>
          </cell>
          <cell r="F2472">
            <v>0.46558442711830139</v>
          </cell>
        </row>
        <row r="2473">
          <cell r="A2473" t="str">
            <v>MEX</v>
          </cell>
          <cell r="B2473" t="str">
            <v>Long</v>
          </cell>
          <cell r="C2473" t="str">
            <v>2006 - 2022</v>
          </cell>
          <cell r="D2473" t="str">
            <v>avg_1_99</v>
          </cell>
          <cell r="E2473" t="str">
            <v>gdp_for_agri</v>
          </cell>
          <cell r="F2473">
            <v>4.1117954254150391</v>
          </cell>
        </row>
        <row r="2474">
          <cell r="A2474" t="str">
            <v>MEX</v>
          </cell>
          <cell r="B2474" t="str">
            <v>Long</v>
          </cell>
          <cell r="C2474" t="str">
            <v>2006 - 2022</v>
          </cell>
          <cell r="D2474" t="str">
            <v>avg_1_99</v>
          </cell>
          <cell r="E2474" t="str">
            <v>gdp_for_ind</v>
          </cell>
          <cell r="F2474">
            <v>3.8783543109893799</v>
          </cell>
        </row>
        <row r="2475">
          <cell r="A2475" t="str">
            <v>MEX</v>
          </cell>
          <cell r="B2475" t="str">
            <v>Long</v>
          </cell>
          <cell r="C2475" t="str">
            <v>2006 - 2022</v>
          </cell>
          <cell r="D2475" t="str">
            <v>avg_1_99</v>
          </cell>
          <cell r="E2475" t="str">
            <v>gdp_for_serv</v>
          </cell>
          <cell r="F2475">
            <v>1.6787881851196289</v>
          </cell>
        </row>
        <row r="2476">
          <cell r="A2476" t="str">
            <v>MEX</v>
          </cell>
          <cell r="B2476" t="str">
            <v>Long</v>
          </cell>
          <cell r="C2476" t="str">
            <v>2006 - 2022</v>
          </cell>
          <cell r="D2476" t="str">
            <v>avg_1_99</v>
          </cell>
          <cell r="E2476" t="str">
            <v>gdp_inf_agri</v>
          </cell>
          <cell r="F2476">
            <v>1.5741966962814331</v>
          </cell>
        </row>
        <row r="2477">
          <cell r="A2477" t="str">
            <v>MEX</v>
          </cell>
          <cell r="B2477" t="str">
            <v>Long</v>
          </cell>
          <cell r="C2477" t="str">
            <v>2006 - 2022</v>
          </cell>
          <cell r="D2477" t="str">
            <v>avg_1_99</v>
          </cell>
          <cell r="E2477" t="str">
            <v>gdp_inf_ind</v>
          </cell>
          <cell r="F2477">
            <v>-0.52078062295913696</v>
          </cell>
        </row>
        <row r="2478">
          <cell r="A2478" t="str">
            <v>MEX</v>
          </cell>
          <cell r="B2478" t="str">
            <v>Long</v>
          </cell>
          <cell r="C2478" t="str">
            <v>2006 - 2022</v>
          </cell>
          <cell r="D2478" t="str">
            <v>avg_1_99</v>
          </cell>
          <cell r="E2478" t="str">
            <v>gdp_inf_serv</v>
          </cell>
          <cell r="F2478">
            <v>0.22732533514499659</v>
          </cell>
        </row>
        <row r="2479">
          <cell r="A2479" t="str">
            <v>MEX</v>
          </cell>
          <cell r="B2479" t="str">
            <v>Long</v>
          </cell>
          <cell r="C2479" t="str">
            <v>2006 - 2022</v>
          </cell>
          <cell r="D2479" t="str">
            <v>avg_1_99</v>
          </cell>
          <cell r="E2479" t="str">
            <v>prod_for_agri</v>
          </cell>
          <cell r="F2479">
            <v>0.6718515157699585</v>
          </cell>
        </row>
        <row r="2480">
          <cell r="A2480" t="str">
            <v>MEX</v>
          </cell>
          <cell r="B2480" t="str">
            <v>Long</v>
          </cell>
          <cell r="C2480" t="str">
            <v>2006 - 2022</v>
          </cell>
          <cell r="D2480" t="str">
            <v>avg_1_99</v>
          </cell>
          <cell r="E2480" t="str">
            <v>prod_for_ind</v>
          </cell>
          <cell r="F2480">
            <v>0.9609336256980896</v>
          </cell>
        </row>
        <row r="2481">
          <cell r="A2481" t="str">
            <v>MEX</v>
          </cell>
          <cell r="B2481" t="str">
            <v>Long</v>
          </cell>
          <cell r="C2481" t="str">
            <v>2006 - 2022</v>
          </cell>
          <cell r="D2481" t="str">
            <v>avg_1_99</v>
          </cell>
          <cell r="E2481" t="str">
            <v>prod_for_serv</v>
          </cell>
          <cell r="F2481">
            <v>-0.89332997798919678</v>
          </cell>
        </row>
        <row r="2482">
          <cell r="A2482" t="str">
            <v>MEX</v>
          </cell>
          <cell r="B2482" t="str">
            <v>Long</v>
          </cell>
          <cell r="C2482" t="str">
            <v>2006 - 2022</v>
          </cell>
          <cell r="D2482" t="str">
            <v>avg_1_99</v>
          </cell>
          <cell r="E2482" t="str">
            <v>prod_inf_agri</v>
          </cell>
          <cell r="F2482">
            <v>-3.0664668083190918</v>
          </cell>
        </row>
        <row r="2483">
          <cell r="A2483" t="str">
            <v>MEX</v>
          </cell>
          <cell r="B2483" t="str">
            <v>Long</v>
          </cell>
          <cell r="C2483" t="str">
            <v>2006 - 2022</v>
          </cell>
          <cell r="D2483" t="str">
            <v>avg_1_99</v>
          </cell>
          <cell r="E2483" t="str">
            <v>prod_inf_ind</v>
          </cell>
          <cell r="F2483">
            <v>1.03027880191803</v>
          </cell>
        </row>
        <row r="2484">
          <cell r="A2484" t="str">
            <v>MEX</v>
          </cell>
          <cell r="B2484" t="str">
            <v>Long</v>
          </cell>
          <cell r="C2484" t="str">
            <v>2006 - 2022</v>
          </cell>
          <cell r="D2484" t="str">
            <v>avg_1_99</v>
          </cell>
          <cell r="E2484" t="str">
            <v>prod_inf_serv</v>
          </cell>
          <cell r="F2484">
            <v>12.04103851318359</v>
          </cell>
        </row>
        <row r="2485">
          <cell r="A2485" t="str">
            <v>MEX</v>
          </cell>
          <cell r="B2485" t="str">
            <v>Long</v>
          </cell>
          <cell r="C2485" t="str">
            <v>2006 - 2022</v>
          </cell>
          <cell r="D2485" t="str">
            <v>avg_1_99_imp</v>
          </cell>
          <cell r="E2485" t="str">
            <v>gdp_activity</v>
          </cell>
          <cell r="F2485">
            <v>0.42632681131362921</v>
          </cell>
        </row>
        <row r="2486">
          <cell r="A2486" t="str">
            <v>MEX</v>
          </cell>
          <cell r="B2486" t="str">
            <v>Long</v>
          </cell>
          <cell r="C2486" t="str">
            <v>2006 - 2022</v>
          </cell>
          <cell r="D2486" t="str">
            <v>avg_1_99_imp</v>
          </cell>
          <cell r="E2486" t="str">
            <v>gdp_for_agri</v>
          </cell>
          <cell r="F2486">
            <v>3.9977471828460689</v>
          </cell>
        </row>
        <row r="2487">
          <cell r="A2487" t="str">
            <v>MEX</v>
          </cell>
          <cell r="B2487" t="str">
            <v>Long</v>
          </cell>
          <cell r="C2487" t="str">
            <v>2006 - 2022</v>
          </cell>
          <cell r="D2487" t="str">
            <v>avg_1_99_imp</v>
          </cell>
          <cell r="E2487" t="str">
            <v>gdp_for_ind</v>
          </cell>
          <cell r="F2487">
            <v>3.002444982528687</v>
          </cell>
        </row>
        <row r="2488">
          <cell r="A2488" t="str">
            <v>MEX</v>
          </cell>
          <cell r="B2488" t="str">
            <v>Long</v>
          </cell>
          <cell r="C2488" t="str">
            <v>2006 - 2022</v>
          </cell>
          <cell r="D2488" t="str">
            <v>avg_1_99_imp</v>
          </cell>
          <cell r="E2488" t="str">
            <v>gdp_for_serv</v>
          </cell>
          <cell r="F2488">
            <v>1.901257276535034</v>
          </cell>
        </row>
        <row r="2489">
          <cell r="A2489" t="str">
            <v>MEX</v>
          </cell>
          <cell r="B2489" t="str">
            <v>Long</v>
          </cell>
          <cell r="C2489" t="str">
            <v>2006 - 2022</v>
          </cell>
          <cell r="D2489" t="str">
            <v>avg_1_99_imp</v>
          </cell>
          <cell r="E2489" t="str">
            <v>gdp_inf_agri</v>
          </cell>
          <cell r="F2489">
            <v>1.18277370929718</v>
          </cell>
        </row>
        <row r="2490">
          <cell r="A2490" t="str">
            <v>MEX</v>
          </cell>
          <cell r="B2490" t="str">
            <v>Long</v>
          </cell>
          <cell r="C2490" t="str">
            <v>2006 - 2022</v>
          </cell>
          <cell r="D2490" t="str">
            <v>avg_1_99_imp</v>
          </cell>
          <cell r="E2490" t="str">
            <v>gdp_inf_ind</v>
          </cell>
          <cell r="F2490">
            <v>-0.34810745716094971</v>
          </cell>
        </row>
        <row r="2491">
          <cell r="A2491" t="str">
            <v>MEX</v>
          </cell>
          <cell r="B2491" t="str">
            <v>Long</v>
          </cell>
          <cell r="C2491" t="str">
            <v>2006 - 2022</v>
          </cell>
          <cell r="D2491" t="str">
            <v>avg_1_99_imp</v>
          </cell>
          <cell r="E2491" t="str">
            <v>gdp_inf_serv</v>
          </cell>
          <cell r="F2491">
            <v>0.23001901805400851</v>
          </cell>
        </row>
        <row r="2492">
          <cell r="A2492" t="str">
            <v>MEX</v>
          </cell>
          <cell r="B2492" t="str">
            <v>Long</v>
          </cell>
          <cell r="C2492" t="str">
            <v>2006 - 2022</v>
          </cell>
          <cell r="D2492" t="str">
            <v>avg_1_99_imp</v>
          </cell>
          <cell r="E2492" t="str">
            <v>prod_for_agri</v>
          </cell>
          <cell r="F2492">
            <v>-0.14197349548339841</v>
          </cell>
        </row>
        <row r="2493">
          <cell r="A2493" t="str">
            <v>MEX</v>
          </cell>
          <cell r="B2493" t="str">
            <v>Long</v>
          </cell>
          <cell r="C2493" t="str">
            <v>2006 - 2022</v>
          </cell>
          <cell r="D2493" t="str">
            <v>avg_1_99_imp</v>
          </cell>
          <cell r="E2493" t="str">
            <v>prod_for_ind</v>
          </cell>
          <cell r="F2493">
            <v>1.1437938213348391</v>
          </cell>
        </row>
        <row r="2494">
          <cell r="A2494" t="str">
            <v>MEX</v>
          </cell>
          <cell r="B2494" t="str">
            <v>Long</v>
          </cell>
          <cell r="C2494" t="str">
            <v>2006 - 2022</v>
          </cell>
          <cell r="D2494" t="str">
            <v>avg_1_99_imp</v>
          </cell>
          <cell r="E2494" t="str">
            <v>prod_for_serv</v>
          </cell>
          <cell r="F2494">
            <v>0.26684859395027161</v>
          </cell>
        </row>
        <row r="2495">
          <cell r="A2495" t="str">
            <v>MEX</v>
          </cell>
          <cell r="B2495" t="str">
            <v>Long</v>
          </cell>
          <cell r="C2495" t="str">
            <v>2006 - 2022</v>
          </cell>
          <cell r="D2495" t="str">
            <v>avg_1_99_imp</v>
          </cell>
          <cell r="E2495" t="str">
            <v>prod_inf_agri</v>
          </cell>
          <cell r="F2495">
            <v>-2.2764918804168701</v>
          </cell>
        </row>
        <row r="2496">
          <cell r="A2496" t="str">
            <v>MEX</v>
          </cell>
          <cell r="B2496" t="str">
            <v>Long</v>
          </cell>
          <cell r="C2496" t="str">
            <v>2006 - 2022</v>
          </cell>
          <cell r="D2496" t="str">
            <v>avg_1_99_imp</v>
          </cell>
          <cell r="E2496" t="str">
            <v>prod_inf_ind</v>
          </cell>
          <cell r="F2496">
            <v>1.2189821004867549</v>
          </cell>
        </row>
        <row r="2497">
          <cell r="A2497" t="str">
            <v>MEX</v>
          </cell>
          <cell r="B2497" t="str">
            <v>Long</v>
          </cell>
          <cell r="C2497" t="str">
            <v>2006 - 2022</v>
          </cell>
          <cell r="D2497" t="str">
            <v>avg_1_99_imp</v>
          </cell>
          <cell r="E2497" t="str">
            <v>prod_inf_serv</v>
          </cell>
          <cell r="F2497">
            <v>9.4106588363647461</v>
          </cell>
        </row>
        <row r="2498">
          <cell r="A2498" t="str">
            <v>MEX</v>
          </cell>
          <cell r="B2498" t="str">
            <v>Long</v>
          </cell>
          <cell r="C2498" t="str">
            <v>2006 - 2022</v>
          </cell>
          <cell r="D2498" t="str">
            <v>reg</v>
          </cell>
          <cell r="E2498" t="str">
            <v>gdp_activity</v>
          </cell>
          <cell r="F2498">
            <v>1.177432656288147</v>
          </cell>
        </row>
        <row r="2499">
          <cell r="A2499" t="str">
            <v>MEX</v>
          </cell>
          <cell r="B2499" t="str">
            <v>Long</v>
          </cell>
          <cell r="C2499" t="str">
            <v>2006 - 2022</v>
          </cell>
          <cell r="D2499" t="str">
            <v>reg</v>
          </cell>
          <cell r="E2499" t="str">
            <v>gdp_for_agri</v>
          </cell>
          <cell r="F2499">
            <v>5.6076736450195313</v>
          </cell>
        </row>
        <row r="2500">
          <cell r="A2500" t="str">
            <v>MEX</v>
          </cell>
          <cell r="B2500" t="str">
            <v>Long</v>
          </cell>
          <cell r="C2500" t="str">
            <v>2006 - 2022</v>
          </cell>
          <cell r="D2500" t="str">
            <v>reg</v>
          </cell>
          <cell r="E2500" t="str">
            <v>gdp_for_ind</v>
          </cell>
          <cell r="F2500">
            <v>2.5935442447662349</v>
          </cell>
        </row>
        <row r="2501">
          <cell r="A2501" t="str">
            <v>MEX</v>
          </cell>
          <cell r="B2501" t="str">
            <v>Long</v>
          </cell>
          <cell r="C2501" t="str">
            <v>2006 - 2022</v>
          </cell>
          <cell r="D2501" t="str">
            <v>reg</v>
          </cell>
          <cell r="E2501" t="str">
            <v>gdp_for_serv</v>
          </cell>
          <cell r="F2501">
            <v>2.8044369220733638</v>
          </cell>
        </row>
        <row r="2502">
          <cell r="A2502" t="str">
            <v>MEX</v>
          </cell>
          <cell r="B2502" t="str">
            <v>Long</v>
          </cell>
          <cell r="C2502" t="str">
            <v>2006 - 2022</v>
          </cell>
          <cell r="D2502" t="str">
            <v>reg</v>
          </cell>
          <cell r="E2502" t="str">
            <v>gdp_inf_agri</v>
          </cell>
          <cell r="F2502">
            <v>0.5983579158782959</v>
          </cell>
        </row>
        <row r="2503">
          <cell r="A2503" t="str">
            <v>MEX</v>
          </cell>
          <cell r="B2503" t="str">
            <v>Long</v>
          </cell>
          <cell r="C2503" t="str">
            <v>2006 - 2022</v>
          </cell>
          <cell r="D2503" t="str">
            <v>reg</v>
          </cell>
          <cell r="E2503" t="str">
            <v>gdp_inf_ind</v>
          </cell>
          <cell r="F2503">
            <v>-0.29647159576416021</v>
          </cell>
        </row>
        <row r="2504">
          <cell r="A2504" t="str">
            <v>MEX</v>
          </cell>
          <cell r="B2504" t="str">
            <v>Long</v>
          </cell>
          <cell r="C2504" t="str">
            <v>2006 - 2022</v>
          </cell>
          <cell r="D2504" t="str">
            <v>reg</v>
          </cell>
          <cell r="E2504" t="str">
            <v>gdp_inf_serv</v>
          </cell>
          <cell r="F2504">
            <v>-0.4572884738445282</v>
          </cell>
        </row>
        <row r="2505">
          <cell r="A2505" t="str">
            <v>MEX</v>
          </cell>
          <cell r="B2505" t="str">
            <v>Long</v>
          </cell>
          <cell r="C2505" t="str">
            <v>2006 - 2022</v>
          </cell>
          <cell r="D2505" t="str">
            <v>reg</v>
          </cell>
          <cell r="E2505" t="str">
            <v>prod_for_agri</v>
          </cell>
          <cell r="F2505">
            <v>0.39754807949066162</v>
          </cell>
        </row>
        <row r="2506">
          <cell r="A2506" t="str">
            <v>MEX</v>
          </cell>
          <cell r="B2506" t="str">
            <v>Long</v>
          </cell>
          <cell r="C2506" t="str">
            <v>2006 - 2022</v>
          </cell>
          <cell r="D2506" t="str">
            <v>reg</v>
          </cell>
          <cell r="E2506" t="str">
            <v>prod_for_ind</v>
          </cell>
          <cell r="F2506">
            <v>0.2288094162940979</v>
          </cell>
        </row>
        <row r="2507">
          <cell r="A2507" t="str">
            <v>MEX</v>
          </cell>
          <cell r="B2507" t="str">
            <v>Long</v>
          </cell>
          <cell r="C2507" t="str">
            <v>2006 - 2022</v>
          </cell>
          <cell r="D2507" t="str">
            <v>reg</v>
          </cell>
          <cell r="E2507" t="str">
            <v>prod_for_serv</v>
          </cell>
          <cell r="F2507">
            <v>1.328038692474365</v>
          </cell>
        </row>
        <row r="2508">
          <cell r="A2508" t="str">
            <v>MEX</v>
          </cell>
          <cell r="B2508" t="str">
            <v>Long</v>
          </cell>
          <cell r="C2508" t="str">
            <v>2006 - 2022</v>
          </cell>
          <cell r="D2508" t="str">
            <v>reg</v>
          </cell>
          <cell r="E2508" t="str">
            <v>prod_inf_agri</v>
          </cell>
          <cell r="F2508">
            <v>1.495973467826843</v>
          </cell>
        </row>
        <row r="2509">
          <cell r="A2509" t="str">
            <v>MEX</v>
          </cell>
          <cell r="B2509" t="str">
            <v>Long</v>
          </cell>
          <cell r="C2509" t="str">
            <v>2006 - 2022</v>
          </cell>
          <cell r="D2509" t="str">
            <v>reg</v>
          </cell>
          <cell r="E2509" t="str">
            <v>prod_inf_ind</v>
          </cell>
          <cell r="F2509">
            <v>5.6289555504918098E-3</v>
          </cell>
        </row>
        <row r="2510">
          <cell r="A2510" t="str">
            <v>MEX</v>
          </cell>
          <cell r="B2510" t="str">
            <v>Long</v>
          </cell>
          <cell r="C2510" t="str">
            <v>2006 - 2022</v>
          </cell>
          <cell r="D2510" t="str">
            <v>reg</v>
          </cell>
          <cell r="E2510" t="str">
            <v>prod_inf_serv</v>
          </cell>
          <cell r="F2510">
            <v>0.62344211339950562</v>
          </cell>
        </row>
        <row r="2511">
          <cell r="A2511" t="str">
            <v>MEX</v>
          </cell>
          <cell r="B2511" t="str">
            <v>Long</v>
          </cell>
          <cell r="C2511" t="str">
            <v>2006 - 2022</v>
          </cell>
          <cell r="D2511" t="str">
            <v>reg_gdp</v>
          </cell>
          <cell r="E2511" t="str">
            <v>gdp_activity</v>
          </cell>
          <cell r="F2511">
            <v>1.177432656288147</v>
          </cell>
        </row>
        <row r="2512">
          <cell r="A2512" t="str">
            <v>MEX</v>
          </cell>
          <cell r="B2512" t="str">
            <v>Long</v>
          </cell>
          <cell r="C2512" t="str">
            <v>2006 - 2022</v>
          </cell>
          <cell r="D2512" t="str">
            <v>reg_gdp</v>
          </cell>
          <cell r="E2512" t="str">
            <v>gdp_for_agri</v>
          </cell>
          <cell r="F2512">
            <v>6.2774906158447266</v>
          </cell>
        </row>
        <row r="2513">
          <cell r="A2513" t="str">
            <v>MEX</v>
          </cell>
          <cell r="B2513" t="str">
            <v>Long</v>
          </cell>
          <cell r="C2513" t="str">
            <v>2006 - 2022</v>
          </cell>
          <cell r="D2513" t="str">
            <v>reg_gdp</v>
          </cell>
          <cell r="E2513" t="str">
            <v>gdp_for_ind</v>
          </cell>
          <cell r="F2513">
            <v>-3.8575897216796879</v>
          </cell>
        </row>
        <row r="2514">
          <cell r="A2514" t="str">
            <v>MEX</v>
          </cell>
          <cell r="B2514" t="str">
            <v>Long</v>
          </cell>
          <cell r="C2514" t="str">
            <v>2006 - 2022</v>
          </cell>
          <cell r="D2514" t="str">
            <v>reg_gdp</v>
          </cell>
          <cell r="E2514" t="str">
            <v>gdp_for_serv</v>
          </cell>
          <cell r="F2514">
            <v>7.1669406890869141</v>
          </cell>
        </row>
        <row r="2515">
          <cell r="A2515" t="str">
            <v>MEX</v>
          </cell>
          <cell r="B2515" t="str">
            <v>Long</v>
          </cell>
          <cell r="C2515" t="str">
            <v>2006 - 2022</v>
          </cell>
          <cell r="D2515" t="str">
            <v>reg_gdp</v>
          </cell>
          <cell r="E2515" t="str">
            <v>gdp_inf_agri</v>
          </cell>
          <cell r="F2515">
            <v>6.7310966551303864E-2</v>
          </cell>
        </row>
        <row r="2516">
          <cell r="A2516" t="str">
            <v>MEX</v>
          </cell>
          <cell r="B2516" t="str">
            <v>Long</v>
          </cell>
          <cell r="C2516" t="str">
            <v>2006 - 2022</v>
          </cell>
          <cell r="D2516" t="str">
            <v>reg_gdp</v>
          </cell>
          <cell r="E2516" t="str">
            <v>gdp_inf_ind</v>
          </cell>
          <cell r="F2516">
            <v>0.86362653970718384</v>
          </cell>
        </row>
        <row r="2517">
          <cell r="A2517" t="str">
            <v>MEX</v>
          </cell>
          <cell r="B2517" t="str">
            <v>Long</v>
          </cell>
          <cell r="C2517" t="str">
            <v>2006 - 2022</v>
          </cell>
          <cell r="D2517" t="str">
            <v>reg_gdp</v>
          </cell>
          <cell r="E2517" t="str">
            <v>gdp_inf_serv</v>
          </cell>
          <cell r="F2517">
            <v>-2.268959522247314</v>
          </cell>
        </row>
        <row r="2518">
          <cell r="A2518" t="str">
            <v>MEX</v>
          </cell>
          <cell r="B2518" t="str">
            <v>Long</v>
          </cell>
          <cell r="C2518" t="str">
            <v>2006 - 2022</v>
          </cell>
          <cell r="D2518" t="str">
            <v>reg_gdp</v>
          </cell>
          <cell r="E2518" t="str">
            <v>prod_for_agri</v>
          </cell>
          <cell r="F2518">
            <v>0.1186507567763329</v>
          </cell>
        </row>
        <row r="2519">
          <cell r="A2519" t="str">
            <v>MEX</v>
          </cell>
          <cell r="B2519" t="str">
            <v>Long</v>
          </cell>
          <cell r="C2519" t="str">
            <v>2006 - 2022</v>
          </cell>
          <cell r="D2519" t="str">
            <v>reg_gdp</v>
          </cell>
          <cell r="E2519" t="str">
            <v>prod_for_ind</v>
          </cell>
          <cell r="F2519">
            <v>0.34108051657676702</v>
          </cell>
        </row>
        <row r="2520">
          <cell r="A2520" t="str">
            <v>MEX</v>
          </cell>
          <cell r="B2520" t="str">
            <v>Long</v>
          </cell>
          <cell r="C2520" t="str">
            <v>2006 - 2022</v>
          </cell>
          <cell r="D2520" t="str">
            <v>reg_gdp</v>
          </cell>
          <cell r="E2520" t="str">
            <v>prod_for_serv</v>
          </cell>
          <cell r="F2520">
            <v>1.2434757947921751</v>
          </cell>
        </row>
        <row r="2521">
          <cell r="A2521" t="str">
            <v>MEX</v>
          </cell>
          <cell r="B2521" t="str">
            <v>Long</v>
          </cell>
          <cell r="C2521" t="str">
            <v>2006 - 2022</v>
          </cell>
          <cell r="D2521" t="str">
            <v>reg_gdp</v>
          </cell>
          <cell r="E2521" t="str">
            <v>prod_inf_agri</v>
          </cell>
          <cell r="F2521">
            <v>1.618721604347229</v>
          </cell>
        </row>
        <row r="2522">
          <cell r="A2522" t="str">
            <v>MEX</v>
          </cell>
          <cell r="B2522" t="str">
            <v>Long</v>
          </cell>
          <cell r="C2522" t="str">
            <v>2006 - 2022</v>
          </cell>
          <cell r="D2522" t="str">
            <v>reg_gdp</v>
          </cell>
          <cell r="E2522" t="str">
            <v>prod_inf_ind</v>
          </cell>
          <cell r="F2522">
            <v>0.18952573835849759</v>
          </cell>
        </row>
        <row r="2523">
          <cell r="A2523" t="str">
            <v>MEX</v>
          </cell>
          <cell r="B2523" t="str">
            <v>Long</v>
          </cell>
          <cell r="C2523" t="str">
            <v>2006 - 2022</v>
          </cell>
          <cell r="D2523" t="str">
            <v>reg_gdp</v>
          </cell>
          <cell r="E2523" t="str">
            <v>prod_inf_serv</v>
          </cell>
          <cell r="F2523">
            <v>0.58025312423706055</v>
          </cell>
        </row>
        <row r="2524">
          <cell r="A2524" t="str">
            <v>MEX</v>
          </cell>
          <cell r="B2524" t="str">
            <v>Long</v>
          </cell>
          <cell r="C2524" t="str">
            <v>2006 - 2022</v>
          </cell>
          <cell r="D2524" t="str">
            <v>reg_iter</v>
          </cell>
          <cell r="E2524" t="str">
            <v>gdp_activity</v>
          </cell>
          <cell r="F2524">
            <v>0.66791695356369019</v>
          </cell>
        </row>
        <row r="2525">
          <cell r="A2525" t="str">
            <v>MEX</v>
          </cell>
          <cell r="B2525" t="str">
            <v>Long</v>
          </cell>
          <cell r="C2525" t="str">
            <v>2006 - 2022</v>
          </cell>
          <cell r="D2525" t="str">
            <v>reg_iter</v>
          </cell>
          <cell r="E2525" t="str">
            <v>gdp_for_agri</v>
          </cell>
          <cell r="F2525">
            <v>3.862334251403809</v>
          </cell>
        </row>
        <row r="2526">
          <cell r="A2526" t="str">
            <v>MEX</v>
          </cell>
          <cell r="B2526" t="str">
            <v>Long</v>
          </cell>
          <cell r="C2526" t="str">
            <v>2006 - 2022</v>
          </cell>
          <cell r="D2526" t="str">
            <v>reg_iter</v>
          </cell>
          <cell r="E2526" t="str">
            <v>gdp_for_ind</v>
          </cell>
          <cell r="F2526">
            <v>1.034627318382263</v>
          </cell>
        </row>
        <row r="2527">
          <cell r="A2527" t="str">
            <v>MEX</v>
          </cell>
          <cell r="B2527" t="str">
            <v>Long</v>
          </cell>
          <cell r="C2527" t="str">
            <v>2006 - 2022</v>
          </cell>
          <cell r="D2527" t="str">
            <v>reg_iter</v>
          </cell>
          <cell r="E2527" t="str">
            <v>gdp_for_serv</v>
          </cell>
          <cell r="F2527">
            <v>0.68079733848571777</v>
          </cell>
        </row>
        <row r="2528">
          <cell r="A2528" t="str">
            <v>MEX</v>
          </cell>
          <cell r="B2528" t="str">
            <v>Long</v>
          </cell>
          <cell r="C2528" t="str">
            <v>2006 - 2022</v>
          </cell>
          <cell r="D2528" t="str">
            <v>reg_iter</v>
          </cell>
          <cell r="E2528" t="str">
            <v>gdp_inf_agri</v>
          </cell>
          <cell r="F2528">
            <v>1.728897333145142</v>
          </cell>
        </row>
        <row r="2529">
          <cell r="A2529" t="str">
            <v>MEX</v>
          </cell>
          <cell r="B2529" t="str">
            <v>Long</v>
          </cell>
          <cell r="C2529" t="str">
            <v>2006 - 2022</v>
          </cell>
          <cell r="D2529" t="str">
            <v>reg_iter</v>
          </cell>
          <cell r="E2529" t="str">
            <v>gdp_inf_ind</v>
          </cell>
          <cell r="F2529">
            <v>-9.0432446449995041E-3</v>
          </cell>
        </row>
        <row r="2530">
          <cell r="A2530" t="str">
            <v>MEX</v>
          </cell>
          <cell r="B2530" t="str">
            <v>Long</v>
          </cell>
          <cell r="C2530" t="str">
            <v>2006 - 2022</v>
          </cell>
          <cell r="D2530" t="str">
            <v>reg_iter</v>
          </cell>
          <cell r="E2530" t="str">
            <v>gdp_inf_serv</v>
          </cell>
          <cell r="F2530">
            <v>0.91141277551651001</v>
          </cell>
        </row>
        <row r="2531">
          <cell r="A2531" t="str">
            <v>MEX</v>
          </cell>
          <cell r="B2531" t="str">
            <v>Long</v>
          </cell>
          <cell r="C2531" t="str">
            <v>2006 - 2022</v>
          </cell>
          <cell r="D2531" t="str">
            <v>reg_iter</v>
          </cell>
          <cell r="E2531" t="str">
            <v>prod_for_agri</v>
          </cell>
          <cell r="F2531">
            <v>0.49011024832725519</v>
          </cell>
        </row>
        <row r="2532">
          <cell r="A2532" t="str">
            <v>MEX</v>
          </cell>
          <cell r="B2532" t="str">
            <v>Long</v>
          </cell>
          <cell r="C2532" t="str">
            <v>2006 - 2022</v>
          </cell>
          <cell r="D2532" t="str">
            <v>reg_iter</v>
          </cell>
          <cell r="E2532" t="str">
            <v>prod_for_ind</v>
          </cell>
          <cell r="F2532">
            <v>0.32660096883773798</v>
          </cell>
        </row>
        <row r="2533">
          <cell r="A2533" t="str">
            <v>MEX</v>
          </cell>
          <cell r="B2533" t="str">
            <v>Long</v>
          </cell>
          <cell r="C2533" t="str">
            <v>2006 - 2022</v>
          </cell>
          <cell r="D2533" t="str">
            <v>reg_iter</v>
          </cell>
          <cell r="E2533" t="str">
            <v>prod_for_serv</v>
          </cell>
          <cell r="F2533">
            <v>0.59539014101028442</v>
          </cell>
        </row>
        <row r="2534">
          <cell r="A2534" t="str">
            <v>MEX</v>
          </cell>
          <cell r="B2534" t="str">
            <v>Long</v>
          </cell>
          <cell r="C2534" t="str">
            <v>2006 - 2022</v>
          </cell>
          <cell r="D2534" t="str">
            <v>reg_iter</v>
          </cell>
          <cell r="E2534" t="str">
            <v>prod_inf_agri</v>
          </cell>
          <cell r="F2534">
            <v>1.4353241920471189</v>
          </cell>
        </row>
        <row r="2535">
          <cell r="A2535" t="str">
            <v>MEX</v>
          </cell>
          <cell r="B2535" t="str">
            <v>Long</v>
          </cell>
          <cell r="C2535" t="str">
            <v>2006 - 2022</v>
          </cell>
          <cell r="D2535" t="str">
            <v>reg_iter</v>
          </cell>
          <cell r="E2535" t="str">
            <v>prod_inf_ind</v>
          </cell>
          <cell r="F2535">
            <v>0.66188371181488037</v>
          </cell>
        </row>
        <row r="2536">
          <cell r="A2536" t="str">
            <v>MEX</v>
          </cell>
          <cell r="B2536" t="str">
            <v>Long</v>
          </cell>
          <cell r="C2536" t="str">
            <v>2006 - 2022</v>
          </cell>
          <cell r="D2536" t="str">
            <v>reg_iter</v>
          </cell>
          <cell r="E2536" t="str">
            <v>prod_inf_serv</v>
          </cell>
          <cell r="F2536">
            <v>0.38319352269172668</v>
          </cell>
        </row>
        <row r="2537">
          <cell r="A2537" t="str">
            <v>MEX</v>
          </cell>
          <cell r="B2537" t="str">
            <v>Middle</v>
          </cell>
          <cell r="C2537" t="str">
            <v>2016 - 2022</v>
          </cell>
          <cell r="D2537" t="str">
            <v>avg</v>
          </cell>
          <cell r="E2537" t="str">
            <v>gdp_activity</v>
          </cell>
          <cell r="F2537">
            <v>0.59447109699249268</v>
          </cell>
        </row>
        <row r="2538">
          <cell r="A2538" t="str">
            <v>MEX</v>
          </cell>
          <cell r="B2538" t="str">
            <v>Middle</v>
          </cell>
          <cell r="C2538" t="str">
            <v>2016 - 2022</v>
          </cell>
          <cell r="D2538" t="str">
            <v>avg</v>
          </cell>
          <cell r="E2538" t="str">
            <v>gdp_for_agri</v>
          </cell>
          <cell r="F2538">
            <v>6.0167675018310547</v>
          </cell>
        </row>
        <row r="2539">
          <cell r="A2539" t="str">
            <v>MEX</v>
          </cell>
          <cell r="B2539" t="str">
            <v>Middle</v>
          </cell>
          <cell r="C2539" t="str">
            <v>2016 - 2022</v>
          </cell>
          <cell r="D2539" t="str">
            <v>avg</v>
          </cell>
          <cell r="E2539" t="str">
            <v>gdp_for_ind</v>
          </cell>
          <cell r="F2539">
            <v>6.6048574447631836</v>
          </cell>
        </row>
        <row r="2540">
          <cell r="A2540" t="str">
            <v>MEX</v>
          </cell>
          <cell r="B2540" t="str">
            <v>Middle</v>
          </cell>
          <cell r="C2540" t="str">
            <v>2016 - 2022</v>
          </cell>
          <cell r="D2540" t="str">
            <v>avg</v>
          </cell>
          <cell r="E2540" t="str">
            <v>gdp_for_serv</v>
          </cell>
          <cell r="F2540">
            <v>2.3803613185882568</v>
          </cell>
        </row>
        <row r="2541">
          <cell r="A2541" t="str">
            <v>MEX</v>
          </cell>
          <cell r="B2541" t="str">
            <v>Middle</v>
          </cell>
          <cell r="C2541" t="str">
            <v>2016 - 2022</v>
          </cell>
          <cell r="D2541" t="str">
            <v>avg</v>
          </cell>
          <cell r="E2541" t="str">
            <v>gdp_inf_agri</v>
          </cell>
          <cell r="F2541">
            <v>-7.1746647357940674E-2</v>
          </cell>
        </row>
        <row r="2542">
          <cell r="A2542" t="str">
            <v>MEX</v>
          </cell>
          <cell r="B2542" t="str">
            <v>Middle</v>
          </cell>
          <cell r="C2542" t="str">
            <v>2016 - 2022</v>
          </cell>
          <cell r="D2542" t="str">
            <v>avg</v>
          </cell>
          <cell r="E2542" t="str">
            <v>gdp_inf_ind</v>
          </cell>
          <cell r="F2542">
            <v>-1.415943503379822</v>
          </cell>
        </row>
        <row r="2543">
          <cell r="A2543" t="str">
            <v>MEX</v>
          </cell>
          <cell r="B2543" t="str">
            <v>Middle</v>
          </cell>
          <cell r="C2543" t="str">
            <v>2016 - 2022</v>
          </cell>
          <cell r="D2543" t="str">
            <v>avg</v>
          </cell>
          <cell r="E2543" t="str">
            <v>gdp_inf_serv</v>
          </cell>
          <cell r="F2543">
            <v>-0.5323638916015625</v>
          </cell>
        </row>
        <row r="2544">
          <cell r="A2544" t="str">
            <v>MEX</v>
          </cell>
          <cell r="B2544" t="str">
            <v>Middle</v>
          </cell>
          <cell r="C2544" t="str">
            <v>2016 - 2022</v>
          </cell>
          <cell r="D2544" t="str">
            <v>avg</v>
          </cell>
          <cell r="E2544" t="str">
            <v>prod_for_agri</v>
          </cell>
          <cell r="F2544">
            <v>3.488362312316895</v>
          </cell>
        </row>
        <row r="2545">
          <cell r="A2545" t="str">
            <v>MEX</v>
          </cell>
          <cell r="B2545" t="str">
            <v>Middle</v>
          </cell>
          <cell r="C2545" t="str">
            <v>2016 - 2022</v>
          </cell>
          <cell r="D2545" t="str">
            <v>avg</v>
          </cell>
          <cell r="E2545" t="str">
            <v>prod_for_ind</v>
          </cell>
          <cell r="F2545">
            <v>0.91521859169006348</v>
          </cell>
        </row>
        <row r="2546">
          <cell r="A2546" t="str">
            <v>MEX</v>
          </cell>
          <cell r="B2546" t="str">
            <v>Middle</v>
          </cell>
          <cell r="C2546" t="str">
            <v>2016 - 2022</v>
          </cell>
          <cell r="D2546" t="str">
            <v>avg</v>
          </cell>
          <cell r="E2546" t="str">
            <v>prod_for_serv</v>
          </cell>
          <cell r="F2546">
            <v>-22.409694671630859</v>
          </cell>
        </row>
        <row r="2547">
          <cell r="A2547" t="str">
            <v>MEX</v>
          </cell>
          <cell r="B2547" t="str">
            <v>Middle</v>
          </cell>
          <cell r="C2547" t="str">
            <v>2016 - 2022</v>
          </cell>
          <cell r="D2547" t="str">
            <v>avg</v>
          </cell>
          <cell r="E2547" t="str">
            <v>prod_inf_agri</v>
          </cell>
          <cell r="F2547">
            <v>-1.6954771280288701</v>
          </cell>
        </row>
        <row r="2548">
          <cell r="A2548" t="str">
            <v>MEX</v>
          </cell>
          <cell r="B2548" t="str">
            <v>Middle</v>
          </cell>
          <cell r="C2548" t="str">
            <v>2016 - 2022</v>
          </cell>
          <cell r="D2548" t="str">
            <v>avg</v>
          </cell>
          <cell r="E2548" t="str">
            <v>prod_inf_ind</v>
          </cell>
          <cell r="F2548">
            <v>-0.30935752391815191</v>
          </cell>
        </row>
        <row r="2549">
          <cell r="A2549" t="str">
            <v>MEX</v>
          </cell>
          <cell r="B2549" t="str">
            <v>Middle</v>
          </cell>
          <cell r="C2549" t="str">
            <v>2016 - 2022</v>
          </cell>
          <cell r="D2549" t="str">
            <v>avg</v>
          </cell>
          <cell r="E2549" t="str">
            <v>prod_inf_serv</v>
          </cell>
          <cell r="F2549">
            <v>25.462932586669918</v>
          </cell>
        </row>
        <row r="2550">
          <cell r="A2550" t="str">
            <v>MEX</v>
          </cell>
          <cell r="B2550" t="str">
            <v>Middle</v>
          </cell>
          <cell r="C2550" t="str">
            <v>2016 - 2022</v>
          </cell>
          <cell r="D2550" t="str">
            <v>avg_1_99</v>
          </cell>
          <cell r="E2550" t="str">
            <v>gdp_activity</v>
          </cell>
          <cell r="F2550">
            <v>0.59447109699249268</v>
          </cell>
        </row>
        <row r="2551">
          <cell r="A2551" t="str">
            <v>MEX</v>
          </cell>
          <cell r="B2551" t="str">
            <v>Middle</v>
          </cell>
          <cell r="C2551" t="str">
            <v>2016 - 2022</v>
          </cell>
          <cell r="D2551" t="str">
            <v>avg_1_99</v>
          </cell>
          <cell r="E2551" t="str">
            <v>gdp_for_agri</v>
          </cell>
          <cell r="F2551">
            <v>4.5040946006774902</v>
          </cell>
        </row>
        <row r="2552">
          <cell r="A2552" t="str">
            <v>MEX</v>
          </cell>
          <cell r="B2552" t="str">
            <v>Middle</v>
          </cell>
          <cell r="C2552" t="str">
            <v>2016 - 2022</v>
          </cell>
          <cell r="D2552" t="str">
            <v>avg_1_99</v>
          </cell>
          <cell r="E2552" t="str">
            <v>gdp_for_ind</v>
          </cell>
          <cell r="F2552">
            <v>3.9637880325317378</v>
          </cell>
        </row>
        <row r="2553">
          <cell r="A2553" t="str">
            <v>MEX</v>
          </cell>
          <cell r="B2553" t="str">
            <v>Middle</v>
          </cell>
          <cell r="C2553" t="str">
            <v>2016 - 2022</v>
          </cell>
          <cell r="D2553" t="str">
            <v>avg_1_99</v>
          </cell>
          <cell r="E2553" t="str">
            <v>gdp_for_serv</v>
          </cell>
          <cell r="F2553">
            <v>1.64246654510498</v>
          </cell>
        </row>
        <row r="2554">
          <cell r="A2554" t="str">
            <v>MEX</v>
          </cell>
          <cell r="B2554" t="str">
            <v>Middle</v>
          </cell>
          <cell r="C2554" t="str">
            <v>2016 - 2022</v>
          </cell>
          <cell r="D2554" t="str">
            <v>avg_1_99</v>
          </cell>
          <cell r="E2554" t="str">
            <v>gdp_inf_agri</v>
          </cell>
          <cell r="F2554">
            <v>0.41943985223770142</v>
          </cell>
        </row>
        <row r="2555">
          <cell r="A2555" t="str">
            <v>MEX</v>
          </cell>
          <cell r="B2555" t="str">
            <v>Middle</v>
          </cell>
          <cell r="C2555" t="str">
            <v>2016 - 2022</v>
          </cell>
          <cell r="D2555" t="str">
            <v>avg_1_99</v>
          </cell>
          <cell r="E2555" t="str">
            <v>gdp_inf_ind</v>
          </cell>
          <cell r="F2555">
            <v>4.0574193000793457E-2</v>
          </cell>
        </row>
        <row r="2556">
          <cell r="A2556" t="str">
            <v>MEX</v>
          </cell>
          <cell r="B2556" t="str">
            <v>Middle</v>
          </cell>
          <cell r="C2556" t="str">
            <v>2016 - 2022</v>
          </cell>
          <cell r="D2556" t="str">
            <v>avg_1_99</v>
          </cell>
          <cell r="E2556" t="str">
            <v>gdp_inf_serv</v>
          </cell>
          <cell r="F2556">
            <v>0.17231053113937381</v>
          </cell>
        </row>
        <row r="2557">
          <cell r="A2557" t="str">
            <v>MEX</v>
          </cell>
          <cell r="B2557" t="str">
            <v>Middle</v>
          </cell>
          <cell r="C2557" t="str">
            <v>2016 - 2022</v>
          </cell>
          <cell r="D2557" t="str">
            <v>avg_1_99</v>
          </cell>
          <cell r="E2557" t="str">
            <v>prod_for_agri</v>
          </cell>
          <cell r="F2557">
            <v>1.3990069627761841</v>
          </cell>
        </row>
        <row r="2558">
          <cell r="A2558" t="str">
            <v>MEX</v>
          </cell>
          <cell r="B2558" t="str">
            <v>Middle</v>
          </cell>
          <cell r="C2558" t="str">
            <v>2016 - 2022</v>
          </cell>
          <cell r="D2558" t="str">
            <v>avg_1_99</v>
          </cell>
          <cell r="E2558" t="str">
            <v>prod_for_ind</v>
          </cell>
          <cell r="F2558">
            <v>0.91521859169006348</v>
          </cell>
        </row>
        <row r="2559">
          <cell r="A2559" t="str">
            <v>MEX</v>
          </cell>
          <cell r="B2559" t="str">
            <v>Middle</v>
          </cell>
          <cell r="C2559" t="str">
            <v>2016 - 2022</v>
          </cell>
          <cell r="D2559" t="str">
            <v>avg_1_99</v>
          </cell>
          <cell r="E2559" t="str">
            <v>prod_for_serv</v>
          </cell>
          <cell r="F2559">
            <v>-2.8809247016906738</v>
          </cell>
        </row>
        <row r="2560">
          <cell r="A2560" t="str">
            <v>MEX</v>
          </cell>
          <cell r="B2560" t="str">
            <v>Middle</v>
          </cell>
          <cell r="C2560" t="str">
            <v>2016 - 2022</v>
          </cell>
          <cell r="D2560" t="str">
            <v>avg_1_99</v>
          </cell>
          <cell r="E2560" t="str">
            <v>prod_inf_agri</v>
          </cell>
          <cell r="F2560">
            <v>-2.5189356803894039</v>
          </cell>
        </row>
        <row r="2561">
          <cell r="A2561" t="str">
            <v>MEX</v>
          </cell>
          <cell r="B2561" t="str">
            <v>Middle</v>
          </cell>
          <cell r="C2561" t="str">
            <v>2016 - 2022</v>
          </cell>
          <cell r="D2561" t="str">
            <v>avg_1_99</v>
          </cell>
          <cell r="E2561" t="str">
            <v>prod_inf_ind</v>
          </cell>
          <cell r="F2561">
            <v>-0.30935752391815191</v>
          </cell>
        </row>
        <row r="2562">
          <cell r="A2562" t="str">
            <v>MEX</v>
          </cell>
          <cell r="B2562" t="str">
            <v>Middle</v>
          </cell>
          <cell r="C2562" t="str">
            <v>2016 - 2022</v>
          </cell>
          <cell r="D2562" t="str">
            <v>avg_1_99</v>
          </cell>
          <cell r="E2562" t="str">
            <v>prod_inf_serv</v>
          </cell>
          <cell r="F2562">
            <v>16.699447631835941</v>
          </cell>
        </row>
        <row r="2563">
          <cell r="A2563" t="str">
            <v>MEX</v>
          </cell>
          <cell r="B2563" t="str">
            <v>Middle</v>
          </cell>
          <cell r="C2563" t="str">
            <v>2016 - 2022</v>
          </cell>
          <cell r="D2563" t="str">
            <v>avg_1_99_imp</v>
          </cell>
          <cell r="E2563" t="str">
            <v>gdp_activity</v>
          </cell>
          <cell r="F2563">
            <v>0.59447109699249268</v>
          </cell>
        </row>
        <row r="2564">
          <cell r="A2564" t="str">
            <v>MEX</v>
          </cell>
          <cell r="B2564" t="str">
            <v>Middle</v>
          </cell>
          <cell r="C2564" t="str">
            <v>2016 - 2022</v>
          </cell>
          <cell r="D2564" t="str">
            <v>avg_1_99_imp</v>
          </cell>
          <cell r="E2564" t="str">
            <v>gdp_for_agri</v>
          </cell>
          <cell r="F2564">
            <v>4.555119514465332</v>
          </cell>
        </row>
        <row r="2565">
          <cell r="A2565" t="str">
            <v>MEX</v>
          </cell>
          <cell r="B2565" t="str">
            <v>Middle</v>
          </cell>
          <cell r="C2565" t="str">
            <v>2016 - 2022</v>
          </cell>
          <cell r="D2565" t="str">
            <v>avg_1_99_imp</v>
          </cell>
          <cell r="E2565" t="str">
            <v>gdp_for_ind</v>
          </cell>
          <cell r="F2565">
            <v>3.176008939743042</v>
          </cell>
        </row>
        <row r="2566">
          <cell r="A2566" t="str">
            <v>MEX</v>
          </cell>
          <cell r="B2566" t="str">
            <v>Middle</v>
          </cell>
          <cell r="C2566" t="str">
            <v>2016 - 2022</v>
          </cell>
          <cell r="D2566" t="str">
            <v>avg_1_99_imp</v>
          </cell>
          <cell r="E2566" t="str">
            <v>gdp_for_serv</v>
          </cell>
          <cell r="F2566">
            <v>1.64246654510498</v>
          </cell>
        </row>
        <row r="2567">
          <cell r="A2567" t="str">
            <v>MEX</v>
          </cell>
          <cell r="B2567" t="str">
            <v>Middle</v>
          </cell>
          <cell r="C2567" t="str">
            <v>2016 - 2022</v>
          </cell>
          <cell r="D2567" t="str">
            <v>avg_1_99_imp</v>
          </cell>
          <cell r="E2567" t="str">
            <v>gdp_inf_agri</v>
          </cell>
          <cell r="F2567">
            <v>0.36563396453857422</v>
          </cell>
        </row>
        <row r="2568">
          <cell r="A2568" t="str">
            <v>MEX</v>
          </cell>
          <cell r="B2568" t="str">
            <v>Middle</v>
          </cell>
          <cell r="C2568" t="str">
            <v>2016 - 2022</v>
          </cell>
          <cell r="D2568" t="str">
            <v>avg_1_99_imp</v>
          </cell>
          <cell r="E2568" t="str">
            <v>gdp_inf_ind</v>
          </cell>
          <cell r="F2568">
            <v>5.1324512809514999E-2</v>
          </cell>
        </row>
        <row r="2569">
          <cell r="A2569" t="str">
            <v>MEX</v>
          </cell>
          <cell r="B2569" t="str">
            <v>Middle</v>
          </cell>
          <cell r="C2569" t="str">
            <v>2016 - 2022</v>
          </cell>
          <cell r="D2569" t="str">
            <v>avg_1_99_imp</v>
          </cell>
          <cell r="E2569" t="str">
            <v>gdp_inf_serv</v>
          </cell>
          <cell r="F2569">
            <v>0.18842120468616491</v>
          </cell>
        </row>
        <row r="2570">
          <cell r="A2570" t="str">
            <v>MEX</v>
          </cell>
          <cell r="B2570" t="str">
            <v>Middle</v>
          </cell>
          <cell r="C2570" t="str">
            <v>2016 - 2022</v>
          </cell>
          <cell r="D2570" t="str">
            <v>avg_1_99_imp</v>
          </cell>
          <cell r="E2570" t="str">
            <v>prod_for_agri</v>
          </cell>
          <cell r="F2570">
            <v>1.0636881589889531</v>
          </cell>
        </row>
        <row r="2571">
          <cell r="A2571" t="str">
            <v>MEX</v>
          </cell>
          <cell r="B2571" t="str">
            <v>Middle</v>
          </cell>
          <cell r="C2571" t="str">
            <v>2016 - 2022</v>
          </cell>
          <cell r="D2571" t="str">
            <v>avg_1_99_imp</v>
          </cell>
          <cell r="E2571" t="str">
            <v>prod_for_ind</v>
          </cell>
          <cell r="F2571">
            <v>1.2380926609039311</v>
          </cell>
        </row>
        <row r="2572">
          <cell r="A2572" t="str">
            <v>MEX</v>
          </cell>
          <cell r="B2572" t="str">
            <v>Middle</v>
          </cell>
          <cell r="C2572" t="str">
            <v>2016 - 2022</v>
          </cell>
          <cell r="D2572" t="str">
            <v>avg_1_99_imp</v>
          </cell>
          <cell r="E2572" t="str">
            <v>prod_for_serv</v>
          </cell>
          <cell r="F2572">
            <v>-2.8809247016906738</v>
          </cell>
        </row>
        <row r="2573">
          <cell r="A2573" t="str">
            <v>MEX</v>
          </cell>
          <cell r="B2573" t="str">
            <v>Middle</v>
          </cell>
          <cell r="C2573" t="str">
            <v>2016 - 2022</v>
          </cell>
          <cell r="D2573" t="str">
            <v>avg_1_99_imp</v>
          </cell>
          <cell r="E2573" t="str">
            <v>prod_inf_agri</v>
          </cell>
          <cell r="F2573">
            <v>-2.5189356803894039</v>
          </cell>
        </row>
        <row r="2574">
          <cell r="A2574" t="str">
            <v>MEX</v>
          </cell>
          <cell r="B2574" t="str">
            <v>Middle</v>
          </cell>
          <cell r="C2574" t="str">
            <v>2016 - 2022</v>
          </cell>
          <cell r="D2574" t="str">
            <v>avg_1_99_imp</v>
          </cell>
          <cell r="E2574" t="str">
            <v>prod_inf_ind</v>
          </cell>
          <cell r="F2574">
            <v>-0.30935752391815191</v>
          </cell>
        </row>
        <row r="2575">
          <cell r="A2575" t="str">
            <v>MEX</v>
          </cell>
          <cell r="B2575" t="str">
            <v>Middle</v>
          </cell>
          <cell r="C2575" t="str">
            <v>2016 - 2022</v>
          </cell>
          <cell r="D2575" t="str">
            <v>avg_1_99_imp</v>
          </cell>
          <cell r="E2575" t="str">
            <v>prod_inf_serv</v>
          </cell>
          <cell r="F2575">
            <v>13.23326301574707</v>
          </cell>
        </row>
        <row r="2576">
          <cell r="A2576" t="str">
            <v>MEX</v>
          </cell>
          <cell r="B2576" t="str">
            <v>Middle</v>
          </cell>
          <cell r="C2576" t="str">
            <v>2016 - 2022</v>
          </cell>
          <cell r="D2576" t="str">
            <v>reg</v>
          </cell>
          <cell r="E2576" t="str">
            <v>gdp_activity</v>
          </cell>
          <cell r="F2576">
            <v>0.10940965265035631</v>
          </cell>
        </row>
        <row r="2577">
          <cell r="A2577" t="str">
            <v>MEX</v>
          </cell>
          <cell r="B2577" t="str">
            <v>Middle</v>
          </cell>
          <cell r="C2577" t="str">
            <v>2016 - 2022</v>
          </cell>
          <cell r="D2577" t="str">
            <v>reg</v>
          </cell>
          <cell r="E2577" t="str">
            <v>gdp_for_agri</v>
          </cell>
          <cell r="F2577">
            <v>5.1394190788269043</v>
          </cell>
        </row>
        <row r="2578">
          <cell r="A2578" t="str">
            <v>MEX</v>
          </cell>
          <cell r="B2578" t="str">
            <v>Middle</v>
          </cell>
          <cell r="C2578" t="str">
            <v>2016 - 2022</v>
          </cell>
          <cell r="D2578" t="str">
            <v>reg</v>
          </cell>
          <cell r="E2578" t="str">
            <v>gdp_for_ind</v>
          </cell>
          <cell r="F2578">
            <v>0.31433114409446722</v>
          </cell>
        </row>
        <row r="2579">
          <cell r="A2579" t="str">
            <v>MEX</v>
          </cell>
          <cell r="B2579" t="str">
            <v>Middle</v>
          </cell>
          <cell r="C2579" t="str">
            <v>2016 - 2022</v>
          </cell>
          <cell r="D2579" t="str">
            <v>reg</v>
          </cell>
          <cell r="E2579" t="str">
            <v>gdp_for_serv</v>
          </cell>
          <cell r="F2579">
            <v>0.7655177116394043</v>
          </cell>
        </row>
        <row r="2580">
          <cell r="A2580" t="str">
            <v>MEX</v>
          </cell>
          <cell r="B2580" t="str">
            <v>Middle</v>
          </cell>
          <cell r="C2580" t="str">
            <v>2016 - 2022</v>
          </cell>
          <cell r="D2580" t="str">
            <v>reg</v>
          </cell>
          <cell r="E2580" t="str">
            <v>gdp_inf_agri</v>
          </cell>
          <cell r="F2580">
            <v>-0.39453518390655518</v>
          </cell>
        </row>
        <row r="2581">
          <cell r="A2581" t="str">
            <v>MEX</v>
          </cell>
          <cell r="B2581" t="str">
            <v>Middle</v>
          </cell>
          <cell r="C2581" t="str">
            <v>2016 - 2022</v>
          </cell>
          <cell r="D2581" t="str">
            <v>reg</v>
          </cell>
          <cell r="E2581" t="str">
            <v>gdp_inf_ind</v>
          </cell>
          <cell r="F2581">
            <v>2.4121290072798729E-2</v>
          </cell>
        </row>
        <row r="2582">
          <cell r="A2582" t="str">
            <v>MEX</v>
          </cell>
          <cell r="B2582" t="str">
            <v>Middle</v>
          </cell>
          <cell r="C2582" t="str">
            <v>2016 - 2022</v>
          </cell>
          <cell r="D2582" t="str">
            <v>reg</v>
          </cell>
          <cell r="E2582" t="str">
            <v>gdp_inf_serv</v>
          </cell>
          <cell r="F2582">
            <v>0.45619764924049377</v>
          </cell>
        </row>
        <row r="2583">
          <cell r="A2583" t="str">
            <v>MEX</v>
          </cell>
          <cell r="B2583" t="str">
            <v>Middle</v>
          </cell>
          <cell r="C2583" t="str">
            <v>2016 - 2022</v>
          </cell>
          <cell r="D2583" t="str">
            <v>reg</v>
          </cell>
          <cell r="E2583" t="str">
            <v>prod_for_agri</v>
          </cell>
          <cell r="F2583">
            <v>1.491921186447144</v>
          </cell>
        </row>
        <row r="2584">
          <cell r="A2584" t="str">
            <v>MEX</v>
          </cell>
          <cell r="B2584" t="str">
            <v>Middle</v>
          </cell>
          <cell r="C2584" t="str">
            <v>2016 - 2022</v>
          </cell>
          <cell r="D2584" t="str">
            <v>reg</v>
          </cell>
          <cell r="E2584" t="str">
            <v>prod_for_ind</v>
          </cell>
          <cell r="F2584">
            <v>0.61294782161712646</v>
          </cell>
        </row>
        <row r="2585">
          <cell r="A2585" t="str">
            <v>MEX</v>
          </cell>
          <cell r="B2585" t="str">
            <v>Middle</v>
          </cell>
          <cell r="C2585" t="str">
            <v>2016 - 2022</v>
          </cell>
          <cell r="D2585" t="str">
            <v>reg</v>
          </cell>
          <cell r="E2585" t="str">
            <v>prod_for_serv</v>
          </cell>
          <cell r="F2585">
            <v>0.83152627944946289</v>
          </cell>
        </row>
        <row r="2586">
          <cell r="A2586" t="str">
            <v>MEX</v>
          </cell>
          <cell r="B2586" t="str">
            <v>Middle</v>
          </cell>
          <cell r="C2586" t="str">
            <v>2016 - 2022</v>
          </cell>
          <cell r="D2586" t="str">
            <v>reg</v>
          </cell>
          <cell r="E2586" t="str">
            <v>prod_inf_agri</v>
          </cell>
          <cell r="F2586">
            <v>2.0217428207397461</v>
          </cell>
        </row>
        <row r="2587">
          <cell r="A2587" t="str">
            <v>MEX</v>
          </cell>
          <cell r="B2587" t="str">
            <v>Middle</v>
          </cell>
          <cell r="C2587" t="str">
            <v>2016 - 2022</v>
          </cell>
          <cell r="D2587" t="str">
            <v>reg</v>
          </cell>
          <cell r="E2587" t="str">
            <v>prod_inf_ind</v>
          </cell>
          <cell r="F2587">
            <v>0.68275195360183716</v>
          </cell>
        </row>
        <row r="2588">
          <cell r="A2588" t="str">
            <v>MEX</v>
          </cell>
          <cell r="B2588" t="str">
            <v>Middle</v>
          </cell>
          <cell r="C2588" t="str">
            <v>2016 - 2022</v>
          </cell>
          <cell r="D2588" t="str">
            <v>reg</v>
          </cell>
          <cell r="E2588" t="str">
            <v>prod_inf_serv</v>
          </cell>
          <cell r="F2588">
            <v>0.48024868965148931</v>
          </cell>
        </row>
        <row r="2589">
          <cell r="A2589" t="str">
            <v>MEX</v>
          </cell>
          <cell r="B2589" t="str">
            <v>Middle</v>
          </cell>
          <cell r="C2589" t="str">
            <v>2016 - 2022</v>
          </cell>
          <cell r="D2589" t="str">
            <v>reg_gdp</v>
          </cell>
          <cell r="E2589" t="str">
            <v>gdp_activity</v>
          </cell>
          <cell r="F2589">
            <v>0.10940965265035631</v>
          </cell>
        </row>
        <row r="2590">
          <cell r="A2590" t="str">
            <v>MEX</v>
          </cell>
          <cell r="B2590" t="str">
            <v>Middle</v>
          </cell>
          <cell r="C2590" t="str">
            <v>2016 - 2022</v>
          </cell>
          <cell r="D2590" t="str">
            <v>reg_gdp</v>
          </cell>
          <cell r="E2590" t="str">
            <v>gdp_for_agri</v>
          </cell>
          <cell r="F2590">
            <v>5.3571243286132813</v>
          </cell>
        </row>
        <row r="2591">
          <cell r="A2591" t="str">
            <v>MEX</v>
          </cell>
          <cell r="B2591" t="str">
            <v>Middle</v>
          </cell>
          <cell r="C2591" t="str">
            <v>2016 - 2022</v>
          </cell>
          <cell r="D2591" t="str">
            <v>reg_gdp</v>
          </cell>
          <cell r="E2591" t="str">
            <v>gdp_for_ind</v>
          </cell>
          <cell r="F2591">
            <v>-2.814841747283936</v>
          </cell>
        </row>
        <row r="2592">
          <cell r="A2592" t="str">
            <v>MEX</v>
          </cell>
          <cell r="B2592" t="str">
            <v>Middle</v>
          </cell>
          <cell r="C2592" t="str">
            <v>2016 - 2022</v>
          </cell>
          <cell r="D2592" t="str">
            <v>reg_gdp</v>
          </cell>
          <cell r="E2592" t="str">
            <v>gdp_for_serv</v>
          </cell>
          <cell r="F2592">
            <v>7.9611124992370614</v>
          </cell>
        </row>
        <row r="2593">
          <cell r="A2593" t="str">
            <v>MEX</v>
          </cell>
          <cell r="B2593" t="str">
            <v>Middle</v>
          </cell>
          <cell r="C2593" t="str">
            <v>2016 - 2022</v>
          </cell>
          <cell r="D2593" t="str">
            <v>reg_gdp</v>
          </cell>
          <cell r="E2593" t="str">
            <v>gdp_inf_agri</v>
          </cell>
          <cell r="F2593">
            <v>-0.33601942658424377</v>
          </cell>
        </row>
        <row r="2594">
          <cell r="A2594" t="str">
            <v>MEX</v>
          </cell>
          <cell r="B2594" t="str">
            <v>Middle</v>
          </cell>
          <cell r="C2594" t="str">
            <v>2016 - 2022</v>
          </cell>
          <cell r="D2594" t="str">
            <v>reg_gdp</v>
          </cell>
          <cell r="E2594" t="str">
            <v>gdp_inf_ind</v>
          </cell>
          <cell r="F2594">
            <v>0.78322649002075195</v>
          </cell>
        </row>
        <row r="2595">
          <cell r="A2595" t="str">
            <v>MEX</v>
          </cell>
          <cell r="B2595" t="str">
            <v>Middle</v>
          </cell>
          <cell r="C2595" t="str">
            <v>2016 - 2022</v>
          </cell>
          <cell r="D2595" t="str">
            <v>reg_gdp</v>
          </cell>
          <cell r="E2595" t="str">
            <v>gdp_inf_serv</v>
          </cell>
          <cell r="F2595">
            <v>-2.673357486724854</v>
          </cell>
        </row>
        <row r="2596">
          <cell r="A2596" t="str">
            <v>MEX</v>
          </cell>
          <cell r="B2596" t="str">
            <v>Middle</v>
          </cell>
          <cell r="C2596" t="str">
            <v>2016 - 2022</v>
          </cell>
          <cell r="D2596" t="str">
            <v>reg_gdp</v>
          </cell>
          <cell r="E2596" t="str">
            <v>prod_for_agri</v>
          </cell>
          <cell r="F2596">
            <v>1.6905684471130371</v>
          </cell>
        </row>
        <row r="2597">
          <cell r="A2597" t="str">
            <v>MEX</v>
          </cell>
          <cell r="B2597" t="str">
            <v>Middle</v>
          </cell>
          <cell r="C2597" t="str">
            <v>2016 - 2022</v>
          </cell>
          <cell r="D2597" t="str">
            <v>reg_gdp</v>
          </cell>
          <cell r="E2597" t="str">
            <v>prod_for_ind</v>
          </cell>
          <cell r="F2597">
            <v>0.36284345388412481</v>
          </cell>
        </row>
        <row r="2598">
          <cell r="A2598" t="str">
            <v>MEX</v>
          </cell>
          <cell r="B2598" t="str">
            <v>Middle</v>
          </cell>
          <cell r="C2598" t="str">
            <v>2016 - 2022</v>
          </cell>
          <cell r="D2598" t="str">
            <v>reg_gdp</v>
          </cell>
          <cell r="E2598" t="str">
            <v>prod_for_serv</v>
          </cell>
          <cell r="F2598">
            <v>0.65195202827453613</v>
          </cell>
        </row>
        <row r="2599">
          <cell r="A2599" t="str">
            <v>MEX</v>
          </cell>
          <cell r="B2599" t="str">
            <v>Middle</v>
          </cell>
          <cell r="C2599" t="str">
            <v>2016 - 2022</v>
          </cell>
          <cell r="D2599" t="str">
            <v>reg_gdp</v>
          </cell>
          <cell r="E2599" t="str">
            <v>prod_inf_agri</v>
          </cell>
          <cell r="F2599">
            <v>2.2169733047485352</v>
          </cell>
        </row>
        <row r="2600">
          <cell r="A2600" t="str">
            <v>MEX</v>
          </cell>
          <cell r="B2600" t="str">
            <v>Middle</v>
          </cell>
          <cell r="C2600" t="str">
            <v>2016 - 2022</v>
          </cell>
          <cell r="D2600" t="str">
            <v>reg_gdp</v>
          </cell>
          <cell r="E2600" t="str">
            <v>prod_inf_ind</v>
          </cell>
          <cell r="F2600">
            <v>-0.28143182396888727</v>
          </cell>
        </row>
        <row r="2601">
          <cell r="A2601" t="str">
            <v>MEX</v>
          </cell>
          <cell r="B2601" t="str">
            <v>Middle</v>
          </cell>
          <cell r="C2601" t="str">
            <v>2016 - 2022</v>
          </cell>
          <cell r="D2601" t="str">
            <v>reg_gdp</v>
          </cell>
          <cell r="E2601" t="str">
            <v>prod_inf_serv</v>
          </cell>
          <cell r="F2601">
            <v>-0.1042624786496162</v>
          </cell>
        </row>
        <row r="2602">
          <cell r="A2602" t="str">
            <v>MEX</v>
          </cell>
          <cell r="B2602" t="str">
            <v>Middle</v>
          </cell>
          <cell r="C2602" t="str">
            <v>2016 - 2022</v>
          </cell>
          <cell r="D2602" t="str">
            <v>reg_iter</v>
          </cell>
          <cell r="E2602" t="str">
            <v>gdp_activity</v>
          </cell>
          <cell r="F2602">
            <v>4.2398005723953247E-2</v>
          </cell>
        </row>
        <row r="2603">
          <cell r="A2603" t="str">
            <v>MEX</v>
          </cell>
          <cell r="B2603" t="str">
            <v>Middle</v>
          </cell>
          <cell r="C2603" t="str">
            <v>2016 - 2022</v>
          </cell>
          <cell r="D2603" t="str">
            <v>reg_iter</v>
          </cell>
          <cell r="E2603" t="str">
            <v>gdp_for_agri</v>
          </cell>
          <cell r="F2603">
            <v>-2.8524243831634521</v>
          </cell>
        </row>
        <row r="2604">
          <cell r="A2604" t="str">
            <v>MEX</v>
          </cell>
          <cell r="B2604" t="str">
            <v>Middle</v>
          </cell>
          <cell r="C2604" t="str">
            <v>2016 - 2022</v>
          </cell>
          <cell r="D2604" t="str">
            <v>reg_iter</v>
          </cell>
          <cell r="E2604" t="str">
            <v>gdp_for_ind</v>
          </cell>
          <cell r="F2604">
            <v>0.62858998775482178</v>
          </cell>
        </row>
        <row r="2605">
          <cell r="A2605" t="str">
            <v>MEX</v>
          </cell>
          <cell r="B2605" t="str">
            <v>Middle</v>
          </cell>
          <cell r="C2605" t="str">
            <v>2016 - 2022</v>
          </cell>
          <cell r="D2605" t="str">
            <v>reg_iter</v>
          </cell>
          <cell r="E2605" t="str">
            <v>gdp_for_serv</v>
          </cell>
          <cell r="F2605">
            <v>0.17850108444690699</v>
          </cell>
        </row>
        <row r="2606">
          <cell r="A2606" t="str">
            <v>MEX</v>
          </cell>
          <cell r="B2606" t="str">
            <v>Middle</v>
          </cell>
          <cell r="C2606" t="str">
            <v>2016 - 2022</v>
          </cell>
          <cell r="D2606" t="str">
            <v>reg_iter</v>
          </cell>
          <cell r="E2606" t="str">
            <v>gdp_inf_agri</v>
          </cell>
          <cell r="F2606">
            <v>-2.0352859497070308</v>
          </cell>
        </row>
        <row r="2607">
          <cell r="A2607" t="str">
            <v>MEX</v>
          </cell>
          <cell r="B2607" t="str">
            <v>Middle</v>
          </cell>
          <cell r="C2607" t="str">
            <v>2016 - 2022</v>
          </cell>
          <cell r="D2607" t="str">
            <v>reg_iter</v>
          </cell>
          <cell r="E2607" t="str">
            <v>gdp_inf_ind</v>
          </cell>
          <cell r="F2607">
            <v>-2.8524428606033329E-2</v>
          </cell>
        </row>
        <row r="2608">
          <cell r="A2608" t="str">
            <v>MEX</v>
          </cell>
          <cell r="B2608" t="str">
            <v>Middle</v>
          </cell>
          <cell r="C2608" t="str">
            <v>2016 - 2022</v>
          </cell>
          <cell r="D2608" t="str">
            <v>reg_iter</v>
          </cell>
          <cell r="E2608" t="str">
            <v>gdp_inf_serv</v>
          </cell>
          <cell r="F2608">
            <v>0.55018496513366699</v>
          </cell>
        </row>
        <row r="2609">
          <cell r="A2609" t="str">
            <v>MEX</v>
          </cell>
          <cell r="B2609" t="str">
            <v>Middle</v>
          </cell>
          <cell r="C2609" t="str">
            <v>2016 - 2022</v>
          </cell>
          <cell r="D2609" t="str">
            <v>reg_iter</v>
          </cell>
          <cell r="E2609" t="str">
            <v>prod_for_agri</v>
          </cell>
          <cell r="F2609">
            <v>1.081434011459351</v>
          </cell>
        </row>
        <row r="2610">
          <cell r="A2610" t="str">
            <v>MEX</v>
          </cell>
          <cell r="B2610" t="str">
            <v>Middle</v>
          </cell>
          <cell r="C2610" t="str">
            <v>2016 - 2022</v>
          </cell>
          <cell r="D2610" t="str">
            <v>reg_iter</v>
          </cell>
          <cell r="E2610" t="str">
            <v>prod_for_ind</v>
          </cell>
          <cell r="F2610">
            <v>0.78014630079269409</v>
          </cell>
        </row>
        <row r="2611">
          <cell r="A2611" t="str">
            <v>MEX</v>
          </cell>
          <cell r="B2611" t="str">
            <v>Middle</v>
          </cell>
          <cell r="C2611" t="str">
            <v>2016 - 2022</v>
          </cell>
          <cell r="D2611" t="str">
            <v>reg_iter</v>
          </cell>
          <cell r="E2611" t="str">
            <v>prod_for_serv</v>
          </cell>
          <cell r="F2611">
            <v>0.47464656829833979</v>
          </cell>
        </row>
        <row r="2612">
          <cell r="A2612" t="str">
            <v>MEX</v>
          </cell>
          <cell r="B2612" t="str">
            <v>Middle</v>
          </cell>
          <cell r="C2612" t="str">
            <v>2016 - 2022</v>
          </cell>
          <cell r="D2612" t="str">
            <v>reg_iter</v>
          </cell>
          <cell r="E2612" t="str">
            <v>prod_inf_agri</v>
          </cell>
          <cell r="F2612">
            <v>1.409775018692017</v>
          </cell>
        </row>
        <row r="2613">
          <cell r="A2613" t="str">
            <v>MEX</v>
          </cell>
          <cell r="B2613" t="str">
            <v>Middle</v>
          </cell>
          <cell r="C2613" t="str">
            <v>2016 - 2022</v>
          </cell>
          <cell r="D2613" t="str">
            <v>reg_iter</v>
          </cell>
          <cell r="E2613" t="str">
            <v>prod_inf_ind</v>
          </cell>
          <cell r="F2613">
            <v>2.1293044090271001</v>
          </cell>
        </row>
        <row r="2614">
          <cell r="A2614" t="str">
            <v>MEX</v>
          </cell>
          <cell r="B2614" t="str">
            <v>Middle</v>
          </cell>
          <cell r="C2614" t="str">
            <v>2016 - 2022</v>
          </cell>
          <cell r="D2614" t="str">
            <v>reg_iter</v>
          </cell>
          <cell r="E2614" t="str">
            <v>prod_inf_serv</v>
          </cell>
          <cell r="F2614">
            <v>0.83256804943084717</v>
          </cell>
        </row>
        <row r="2615">
          <cell r="A2615" t="str">
            <v>MEX</v>
          </cell>
          <cell r="B2615" t="str">
            <v>Short</v>
          </cell>
          <cell r="C2615" t="str">
            <v>2018 - 2022</v>
          </cell>
          <cell r="D2615" t="str">
            <v>avg</v>
          </cell>
          <cell r="E2615" t="str">
            <v>gdp_activity</v>
          </cell>
          <cell r="F2615">
            <v>0.39121770858764648</v>
          </cell>
        </row>
        <row r="2616">
          <cell r="A2616" t="str">
            <v>MEX</v>
          </cell>
          <cell r="B2616" t="str">
            <v>Short</v>
          </cell>
          <cell r="C2616" t="str">
            <v>2018 - 2022</v>
          </cell>
          <cell r="D2616" t="str">
            <v>avg</v>
          </cell>
          <cell r="E2616" t="str">
            <v>gdp_for_agri</v>
          </cell>
          <cell r="F2616">
            <v>4.9814257621765137</v>
          </cell>
        </row>
        <row r="2617">
          <cell r="A2617" t="str">
            <v>MEX</v>
          </cell>
          <cell r="B2617" t="str">
            <v>Short</v>
          </cell>
          <cell r="C2617" t="str">
            <v>2018 - 2022</v>
          </cell>
          <cell r="D2617" t="str">
            <v>avg</v>
          </cell>
          <cell r="E2617" t="str">
            <v>gdp_for_ind</v>
          </cell>
          <cell r="F2617">
            <v>5.2409157752990723</v>
          </cell>
        </row>
        <row r="2618">
          <cell r="A2618" t="str">
            <v>MEX</v>
          </cell>
          <cell r="B2618" t="str">
            <v>Short</v>
          </cell>
          <cell r="C2618" t="str">
            <v>2018 - 2022</v>
          </cell>
          <cell r="D2618" t="str">
            <v>avg</v>
          </cell>
          <cell r="E2618" t="str">
            <v>gdp_for_serv</v>
          </cell>
          <cell r="F2618">
            <v>0.95560139417648315</v>
          </cell>
        </row>
        <row r="2619">
          <cell r="A2619" t="str">
            <v>MEX</v>
          </cell>
          <cell r="B2619" t="str">
            <v>Short</v>
          </cell>
          <cell r="C2619" t="str">
            <v>2018 - 2022</v>
          </cell>
          <cell r="D2619" t="str">
            <v>avg</v>
          </cell>
          <cell r="E2619" t="str">
            <v>gdp_inf_agri</v>
          </cell>
          <cell r="F2619">
            <v>-0.43300902843475342</v>
          </cell>
        </row>
        <row r="2620">
          <cell r="A2620" t="str">
            <v>MEX</v>
          </cell>
          <cell r="B2620" t="str">
            <v>Short</v>
          </cell>
          <cell r="C2620" t="str">
            <v>2018 - 2022</v>
          </cell>
          <cell r="D2620" t="str">
            <v>avg</v>
          </cell>
          <cell r="E2620" t="str">
            <v>gdp_inf_ind</v>
          </cell>
          <cell r="F2620">
            <v>-1.9708200693130491</v>
          </cell>
        </row>
        <row r="2621">
          <cell r="A2621" t="str">
            <v>MEX</v>
          </cell>
          <cell r="B2621" t="str">
            <v>Short</v>
          </cell>
          <cell r="C2621" t="str">
            <v>2018 - 2022</v>
          </cell>
          <cell r="D2621" t="str">
            <v>avg</v>
          </cell>
          <cell r="E2621" t="str">
            <v>gdp_inf_serv</v>
          </cell>
          <cell r="F2621">
            <v>0.17231053113937381</v>
          </cell>
        </row>
        <row r="2622">
          <cell r="A2622" t="str">
            <v>MEX</v>
          </cell>
          <cell r="B2622" t="str">
            <v>Short</v>
          </cell>
          <cell r="C2622" t="str">
            <v>2018 - 2022</v>
          </cell>
          <cell r="D2622" t="str">
            <v>avg</v>
          </cell>
          <cell r="E2622" t="str">
            <v>prod_for_agri</v>
          </cell>
          <cell r="F2622">
            <v>1.5748835802078249</v>
          </cell>
        </row>
        <row r="2623">
          <cell r="A2623" t="str">
            <v>MEX</v>
          </cell>
          <cell r="B2623" t="str">
            <v>Short</v>
          </cell>
          <cell r="C2623" t="str">
            <v>2018 - 2022</v>
          </cell>
          <cell r="D2623" t="str">
            <v>avg</v>
          </cell>
          <cell r="E2623" t="str">
            <v>prod_for_ind</v>
          </cell>
          <cell r="F2623">
            <v>1.5257531404495239</v>
          </cell>
        </row>
        <row r="2624">
          <cell r="A2624" t="str">
            <v>MEX</v>
          </cell>
          <cell r="B2624" t="str">
            <v>Short</v>
          </cell>
          <cell r="C2624" t="str">
            <v>2018 - 2022</v>
          </cell>
          <cell r="D2624" t="str">
            <v>avg</v>
          </cell>
          <cell r="E2624" t="str">
            <v>prod_for_serv</v>
          </cell>
          <cell r="F2624">
            <v>4.9445934295654297</v>
          </cell>
        </row>
        <row r="2625">
          <cell r="A2625" t="str">
            <v>MEX</v>
          </cell>
          <cell r="B2625" t="str">
            <v>Short</v>
          </cell>
          <cell r="C2625" t="str">
            <v>2018 - 2022</v>
          </cell>
          <cell r="D2625" t="str">
            <v>avg</v>
          </cell>
          <cell r="E2625" t="str">
            <v>prod_inf_agri</v>
          </cell>
          <cell r="F2625">
            <v>-7.1857690811157227E-2</v>
          </cell>
        </row>
        <row r="2626">
          <cell r="A2626" t="str">
            <v>MEX</v>
          </cell>
          <cell r="B2626" t="str">
            <v>Short</v>
          </cell>
          <cell r="C2626" t="str">
            <v>2018 - 2022</v>
          </cell>
          <cell r="D2626" t="str">
            <v>avg</v>
          </cell>
          <cell r="E2626" t="str">
            <v>prod_inf_ind</v>
          </cell>
          <cell r="F2626">
            <v>0.19146120548248291</v>
          </cell>
        </row>
        <row r="2627">
          <cell r="A2627" t="str">
            <v>MEX</v>
          </cell>
          <cell r="B2627" t="str">
            <v>Short</v>
          </cell>
          <cell r="C2627" t="str">
            <v>2018 - 2022</v>
          </cell>
          <cell r="D2627" t="str">
            <v>avg</v>
          </cell>
          <cell r="E2627" t="str">
            <v>prod_inf_serv</v>
          </cell>
          <cell r="F2627">
            <v>16.699447631835941</v>
          </cell>
        </row>
        <row r="2628">
          <cell r="A2628" t="str">
            <v>MEX</v>
          </cell>
          <cell r="B2628" t="str">
            <v>Short</v>
          </cell>
          <cell r="C2628" t="str">
            <v>2018 - 2022</v>
          </cell>
          <cell r="D2628" t="str">
            <v>avg_1_99</v>
          </cell>
          <cell r="E2628" t="str">
            <v>gdp_activity</v>
          </cell>
          <cell r="F2628">
            <v>0.39121770858764648</v>
          </cell>
        </row>
        <row r="2629">
          <cell r="A2629" t="str">
            <v>MEX</v>
          </cell>
          <cell r="B2629" t="str">
            <v>Short</v>
          </cell>
          <cell r="C2629" t="str">
            <v>2018 - 2022</v>
          </cell>
          <cell r="D2629" t="str">
            <v>avg_1_99</v>
          </cell>
          <cell r="E2629" t="str">
            <v>gdp_for_agri</v>
          </cell>
          <cell r="F2629">
            <v>2.194745540618896</v>
          </cell>
        </row>
        <row r="2630">
          <cell r="A2630" t="str">
            <v>MEX</v>
          </cell>
          <cell r="B2630" t="str">
            <v>Short</v>
          </cell>
          <cell r="C2630" t="str">
            <v>2018 - 2022</v>
          </cell>
          <cell r="D2630" t="str">
            <v>avg_1_99</v>
          </cell>
          <cell r="E2630" t="str">
            <v>gdp_for_ind</v>
          </cell>
          <cell r="F2630">
            <v>0.59734094142913818</v>
          </cell>
        </row>
        <row r="2631">
          <cell r="A2631" t="str">
            <v>MEX</v>
          </cell>
          <cell r="B2631" t="str">
            <v>Short</v>
          </cell>
          <cell r="C2631" t="str">
            <v>2018 - 2022</v>
          </cell>
          <cell r="D2631" t="str">
            <v>avg_1_99</v>
          </cell>
          <cell r="E2631" t="str">
            <v>gdp_for_serv</v>
          </cell>
          <cell r="F2631">
            <v>1.64246654510498</v>
          </cell>
        </row>
        <row r="2632">
          <cell r="A2632" t="str">
            <v>MEX</v>
          </cell>
          <cell r="B2632" t="str">
            <v>Short</v>
          </cell>
          <cell r="C2632" t="str">
            <v>2018 - 2022</v>
          </cell>
          <cell r="D2632" t="str">
            <v>avg_1_99</v>
          </cell>
          <cell r="E2632" t="str">
            <v>gdp_inf_agri</v>
          </cell>
          <cell r="F2632">
            <v>0.1231395080685616</v>
          </cell>
        </row>
        <row r="2633">
          <cell r="A2633" t="str">
            <v>MEX</v>
          </cell>
          <cell r="B2633" t="str">
            <v>Short</v>
          </cell>
          <cell r="C2633" t="str">
            <v>2018 - 2022</v>
          </cell>
          <cell r="D2633" t="str">
            <v>avg_1_99</v>
          </cell>
          <cell r="E2633" t="str">
            <v>gdp_inf_ind</v>
          </cell>
          <cell r="F2633">
            <v>-6.348167359828949E-2</v>
          </cell>
        </row>
        <row r="2634">
          <cell r="A2634" t="str">
            <v>MEX</v>
          </cell>
          <cell r="B2634" t="str">
            <v>Short</v>
          </cell>
          <cell r="C2634" t="str">
            <v>2018 - 2022</v>
          </cell>
          <cell r="D2634" t="str">
            <v>avg_1_99</v>
          </cell>
          <cell r="E2634" t="str">
            <v>gdp_inf_serv</v>
          </cell>
          <cell r="F2634">
            <v>0.17231053113937381</v>
          </cell>
        </row>
        <row r="2635">
          <cell r="A2635" t="str">
            <v>MEX</v>
          </cell>
          <cell r="B2635" t="str">
            <v>Short</v>
          </cell>
          <cell r="C2635" t="str">
            <v>2018 - 2022</v>
          </cell>
          <cell r="D2635" t="str">
            <v>avg_1_99</v>
          </cell>
          <cell r="E2635" t="str">
            <v>prod_for_agri</v>
          </cell>
          <cell r="F2635">
            <v>-2.515888929367065</v>
          </cell>
        </row>
        <row r="2636">
          <cell r="A2636" t="str">
            <v>MEX</v>
          </cell>
          <cell r="B2636" t="str">
            <v>Short</v>
          </cell>
          <cell r="C2636" t="str">
            <v>2018 - 2022</v>
          </cell>
          <cell r="D2636" t="str">
            <v>avg_1_99</v>
          </cell>
          <cell r="E2636" t="str">
            <v>prod_for_ind</v>
          </cell>
          <cell r="F2636">
            <v>1.5257531404495239</v>
          </cell>
        </row>
        <row r="2637">
          <cell r="A2637" t="str">
            <v>MEX</v>
          </cell>
          <cell r="B2637" t="str">
            <v>Short</v>
          </cell>
          <cell r="C2637" t="str">
            <v>2018 - 2022</v>
          </cell>
          <cell r="D2637" t="str">
            <v>avg_1_99</v>
          </cell>
          <cell r="E2637" t="str">
            <v>prod_for_serv</v>
          </cell>
          <cell r="F2637">
            <v>-2.8809247016906738</v>
          </cell>
        </row>
        <row r="2638">
          <cell r="A2638" t="str">
            <v>MEX</v>
          </cell>
          <cell r="B2638" t="str">
            <v>Short</v>
          </cell>
          <cell r="C2638" t="str">
            <v>2018 - 2022</v>
          </cell>
          <cell r="D2638" t="str">
            <v>avg_1_99</v>
          </cell>
          <cell r="E2638" t="str">
            <v>prod_inf_agri</v>
          </cell>
          <cell r="F2638">
            <v>1.52846360206604</v>
          </cell>
        </row>
        <row r="2639">
          <cell r="A2639" t="str">
            <v>MEX</v>
          </cell>
          <cell r="B2639" t="str">
            <v>Short</v>
          </cell>
          <cell r="C2639" t="str">
            <v>2018 - 2022</v>
          </cell>
          <cell r="D2639" t="str">
            <v>avg_1_99</v>
          </cell>
          <cell r="E2639" t="str">
            <v>prod_inf_ind</v>
          </cell>
          <cell r="F2639">
            <v>0.19146120548248291</v>
          </cell>
        </row>
        <row r="2640">
          <cell r="A2640" t="str">
            <v>MEX</v>
          </cell>
          <cell r="B2640" t="str">
            <v>Short</v>
          </cell>
          <cell r="C2640" t="str">
            <v>2018 - 2022</v>
          </cell>
          <cell r="D2640" t="str">
            <v>avg_1_99</v>
          </cell>
          <cell r="E2640" t="str">
            <v>prod_inf_serv</v>
          </cell>
          <cell r="F2640">
            <v>16.699447631835941</v>
          </cell>
        </row>
        <row r="2641">
          <cell r="A2641" t="str">
            <v>MEX</v>
          </cell>
          <cell r="B2641" t="str">
            <v>Short</v>
          </cell>
          <cell r="C2641" t="str">
            <v>2018 - 2022</v>
          </cell>
          <cell r="D2641" t="str">
            <v>avg_1_99_imp</v>
          </cell>
          <cell r="E2641" t="str">
            <v>gdp_activity</v>
          </cell>
          <cell r="F2641">
            <v>0.39121770858764648</v>
          </cell>
        </row>
        <row r="2642">
          <cell r="A2642" t="str">
            <v>MEX</v>
          </cell>
          <cell r="B2642" t="str">
            <v>Short</v>
          </cell>
          <cell r="C2642" t="str">
            <v>2018 - 2022</v>
          </cell>
          <cell r="D2642" t="str">
            <v>avg_1_99_imp</v>
          </cell>
          <cell r="E2642" t="str">
            <v>gdp_for_agri</v>
          </cell>
          <cell r="F2642">
            <v>2.194745540618896</v>
          </cell>
        </row>
        <row r="2643">
          <cell r="A2643" t="str">
            <v>MEX</v>
          </cell>
          <cell r="B2643" t="str">
            <v>Short</v>
          </cell>
          <cell r="C2643" t="str">
            <v>2018 - 2022</v>
          </cell>
          <cell r="D2643" t="str">
            <v>avg_1_99_imp</v>
          </cell>
          <cell r="E2643" t="str">
            <v>gdp_for_ind</v>
          </cell>
          <cell r="F2643">
            <v>0.59734094142913818</v>
          </cell>
        </row>
        <row r="2644">
          <cell r="A2644" t="str">
            <v>MEX</v>
          </cell>
          <cell r="B2644" t="str">
            <v>Short</v>
          </cell>
          <cell r="C2644" t="str">
            <v>2018 - 2022</v>
          </cell>
          <cell r="D2644" t="str">
            <v>avg_1_99_imp</v>
          </cell>
          <cell r="E2644" t="str">
            <v>gdp_for_serv</v>
          </cell>
          <cell r="F2644">
            <v>1.64246654510498</v>
          </cell>
        </row>
        <row r="2645">
          <cell r="A2645" t="str">
            <v>MEX</v>
          </cell>
          <cell r="B2645" t="str">
            <v>Short</v>
          </cell>
          <cell r="C2645" t="str">
            <v>2018 - 2022</v>
          </cell>
          <cell r="D2645" t="str">
            <v>avg_1_99_imp</v>
          </cell>
          <cell r="E2645" t="str">
            <v>gdp_inf_agri</v>
          </cell>
          <cell r="F2645">
            <v>0.1231395080685616</v>
          </cell>
        </row>
        <row r="2646">
          <cell r="A2646" t="str">
            <v>MEX</v>
          </cell>
          <cell r="B2646" t="str">
            <v>Short</v>
          </cell>
          <cell r="C2646" t="str">
            <v>2018 - 2022</v>
          </cell>
          <cell r="D2646" t="str">
            <v>avg_1_99_imp</v>
          </cell>
          <cell r="E2646" t="str">
            <v>gdp_inf_ind</v>
          </cell>
          <cell r="F2646">
            <v>-6.348167359828949E-2</v>
          </cell>
        </row>
        <row r="2647">
          <cell r="A2647" t="str">
            <v>MEX</v>
          </cell>
          <cell r="B2647" t="str">
            <v>Short</v>
          </cell>
          <cell r="C2647" t="str">
            <v>2018 - 2022</v>
          </cell>
          <cell r="D2647" t="str">
            <v>avg_1_99_imp</v>
          </cell>
          <cell r="E2647" t="str">
            <v>gdp_inf_serv</v>
          </cell>
          <cell r="F2647">
            <v>0.17231053113937381</v>
          </cell>
        </row>
        <row r="2648">
          <cell r="A2648" t="str">
            <v>MEX</v>
          </cell>
          <cell r="B2648" t="str">
            <v>Short</v>
          </cell>
          <cell r="C2648" t="str">
            <v>2018 - 2022</v>
          </cell>
          <cell r="D2648" t="str">
            <v>avg_1_99_imp</v>
          </cell>
          <cell r="E2648" t="str">
            <v>prod_for_agri</v>
          </cell>
          <cell r="F2648">
            <v>-2.515888929367065</v>
          </cell>
        </row>
        <row r="2649">
          <cell r="A2649" t="str">
            <v>MEX</v>
          </cell>
          <cell r="B2649" t="str">
            <v>Short</v>
          </cell>
          <cell r="C2649" t="str">
            <v>2018 - 2022</v>
          </cell>
          <cell r="D2649" t="str">
            <v>avg_1_99_imp</v>
          </cell>
          <cell r="E2649" t="str">
            <v>prod_for_ind</v>
          </cell>
          <cell r="F2649">
            <v>2.0342507362365718</v>
          </cell>
        </row>
        <row r="2650">
          <cell r="A2650" t="str">
            <v>MEX</v>
          </cell>
          <cell r="B2650" t="str">
            <v>Short</v>
          </cell>
          <cell r="C2650" t="str">
            <v>2018 - 2022</v>
          </cell>
          <cell r="D2650" t="str">
            <v>avg_1_99_imp</v>
          </cell>
          <cell r="E2650" t="str">
            <v>prod_for_serv</v>
          </cell>
          <cell r="F2650">
            <v>-2.8809247016906738</v>
          </cell>
        </row>
        <row r="2651">
          <cell r="A2651" t="str">
            <v>MEX</v>
          </cell>
          <cell r="B2651" t="str">
            <v>Short</v>
          </cell>
          <cell r="C2651" t="str">
            <v>2018 - 2022</v>
          </cell>
          <cell r="D2651" t="str">
            <v>avg_1_99_imp</v>
          </cell>
          <cell r="E2651" t="str">
            <v>prod_inf_agri</v>
          </cell>
          <cell r="F2651">
            <v>1.52846360206604</v>
          </cell>
        </row>
        <row r="2652">
          <cell r="A2652" t="str">
            <v>MEX</v>
          </cell>
          <cell r="B2652" t="str">
            <v>Short</v>
          </cell>
          <cell r="C2652" t="str">
            <v>2018 - 2022</v>
          </cell>
          <cell r="D2652" t="str">
            <v>avg_1_99_imp</v>
          </cell>
          <cell r="E2652" t="str">
            <v>prod_inf_ind</v>
          </cell>
          <cell r="F2652">
            <v>0.19146120548248291</v>
          </cell>
        </row>
        <row r="2653">
          <cell r="A2653" t="str">
            <v>MEX</v>
          </cell>
          <cell r="B2653" t="str">
            <v>Short</v>
          </cell>
          <cell r="C2653" t="str">
            <v>2018 - 2022</v>
          </cell>
          <cell r="D2653" t="str">
            <v>avg_1_99_imp</v>
          </cell>
          <cell r="E2653" t="str">
            <v>prod_inf_serv</v>
          </cell>
          <cell r="F2653">
            <v>16.699447631835941</v>
          </cell>
        </row>
        <row r="2654">
          <cell r="A2654" t="str">
            <v>MEX</v>
          </cell>
          <cell r="B2654" t="str">
            <v>Short</v>
          </cell>
          <cell r="C2654" t="str">
            <v>2018 - 2022</v>
          </cell>
          <cell r="D2654" t="str">
            <v>reg</v>
          </cell>
          <cell r="E2654" t="str">
            <v>gdp_activity</v>
          </cell>
          <cell r="F2654">
            <v>3.8410544395446777E-2</v>
          </cell>
        </row>
        <row r="2655">
          <cell r="A2655" t="str">
            <v>MEX</v>
          </cell>
          <cell r="B2655" t="str">
            <v>Short</v>
          </cell>
          <cell r="C2655" t="str">
            <v>2018 - 2022</v>
          </cell>
          <cell r="D2655" t="str">
            <v>reg</v>
          </cell>
          <cell r="E2655" t="str">
            <v>gdp_for_agri</v>
          </cell>
          <cell r="F2655">
            <v>0.70836621522903442</v>
          </cell>
        </row>
        <row r="2656">
          <cell r="A2656" t="str">
            <v>MEX</v>
          </cell>
          <cell r="B2656" t="str">
            <v>Short</v>
          </cell>
          <cell r="C2656" t="str">
            <v>2018 - 2022</v>
          </cell>
          <cell r="D2656" t="str">
            <v>reg</v>
          </cell>
          <cell r="E2656" t="str">
            <v>gdp_for_ind</v>
          </cell>
          <cell r="F2656">
            <v>0.61103880405426025</v>
          </cell>
        </row>
        <row r="2657">
          <cell r="A2657" t="str">
            <v>MEX</v>
          </cell>
          <cell r="B2657" t="str">
            <v>Short</v>
          </cell>
          <cell r="C2657" t="str">
            <v>2018 - 2022</v>
          </cell>
          <cell r="D2657" t="str">
            <v>reg</v>
          </cell>
          <cell r="E2657" t="str">
            <v>gdp_for_serv</v>
          </cell>
          <cell r="F2657">
            <v>0.15716773271560669</v>
          </cell>
        </row>
        <row r="2658">
          <cell r="A2658" t="str">
            <v>MEX</v>
          </cell>
          <cell r="B2658" t="str">
            <v>Short</v>
          </cell>
          <cell r="C2658" t="str">
            <v>2018 - 2022</v>
          </cell>
          <cell r="D2658" t="str">
            <v>reg</v>
          </cell>
          <cell r="E2658" t="str">
            <v>gdp_inf_agri</v>
          </cell>
          <cell r="F2658">
            <v>-1.2744385004043579</v>
          </cell>
        </row>
        <row r="2659">
          <cell r="A2659" t="str">
            <v>MEX</v>
          </cell>
          <cell r="B2659" t="str">
            <v>Short</v>
          </cell>
          <cell r="C2659" t="str">
            <v>2018 - 2022</v>
          </cell>
          <cell r="D2659" t="str">
            <v>reg</v>
          </cell>
          <cell r="E2659" t="str">
            <v>gdp_inf_ind</v>
          </cell>
          <cell r="F2659">
            <v>-4.4370543211698532E-2</v>
          </cell>
        </row>
        <row r="2660">
          <cell r="A2660" t="str">
            <v>MEX</v>
          </cell>
          <cell r="B2660" t="str">
            <v>Short</v>
          </cell>
          <cell r="C2660" t="str">
            <v>2018 - 2022</v>
          </cell>
          <cell r="D2660" t="str">
            <v>reg</v>
          </cell>
          <cell r="E2660" t="str">
            <v>gdp_inf_serv</v>
          </cell>
          <cell r="F2660">
            <v>0.61784273386001587</v>
          </cell>
        </row>
        <row r="2661">
          <cell r="A2661" t="str">
            <v>MEX</v>
          </cell>
          <cell r="B2661" t="str">
            <v>Short</v>
          </cell>
          <cell r="C2661" t="str">
            <v>2018 - 2022</v>
          </cell>
          <cell r="D2661" t="str">
            <v>reg</v>
          </cell>
          <cell r="E2661" t="str">
            <v>prod_for_agri</v>
          </cell>
          <cell r="F2661">
            <v>1.269126415252686</v>
          </cell>
        </row>
        <row r="2662">
          <cell r="A2662" t="str">
            <v>MEX</v>
          </cell>
          <cell r="B2662" t="str">
            <v>Short</v>
          </cell>
          <cell r="C2662" t="str">
            <v>2018 - 2022</v>
          </cell>
          <cell r="D2662" t="str">
            <v>reg</v>
          </cell>
          <cell r="E2662" t="str">
            <v>prod_for_ind</v>
          </cell>
          <cell r="F2662">
            <v>0.53987431526184082</v>
          </cell>
        </row>
        <row r="2663">
          <cell r="A2663" t="str">
            <v>MEX</v>
          </cell>
          <cell r="B2663" t="str">
            <v>Short</v>
          </cell>
          <cell r="C2663" t="str">
            <v>2018 - 2022</v>
          </cell>
          <cell r="D2663" t="str">
            <v>reg</v>
          </cell>
          <cell r="E2663" t="str">
            <v>prod_for_serv</v>
          </cell>
          <cell r="F2663">
            <v>0.53350567817687988</v>
          </cell>
        </row>
        <row r="2664">
          <cell r="A2664" t="str">
            <v>MEX</v>
          </cell>
          <cell r="B2664" t="str">
            <v>Short</v>
          </cell>
          <cell r="C2664" t="str">
            <v>2018 - 2022</v>
          </cell>
          <cell r="D2664" t="str">
            <v>reg</v>
          </cell>
          <cell r="E2664" t="str">
            <v>prod_inf_agri</v>
          </cell>
          <cell r="F2664">
            <v>1.6824924945831301</v>
          </cell>
        </row>
        <row r="2665">
          <cell r="A2665" t="str">
            <v>MEX</v>
          </cell>
          <cell r="B2665" t="str">
            <v>Short</v>
          </cell>
          <cell r="C2665" t="str">
            <v>2018 - 2022</v>
          </cell>
          <cell r="D2665" t="str">
            <v>reg</v>
          </cell>
          <cell r="E2665" t="str">
            <v>prod_inf_ind</v>
          </cell>
          <cell r="F2665">
            <v>1.822340130805969</v>
          </cell>
        </row>
        <row r="2666">
          <cell r="A2666" t="str">
            <v>MEX</v>
          </cell>
          <cell r="B2666" t="str">
            <v>Short</v>
          </cell>
          <cell r="C2666" t="str">
            <v>2018 - 2022</v>
          </cell>
          <cell r="D2666" t="str">
            <v>reg</v>
          </cell>
          <cell r="E2666" t="str">
            <v>prod_inf_serv</v>
          </cell>
          <cell r="F2666">
            <v>0.59230709075927734</v>
          </cell>
        </row>
        <row r="2667">
          <cell r="A2667" t="str">
            <v>MEX</v>
          </cell>
          <cell r="B2667" t="str">
            <v>Short</v>
          </cell>
          <cell r="C2667" t="str">
            <v>2018 - 2022</v>
          </cell>
          <cell r="D2667" t="str">
            <v>reg_gdp</v>
          </cell>
          <cell r="E2667" t="str">
            <v>gdp_activity</v>
          </cell>
          <cell r="F2667">
            <v>3.8410544395446777E-2</v>
          </cell>
        </row>
        <row r="2668">
          <cell r="A2668" t="str">
            <v>MEX</v>
          </cell>
          <cell r="B2668" t="str">
            <v>Short</v>
          </cell>
          <cell r="C2668" t="str">
            <v>2018 - 2022</v>
          </cell>
          <cell r="D2668" t="str">
            <v>reg_gdp</v>
          </cell>
          <cell r="E2668" t="str">
            <v>gdp_for_agri</v>
          </cell>
          <cell r="F2668">
            <v>1.005878806114197</v>
          </cell>
        </row>
        <row r="2669">
          <cell r="A2669" t="str">
            <v>MEX</v>
          </cell>
          <cell r="B2669" t="str">
            <v>Short</v>
          </cell>
          <cell r="C2669" t="str">
            <v>2018 - 2022</v>
          </cell>
          <cell r="D2669" t="str">
            <v>reg_gdp</v>
          </cell>
          <cell r="E2669" t="str">
            <v>gdp_for_ind</v>
          </cell>
          <cell r="F2669">
            <v>29.274259567260739</v>
          </cell>
        </row>
        <row r="2670">
          <cell r="A2670" t="str">
            <v>MEX</v>
          </cell>
          <cell r="B2670" t="str">
            <v>Short</v>
          </cell>
          <cell r="C2670" t="str">
            <v>2018 - 2022</v>
          </cell>
          <cell r="D2670" t="str">
            <v>reg_gdp</v>
          </cell>
          <cell r="E2670" t="str">
            <v>gdp_for_serv</v>
          </cell>
          <cell r="F2670">
            <v>-17.26055908203125</v>
          </cell>
        </row>
        <row r="2671">
          <cell r="A2671" t="str">
            <v>MEX</v>
          </cell>
          <cell r="B2671" t="str">
            <v>Short</v>
          </cell>
          <cell r="C2671" t="str">
            <v>2018 - 2022</v>
          </cell>
          <cell r="D2671" t="str">
            <v>reg_gdp</v>
          </cell>
          <cell r="E2671" t="str">
            <v>gdp_inf_agri</v>
          </cell>
          <cell r="F2671">
            <v>-1.1735002994537349</v>
          </cell>
        </row>
        <row r="2672">
          <cell r="A2672" t="str">
            <v>MEX</v>
          </cell>
          <cell r="B2672" t="str">
            <v>Short</v>
          </cell>
          <cell r="C2672" t="str">
            <v>2018 - 2022</v>
          </cell>
          <cell r="D2672" t="str">
            <v>reg_gdp</v>
          </cell>
          <cell r="E2672" t="str">
            <v>gdp_inf_ind</v>
          </cell>
          <cell r="F2672">
            <v>18.024698257446289</v>
          </cell>
        </row>
        <row r="2673">
          <cell r="A2673" t="str">
            <v>MEX</v>
          </cell>
          <cell r="B2673" t="str">
            <v>Short</v>
          </cell>
          <cell r="C2673" t="str">
            <v>2018 - 2022</v>
          </cell>
          <cell r="D2673" t="str">
            <v>reg_gdp</v>
          </cell>
          <cell r="E2673" t="str">
            <v>gdp_inf_serv</v>
          </cell>
          <cell r="F2673">
            <v>-11.65190982818604</v>
          </cell>
        </row>
        <row r="2674">
          <cell r="A2674" t="str">
            <v>MEX</v>
          </cell>
          <cell r="B2674" t="str">
            <v>Short</v>
          </cell>
          <cell r="C2674" t="str">
            <v>2018 - 2022</v>
          </cell>
          <cell r="D2674" t="str">
            <v>reg_gdp</v>
          </cell>
          <cell r="E2674" t="str">
            <v>prod_for_agri</v>
          </cell>
          <cell r="F2674">
            <v>1.4498012065887449</v>
          </cell>
        </row>
        <row r="2675">
          <cell r="A2675" t="str">
            <v>MEX</v>
          </cell>
          <cell r="B2675" t="str">
            <v>Short</v>
          </cell>
          <cell r="C2675" t="str">
            <v>2018 - 2022</v>
          </cell>
          <cell r="D2675" t="str">
            <v>reg_gdp</v>
          </cell>
          <cell r="E2675" t="str">
            <v>prod_for_ind</v>
          </cell>
          <cell r="F2675">
            <v>-1.704700112342834</v>
          </cell>
        </row>
        <row r="2676">
          <cell r="A2676" t="str">
            <v>MEX</v>
          </cell>
          <cell r="B2676" t="str">
            <v>Short</v>
          </cell>
          <cell r="C2676" t="str">
            <v>2018 - 2022</v>
          </cell>
          <cell r="D2676" t="str">
            <v>reg_gdp</v>
          </cell>
          <cell r="E2676" t="str">
            <v>prod_for_serv</v>
          </cell>
          <cell r="F2676">
            <v>7.1506738662719727E-2</v>
          </cell>
        </row>
        <row r="2677">
          <cell r="A2677" t="str">
            <v>MEX</v>
          </cell>
          <cell r="B2677" t="str">
            <v>Short</v>
          </cell>
          <cell r="C2677" t="str">
            <v>2018 - 2022</v>
          </cell>
          <cell r="D2677" t="str">
            <v>reg_gdp</v>
          </cell>
          <cell r="E2677" t="str">
            <v>prod_inf_agri</v>
          </cell>
          <cell r="F2677">
            <v>1.8469152450561519</v>
          </cell>
        </row>
        <row r="2678">
          <cell r="A2678" t="str">
            <v>MEX</v>
          </cell>
          <cell r="B2678" t="str">
            <v>Short</v>
          </cell>
          <cell r="C2678" t="str">
            <v>2018 - 2022</v>
          </cell>
          <cell r="D2678" t="str">
            <v>reg_gdp</v>
          </cell>
          <cell r="E2678" t="str">
            <v>prod_inf_ind</v>
          </cell>
          <cell r="F2678">
            <v>0.41810405254364008</v>
          </cell>
        </row>
        <row r="2679">
          <cell r="A2679" t="str">
            <v>MEX</v>
          </cell>
          <cell r="B2679" t="str">
            <v>Short</v>
          </cell>
          <cell r="C2679" t="str">
            <v>2018 - 2022</v>
          </cell>
          <cell r="D2679" t="str">
            <v>reg_gdp</v>
          </cell>
          <cell r="E2679" t="str">
            <v>prod_inf_serv</v>
          </cell>
          <cell r="F2679">
            <v>-0.40125134587287897</v>
          </cell>
        </row>
        <row r="2680">
          <cell r="A2680" t="str">
            <v>MEX</v>
          </cell>
          <cell r="B2680" t="str">
            <v>Short</v>
          </cell>
          <cell r="C2680" t="str">
            <v>2018 - 2022</v>
          </cell>
          <cell r="D2680" t="str">
            <v>reg_iter</v>
          </cell>
          <cell r="E2680" t="str">
            <v>gdp_activity</v>
          </cell>
          <cell r="F2680">
            <v>6.7012548446655273E-2</v>
          </cell>
        </row>
        <row r="2681">
          <cell r="A2681" t="str">
            <v>MEX</v>
          </cell>
          <cell r="B2681" t="str">
            <v>Short</v>
          </cell>
          <cell r="C2681" t="str">
            <v>2018 - 2022</v>
          </cell>
          <cell r="D2681" t="str">
            <v>reg_iter</v>
          </cell>
          <cell r="E2681" t="str">
            <v>gdp_for_agri</v>
          </cell>
          <cell r="F2681">
            <v>-2.2969398498535161</v>
          </cell>
        </row>
        <row r="2682">
          <cell r="A2682" t="str">
            <v>MEX</v>
          </cell>
          <cell r="B2682" t="str">
            <v>Short</v>
          </cell>
          <cell r="C2682" t="str">
            <v>2018 - 2022</v>
          </cell>
          <cell r="D2682" t="str">
            <v>reg_iter</v>
          </cell>
          <cell r="E2682" t="str">
            <v>gdp_for_ind</v>
          </cell>
          <cell r="F2682">
            <v>0.62637108564376831</v>
          </cell>
        </row>
        <row r="2683">
          <cell r="A2683" t="str">
            <v>MEX</v>
          </cell>
          <cell r="B2683" t="str">
            <v>Short</v>
          </cell>
          <cell r="C2683" t="str">
            <v>2018 - 2022</v>
          </cell>
          <cell r="D2683" t="str">
            <v>reg_iter</v>
          </cell>
          <cell r="E2683" t="str">
            <v>gdp_for_serv</v>
          </cell>
          <cell r="F2683">
            <v>0.27816620469093323</v>
          </cell>
        </row>
        <row r="2684">
          <cell r="A2684" t="str">
            <v>MEX</v>
          </cell>
          <cell r="B2684" t="str">
            <v>Short</v>
          </cell>
          <cell r="C2684" t="str">
            <v>2018 - 2022</v>
          </cell>
          <cell r="D2684" t="str">
            <v>reg_iter</v>
          </cell>
          <cell r="E2684" t="str">
            <v>gdp_inf_agri</v>
          </cell>
          <cell r="F2684">
            <v>-2.2940597534179692</v>
          </cell>
        </row>
        <row r="2685">
          <cell r="A2685" t="str">
            <v>MEX</v>
          </cell>
          <cell r="B2685" t="str">
            <v>Short</v>
          </cell>
          <cell r="C2685" t="str">
            <v>2018 - 2022</v>
          </cell>
          <cell r="D2685" t="str">
            <v>reg_iter</v>
          </cell>
          <cell r="E2685" t="str">
            <v>gdp_inf_ind</v>
          </cell>
          <cell r="F2685">
            <v>-3.4705188125371933E-2</v>
          </cell>
        </row>
        <row r="2686">
          <cell r="A2686" t="str">
            <v>MEX</v>
          </cell>
          <cell r="B2686" t="str">
            <v>Short</v>
          </cell>
          <cell r="C2686" t="str">
            <v>2018 - 2022</v>
          </cell>
          <cell r="D2686" t="str">
            <v>reg_iter</v>
          </cell>
          <cell r="E2686" t="str">
            <v>gdp_inf_serv</v>
          </cell>
          <cell r="F2686">
            <v>0.7030789852142334</v>
          </cell>
        </row>
        <row r="2687">
          <cell r="A2687" t="str">
            <v>MEX</v>
          </cell>
          <cell r="B2687" t="str">
            <v>Short</v>
          </cell>
          <cell r="C2687" t="str">
            <v>2018 - 2022</v>
          </cell>
          <cell r="D2687" t="str">
            <v>reg_iter</v>
          </cell>
          <cell r="E2687" t="str">
            <v>prod_for_agri</v>
          </cell>
          <cell r="F2687">
            <v>0.73492944240570068</v>
          </cell>
        </row>
        <row r="2688">
          <cell r="A2688" t="str">
            <v>MEX</v>
          </cell>
          <cell r="B2688" t="str">
            <v>Short</v>
          </cell>
          <cell r="C2688" t="str">
            <v>2018 - 2022</v>
          </cell>
          <cell r="D2688" t="str">
            <v>reg_iter</v>
          </cell>
          <cell r="E2688" t="str">
            <v>prod_for_ind</v>
          </cell>
          <cell r="F2688">
            <v>1.0945191383361821</v>
          </cell>
        </row>
        <row r="2689">
          <cell r="A2689" t="str">
            <v>MEX</v>
          </cell>
          <cell r="B2689" t="str">
            <v>Short</v>
          </cell>
          <cell r="C2689" t="str">
            <v>2018 - 2022</v>
          </cell>
          <cell r="D2689" t="str">
            <v>reg_iter</v>
          </cell>
          <cell r="E2689" t="str">
            <v>prod_for_serv</v>
          </cell>
          <cell r="F2689">
            <v>1.9471238851547239</v>
          </cell>
        </row>
        <row r="2690">
          <cell r="A2690" t="str">
            <v>MEX</v>
          </cell>
          <cell r="B2690" t="str">
            <v>Short</v>
          </cell>
          <cell r="C2690" t="str">
            <v>2018 - 2022</v>
          </cell>
          <cell r="D2690" t="str">
            <v>reg_iter</v>
          </cell>
          <cell r="E2690" t="str">
            <v>prod_inf_agri</v>
          </cell>
          <cell r="F2690">
            <v>1.196347832679749</v>
          </cell>
        </row>
        <row r="2691">
          <cell r="A2691" t="str">
            <v>MEX</v>
          </cell>
          <cell r="B2691" t="str">
            <v>Short</v>
          </cell>
          <cell r="C2691" t="str">
            <v>2018 - 2022</v>
          </cell>
          <cell r="D2691" t="str">
            <v>reg_iter</v>
          </cell>
          <cell r="E2691" t="str">
            <v>prod_inf_ind</v>
          </cell>
          <cell r="F2691">
            <v>2.1693334579467769</v>
          </cell>
        </row>
        <row r="2692">
          <cell r="A2692" t="str">
            <v>MEX</v>
          </cell>
          <cell r="B2692" t="str">
            <v>Short</v>
          </cell>
          <cell r="C2692" t="str">
            <v>2018 - 2022</v>
          </cell>
          <cell r="D2692" t="str">
            <v>reg_iter</v>
          </cell>
          <cell r="E2692" t="str">
            <v>prod_inf_serv</v>
          </cell>
          <cell r="F2692">
            <v>3.632384300231934</v>
          </cell>
        </row>
        <row r="2693">
          <cell r="A2693" t="str">
            <v>PAN</v>
          </cell>
          <cell r="B2693" t="str">
            <v>Long</v>
          </cell>
          <cell r="C2693" t="str">
            <v>2006 - 2023</v>
          </cell>
          <cell r="D2693" t="str">
            <v>avg</v>
          </cell>
          <cell r="E2693" t="str">
            <v>gdp_activity</v>
          </cell>
          <cell r="F2693">
            <v>0.55014556646347046</v>
          </cell>
        </row>
        <row r="2694">
          <cell r="A2694" t="str">
            <v>PAN</v>
          </cell>
          <cell r="B2694" t="str">
            <v>Long</v>
          </cell>
          <cell r="C2694" t="str">
            <v>2006 - 2023</v>
          </cell>
          <cell r="D2694" t="str">
            <v>avg</v>
          </cell>
          <cell r="E2694" t="str">
            <v>gdp_for_agri</v>
          </cell>
          <cell r="F2694">
            <v>-7.395256519317627</v>
          </cell>
        </row>
        <row r="2695">
          <cell r="A2695" t="str">
            <v>PAN</v>
          </cell>
          <cell r="B2695" t="str">
            <v>Long</v>
          </cell>
          <cell r="C2695" t="str">
            <v>2006 - 2023</v>
          </cell>
          <cell r="D2695" t="str">
            <v>avg</v>
          </cell>
          <cell r="E2695" t="str">
            <v>gdp_for_ind</v>
          </cell>
          <cell r="F2695">
            <v>-6.5428160130977631E-2</v>
          </cell>
        </row>
        <row r="2696">
          <cell r="A2696" t="str">
            <v>PAN</v>
          </cell>
          <cell r="B2696" t="str">
            <v>Long</v>
          </cell>
          <cell r="C2696" t="str">
            <v>2006 - 2023</v>
          </cell>
          <cell r="D2696" t="str">
            <v>avg</v>
          </cell>
          <cell r="E2696" t="str">
            <v>gdp_for_serv</v>
          </cell>
          <cell r="F2696">
            <v>5.9484896659851074</v>
          </cell>
        </row>
        <row r="2697">
          <cell r="A2697" t="str">
            <v>PAN</v>
          </cell>
          <cell r="B2697" t="str">
            <v>Long</v>
          </cell>
          <cell r="C2697" t="str">
            <v>2006 - 2023</v>
          </cell>
          <cell r="D2697" t="str">
            <v>avg</v>
          </cell>
          <cell r="E2697" t="str">
            <v>gdp_inf_agri</v>
          </cell>
          <cell r="F2697">
            <v>4.8865728378295898</v>
          </cell>
        </row>
        <row r="2698">
          <cell r="A2698" t="str">
            <v>PAN</v>
          </cell>
          <cell r="B2698" t="str">
            <v>Long</v>
          </cell>
          <cell r="C2698" t="str">
            <v>2006 - 2023</v>
          </cell>
          <cell r="D2698" t="str">
            <v>avg</v>
          </cell>
          <cell r="E2698" t="str">
            <v>gdp_inf_ind</v>
          </cell>
          <cell r="F2698">
            <v>0.3591025173664093</v>
          </cell>
        </row>
        <row r="2699">
          <cell r="A2699" t="str">
            <v>PAN</v>
          </cell>
          <cell r="B2699" t="str">
            <v>Long</v>
          </cell>
          <cell r="C2699" t="str">
            <v>2006 - 2023</v>
          </cell>
          <cell r="D2699" t="str">
            <v>avg</v>
          </cell>
          <cell r="E2699" t="str">
            <v>gdp_inf_serv</v>
          </cell>
          <cell r="F2699">
            <v>2.7965891361236568</v>
          </cell>
        </row>
        <row r="2700">
          <cell r="A2700" t="str">
            <v>PAN</v>
          </cell>
          <cell r="B2700" t="str">
            <v>Long</v>
          </cell>
          <cell r="C2700" t="str">
            <v>2006 - 2023</v>
          </cell>
          <cell r="D2700" t="str">
            <v>avg</v>
          </cell>
          <cell r="E2700" t="str">
            <v>prod_for_agri</v>
          </cell>
          <cell r="F2700">
            <v>-0.36533108353614813</v>
          </cell>
        </row>
        <row r="2701">
          <cell r="A2701" t="str">
            <v>PAN</v>
          </cell>
          <cell r="B2701" t="str">
            <v>Long</v>
          </cell>
          <cell r="C2701" t="str">
            <v>2006 - 2023</v>
          </cell>
          <cell r="D2701" t="str">
            <v>avg</v>
          </cell>
          <cell r="E2701" t="str">
            <v>prod_for_ind</v>
          </cell>
          <cell r="F2701">
            <v>0.47280722856521612</v>
          </cell>
        </row>
        <row r="2702">
          <cell r="A2702" t="str">
            <v>PAN</v>
          </cell>
          <cell r="B2702" t="str">
            <v>Long</v>
          </cell>
          <cell r="C2702" t="str">
            <v>2006 - 2023</v>
          </cell>
          <cell r="D2702" t="str">
            <v>avg</v>
          </cell>
          <cell r="E2702" t="str">
            <v>prod_for_serv</v>
          </cell>
          <cell r="F2702">
            <v>0.28439149260520941</v>
          </cell>
        </row>
        <row r="2703">
          <cell r="A2703" t="str">
            <v>PAN</v>
          </cell>
          <cell r="B2703" t="str">
            <v>Long</v>
          </cell>
          <cell r="C2703" t="str">
            <v>2006 - 2023</v>
          </cell>
          <cell r="D2703" t="str">
            <v>avg</v>
          </cell>
          <cell r="E2703" t="str">
            <v>prod_inf_agri</v>
          </cell>
          <cell r="F2703">
            <v>-1.84740138053894</v>
          </cell>
        </row>
        <row r="2704">
          <cell r="A2704" t="str">
            <v>PAN</v>
          </cell>
          <cell r="B2704" t="str">
            <v>Long</v>
          </cell>
          <cell r="C2704" t="str">
            <v>2006 - 2023</v>
          </cell>
          <cell r="D2704" t="str">
            <v>avg</v>
          </cell>
          <cell r="E2704" t="str">
            <v>prod_inf_ind</v>
          </cell>
          <cell r="F2704">
            <v>1.2634056806564331</v>
          </cell>
        </row>
        <row r="2705">
          <cell r="A2705" t="str">
            <v>PAN</v>
          </cell>
          <cell r="B2705" t="str">
            <v>Long</v>
          </cell>
          <cell r="C2705" t="str">
            <v>2006 - 2023</v>
          </cell>
          <cell r="D2705" t="str">
            <v>avg</v>
          </cell>
          <cell r="E2705" t="str">
            <v>prod_inf_serv</v>
          </cell>
          <cell r="F2705">
            <v>-0.55228179693222046</v>
          </cell>
        </row>
        <row r="2706">
          <cell r="A2706" t="str">
            <v>PAN</v>
          </cell>
          <cell r="B2706" t="str">
            <v>Long</v>
          </cell>
          <cell r="C2706" t="str">
            <v>2006 - 2023</v>
          </cell>
          <cell r="D2706" t="str">
            <v>avg_1_99</v>
          </cell>
          <cell r="E2706" t="str">
            <v>gdp_activity</v>
          </cell>
          <cell r="F2706">
            <v>0.51399731636047363</v>
          </cell>
        </row>
        <row r="2707">
          <cell r="A2707" t="str">
            <v>PAN</v>
          </cell>
          <cell r="B2707" t="str">
            <v>Long</v>
          </cell>
          <cell r="C2707" t="str">
            <v>2006 - 2023</v>
          </cell>
          <cell r="D2707" t="str">
            <v>avg_1_99</v>
          </cell>
          <cell r="E2707" t="str">
            <v>gdp_for_agri</v>
          </cell>
          <cell r="F2707">
            <v>-2.6190788745880131</v>
          </cell>
        </row>
        <row r="2708">
          <cell r="A2708" t="str">
            <v>PAN</v>
          </cell>
          <cell r="B2708" t="str">
            <v>Long</v>
          </cell>
          <cell r="C2708" t="str">
            <v>2006 - 2023</v>
          </cell>
          <cell r="D2708" t="str">
            <v>avg_1_99</v>
          </cell>
          <cell r="E2708" t="str">
            <v>gdp_for_ind</v>
          </cell>
          <cell r="F2708">
            <v>0.26205477118492132</v>
          </cell>
        </row>
        <row r="2709">
          <cell r="A2709" t="str">
            <v>PAN</v>
          </cell>
          <cell r="B2709" t="str">
            <v>Long</v>
          </cell>
          <cell r="C2709" t="str">
            <v>2006 - 2023</v>
          </cell>
          <cell r="D2709" t="str">
            <v>avg_1_99</v>
          </cell>
          <cell r="E2709" t="str">
            <v>gdp_for_serv</v>
          </cell>
          <cell r="F2709">
            <v>0.82645893096923828</v>
          </cell>
        </row>
        <row r="2710">
          <cell r="A2710" t="str">
            <v>PAN</v>
          </cell>
          <cell r="B2710" t="str">
            <v>Long</v>
          </cell>
          <cell r="C2710" t="str">
            <v>2006 - 2023</v>
          </cell>
          <cell r="D2710" t="str">
            <v>avg_1_99</v>
          </cell>
          <cell r="E2710" t="str">
            <v>gdp_inf_agri</v>
          </cell>
          <cell r="F2710">
            <v>1.5281732082366939</v>
          </cell>
        </row>
        <row r="2711">
          <cell r="A2711" t="str">
            <v>PAN</v>
          </cell>
          <cell r="B2711" t="str">
            <v>Long</v>
          </cell>
          <cell r="C2711" t="str">
            <v>2006 - 2023</v>
          </cell>
          <cell r="D2711" t="str">
            <v>avg_1_99</v>
          </cell>
          <cell r="E2711" t="str">
            <v>gdp_inf_ind</v>
          </cell>
          <cell r="F2711">
            <v>0.25519907474517822</v>
          </cell>
        </row>
        <row r="2712">
          <cell r="A2712" t="str">
            <v>PAN</v>
          </cell>
          <cell r="B2712" t="str">
            <v>Long</v>
          </cell>
          <cell r="C2712" t="str">
            <v>2006 - 2023</v>
          </cell>
          <cell r="D2712" t="str">
            <v>avg_1_99</v>
          </cell>
          <cell r="E2712" t="str">
            <v>gdp_inf_serv</v>
          </cell>
          <cell r="F2712">
            <v>0.85908269882202148</v>
          </cell>
        </row>
        <row r="2713">
          <cell r="A2713" t="str">
            <v>PAN</v>
          </cell>
          <cell r="B2713" t="str">
            <v>Long</v>
          </cell>
          <cell r="C2713" t="str">
            <v>2006 - 2023</v>
          </cell>
          <cell r="D2713" t="str">
            <v>avg_1_99</v>
          </cell>
          <cell r="E2713" t="str">
            <v>prod_for_agri</v>
          </cell>
          <cell r="F2713">
            <v>-1.783119514584541E-2</v>
          </cell>
        </row>
        <row r="2714">
          <cell r="A2714" t="str">
            <v>PAN</v>
          </cell>
          <cell r="B2714" t="str">
            <v>Long</v>
          </cell>
          <cell r="C2714" t="str">
            <v>2006 - 2023</v>
          </cell>
          <cell r="D2714" t="str">
            <v>avg_1_99</v>
          </cell>
          <cell r="E2714" t="str">
            <v>prod_for_ind</v>
          </cell>
          <cell r="F2714">
            <v>0.42917340993881231</v>
          </cell>
        </row>
        <row r="2715">
          <cell r="A2715" t="str">
            <v>PAN</v>
          </cell>
          <cell r="B2715" t="str">
            <v>Long</v>
          </cell>
          <cell r="C2715" t="str">
            <v>2006 - 2023</v>
          </cell>
          <cell r="D2715" t="str">
            <v>avg_1_99</v>
          </cell>
          <cell r="E2715" t="str">
            <v>prod_for_serv</v>
          </cell>
          <cell r="F2715">
            <v>0.29399755597114557</v>
          </cell>
        </row>
        <row r="2716">
          <cell r="A2716" t="str">
            <v>PAN</v>
          </cell>
          <cell r="B2716" t="str">
            <v>Long</v>
          </cell>
          <cell r="C2716" t="str">
            <v>2006 - 2023</v>
          </cell>
          <cell r="D2716" t="str">
            <v>avg_1_99</v>
          </cell>
          <cell r="E2716" t="str">
            <v>prod_inf_agri</v>
          </cell>
          <cell r="F2716">
            <v>-1.657716035842896</v>
          </cell>
        </row>
        <row r="2717">
          <cell r="A2717" t="str">
            <v>PAN</v>
          </cell>
          <cell r="B2717" t="str">
            <v>Long</v>
          </cell>
          <cell r="C2717" t="str">
            <v>2006 - 2023</v>
          </cell>
          <cell r="D2717" t="str">
            <v>avg_1_99</v>
          </cell>
          <cell r="E2717" t="str">
            <v>prod_inf_ind</v>
          </cell>
          <cell r="F2717">
            <v>0.60419142246246338</v>
          </cell>
        </row>
        <row r="2718">
          <cell r="A2718" t="str">
            <v>PAN</v>
          </cell>
          <cell r="B2718" t="str">
            <v>Long</v>
          </cell>
          <cell r="C2718" t="str">
            <v>2006 - 2023</v>
          </cell>
          <cell r="D2718" t="str">
            <v>avg_1_99</v>
          </cell>
          <cell r="E2718" t="str">
            <v>prod_inf_serv</v>
          </cell>
          <cell r="F2718">
            <v>-0.46285462379455572</v>
          </cell>
        </row>
        <row r="2719">
          <cell r="A2719" t="str">
            <v>PAN</v>
          </cell>
          <cell r="B2719" t="str">
            <v>Long</v>
          </cell>
          <cell r="C2719" t="str">
            <v>2006 - 2023</v>
          </cell>
          <cell r="D2719" t="str">
            <v>avg_1_99_imp</v>
          </cell>
          <cell r="E2719" t="str">
            <v>gdp_activity</v>
          </cell>
          <cell r="F2719">
            <v>0.49670970439910889</v>
          </cell>
        </row>
        <row r="2720">
          <cell r="A2720" t="str">
            <v>PAN</v>
          </cell>
          <cell r="B2720" t="str">
            <v>Long</v>
          </cell>
          <cell r="C2720" t="str">
            <v>2006 - 2023</v>
          </cell>
          <cell r="D2720" t="str">
            <v>avg_1_99_imp</v>
          </cell>
          <cell r="E2720" t="str">
            <v>gdp_for_agri</v>
          </cell>
          <cell r="F2720">
            <v>-2.375937938690186</v>
          </cell>
        </row>
        <row r="2721">
          <cell r="A2721" t="str">
            <v>PAN</v>
          </cell>
          <cell r="B2721" t="str">
            <v>Long</v>
          </cell>
          <cell r="C2721" t="str">
            <v>2006 - 2023</v>
          </cell>
          <cell r="D2721" t="str">
            <v>avg_1_99_imp</v>
          </cell>
          <cell r="E2721" t="str">
            <v>gdp_for_ind</v>
          </cell>
          <cell r="F2721">
            <v>0.26215553283691412</v>
          </cell>
        </row>
        <row r="2722">
          <cell r="A2722" t="str">
            <v>PAN</v>
          </cell>
          <cell r="B2722" t="str">
            <v>Long</v>
          </cell>
          <cell r="C2722" t="str">
            <v>2006 - 2023</v>
          </cell>
          <cell r="D2722" t="str">
            <v>avg_1_99_imp</v>
          </cell>
          <cell r="E2722" t="str">
            <v>gdp_for_serv</v>
          </cell>
          <cell r="F2722">
            <v>0.77305728197097778</v>
          </cell>
        </row>
        <row r="2723">
          <cell r="A2723" t="str">
            <v>PAN</v>
          </cell>
          <cell r="B2723" t="str">
            <v>Long</v>
          </cell>
          <cell r="C2723" t="str">
            <v>2006 - 2023</v>
          </cell>
          <cell r="D2723" t="str">
            <v>avg_1_99_imp</v>
          </cell>
          <cell r="E2723" t="str">
            <v>gdp_inf_agri</v>
          </cell>
          <cell r="F2723">
            <v>1.3347228765487671</v>
          </cell>
        </row>
        <row r="2724">
          <cell r="A2724" t="str">
            <v>PAN</v>
          </cell>
          <cell r="B2724" t="str">
            <v>Long</v>
          </cell>
          <cell r="C2724" t="str">
            <v>2006 - 2023</v>
          </cell>
          <cell r="D2724" t="str">
            <v>avg_1_99_imp</v>
          </cell>
          <cell r="E2724" t="str">
            <v>gdp_inf_ind</v>
          </cell>
          <cell r="F2724">
            <v>0.24427409470081329</v>
          </cell>
        </row>
        <row r="2725">
          <cell r="A2725" t="str">
            <v>PAN</v>
          </cell>
          <cell r="B2725" t="str">
            <v>Long</v>
          </cell>
          <cell r="C2725" t="str">
            <v>2006 - 2023</v>
          </cell>
          <cell r="D2725" t="str">
            <v>avg_1_99_imp</v>
          </cell>
          <cell r="E2725" t="str">
            <v>gdp_inf_serv</v>
          </cell>
          <cell r="F2725">
            <v>0.84253287315368652</v>
          </cell>
        </row>
        <row r="2726">
          <cell r="A2726" t="str">
            <v>PAN</v>
          </cell>
          <cell r="B2726" t="str">
            <v>Long</v>
          </cell>
          <cell r="C2726" t="str">
            <v>2006 - 2023</v>
          </cell>
          <cell r="D2726" t="str">
            <v>avg_1_99_imp</v>
          </cell>
          <cell r="E2726" t="str">
            <v>prod_for_agri</v>
          </cell>
          <cell r="F2726">
            <v>-8.129226416349411E-2</v>
          </cell>
        </row>
        <row r="2727">
          <cell r="A2727" t="str">
            <v>PAN</v>
          </cell>
          <cell r="B2727" t="str">
            <v>Long</v>
          </cell>
          <cell r="C2727" t="str">
            <v>2006 - 2023</v>
          </cell>
          <cell r="D2727" t="str">
            <v>avg_1_99_imp</v>
          </cell>
          <cell r="E2727" t="str">
            <v>prod_for_ind</v>
          </cell>
          <cell r="F2727">
            <v>0.12584613263607031</v>
          </cell>
        </row>
        <row r="2728">
          <cell r="A2728" t="str">
            <v>PAN</v>
          </cell>
          <cell r="B2728" t="str">
            <v>Long</v>
          </cell>
          <cell r="C2728" t="str">
            <v>2006 - 2023</v>
          </cell>
          <cell r="D2728" t="str">
            <v>avg_1_99_imp</v>
          </cell>
          <cell r="E2728" t="str">
            <v>prod_for_serv</v>
          </cell>
          <cell r="F2728">
            <v>0.1485031396150589</v>
          </cell>
        </row>
        <row r="2729">
          <cell r="A2729" t="str">
            <v>PAN</v>
          </cell>
          <cell r="B2729" t="str">
            <v>Long</v>
          </cell>
          <cell r="C2729" t="str">
            <v>2006 - 2023</v>
          </cell>
          <cell r="D2729" t="str">
            <v>avg_1_99_imp</v>
          </cell>
          <cell r="E2729" t="str">
            <v>prod_inf_agri</v>
          </cell>
          <cell r="F2729">
            <v>-1.4224791526794429</v>
          </cell>
        </row>
        <row r="2730">
          <cell r="A2730" t="str">
            <v>PAN</v>
          </cell>
          <cell r="B2730" t="str">
            <v>Long</v>
          </cell>
          <cell r="C2730" t="str">
            <v>2006 - 2023</v>
          </cell>
          <cell r="D2730" t="str">
            <v>avg_1_99_imp</v>
          </cell>
          <cell r="E2730" t="str">
            <v>prod_inf_ind</v>
          </cell>
          <cell r="F2730">
            <v>0.54079091548919678</v>
          </cell>
        </row>
        <row r="2731">
          <cell r="A2731" t="str">
            <v>PAN</v>
          </cell>
          <cell r="B2731" t="str">
            <v>Long</v>
          </cell>
          <cell r="C2731" t="str">
            <v>2006 - 2023</v>
          </cell>
          <cell r="D2731" t="str">
            <v>avg_1_99_imp</v>
          </cell>
          <cell r="E2731" t="str">
            <v>prod_inf_serv</v>
          </cell>
          <cell r="F2731">
            <v>-0.42616206407547003</v>
          </cell>
        </row>
        <row r="2732">
          <cell r="A2732" t="str">
            <v>PAN</v>
          </cell>
          <cell r="B2732" t="str">
            <v>Long</v>
          </cell>
          <cell r="C2732" t="str">
            <v>2006 - 2023</v>
          </cell>
          <cell r="D2732" t="str">
            <v>med_reg</v>
          </cell>
          <cell r="E2732" t="str">
            <v>gdp_activity</v>
          </cell>
          <cell r="F2732">
            <v>0.39920920133590698</v>
          </cell>
        </row>
        <row r="2733">
          <cell r="A2733" t="str">
            <v>PAN</v>
          </cell>
          <cell r="B2733" t="str">
            <v>Long</v>
          </cell>
          <cell r="C2733" t="str">
            <v>2006 - 2023</v>
          </cell>
          <cell r="D2733" t="str">
            <v>med_reg</v>
          </cell>
          <cell r="E2733" t="str">
            <v>gdp_for_agri</v>
          </cell>
          <cell r="F2733">
            <v>-1.3209782838821409</v>
          </cell>
        </row>
        <row r="2734">
          <cell r="A2734" t="str">
            <v>PAN</v>
          </cell>
          <cell r="B2734" t="str">
            <v>Long</v>
          </cell>
          <cell r="C2734" t="str">
            <v>2006 - 2023</v>
          </cell>
          <cell r="D2734" t="str">
            <v>med_reg</v>
          </cell>
          <cell r="E2734" t="str">
            <v>gdp_for_ind</v>
          </cell>
          <cell r="F2734">
            <v>0.14666268229484561</v>
          </cell>
        </row>
        <row r="2735">
          <cell r="A2735" t="str">
            <v>PAN</v>
          </cell>
          <cell r="B2735" t="str">
            <v>Long</v>
          </cell>
          <cell r="C2735" t="str">
            <v>2006 - 2023</v>
          </cell>
          <cell r="D2735" t="str">
            <v>med_reg</v>
          </cell>
          <cell r="E2735" t="str">
            <v>gdp_for_serv</v>
          </cell>
          <cell r="F2735">
            <v>0.61979144811630249</v>
          </cell>
        </row>
        <row r="2736">
          <cell r="A2736" t="str">
            <v>PAN</v>
          </cell>
          <cell r="B2736" t="str">
            <v>Long</v>
          </cell>
          <cell r="C2736" t="str">
            <v>2006 - 2023</v>
          </cell>
          <cell r="D2736" t="str">
            <v>med_reg</v>
          </cell>
          <cell r="E2736" t="str">
            <v>gdp_inf_agri</v>
          </cell>
          <cell r="F2736">
            <v>0.38813242316246033</v>
          </cell>
        </row>
        <row r="2737">
          <cell r="A2737" t="str">
            <v>PAN</v>
          </cell>
          <cell r="B2737" t="str">
            <v>Long</v>
          </cell>
          <cell r="C2737" t="str">
            <v>2006 - 2023</v>
          </cell>
          <cell r="D2737" t="str">
            <v>med_reg</v>
          </cell>
          <cell r="E2737" t="str">
            <v>gdp_inf_ind</v>
          </cell>
          <cell r="F2737">
            <v>0.31142601370811462</v>
          </cell>
        </row>
        <row r="2738">
          <cell r="A2738" t="str">
            <v>PAN</v>
          </cell>
          <cell r="B2738" t="str">
            <v>Long</v>
          </cell>
          <cell r="C2738" t="str">
            <v>2006 - 2023</v>
          </cell>
          <cell r="D2738" t="str">
            <v>med_reg</v>
          </cell>
          <cell r="E2738" t="str">
            <v>gdp_inf_serv</v>
          </cell>
          <cell r="F2738">
            <v>0.7148481011390686</v>
          </cell>
        </row>
        <row r="2739">
          <cell r="A2739" t="str">
            <v>PAN</v>
          </cell>
          <cell r="B2739" t="str">
            <v>Long</v>
          </cell>
          <cell r="C2739" t="str">
            <v>2006 - 2023</v>
          </cell>
          <cell r="D2739" t="str">
            <v>med_reg</v>
          </cell>
          <cell r="E2739" t="str">
            <v>prod_for_agri</v>
          </cell>
          <cell r="F2739">
            <v>1.031731843948364</v>
          </cell>
        </row>
        <row r="2740">
          <cell r="A2740" t="str">
            <v>PAN</v>
          </cell>
          <cell r="B2740" t="str">
            <v>Long</v>
          </cell>
          <cell r="C2740" t="str">
            <v>2006 - 2023</v>
          </cell>
          <cell r="D2740" t="str">
            <v>med_reg</v>
          </cell>
          <cell r="E2740" t="str">
            <v>prod_for_ind</v>
          </cell>
          <cell r="F2740">
            <v>0.30392801761627197</v>
          </cell>
        </row>
        <row r="2741">
          <cell r="A2741" t="str">
            <v>PAN</v>
          </cell>
          <cell r="B2741" t="str">
            <v>Long</v>
          </cell>
          <cell r="C2741" t="str">
            <v>2006 - 2023</v>
          </cell>
          <cell r="D2741" t="str">
            <v>med_reg</v>
          </cell>
          <cell r="E2741" t="str">
            <v>prod_for_serv</v>
          </cell>
          <cell r="F2741">
            <v>1.046852111816406</v>
          </cell>
        </row>
        <row r="2742">
          <cell r="A2742" t="str">
            <v>PAN</v>
          </cell>
          <cell r="B2742" t="str">
            <v>Long</v>
          </cell>
          <cell r="C2742" t="str">
            <v>2006 - 2023</v>
          </cell>
          <cell r="D2742" t="str">
            <v>med_reg</v>
          </cell>
          <cell r="E2742" t="str">
            <v>prod_inf_agri</v>
          </cell>
          <cell r="F2742">
            <v>-0.29348254203796392</v>
          </cell>
        </row>
        <row r="2743">
          <cell r="A2743" t="str">
            <v>PAN</v>
          </cell>
          <cell r="B2743" t="str">
            <v>Long</v>
          </cell>
          <cell r="C2743" t="str">
            <v>2006 - 2023</v>
          </cell>
          <cell r="D2743" t="str">
            <v>med_reg</v>
          </cell>
          <cell r="E2743" t="str">
            <v>prod_inf_ind</v>
          </cell>
          <cell r="F2743">
            <v>0.43011298775672913</v>
          </cell>
        </row>
        <row r="2744">
          <cell r="A2744" t="str">
            <v>PAN</v>
          </cell>
          <cell r="B2744" t="str">
            <v>Long</v>
          </cell>
          <cell r="C2744" t="str">
            <v>2006 - 2023</v>
          </cell>
          <cell r="D2744" t="str">
            <v>med_reg</v>
          </cell>
          <cell r="E2744" t="str">
            <v>prod_inf_serv</v>
          </cell>
          <cell r="F2744">
            <v>1.485348701477051</v>
          </cell>
        </row>
        <row r="2745">
          <cell r="A2745" t="str">
            <v>PAN</v>
          </cell>
          <cell r="B2745" t="str">
            <v>Long</v>
          </cell>
          <cell r="C2745" t="str">
            <v>2006 - 2023</v>
          </cell>
          <cell r="D2745" t="str">
            <v>reg</v>
          </cell>
          <cell r="E2745" t="str">
            <v>gdp_activity</v>
          </cell>
          <cell r="F2745">
            <v>0.40124025940895081</v>
          </cell>
        </row>
        <row r="2746">
          <cell r="A2746" t="str">
            <v>PAN</v>
          </cell>
          <cell r="B2746" t="str">
            <v>Long</v>
          </cell>
          <cell r="C2746" t="str">
            <v>2006 - 2023</v>
          </cell>
          <cell r="D2746" t="str">
            <v>reg</v>
          </cell>
          <cell r="E2746" t="str">
            <v>gdp_for_agri</v>
          </cell>
          <cell r="F2746">
            <v>-0.93079870939254761</v>
          </cell>
        </row>
        <row r="2747">
          <cell r="A2747" t="str">
            <v>PAN</v>
          </cell>
          <cell r="B2747" t="str">
            <v>Long</v>
          </cell>
          <cell r="C2747" t="str">
            <v>2006 - 2023</v>
          </cell>
          <cell r="D2747" t="str">
            <v>reg</v>
          </cell>
          <cell r="E2747" t="str">
            <v>gdp_for_ind</v>
          </cell>
          <cell r="F2747">
            <v>6.1001207679510117E-2</v>
          </cell>
        </row>
        <row r="2748">
          <cell r="A2748" t="str">
            <v>PAN</v>
          </cell>
          <cell r="B2748" t="str">
            <v>Long</v>
          </cell>
          <cell r="C2748" t="str">
            <v>2006 - 2023</v>
          </cell>
          <cell r="D2748" t="str">
            <v>reg</v>
          </cell>
          <cell r="E2748" t="str">
            <v>gdp_for_serv</v>
          </cell>
          <cell r="F2748">
            <v>0.46314185857772833</v>
          </cell>
        </row>
        <row r="2749">
          <cell r="A2749" t="str">
            <v>PAN</v>
          </cell>
          <cell r="B2749" t="str">
            <v>Long</v>
          </cell>
          <cell r="C2749" t="str">
            <v>2006 - 2023</v>
          </cell>
          <cell r="D2749" t="str">
            <v>reg</v>
          </cell>
          <cell r="E2749" t="str">
            <v>gdp_inf_agri</v>
          </cell>
          <cell r="F2749">
            <v>0.2178315669298172</v>
          </cell>
        </row>
        <row r="2750">
          <cell r="A2750" t="str">
            <v>PAN</v>
          </cell>
          <cell r="B2750" t="str">
            <v>Long</v>
          </cell>
          <cell r="C2750" t="str">
            <v>2006 - 2023</v>
          </cell>
          <cell r="D2750" t="str">
            <v>reg</v>
          </cell>
          <cell r="E2750" t="str">
            <v>gdp_inf_ind</v>
          </cell>
          <cell r="F2750">
            <v>0.3219057023525238</v>
          </cell>
        </row>
        <row r="2751">
          <cell r="A2751" t="str">
            <v>PAN</v>
          </cell>
          <cell r="B2751" t="str">
            <v>Long</v>
          </cell>
          <cell r="C2751" t="str">
            <v>2006 - 2023</v>
          </cell>
          <cell r="D2751" t="str">
            <v>reg</v>
          </cell>
          <cell r="E2751" t="str">
            <v>gdp_inf_serv</v>
          </cell>
          <cell r="F2751">
            <v>0.67030972242355347</v>
          </cell>
        </row>
        <row r="2752">
          <cell r="A2752" t="str">
            <v>PAN</v>
          </cell>
          <cell r="B2752" t="str">
            <v>Long</v>
          </cell>
          <cell r="C2752" t="str">
            <v>2006 - 2023</v>
          </cell>
          <cell r="D2752" t="str">
            <v>reg</v>
          </cell>
          <cell r="E2752" t="str">
            <v>prod_for_agri</v>
          </cell>
          <cell r="F2752">
            <v>0.41698294878005981</v>
          </cell>
        </row>
        <row r="2753">
          <cell r="A2753" t="str">
            <v>PAN</v>
          </cell>
          <cell r="B2753" t="str">
            <v>Long</v>
          </cell>
          <cell r="C2753" t="str">
            <v>2006 - 2023</v>
          </cell>
          <cell r="D2753" t="str">
            <v>reg</v>
          </cell>
          <cell r="E2753" t="str">
            <v>prod_for_ind</v>
          </cell>
          <cell r="F2753">
            <v>0.33926856517791748</v>
          </cell>
        </row>
        <row r="2754">
          <cell r="A2754" t="str">
            <v>PAN</v>
          </cell>
          <cell r="B2754" t="str">
            <v>Long</v>
          </cell>
          <cell r="C2754" t="str">
            <v>2006 - 2023</v>
          </cell>
          <cell r="D2754" t="str">
            <v>reg</v>
          </cell>
          <cell r="E2754" t="str">
            <v>prod_for_serv</v>
          </cell>
          <cell r="F2754">
            <v>1.029016375541687</v>
          </cell>
        </row>
        <row r="2755">
          <cell r="A2755" t="str">
            <v>PAN</v>
          </cell>
          <cell r="B2755" t="str">
            <v>Long</v>
          </cell>
          <cell r="C2755" t="str">
            <v>2006 - 2023</v>
          </cell>
          <cell r="D2755" t="str">
            <v>reg</v>
          </cell>
          <cell r="E2755" t="str">
            <v>prod_inf_agri</v>
          </cell>
          <cell r="F2755">
            <v>-4.3034840375185013E-2</v>
          </cell>
        </row>
        <row r="2756">
          <cell r="A2756" t="str">
            <v>PAN</v>
          </cell>
          <cell r="B2756" t="str">
            <v>Long</v>
          </cell>
          <cell r="C2756" t="str">
            <v>2006 - 2023</v>
          </cell>
          <cell r="D2756" t="str">
            <v>reg</v>
          </cell>
          <cell r="E2756" t="str">
            <v>prod_inf_ind</v>
          </cell>
          <cell r="F2756">
            <v>0.2802545428276062</v>
          </cell>
        </row>
        <row r="2757">
          <cell r="A2757" t="str">
            <v>PAN</v>
          </cell>
          <cell r="B2757" t="str">
            <v>Long</v>
          </cell>
          <cell r="C2757" t="str">
            <v>2006 - 2023</v>
          </cell>
          <cell r="D2757" t="str">
            <v>reg</v>
          </cell>
          <cell r="E2757" t="str">
            <v>prod_inf_serv</v>
          </cell>
          <cell r="F2757">
            <v>0.82084369659423828</v>
          </cell>
        </row>
        <row r="2758">
          <cell r="A2758" t="str">
            <v>PAN</v>
          </cell>
          <cell r="B2758" t="str">
            <v>Long</v>
          </cell>
          <cell r="C2758" t="str">
            <v>2006 - 2023</v>
          </cell>
          <cell r="D2758" t="str">
            <v>reg_gdp</v>
          </cell>
          <cell r="E2758" t="str">
            <v>gdp_activity</v>
          </cell>
          <cell r="F2758">
            <v>0.40124025940895081</v>
          </cell>
        </row>
        <row r="2759">
          <cell r="A2759" t="str">
            <v>PAN</v>
          </cell>
          <cell r="B2759" t="str">
            <v>Long</v>
          </cell>
          <cell r="C2759" t="str">
            <v>2006 - 2023</v>
          </cell>
          <cell r="D2759" t="str">
            <v>reg_gdp</v>
          </cell>
          <cell r="E2759" t="str">
            <v>gdp_for_agri</v>
          </cell>
          <cell r="F2759">
            <v>-0.77700388431549072</v>
          </cell>
        </row>
        <row r="2760">
          <cell r="A2760" t="str">
            <v>PAN</v>
          </cell>
          <cell r="B2760" t="str">
            <v>Long</v>
          </cell>
          <cell r="C2760" t="str">
            <v>2006 - 2023</v>
          </cell>
          <cell r="D2760" t="str">
            <v>reg_gdp</v>
          </cell>
          <cell r="E2760" t="str">
            <v>gdp_for_ind</v>
          </cell>
          <cell r="F2760">
            <v>1.3726072311401369</v>
          </cell>
        </row>
        <row r="2761">
          <cell r="A2761" t="str">
            <v>PAN</v>
          </cell>
          <cell r="B2761" t="str">
            <v>Long</v>
          </cell>
          <cell r="C2761" t="str">
            <v>2006 - 2023</v>
          </cell>
          <cell r="D2761" t="str">
            <v>reg_gdp</v>
          </cell>
          <cell r="E2761" t="str">
            <v>gdp_for_serv</v>
          </cell>
          <cell r="F2761">
            <v>-0.82882040739059448</v>
          </cell>
        </row>
        <row r="2762">
          <cell r="A2762" t="str">
            <v>PAN</v>
          </cell>
          <cell r="B2762" t="str">
            <v>Long</v>
          </cell>
          <cell r="C2762" t="str">
            <v>2006 - 2023</v>
          </cell>
          <cell r="D2762" t="str">
            <v>reg_gdp</v>
          </cell>
          <cell r="E2762" t="str">
            <v>gdp_inf_agri</v>
          </cell>
          <cell r="F2762">
            <v>0.17784623801708219</v>
          </cell>
        </row>
        <row r="2763">
          <cell r="A2763" t="str">
            <v>PAN</v>
          </cell>
          <cell r="B2763" t="str">
            <v>Long</v>
          </cell>
          <cell r="C2763" t="str">
            <v>2006 - 2023</v>
          </cell>
          <cell r="D2763" t="str">
            <v>reg_gdp</v>
          </cell>
          <cell r="E2763" t="str">
            <v>gdp_inf_ind</v>
          </cell>
          <cell r="F2763">
            <v>-9.5235355198383331E-2</v>
          </cell>
        </row>
        <row r="2764">
          <cell r="A2764" t="str">
            <v>PAN</v>
          </cell>
          <cell r="B2764" t="str">
            <v>Long</v>
          </cell>
          <cell r="C2764" t="str">
            <v>2006 - 2023</v>
          </cell>
          <cell r="D2764" t="str">
            <v>reg_gdp</v>
          </cell>
          <cell r="E2764" t="str">
            <v>gdp_inf_serv</v>
          </cell>
          <cell r="F2764">
            <v>0.2202964574098587</v>
          </cell>
        </row>
        <row r="2765">
          <cell r="A2765" t="str">
            <v>PAN</v>
          </cell>
          <cell r="B2765" t="str">
            <v>Long</v>
          </cell>
          <cell r="C2765" t="str">
            <v>2006 - 2023</v>
          </cell>
          <cell r="D2765" t="str">
            <v>reg_gdp</v>
          </cell>
          <cell r="E2765" t="str">
            <v>prod_for_agri</v>
          </cell>
          <cell r="F2765">
            <v>0.26918089389801031</v>
          </cell>
        </row>
        <row r="2766">
          <cell r="A2766" t="str">
            <v>PAN</v>
          </cell>
          <cell r="B2766" t="str">
            <v>Long</v>
          </cell>
          <cell r="C2766" t="str">
            <v>2006 - 2023</v>
          </cell>
          <cell r="D2766" t="str">
            <v>reg_gdp</v>
          </cell>
          <cell r="E2766" t="str">
            <v>prod_for_ind</v>
          </cell>
          <cell r="F2766">
            <v>0.16684238612651819</v>
          </cell>
        </row>
        <row r="2767">
          <cell r="A2767" t="str">
            <v>PAN</v>
          </cell>
          <cell r="B2767" t="str">
            <v>Long</v>
          </cell>
          <cell r="C2767" t="str">
            <v>2006 - 2023</v>
          </cell>
          <cell r="D2767" t="str">
            <v>reg_gdp</v>
          </cell>
          <cell r="E2767" t="str">
            <v>prod_for_serv</v>
          </cell>
          <cell r="F2767">
            <v>-3.7704788148403168E-2</v>
          </cell>
        </row>
        <row r="2768">
          <cell r="A2768" t="str">
            <v>PAN</v>
          </cell>
          <cell r="B2768" t="str">
            <v>Long</v>
          </cell>
          <cell r="C2768" t="str">
            <v>2006 - 2023</v>
          </cell>
          <cell r="D2768" t="str">
            <v>reg_gdp</v>
          </cell>
          <cell r="E2768" t="str">
            <v>prod_inf_agri</v>
          </cell>
          <cell r="F2768">
            <v>-0.1422023922204971</v>
          </cell>
        </row>
        <row r="2769">
          <cell r="A2769" t="str">
            <v>PAN</v>
          </cell>
          <cell r="B2769" t="str">
            <v>Long</v>
          </cell>
          <cell r="C2769" t="str">
            <v>2006 - 2023</v>
          </cell>
          <cell r="D2769" t="str">
            <v>reg_gdp</v>
          </cell>
          <cell r="E2769" t="str">
            <v>prod_inf_ind</v>
          </cell>
          <cell r="F2769">
            <v>0.38561680912971502</v>
          </cell>
        </row>
        <row r="2770">
          <cell r="A2770" t="str">
            <v>PAN</v>
          </cell>
          <cell r="B2770" t="str">
            <v>Long</v>
          </cell>
          <cell r="C2770" t="str">
            <v>2006 - 2023</v>
          </cell>
          <cell r="D2770" t="str">
            <v>reg_gdp</v>
          </cell>
          <cell r="E2770" t="str">
            <v>prod_inf_serv</v>
          </cell>
          <cell r="F2770">
            <v>-1.174322366714478</v>
          </cell>
        </row>
        <row r="2771">
          <cell r="A2771" t="str">
            <v>PAN</v>
          </cell>
          <cell r="B2771" t="str">
            <v>Long</v>
          </cell>
          <cell r="C2771" t="str">
            <v>2006 - 2023</v>
          </cell>
          <cell r="D2771" t="str">
            <v>reg_iter</v>
          </cell>
          <cell r="E2771" t="str">
            <v>gdp_activity</v>
          </cell>
          <cell r="F2771">
            <v>0.40321299433708191</v>
          </cell>
        </row>
        <row r="2772">
          <cell r="A2772" t="str">
            <v>PAN</v>
          </cell>
          <cell r="B2772" t="str">
            <v>Long</v>
          </cell>
          <cell r="C2772" t="str">
            <v>2006 - 2023</v>
          </cell>
          <cell r="D2772" t="str">
            <v>reg_iter</v>
          </cell>
          <cell r="E2772" t="str">
            <v>gdp_for_agri</v>
          </cell>
          <cell r="F2772">
            <v>0.48727020621299738</v>
          </cell>
        </row>
        <row r="2773">
          <cell r="A2773" t="str">
            <v>PAN</v>
          </cell>
          <cell r="B2773" t="str">
            <v>Long</v>
          </cell>
          <cell r="C2773" t="str">
            <v>2006 - 2023</v>
          </cell>
          <cell r="D2773" t="str">
            <v>reg_iter</v>
          </cell>
          <cell r="E2773" t="str">
            <v>gdp_for_ind</v>
          </cell>
          <cell r="F2773">
            <v>0.23581905663013461</v>
          </cell>
        </row>
        <row r="2774">
          <cell r="A2774" t="str">
            <v>PAN</v>
          </cell>
          <cell r="B2774" t="str">
            <v>Long</v>
          </cell>
          <cell r="C2774" t="str">
            <v>2006 - 2023</v>
          </cell>
          <cell r="D2774" t="str">
            <v>reg_iter</v>
          </cell>
          <cell r="E2774" t="str">
            <v>gdp_for_serv</v>
          </cell>
          <cell r="F2774">
            <v>0.65946924686431885</v>
          </cell>
        </row>
        <row r="2775">
          <cell r="A2775" t="str">
            <v>PAN</v>
          </cell>
          <cell r="B2775" t="str">
            <v>Long</v>
          </cell>
          <cell r="C2775" t="str">
            <v>2006 - 2023</v>
          </cell>
          <cell r="D2775" t="str">
            <v>reg_iter</v>
          </cell>
          <cell r="E2775" t="str">
            <v>gdp_inf_agri</v>
          </cell>
          <cell r="F2775">
            <v>-0.16356849670410159</v>
          </cell>
        </row>
        <row r="2776">
          <cell r="A2776" t="str">
            <v>PAN</v>
          </cell>
          <cell r="B2776" t="str">
            <v>Long</v>
          </cell>
          <cell r="C2776" t="str">
            <v>2006 - 2023</v>
          </cell>
          <cell r="D2776" t="str">
            <v>reg_iter</v>
          </cell>
          <cell r="E2776" t="str">
            <v>gdp_inf_ind</v>
          </cell>
          <cell r="F2776">
            <v>0.23927630484104159</v>
          </cell>
        </row>
        <row r="2777">
          <cell r="A2777" t="str">
            <v>PAN</v>
          </cell>
          <cell r="B2777" t="str">
            <v>Long</v>
          </cell>
          <cell r="C2777" t="str">
            <v>2006 - 2023</v>
          </cell>
          <cell r="D2777" t="str">
            <v>reg_iter</v>
          </cell>
          <cell r="E2777" t="str">
            <v>gdp_inf_serv</v>
          </cell>
          <cell r="F2777">
            <v>0.50427138805389404</v>
          </cell>
        </row>
        <row r="2778">
          <cell r="A2778" t="str">
            <v>PAN</v>
          </cell>
          <cell r="B2778" t="str">
            <v>Long</v>
          </cell>
          <cell r="C2778" t="str">
            <v>2006 - 2023</v>
          </cell>
          <cell r="D2778" t="str">
            <v>reg_iter</v>
          </cell>
          <cell r="E2778" t="str">
            <v>prod_for_agri</v>
          </cell>
          <cell r="F2778">
            <v>-0.78679066896438599</v>
          </cell>
        </row>
        <row r="2779">
          <cell r="A2779" t="str">
            <v>PAN</v>
          </cell>
          <cell r="B2779" t="str">
            <v>Long</v>
          </cell>
          <cell r="C2779" t="str">
            <v>2006 - 2023</v>
          </cell>
          <cell r="D2779" t="str">
            <v>reg_iter</v>
          </cell>
          <cell r="E2779" t="str">
            <v>prod_for_ind</v>
          </cell>
          <cell r="F2779">
            <v>0.32598501443862921</v>
          </cell>
        </row>
        <row r="2780">
          <cell r="A2780" t="str">
            <v>PAN</v>
          </cell>
          <cell r="B2780" t="str">
            <v>Long</v>
          </cell>
          <cell r="C2780" t="str">
            <v>2006 - 2023</v>
          </cell>
          <cell r="D2780" t="str">
            <v>reg_iter</v>
          </cell>
          <cell r="E2780" t="str">
            <v>prod_for_serv</v>
          </cell>
          <cell r="F2780">
            <v>0.87874197959899902</v>
          </cell>
        </row>
        <row r="2781">
          <cell r="A2781" t="str">
            <v>PAN</v>
          </cell>
          <cell r="B2781" t="str">
            <v>Long</v>
          </cell>
          <cell r="C2781" t="str">
            <v>2006 - 2023</v>
          </cell>
          <cell r="D2781" t="str">
            <v>reg_iter</v>
          </cell>
          <cell r="E2781" t="str">
            <v>prod_inf_agri</v>
          </cell>
          <cell r="F2781">
            <v>-1.0996472835540769</v>
          </cell>
        </row>
        <row r="2782">
          <cell r="A2782" t="str">
            <v>PAN</v>
          </cell>
          <cell r="B2782" t="str">
            <v>Long</v>
          </cell>
          <cell r="C2782" t="str">
            <v>2006 - 2023</v>
          </cell>
          <cell r="D2782" t="str">
            <v>reg_iter</v>
          </cell>
          <cell r="E2782" t="str">
            <v>prod_inf_ind</v>
          </cell>
          <cell r="F2782">
            <v>0.44925132393836981</v>
          </cell>
        </row>
        <row r="2783">
          <cell r="A2783" t="str">
            <v>PAN</v>
          </cell>
          <cell r="B2783" t="str">
            <v>Long</v>
          </cell>
          <cell r="C2783" t="str">
            <v>2006 - 2023</v>
          </cell>
          <cell r="D2783" t="str">
            <v>reg_iter</v>
          </cell>
          <cell r="E2783" t="str">
            <v>prod_inf_serv</v>
          </cell>
          <cell r="F2783">
            <v>1.4800469875335689</v>
          </cell>
        </row>
        <row r="2784">
          <cell r="A2784" t="str">
            <v>PAN</v>
          </cell>
          <cell r="B2784" t="str">
            <v>Middle</v>
          </cell>
          <cell r="C2784" t="str">
            <v>2015 - 2023</v>
          </cell>
          <cell r="D2784" t="str">
            <v>avg</v>
          </cell>
          <cell r="E2784" t="str">
            <v>gdp_activity</v>
          </cell>
          <cell r="F2784">
            <v>0.67420238256454468</v>
          </cell>
        </row>
        <row r="2785">
          <cell r="A2785" t="str">
            <v>PAN</v>
          </cell>
          <cell r="B2785" t="str">
            <v>Middle</v>
          </cell>
          <cell r="C2785" t="str">
            <v>2015 - 2023</v>
          </cell>
          <cell r="D2785" t="str">
            <v>avg</v>
          </cell>
          <cell r="E2785" t="str">
            <v>gdp_for_agri</v>
          </cell>
          <cell r="F2785">
            <v>-11.56768894195557</v>
          </cell>
        </row>
        <row r="2786">
          <cell r="A2786" t="str">
            <v>PAN</v>
          </cell>
          <cell r="B2786" t="str">
            <v>Middle</v>
          </cell>
          <cell r="C2786" t="str">
            <v>2015 - 2023</v>
          </cell>
          <cell r="D2786" t="str">
            <v>avg</v>
          </cell>
          <cell r="E2786" t="str">
            <v>gdp_for_ind</v>
          </cell>
          <cell r="F2786">
            <v>-0.54344463348388672</v>
          </cell>
        </row>
        <row r="2787">
          <cell r="A2787" t="str">
            <v>PAN</v>
          </cell>
          <cell r="B2787" t="str">
            <v>Middle</v>
          </cell>
          <cell r="C2787" t="str">
            <v>2015 - 2023</v>
          </cell>
          <cell r="D2787" t="str">
            <v>avg</v>
          </cell>
          <cell r="E2787" t="str">
            <v>gdp_for_serv</v>
          </cell>
          <cell r="F2787">
            <v>10.93098258972168</v>
          </cell>
        </row>
        <row r="2788">
          <cell r="A2788" t="str">
            <v>PAN</v>
          </cell>
          <cell r="B2788" t="str">
            <v>Middle</v>
          </cell>
          <cell r="C2788" t="str">
            <v>2015 - 2023</v>
          </cell>
          <cell r="D2788" t="str">
            <v>avg</v>
          </cell>
          <cell r="E2788" t="str">
            <v>gdp_inf_agri</v>
          </cell>
          <cell r="F2788">
            <v>7.6017794609069824</v>
          </cell>
        </row>
        <row r="2789">
          <cell r="A2789" t="str">
            <v>PAN</v>
          </cell>
          <cell r="B2789" t="str">
            <v>Middle</v>
          </cell>
          <cell r="C2789" t="str">
            <v>2015 - 2023</v>
          </cell>
          <cell r="D2789" t="str">
            <v>avg</v>
          </cell>
          <cell r="E2789" t="str">
            <v>gdp_inf_ind</v>
          </cell>
          <cell r="F2789">
            <v>0.70596861839294434</v>
          </cell>
        </row>
        <row r="2790">
          <cell r="A2790" t="str">
            <v>PAN</v>
          </cell>
          <cell r="B2790" t="str">
            <v>Middle</v>
          </cell>
          <cell r="C2790" t="str">
            <v>2015 - 2023</v>
          </cell>
          <cell r="D2790" t="str">
            <v>avg</v>
          </cell>
          <cell r="E2790" t="str">
            <v>gdp_inf_serv</v>
          </cell>
          <cell r="F2790">
            <v>5.3804817199707031</v>
          </cell>
        </row>
        <row r="2791">
          <cell r="A2791" t="str">
            <v>PAN</v>
          </cell>
          <cell r="B2791" t="str">
            <v>Middle</v>
          </cell>
          <cell r="C2791" t="str">
            <v>2015 - 2023</v>
          </cell>
          <cell r="D2791" t="str">
            <v>avg</v>
          </cell>
          <cell r="E2791" t="str">
            <v>prod_for_agri</v>
          </cell>
          <cell r="F2791">
            <v>1.7953007221221919</v>
          </cell>
        </row>
        <row r="2792">
          <cell r="A2792" t="str">
            <v>PAN</v>
          </cell>
          <cell r="B2792" t="str">
            <v>Middle</v>
          </cell>
          <cell r="C2792" t="str">
            <v>2015 - 2023</v>
          </cell>
          <cell r="D2792" t="str">
            <v>avg</v>
          </cell>
          <cell r="E2792" t="str">
            <v>prod_for_ind</v>
          </cell>
          <cell r="F2792">
            <v>0.22515752911567691</v>
          </cell>
        </row>
        <row r="2793">
          <cell r="A2793" t="str">
            <v>PAN</v>
          </cell>
          <cell r="B2793" t="str">
            <v>Middle</v>
          </cell>
          <cell r="C2793" t="str">
            <v>2015 - 2023</v>
          </cell>
          <cell r="D2793" t="str">
            <v>avg</v>
          </cell>
          <cell r="E2793" t="str">
            <v>prod_for_serv</v>
          </cell>
          <cell r="F2793">
            <v>0.93415749073028564</v>
          </cell>
        </row>
        <row r="2794">
          <cell r="A2794" t="str">
            <v>PAN</v>
          </cell>
          <cell r="B2794" t="str">
            <v>Middle</v>
          </cell>
          <cell r="C2794" t="str">
            <v>2015 - 2023</v>
          </cell>
          <cell r="D2794" t="str">
            <v>avg</v>
          </cell>
          <cell r="E2794" t="str">
            <v>prod_inf_agri</v>
          </cell>
          <cell r="F2794">
            <v>-3.1581089496612549</v>
          </cell>
        </row>
        <row r="2795">
          <cell r="A2795" t="str">
            <v>PAN</v>
          </cell>
          <cell r="B2795" t="str">
            <v>Middle</v>
          </cell>
          <cell r="C2795" t="str">
            <v>2015 - 2023</v>
          </cell>
          <cell r="D2795" t="str">
            <v>avg</v>
          </cell>
          <cell r="E2795" t="str">
            <v>prod_inf_ind</v>
          </cell>
          <cell r="F2795">
            <v>1.435600161552429</v>
          </cell>
        </row>
        <row r="2796">
          <cell r="A2796" t="str">
            <v>PAN</v>
          </cell>
          <cell r="B2796" t="str">
            <v>Middle</v>
          </cell>
          <cell r="C2796" t="str">
            <v>2015 - 2023</v>
          </cell>
          <cell r="D2796" t="str">
            <v>avg</v>
          </cell>
          <cell r="E2796" t="str">
            <v>prod_inf_serv</v>
          </cell>
          <cell r="F2796">
            <v>-0.20189991593360901</v>
          </cell>
        </row>
        <row r="2797">
          <cell r="A2797" t="str">
            <v>PAN</v>
          </cell>
          <cell r="B2797" t="str">
            <v>Middle</v>
          </cell>
          <cell r="C2797" t="str">
            <v>2015 - 2023</v>
          </cell>
          <cell r="D2797" t="str">
            <v>avg_1_99</v>
          </cell>
          <cell r="E2797" t="str">
            <v>gdp_activity</v>
          </cell>
          <cell r="F2797">
            <v>0.63706934452056885</v>
          </cell>
        </row>
        <row r="2798">
          <cell r="A2798" t="str">
            <v>PAN</v>
          </cell>
          <cell r="B2798" t="str">
            <v>Middle</v>
          </cell>
          <cell r="C2798" t="str">
            <v>2015 - 2023</v>
          </cell>
          <cell r="D2798" t="str">
            <v>avg_1_99</v>
          </cell>
          <cell r="E2798" t="str">
            <v>gdp_for_agri</v>
          </cell>
          <cell r="F2798">
            <v>-1.773836135864258</v>
          </cell>
        </row>
        <row r="2799">
          <cell r="A2799" t="str">
            <v>PAN</v>
          </cell>
          <cell r="B2799" t="str">
            <v>Middle</v>
          </cell>
          <cell r="C2799" t="str">
            <v>2015 - 2023</v>
          </cell>
          <cell r="D2799" t="str">
            <v>avg_1_99</v>
          </cell>
          <cell r="E2799" t="str">
            <v>gdp_for_ind</v>
          </cell>
          <cell r="F2799">
            <v>5.1307834684848792E-2</v>
          </cell>
        </row>
        <row r="2800">
          <cell r="A2800" t="str">
            <v>PAN</v>
          </cell>
          <cell r="B2800" t="str">
            <v>Middle</v>
          </cell>
          <cell r="C2800" t="str">
            <v>2015 - 2023</v>
          </cell>
          <cell r="D2800" t="str">
            <v>avg_1_99</v>
          </cell>
          <cell r="E2800" t="str">
            <v>gdp_for_serv</v>
          </cell>
          <cell r="F2800">
            <v>0.48881641030311579</v>
          </cell>
        </row>
        <row r="2801">
          <cell r="A2801" t="str">
            <v>PAN</v>
          </cell>
          <cell r="B2801" t="str">
            <v>Middle</v>
          </cell>
          <cell r="C2801" t="str">
            <v>2015 - 2023</v>
          </cell>
          <cell r="D2801" t="str">
            <v>avg_1_99</v>
          </cell>
          <cell r="E2801" t="str">
            <v>gdp_inf_agri</v>
          </cell>
          <cell r="F2801">
            <v>0.62770354747772217</v>
          </cell>
        </row>
        <row r="2802">
          <cell r="A2802" t="str">
            <v>PAN</v>
          </cell>
          <cell r="B2802" t="str">
            <v>Middle</v>
          </cell>
          <cell r="C2802" t="str">
            <v>2015 - 2023</v>
          </cell>
          <cell r="D2802" t="str">
            <v>avg_1_99</v>
          </cell>
          <cell r="E2802" t="str">
            <v>gdp_inf_ind</v>
          </cell>
          <cell r="F2802">
            <v>0.39500319957733149</v>
          </cell>
        </row>
        <row r="2803">
          <cell r="A2803" t="str">
            <v>PAN</v>
          </cell>
          <cell r="B2803" t="str">
            <v>Middle</v>
          </cell>
          <cell r="C2803" t="str">
            <v>2015 - 2023</v>
          </cell>
          <cell r="D2803" t="str">
            <v>avg_1_99</v>
          </cell>
          <cell r="E2803" t="str">
            <v>gdp_inf_serv</v>
          </cell>
          <cell r="F2803">
            <v>1.4279778003692629</v>
          </cell>
        </row>
        <row r="2804">
          <cell r="A2804" t="str">
            <v>PAN</v>
          </cell>
          <cell r="B2804" t="str">
            <v>Middle</v>
          </cell>
          <cell r="C2804" t="str">
            <v>2015 - 2023</v>
          </cell>
          <cell r="D2804" t="str">
            <v>avg_1_99</v>
          </cell>
          <cell r="E2804" t="str">
            <v>prod_for_agri</v>
          </cell>
          <cell r="F2804">
            <v>0.9622269868850708</v>
          </cell>
        </row>
        <row r="2805">
          <cell r="A2805" t="str">
            <v>PAN</v>
          </cell>
          <cell r="B2805" t="str">
            <v>Middle</v>
          </cell>
          <cell r="C2805" t="str">
            <v>2015 - 2023</v>
          </cell>
          <cell r="D2805" t="str">
            <v>avg_1_99</v>
          </cell>
          <cell r="E2805" t="str">
            <v>prod_for_ind</v>
          </cell>
          <cell r="F2805">
            <v>0.76203161478042603</v>
          </cell>
        </row>
        <row r="2806">
          <cell r="A2806" t="str">
            <v>PAN</v>
          </cell>
          <cell r="B2806" t="str">
            <v>Middle</v>
          </cell>
          <cell r="C2806" t="str">
            <v>2015 - 2023</v>
          </cell>
          <cell r="D2806" t="str">
            <v>avg_1_99</v>
          </cell>
          <cell r="E2806" t="str">
            <v>prod_for_serv</v>
          </cell>
          <cell r="F2806">
            <v>1.217118501663208</v>
          </cell>
        </row>
        <row r="2807">
          <cell r="A2807" t="str">
            <v>PAN</v>
          </cell>
          <cell r="B2807" t="str">
            <v>Middle</v>
          </cell>
          <cell r="C2807" t="str">
            <v>2015 - 2023</v>
          </cell>
          <cell r="D2807" t="str">
            <v>avg_1_99</v>
          </cell>
          <cell r="E2807" t="str">
            <v>prod_inf_agri</v>
          </cell>
          <cell r="F2807">
            <v>-1.708956241607666</v>
          </cell>
        </row>
        <row r="2808">
          <cell r="A2808" t="str">
            <v>PAN</v>
          </cell>
          <cell r="B2808" t="str">
            <v>Middle</v>
          </cell>
          <cell r="C2808" t="str">
            <v>2015 - 2023</v>
          </cell>
          <cell r="D2808" t="str">
            <v>avg_1_99</v>
          </cell>
          <cell r="E2808" t="str">
            <v>prod_inf_ind</v>
          </cell>
          <cell r="F2808">
            <v>-7.7636174857616425E-2</v>
          </cell>
        </row>
        <row r="2809">
          <cell r="A2809" t="str">
            <v>PAN</v>
          </cell>
          <cell r="B2809" t="str">
            <v>Middle</v>
          </cell>
          <cell r="C2809" t="str">
            <v>2015 - 2023</v>
          </cell>
          <cell r="D2809" t="str">
            <v>avg_1_99</v>
          </cell>
          <cell r="E2809" t="str">
            <v>prod_inf_serv</v>
          </cell>
          <cell r="F2809">
            <v>-0.20189991593360901</v>
          </cell>
        </row>
        <row r="2810">
          <cell r="A2810" t="str">
            <v>PAN</v>
          </cell>
          <cell r="B2810" t="str">
            <v>Middle</v>
          </cell>
          <cell r="C2810" t="str">
            <v>2015 - 2023</v>
          </cell>
          <cell r="D2810" t="str">
            <v>avg_1_99_imp</v>
          </cell>
          <cell r="E2810" t="str">
            <v>gdp_activity</v>
          </cell>
          <cell r="F2810">
            <v>0.62106513977050781</v>
          </cell>
        </row>
        <row r="2811">
          <cell r="A2811" t="str">
            <v>PAN</v>
          </cell>
          <cell r="B2811" t="str">
            <v>Middle</v>
          </cell>
          <cell r="C2811" t="str">
            <v>2015 - 2023</v>
          </cell>
          <cell r="D2811" t="str">
            <v>avg_1_99_imp</v>
          </cell>
          <cell r="E2811" t="str">
            <v>gdp_for_agri</v>
          </cell>
          <cell r="F2811">
            <v>-1.669486522674561</v>
          </cell>
        </row>
        <row r="2812">
          <cell r="A2812" t="str">
            <v>PAN</v>
          </cell>
          <cell r="B2812" t="str">
            <v>Middle</v>
          </cell>
          <cell r="C2812" t="str">
            <v>2015 - 2023</v>
          </cell>
          <cell r="D2812" t="str">
            <v>avg_1_99_imp</v>
          </cell>
          <cell r="E2812" t="str">
            <v>gdp_for_ind</v>
          </cell>
          <cell r="F2812">
            <v>0.1106163635849953</v>
          </cell>
        </row>
        <row r="2813">
          <cell r="A2813" t="str">
            <v>PAN</v>
          </cell>
          <cell r="B2813" t="str">
            <v>Middle</v>
          </cell>
          <cell r="C2813" t="str">
            <v>2015 - 2023</v>
          </cell>
          <cell r="D2813" t="str">
            <v>avg_1_99_imp</v>
          </cell>
          <cell r="E2813" t="str">
            <v>gdp_for_serv</v>
          </cell>
          <cell r="F2813">
            <v>0.44652760028839111</v>
          </cell>
        </row>
        <row r="2814">
          <cell r="A2814" t="str">
            <v>PAN</v>
          </cell>
          <cell r="B2814" t="str">
            <v>Middle</v>
          </cell>
          <cell r="C2814" t="str">
            <v>2015 - 2023</v>
          </cell>
          <cell r="D2814" t="str">
            <v>avg_1_99_imp</v>
          </cell>
          <cell r="E2814" t="str">
            <v>gdp_inf_agri</v>
          </cell>
          <cell r="F2814">
            <v>0.58726805448532104</v>
          </cell>
        </row>
        <row r="2815">
          <cell r="A2815" t="str">
            <v>PAN</v>
          </cell>
          <cell r="B2815" t="str">
            <v>Middle</v>
          </cell>
          <cell r="C2815" t="str">
            <v>2015 - 2023</v>
          </cell>
          <cell r="D2815" t="str">
            <v>avg_1_99_imp</v>
          </cell>
          <cell r="E2815" t="str">
            <v>gdp_inf_ind</v>
          </cell>
          <cell r="F2815">
            <v>0.3666730523109436</v>
          </cell>
        </row>
        <row r="2816">
          <cell r="A2816" t="str">
            <v>PAN</v>
          </cell>
          <cell r="B2816" t="str">
            <v>Middle</v>
          </cell>
          <cell r="C2816" t="str">
            <v>2015 - 2023</v>
          </cell>
          <cell r="D2816" t="str">
            <v>avg_1_99_imp</v>
          </cell>
          <cell r="E2816" t="str">
            <v>gdp_inf_serv</v>
          </cell>
          <cell r="F2816">
            <v>1.4210025072097781</v>
          </cell>
        </row>
        <row r="2817">
          <cell r="A2817" t="str">
            <v>PAN</v>
          </cell>
          <cell r="B2817" t="str">
            <v>Middle</v>
          </cell>
          <cell r="C2817" t="str">
            <v>2015 - 2023</v>
          </cell>
          <cell r="D2817" t="str">
            <v>avg_1_99_imp</v>
          </cell>
          <cell r="E2817" t="str">
            <v>prod_for_agri</v>
          </cell>
          <cell r="F2817">
            <v>0.32077842950820917</v>
          </cell>
        </row>
        <row r="2818">
          <cell r="A2818" t="str">
            <v>PAN</v>
          </cell>
          <cell r="B2818" t="str">
            <v>Middle</v>
          </cell>
          <cell r="C2818" t="str">
            <v>2015 - 2023</v>
          </cell>
          <cell r="D2818" t="str">
            <v>avg_1_99_imp</v>
          </cell>
          <cell r="E2818" t="str">
            <v>prod_for_ind</v>
          </cell>
          <cell r="F2818">
            <v>0.1863093376159668</v>
          </cell>
        </row>
        <row r="2819">
          <cell r="A2819" t="str">
            <v>PAN</v>
          </cell>
          <cell r="B2819" t="str">
            <v>Middle</v>
          </cell>
          <cell r="C2819" t="str">
            <v>2015 - 2023</v>
          </cell>
          <cell r="D2819" t="str">
            <v>avg_1_99_imp</v>
          </cell>
          <cell r="E2819" t="str">
            <v>prod_for_serv</v>
          </cell>
          <cell r="F2819">
            <v>1.5722347497940059</v>
          </cell>
        </row>
        <row r="2820">
          <cell r="A2820" t="str">
            <v>PAN</v>
          </cell>
          <cell r="B2820" t="str">
            <v>Middle</v>
          </cell>
          <cell r="C2820" t="str">
            <v>2015 - 2023</v>
          </cell>
          <cell r="D2820" t="str">
            <v>avg_1_99_imp</v>
          </cell>
          <cell r="E2820" t="str">
            <v>prod_inf_agri</v>
          </cell>
          <cell r="F2820">
            <v>-1.4511222839355471</v>
          </cell>
        </row>
        <row r="2821">
          <cell r="A2821" t="str">
            <v>PAN</v>
          </cell>
          <cell r="B2821" t="str">
            <v>Middle</v>
          </cell>
          <cell r="C2821" t="str">
            <v>2015 - 2023</v>
          </cell>
          <cell r="D2821" t="str">
            <v>avg_1_99_imp</v>
          </cell>
          <cell r="E2821" t="str">
            <v>prod_inf_ind</v>
          </cell>
          <cell r="F2821">
            <v>-5.5456824600696557E-2</v>
          </cell>
        </row>
        <row r="2822">
          <cell r="A2822" t="str">
            <v>PAN</v>
          </cell>
          <cell r="B2822" t="str">
            <v>Middle</v>
          </cell>
          <cell r="C2822" t="str">
            <v>2015 - 2023</v>
          </cell>
          <cell r="D2822" t="str">
            <v>avg_1_99_imp</v>
          </cell>
          <cell r="E2822" t="str">
            <v>prod_inf_serv</v>
          </cell>
          <cell r="F2822">
            <v>-0.20189991593360901</v>
          </cell>
        </row>
        <row r="2823">
          <cell r="A2823" t="str">
            <v>PAN</v>
          </cell>
          <cell r="B2823" t="str">
            <v>Middle</v>
          </cell>
          <cell r="C2823" t="str">
            <v>2015 - 2023</v>
          </cell>
          <cell r="D2823" t="str">
            <v>reg</v>
          </cell>
          <cell r="E2823" t="str">
            <v>gdp_activity</v>
          </cell>
          <cell r="F2823">
            <v>0.40944072604179382</v>
          </cell>
        </row>
        <row r="2824">
          <cell r="A2824" t="str">
            <v>PAN</v>
          </cell>
          <cell r="B2824" t="str">
            <v>Middle</v>
          </cell>
          <cell r="C2824" t="str">
            <v>2015 - 2023</v>
          </cell>
          <cell r="D2824" t="str">
            <v>reg</v>
          </cell>
          <cell r="E2824" t="str">
            <v>gdp_for_agri</v>
          </cell>
          <cell r="F2824">
            <v>-1.0950860977172849</v>
          </cell>
        </row>
        <row r="2825">
          <cell r="A2825" t="str">
            <v>PAN</v>
          </cell>
          <cell r="B2825" t="str">
            <v>Middle</v>
          </cell>
          <cell r="C2825" t="str">
            <v>2015 - 2023</v>
          </cell>
          <cell r="D2825" t="str">
            <v>reg</v>
          </cell>
          <cell r="E2825" t="str">
            <v>gdp_for_ind</v>
          </cell>
          <cell r="F2825">
            <v>-3.4418627619743347E-2</v>
          </cell>
        </row>
        <row r="2826">
          <cell r="A2826" t="str">
            <v>PAN</v>
          </cell>
          <cell r="B2826" t="str">
            <v>Middle</v>
          </cell>
          <cell r="C2826" t="str">
            <v>2015 - 2023</v>
          </cell>
          <cell r="D2826" t="str">
            <v>reg</v>
          </cell>
          <cell r="E2826" t="str">
            <v>gdp_for_serv</v>
          </cell>
          <cell r="F2826">
            <v>-0.13256026804447171</v>
          </cell>
        </row>
        <row r="2827">
          <cell r="A2827" t="str">
            <v>PAN</v>
          </cell>
          <cell r="B2827" t="str">
            <v>Middle</v>
          </cell>
          <cell r="C2827" t="str">
            <v>2015 - 2023</v>
          </cell>
          <cell r="D2827" t="str">
            <v>reg</v>
          </cell>
          <cell r="E2827" t="str">
            <v>gdp_inf_agri</v>
          </cell>
          <cell r="F2827">
            <v>0.53410226106643677</v>
          </cell>
        </row>
        <row r="2828">
          <cell r="A2828" t="str">
            <v>PAN</v>
          </cell>
          <cell r="B2828" t="str">
            <v>Middle</v>
          </cell>
          <cell r="C2828" t="str">
            <v>2015 - 2023</v>
          </cell>
          <cell r="D2828" t="str">
            <v>reg</v>
          </cell>
          <cell r="E2828" t="str">
            <v>gdp_inf_ind</v>
          </cell>
          <cell r="F2828">
            <v>0.58206003904342651</v>
          </cell>
        </row>
        <row r="2829">
          <cell r="A2829" t="str">
            <v>PAN</v>
          </cell>
          <cell r="B2829" t="str">
            <v>Middle</v>
          </cell>
          <cell r="C2829" t="str">
            <v>2015 - 2023</v>
          </cell>
          <cell r="D2829" t="str">
            <v>reg</v>
          </cell>
          <cell r="E2829" t="str">
            <v>gdp_inf_serv</v>
          </cell>
          <cell r="F2829">
            <v>1.0074049234390261</v>
          </cell>
        </row>
        <row r="2830">
          <cell r="A2830" t="str">
            <v>PAN</v>
          </cell>
          <cell r="B2830" t="str">
            <v>Middle</v>
          </cell>
          <cell r="C2830" t="str">
            <v>2015 - 2023</v>
          </cell>
          <cell r="D2830" t="str">
            <v>reg</v>
          </cell>
          <cell r="E2830" t="str">
            <v>prod_for_agri</v>
          </cell>
          <cell r="F2830">
            <v>-0.35165116190910339</v>
          </cell>
        </row>
        <row r="2831">
          <cell r="A2831" t="str">
            <v>PAN</v>
          </cell>
          <cell r="B2831" t="str">
            <v>Middle</v>
          </cell>
          <cell r="C2831" t="str">
            <v>2015 - 2023</v>
          </cell>
          <cell r="D2831" t="str">
            <v>reg</v>
          </cell>
          <cell r="E2831" t="str">
            <v>prod_for_ind</v>
          </cell>
          <cell r="F2831">
            <v>0.51722484827041626</v>
          </cell>
        </row>
        <row r="2832">
          <cell r="A2832" t="str">
            <v>PAN</v>
          </cell>
          <cell r="B2832" t="str">
            <v>Middle</v>
          </cell>
          <cell r="C2832" t="str">
            <v>2015 - 2023</v>
          </cell>
          <cell r="D2832" t="str">
            <v>reg</v>
          </cell>
          <cell r="E2832" t="str">
            <v>prod_for_serv</v>
          </cell>
          <cell r="F2832">
            <v>0.54343092441558838</v>
          </cell>
        </row>
        <row r="2833">
          <cell r="A2833" t="str">
            <v>PAN</v>
          </cell>
          <cell r="B2833" t="str">
            <v>Middle</v>
          </cell>
          <cell r="C2833" t="str">
            <v>2015 - 2023</v>
          </cell>
          <cell r="D2833" t="str">
            <v>reg</v>
          </cell>
          <cell r="E2833" t="str">
            <v>prod_inf_agri</v>
          </cell>
          <cell r="F2833">
            <v>0.55363684892654419</v>
          </cell>
        </row>
        <row r="2834">
          <cell r="A2834" t="str">
            <v>PAN</v>
          </cell>
          <cell r="B2834" t="str">
            <v>Middle</v>
          </cell>
          <cell r="C2834" t="str">
            <v>2015 - 2023</v>
          </cell>
          <cell r="D2834" t="str">
            <v>reg</v>
          </cell>
          <cell r="E2834" t="str">
            <v>prod_inf_ind</v>
          </cell>
          <cell r="F2834">
            <v>-0.75874555110931396</v>
          </cell>
        </row>
        <row r="2835">
          <cell r="A2835" t="str">
            <v>PAN</v>
          </cell>
          <cell r="B2835" t="str">
            <v>Middle</v>
          </cell>
          <cell r="C2835" t="str">
            <v>2015 - 2023</v>
          </cell>
          <cell r="D2835" t="str">
            <v>reg</v>
          </cell>
          <cell r="E2835" t="str">
            <v>prod_inf_serv</v>
          </cell>
          <cell r="F2835">
            <v>-0.521842360496521</v>
          </cell>
        </row>
        <row r="2836">
          <cell r="A2836" t="str">
            <v>PAN</v>
          </cell>
          <cell r="B2836" t="str">
            <v>Middle</v>
          </cell>
          <cell r="C2836" t="str">
            <v>2015 - 2023</v>
          </cell>
          <cell r="D2836" t="str">
            <v>reg_gdp</v>
          </cell>
          <cell r="E2836" t="str">
            <v>gdp_activity</v>
          </cell>
          <cell r="F2836">
            <v>0.40944072604179382</v>
          </cell>
        </row>
        <row r="2837">
          <cell r="A2837" t="str">
            <v>PAN</v>
          </cell>
          <cell r="B2837" t="str">
            <v>Middle</v>
          </cell>
          <cell r="C2837" t="str">
            <v>2015 - 2023</v>
          </cell>
          <cell r="D2837" t="str">
            <v>reg_gdp</v>
          </cell>
          <cell r="E2837" t="str">
            <v>gdp_for_agri</v>
          </cell>
          <cell r="F2837">
            <v>-0.94418460130691528</v>
          </cell>
        </row>
        <row r="2838">
          <cell r="A2838" t="str">
            <v>PAN</v>
          </cell>
          <cell r="B2838" t="str">
            <v>Middle</v>
          </cell>
          <cell r="C2838" t="str">
            <v>2015 - 2023</v>
          </cell>
          <cell r="D2838" t="str">
            <v>reg_gdp</v>
          </cell>
          <cell r="E2838" t="str">
            <v>gdp_for_ind</v>
          </cell>
          <cell r="F2838">
            <v>3.0225362777709961</v>
          </cell>
        </row>
        <row r="2839">
          <cell r="A2839" t="str">
            <v>PAN</v>
          </cell>
          <cell r="B2839" t="str">
            <v>Middle</v>
          </cell>
          <cell r="C2839" t="str">
            <v>2015 - 2023</v>
          </cell>
          <cell r="D2839" t="str">
            <v>reg_gdp</v>
          </cell>
          <cell r="E2839" t="str">
            <v>gdp_for_serv</v>
          </cell>
          <cell r="F2839">
            <v>-2.1834933757781978</v>
          </cell>
        </row>
        <row r="2840">
          <cell r="A2840" t="str">
            <v>PAN</v>
          </cell>
          <cell r="B2840" t="str">
            <v>Middle</v>
          </cell>
          <cell r="C2840" t="str">
            <v>2015 - 2023</v>
          </cell>
          <cell r="D2840" t="str">
            <v>reg_gdp</v>
          </cell>
          <cell r="E2840" t="str">
            <v>gdp_inf_agri</v>
          </cell>
          <cell r="F2840">
            <v>0.4260280430316925</v>
          </cell>
        </row>
        <row r="2841">
          <cell r="A2841" t="str">
            <v>PAN</v>
          </cell>
          <cell r="B2841" t="str">
            <v>Middle</v>
          </cell>
          <cell r="C2841" t="str">
            <v>2015 - 2023</v>
          </cell>
          <cell r="D2841" t="str">
            <v>reg_gdp</v>
          </cell>
          <cell r="E2841" t="str">
            <v>gdp_inf_ind</v>
          </cell>
          <cell r="F2841">
            <v>-0.60993069410324097</v>
          </cell>
        </row>
        <row r="2842">
          <cell r="A2842" t="str">
            <v>PAN</v>
          </cell>
          <cell r="B2842" t="str">
            <v>Middle</v>
          </cell>
          <cell r="C2842" t="str">
            <v>2015 - 2023</v>
          </cell>
          <cell r="D2842" t="str">
            <v>reg_gdp</v>
          </cell>
          <cell r="E2842" t="str">
            <v>gdp_inf_serv</v>
          </cell>
          <cell r="F2842">
            <v>0.14703132212162021</v>
          </cell>
        </row>
        <row r="2843">
          <cell r="A2843" t="str">
            <v>PAN</v>
          </cell>
          <cell r="B2843" t="str">
            <v>Middle</v>
          </cell>
          <cell r="C2843" t="str">
            <v>2015 - 2023</v>
          </cell>
          <cell r="D2843" t="str">
            <v>reg_gdp</v>
          </cell>
          <cell r="E2843" t="str">
            <v>prod_for_agri</v>
          </cell>
          <cell r="F2843">
            <v>0.2654876708984375</v>
          </cell>
        </row>
        <row r="2844">
          <cell r="A2844" t="str">
            <v>PAN</v>
          </cell>
          <cell r="B2844" t="str">
            <v>Middle</v>
          </cell>
          <cell r="C2844" t="str">
            <v>2015 - 2023</v>
          </cell>
          <cell r="D2844" t="str">
            <v>reg_gdp</v>
          </cell>
          <cell r="E2844" t="str">
            <v>prod_for_ind</v>
          </cell>
          <cell r="F2844">
            <v>1.0036418437957759</v>
          </cell>
        </row>
        <row r="2845">
          <cell r="A2845" t="str">
            <v>PAN</v>
          </cell>
          <cell r="B2845" t="str">
            <v>Middle</v>
          </cell>
          <cell r="C2845" t="str">
            <v>2015 - 2023</v>
          </cell>
          <cell r="D2845" t="str">
            <v>reg_gdp</v>
          </cell>
          <cell r="E2845" t="str">
            <v>prod_for_serv</v>
          </cell>
          <cell r="F2845">
            <v>0.2118074297904968</v>
          </cell>
        </row>
        <row r="2846">
          <cell r="A2846" t="str">
            <v>PAN</v>
          </cell>
          <cell r="B2846" t="str">
            <v>Middle</v>
          </cell>
          <cell r="C2846" t="str">
            <v>2015 - 2023</v>
          </cell>
          <cell r="D2846" t="str">
            <v>reg_gdp</v>
          </cell>
          <cell r="E2846" t="str">
            <v>prod_inf_agri</v>
          </cell>
          <cell r="F2846">
            <v>-0.16893406212329859</v>
          </cell>
        </row>
        <row r="2847">
          <cell r="A2847" t="str">
            <v>PAN</v>
          </cell>
          <cell r="B2847" t="str">
            <v>Middle</v>
          </cell>
          <cell r="C2847" t="str">
            <v>2015 - 2023</v>
          </cell>
          <cell r="D2847" t="str">
            <v>reg_gdp</v>
          </cell>
          <cell r="E2847" t="str">
            <v>prod_inf_ind</v>
          </cell>
          <cell r="F2847">
            <v>-9.5776885747909546E-2</v>
          </cell>
        </row>
        <row r="2848">
          <cell r="A2848" t="str">
            <v>PAN</v>
          </cell>
          <cell r="B2848" t="str">
            <v>Middle</v>
          </cell>
          <cell r="C2848" t="str">
            <v>2015 - 2023</v>
          </cell>
          <cell r="D2848" t="str">
            <v>reg_gdp</v>
          </cell>
          <cell r="E2848" t="str">
            <v>prod_inf_serv</v>
          </cell>
          <cell r="F2848">
            <v>-0.48832955956459051</v>
          </cell>
        </row>
        <row r="2849">
          <cell r="A2849" t="str">
            <v>PAN</v>
          </cell>
          <cell r="B2849" t="str">
            <v>Middle</v>
          </cell>
          <cell r="C2849" t="str">
            <v>2015 - 2023</v>
          </cell>
          <cell r="D2849" t="str">
            <v>reg_iter</v>
          </cell>
          <cell r="E2849" t="str">
            <v>gdp_activity</v>
          </cell>
          <cell r="F2849">
            <v>0.45939049124717712</v>
          </cell>
        </row>
        <row r="2850">
          <cell r="A2850" t="str">
            <v>PAN</v>
          </cell>
          <cell r="B2850" t="str">
            <v>Middle</v>
          </cell>
          <cell r="C2850" t="str">
            <v>2015 - 2023</v>
          </cell>
          <cell r="D2850" t="str">
            <v>reg_iter</v>
          </cell>
          <cell r="E2850" t="str">
            <v>gdp_for_agri</v>
          </cell>
          <cell r="F2850">
            <v>-0.3067677915096283</v>
          </cell>
        </row>
        <row r="2851">
          <cell r="A2851" t="str">
            <v>PAN</v>
          </cell>
          <cell r="B2851" t="str">
            <v>Middle</v>
          </cell>
          <cell r="C2851" t="str">
            <v>2015 - 2023</v>
          </cell>
          <cell r="D2851" t="str">
            <v>reg_iter</v>
          </cell>
          <cell r="E2851" t="str">
            <v>gdp_for_ind</v>
          </cell>
          <cell r="F2851">
            <v>0.97730201482772827</v>
          </cell>
        </row>
        <row r="2852">
          <cell r="A2852" t="str">
            <v>PAN</v>
          </cell>
          <cell r="B2852" t="str">
            <v>Middle</v>
          </cell>
          <cell r="C2852" t="str">
            <v>2015 - 2023</v>
          </cell>
          <cell r="D2852" t="str">
            <v>reg_iter</v>
          </cell>
          <cell r="E2852" t="str">
            <v>gdp_for_serv</v>
          </cell>
          <cell r="F2852">
            <v>0.75736075639724731</v>
          </cell>
        </row>
        <row r="2853">
          <cell r="A2853" t="str">
            <v>PAN</v>
          </cell>
          <cell r="B2853" t="str">
            <v>Middle</v>
          </cell>
          <cell r="C2853" t="str">
            <v>2015 - 2023</v>
          </cell>
          <cell r="D2853" t="str">
            <v>reg_iter</v>
          </cell>
          <cell r="E2853" t="str">
            <v>gdp_inf_agri</v>
          </cell>
          <cell r="F2853">
            <v>0.25927510857582092</v>
          </cell>
        </row>
        <row r="2854">
          <cell r="A2854" t="str">
            <v>PAN</v>
          </cell>
          <cell r="B2854" t="str">
            <v>Middle</v>
          </cell>
          <cell r="C2854" t="str">
            <v>2015 - 2023</v>
          </cell>
          <cell r="D2854" t="str">
            <v>reg_iter</v>
          </cell>
          <cell r="E2854" t="str">
            <v>gdp_inf_ind</v>
          </cell>
          <cell r="F2854">
            <v>0.20960502326488489</v>
          </cell>
        </row>
        <row r="2855">
          <cell r="A2855" t="str">
            <v>PAN</v>
          </cell>
          <cell r="B2855" t="str">
            <v>Middle</v>
          </cell>
          <cell r="C2855" t="str">
            <v>2015 - 2023</v>
          </cell>
          <cell r="D2855" t="str">
            <v>reg_iter</v>
          </cell>
          <cell r="E2855" t="str">
            <v>gdp_inf_serv</v>
          </cell>
          <cell r="F2855">
            <v>0.89762246608734131</v>
          </cell>
        </row>
        <row r="2856">
          <cell r="A2856" t="str">
            <v>PAN</v>
          </cell>
          <cell r="B2856" t="str">
            <v>Middle</v>
          </cell>
          <cell r="C2856" t="str">
            <v>2015 - 2023</v>
          </cell>
          <cell r="D2856" t="str">
            <v>reg_iter</v>
          </cell>
          <cell r="E2856" t="str">
            <v>prod_for_agri</v>
          </cell>
          <cell r="F2856">
            <v>-0.22114276885986331</v>
          </cell>
        </row>
        <row r="2857">
          <cell r="A2857" t="str">
            <v>PAN</v>
          </cell>
          <cell r="B2857" t="str">
            <v>Middle</v>
          </cell>
          <cell r="C2857" t="str">
            <v>2015 - 2023</v>
          </cell>
          <cell r="D2857" t="str">
            <v>reg_iter</v>
          </cell>
          <cell r="E2857" t="str">
            <v>prod_for_ind</v>
          </cell>
          <cell r="F2857">
            <v>-4.7119449824094772E-2</v>
          </cell>
        </row>
        <row r="2858">
          <cell r="A2858" t="str">
            <v>PAN</v>
          </cell>
          <cell r="B2858" t="str">
            <v>Middle</v>
          </cell>
          <cell r="C2858" t="str">
            <v>2015 - 2023</v>
          </cell>
          <cell r="D2858" t="str">
            <v>reg_iter</v>
          </cell>
          <cell r="E2858" t="str">
            <v>prod_for_serv</v>
          </cell>
          <cell r="F2858">
            <v>-0.82815420627593994</v>
          </cell>
        </row>
        <row r="2859">
          <cell r="A2859" t="str">
            <v>PAN</v>
          </cell>
          <cell r="B2859" t="str">
            <v>Middle</v>
          </cell>
          <cell r="C2859" t="str">
            <v>2015 - 2023</v>
          </cell>
          <cell r="D2859" t="str">
            <v>reg_iter</v>
          </cell>
          <cell r="E2859" t="str">
            <v>prod_inf_agri</v>
          </cell>
          <cell r="F2859">
            <v>-0.91884016990661621</v>
          </cell>
        </row>
        <row r="2860">
          <cell r="A2860" t="str">
            <v>PAN</v>
          </cell>
          <cell r="B2860" t="str">
            <v>Middle</v>
          </cell>
          <cell r="C2860" t="str">
            <v>2015 - 2023</v>
          </cell>
          <cell r="D2860" t="str">
            <v>reg_iter</v>
          </cell>
          <cell r="E2860" t="str">
            <v>prod_inf_ind</v>
          </cell>
          <cell r="F2860">
            <v>0.45719510316848749</v>
          </cell>
        </row>
        <row r="2861">
          <cell r="A2861" t="str">
            <v>PAN</v>
          </cell>
          <cell r="B2861" t="str">
            <v>Middle</v>
          </cell>
          <cell r="C2861" t="str">
            <v>2015 - 2023</v>
          </cell>
          <cell r="D2861" t="str">
            <v>reg_iter</v>
          </cell>
          <cell r="E2861" t="str">
            <v>prod_inf_serv</v>
          </cell>
          <cell r="F2861">
            <v>-0.83561331033706665</v>
          </cell>
        </row>
        <row r="2862">
          <cell r="A2862" t="str">
            <v>PAN</v>
          </cell>
          <cell r="B2862" t="str">
            <v>Short</v>
          </cell>
          <cell r="C2862" t="str">
            <v>2018 - 2023</v>
          </cell>
          <cell r="D2862" t="str">
            <v>avg</v>
          </cell>
          <cell r="E2862" t="str">
            <v>gdp_activity</v>
          </cell>
          <cell r="F2862">
            <v>0.87506645917892456</v>
          </cell>
        </row>
        <row r="2863">
          <cell r="A2863" t="str">
            <v>PAN</v>
          </cell>
          <cell r="B2863" t="str">
            <v>Short</v>
          </cell>
          <cell r="C2863" t="str">
            <v>2018 - 2023</v>
          </cell>
          <cell r="D2863" t="str">
            <v>avg</v>
          </cell>
          <cell r="E2863" t="str">
            <v>gdp_for_agri</v>
          </cell>
          <cell r="F2863">
            <v>-1.588902592658997</v>
          </cell>
        </row>
        <row r="2864">
          <cell r="A2864" t="str">
            <v>PAN</v>
          </cell>
          <cell r="B2864" t="str">
            <v>Short</v>
          </cell>
          <cell r="C2864" t="str">
            <v>2018 - 2023</v>
          </cell>
          <cell r="D2864" t="str">
            <v>avg</v>
          </cell>
          <cell r="E2864" t="str">
            <v>gdp_for_ind</v>
          </cell>
          <cell r="F2864">
            <v>-0.87038779258728027</v>
          </cell>
        </row>
        <row r="2865">
          <cell r="A2865" t="str">
            <v>PAN</v>
          </cell>
          <cell r="B2865" t="str">
            <v>Short</v>
          </cell>
          <cell r="C2865" t="str">
            <v>2018 - 2023</v>
          </cell>
          <cell r="D2865" t="str">
            <v>avg</v>
          </cell>
          <cell r="E2865" t="str">
            <v>gdp_for_serv</v>
          </cell>
          <cell r="F2865">
            <v>18.688686370849609</v>
          </cell>
        </row>
        <row r="2866">
          <cell r="A2866" t="str">
            <v>PAN</v>
          </cell>
          <cell r="B2866" t="str">
            <v>Short</v>
          </cell>
          <cell r="C2866" t="str">
            <v>2018 - 2023</v>
          </cell>
          <cell r="D2866" t="str">
            <v>avg</v>
          </cell>
          <cell r="E2866" t="str">
            <v>gdp_inf_agri</v>
          </cell>
          <cell r="F2866">
            <v>1.322859048843384</v>
          </cell>
        </row>
        <row r="2867">
          <cell r="A2867" t="str">
            <v>PAN</v>
          </cell>
          <cell r="B2867" t="str">
            <v>Short</v>
          </cell>
          <cell r="C2867" t="str">
            <v>2018 - 2023</v>
          </cell>
          <cell r="D2867" t="str">
            <v>avg</v>
          </cell>
          <cell r="E2867" t="str">
            <v>gdp_inf_ind</v>
          </cell>
          <cell r="F2867">
            <v>1.2314034700393679</v>
          </cell>
        </row>
        <row r="2868">
          <cell r="A2868" t="str">
            <v>PAN</v>
          </cell>
          <cell r="B2868" t="str">
            <v>Short</v>
          </cell>
          <cell r="C2868" t="str">
            <v>2018 - 2023</v>
          </cell>
          <cell r="D2868" t="str">
            <v>avg</v>
          </cell>
          <cell r="E2868" t="str">
            <v>gdp_inf_serv</v>
          </cell>
          <cell r="F2868">
            <v>8.2909908294677734</v>
          </cell>
        </row>
        <row r="2869">
          <cell r="A2869" t="str">
            <v>PAN</v>
          </cell>
          <cell r="B2869" t="str">
            <v>Short</v>
          </cell>
          <cell r="C2869" t="str">
            <v>2018 - 2023</v>
          </cell>
          <cell r="D2869" t="str">
            <v>avg</v>
          </cell>
          <cell r="E2869" t="str">
            <v>prod_for_agri</v>
          </cell>
          <cell r="F2869">
            <v>1.923136949539185</v>
          </cell>
        </row>
        <row r="2870">
          <cell r="A2870" t="str">
            <v>PAN</v>
          </cell>
          <cell r="B2870" t="str">
            <v>Short</v>
          </cell>
          <cell r="C2870" t="str">
            <v>2018 - 2023</v>
          </cell>
          <cell r="D2870" t="str">
            <v>avg</v>
          </cell>
          <cell r="E2870" t="str">
            <v>prod_for_ind</v>
          </cell>
          <cell r="F2870">
            <v>0.5154954195022583</v>
          </cell>
        </row>
        <row r="2871">
          <cell r="A2871" t="str">
            <v>PAN</v>
          </cell>
          <cell r="B2871" t="str">
            <v>Short</v>
          </cell>
          <cell r="C2871" t="str">
            <v>2018 - 2023</v>
          </cell>
          <cell r="D2871" t="str">
            <v>avg</v>
          </cell>
          <cell r="E2871" t="str">
            <v>prod_for_serv</v>
          </cell>
          <cell r="F2871">
            <v>1.594969511032104</v>
          </cell>
        </row>
        <row r="2872">
          <cell r="A2872" t="str">
            <v>PAN</v>
          </cell>
          <cell r="B2872" t="str">
            <v>Short</v>
          </cell>
          <cell r="C2872" t="str">
            <v>2018 - 2023</v>
          </cell>
          <cell r="D2872" t="str">
            <v>avg</v>
          </cell>
          <cell r="E2872" t="str">
            <v>prod_inf_agri</v>
          </cell>
          <cell r="F2872">
            <v>-6.2690939903259277</v>
          </cell>
        </row>
        <row r="2873">
          <cell r="A2873" t="str">
            <v>PAN</v>
          </cell>
          <cell r="B2873" t="str">
            <v>Short</v>
          </cell>
          <cell r="C2873" t="str">
            <v>2018 - 2023</v>
          </cell>
          <cell r="D2873" t="str">
            <v>avg</v>
          </cell>
          <cell r="E2873" t="str">
            <v>prod_inf_ind</v>
          </cell>
          <cell r="F2873">
            <v>2.257145881652832</v>
          </cell>
        </row>
        <row r="2874">
          <cell r="A2874" t="str">
            <v>PAN</v>
          </cell>
          <cell r="B2874" t="str">
            <v>Short</v>
          </cell>
          <cell r="C2874" t="str">
            <v>2018 - 2023</v>
          </cell>
          <cell r="D2874" t="str">
            <v>avg</v>
          </cell>
          <cell r="E2874" t="str">
            <v>prod_inf_serv</v>
          </cell>
          <cell r="F2874">
            <v>0.37435093522071838</v>
          </cell>
        </row>
        <row r="2875">
          <cell r="A2875" t="str">
            <v>PAN</v>
          </cell>
          <cell r="B2875" t="str">
            <v>Short</v>
          </cell>
          <cell r="C2875" t="str">
            <v>2018 - 2023</v>
          </cell>
          <cell r="D2875" t="str">
            <v>avg_1_99</v>
          </cell>
          <cell r="E2875" t="str">
            <v>gdp_activity</v>
          </cell>
          <cell r="F2875">
            <v>0.73717039823532104</v>
          </cell>
        </row>
        <row r="2876">
          <cell r="A2876" t="str">
            <v>PAN</v>
          </cell>
          <cell r="B2876" t="str">
            <v>Short</v>
          </cell>
          <cell r="C2876" t="str">
            <v>2018 - 2023</v>
          </cell>
          <cell r="D2876" t="str">
            <v>avg_1_99</v>
          </cell>
          <cell r="E2876" t="str">
            <v>gdp_for_agri</v>
          </cell>
          <cell r="F2876">
            <v>-1.588902592658997</v>
          </cell>
        </row>
        <row r="2877">
          <cell r="A2877" t="str">
            <v>PAN</v>
          </cell>
          <cell r="B2877" t="str">
            <v>Short</v>
          </cell>
          <cell r="C2877" t="str">
            <v>2018 - 2023</v>
          </cell>
          <cell r="D2877" t="str">
            <v>avg_1_99</v>
          </cell>
          <cell r="E2877" t="str">
            <v>gdp_for_ind</v>
          </cell>
          <cell r="F2877">
            <v>0.28955018520355219</v>
          </cell>
        </row>
        <row r="2878">
          <cell r="A2878" t="str">
            <v>PAN</v>
          </cell>
          <cell r="B2878" t="str">
            <v>Short</v>
          </cell>
          <cell r="C2878" t="str">
            <v>2018 - 2023</v>
          </cell>
          <cell r="D2878" t="str">
            <v>avg_1_99</v>
          </cell>
          <cell r="E2878" t="str">
            <v>gdp_for_serv</v>
          </cell>
          <cell r="F2878">
            <v>0.39025589823722839</v>
          </cell>
        </row>
        <row r="2879">
          <cell r="A2879" t="str">
            <v>PAN</v>
          </cell>
          <cell r="B2879" t="str">
            <v>Short</v>
          </cell>
          <cell r="C2879" t="str">
            <v>2018 - 2023</v>
          </cell>
          <cell r="D2879" t="str">
            <v>avg_1_99</v>
          </cell>
          <cell r="E2879" t="str">
            <v>gdp_inf_agri</v>
          </cell>
          <cell r="F2879">
            <v>1.322859048843384</v>
          </cell>
        </row>
        <row r="2880">
          <cell r="A2880" t="str">
            <v>PAN</v>
          </cell>
          <cell r="B2880" t="str">
            <v>Short</v>
          </cell>
          <cell r="C2880" t="str">
            <v>2018 - 2023</v>
          </cell>
          <cell r="D2880" t="str">
            <v>avg_1_99</v>
          </cell>
          <cell r="E2880" t="str">
            <v>gdp_inf_ind</v>
          </cell>
          <cell r="F2880">
            <v>0.78461766242980957</v>
          </cell>
        </row>
        <row r="2881">
          <cell r="A2881" t="str">
            <v>PAN</v>
          </cell>
          <cell r="B2881" t="str">
            <v>Short</v>
          </cell>
          <cell r="C2881" t="str">
            <v>2018 - 2023</v>
          </cell>
          <cell r="D2881" t="str">
            <v>avg_1_99</v>
          </cell>
          <cell r="E2881" t="str">
            <v>gdp_inf_serv</v>
          </cell>
          <cell r="F2881">
            <v>1.356152296066284</v>
          </cell>
        </row>
        <row r="2882">
          <cell r="A2882" t="str">
            <v>PAN</v>
          </cell>
          <cell r="B2882" t="str">
            <v>Short</v>
          </cell>
          <cell r="C2882" t="str">
            <v>2018 - 2023</v>
          </cell>
          <cell r="D2882" t="str">
            <v>avg_1_99</v>
          </cell>
          <cell r="E2882" t="str">
            <v>prod_for_agri</v>
          </cell>
          <cell r="F2882">
            <v>0.29960140585899347</v>
          </cell>
        </row>
        <row r="2883">
          <cell r="A2883" t="str">
            <v>PAN</v>
          </cell>
          <cell r="B2883" t="str">
            <v>Short</v>
          </cell>
          <cell r="C2883" t="str">
            <v>2018 - 2023</v>
          </cell>
          <cell r="D2883" t="str">
            <v>avg_1_99</v>
          </cell>
          <cell r="E2883" t="str">
            <v>prod_for_ind</v>
          </cell>
          <cell r="F2883">
            <v>1.686022877693176</v>
          </cell>
        </row>
        <row r="2884">
          <cell r="A2884" t="str">
            <v>PAN</v>
          </cell>
          <cell r="B2884" t="str">
            <v>Short</v>
          </cell>
          <cell r="C2884" t="str">
            <v>2018 - 2023</v>
          </cell>
          <cell r="D2884" t="str">
            <v>avg_1_99</v>
          </cell>
          <cell r="E2884" t="str">
            <v>prod_for_serv</v>
          </cell>
          <cell r="F2884">
            <v>0.87224602699279785</v>
          </cell>
        </row>
        <row r="2885">
          <cell r="A2885" t="str">
            <v>PAN</v>
          </cell>
          <cell r="B2885" t="str">
            <v>Short</v>
          </cell>
          <cell r="C2885" t="str">
            <v>2018 - 2023</v>
          </cell>
          <cell r="D2885" t="str">
            <v>avg_1_99</v>
          </cell>
          <cell r="E2885" t="str">
            <v>prod_inf_agri</v>
          </cell>
          <cell r="F2885">
            <v>-4.4077839851379386</v>
          </cell>
        </row>
        <row r="2886">
          <cell r="A2886" t="str">
            <v>PAN</v>
          </cell>
          <cell r="B2886" t="str">
            <v>Short</v>
          </cell>
          <cell r="C2886" t="str">
            <v>2018 - 2023</v>
          </cell>
          <cell r="D2886" t="str">
            <v>avg_1_99</v>
          </cell>
          <cell r="E2886" t="str">
            <v>prod_inf_ind</v>
          </cell>
          <cell r="F2886">
            <v>-0.7043994665145874</v>
          </cell>
        </row>
        <row r="2887">
          <cell r="A2887" t="str">
            <v>PAN</v>
          </cell>
          <cell r="B2887" t="str">
            <v>Short</v>
          </cell>
          <cell r="C2887" t="str">
            <v>2018 - 2023</v>
          </cell>
          <cell r="D2887" t="str">
            <v>avg_1_99</v>
          </cell>
          <cell r="E2887" t="str">
            <v>prod_inf_serv</v>
          </cell>
          <cell r="F2887">
            <v>0.37435093522071838</v>
          </cell>
        </row>
        <row r="2888">
          <cell r="A2888" t="str">
            <v>PAN</v>
          </cell>
          <cell r="B2888" t="str">
            <v>Short</v>
          </cell>
          <cell r="C2888" t="str">
            <v>2018 - 2023</v>
          </cell>
          <cell r="D2888" t="str">
            <v>avg_1_99_imp</v>
          </cell>
          <cell r="E2888" t="str">
            <v>gdp_activity</v>
          </cell>
          <cell r="F2888">
            <v>0.73357862234115601</v>
          </cell>
        </row>
        <row r="2889">
          <cell r="A2889" t="str">
            <v>PAN</v>
          </cell>
          <cell r="B2889" t="str">
            <v>Short</v>
          </cell>
          <cell r="C2889" t="str">
            <v>2018 - 2023</v>
          </cell>
          <cell r="D2889" t="str">
            <v>avg_1_99_imp</v>
          </cell>
          <cell r="E2889" t="str">
            <v>gdp_for_agri</v>
          </cell>
          <cell r="F2889">
            <v>-1.588902592658997</v>
          </cell>
        </row>
        <row r="2890">
          <cell r="A2890" t="str">
            <v>PAN</v>
          </cell>
          <cell r="B2890" t="str">
            <v>Short</v>
          </cell>
          <cell r="C2890" t="str">
            <v>2018 - 2023</v>
          </cell>
          <cell r="D2890" t="str">
            <v>avg_1_99_imp</v>
          </cell>
          <cell r="E2890" t="str">
            <v>gdp_for_ind</v>
          </cell>
          <cell r="F2890">
            <v>0.28955018520355219</v>
          </cell>
        </row>
        <row r="2891">
          <cell r="A2891" t="str">
            <v>PAN</v>
          </cell>
          <cell r="B2891" t="str">
            <v>Short</v>
          </cell>
          <cell r="C2891" t="str">
            <v>2018 - 2023</v>
          </cell>
          <cell r="D2891" t="str">
            <v>avg_1_99_imp</v>
          </cell>
          <cell r="E2891" t="str">
            <v>gdp_for_serv</v>
          </cell>
          <cell r="F2891">
            <v>0.36251875758171082</v>
          </cell>
        </row>
        <row r="2892">
          <cell r="A2892" t="str">
            <v>PAN</v>
          </cell>
          <cell r="B2892" t="str">
            <v>Short</v>
          </cell>
          <cell r="C2892" t="str">
            <v>2018 - 2023</v>
          </cell>
          <cell r="D2892" t="str">
            <v>avg_1_99_imp</v>
          </cell>
          <cell r="E2892" t="str">
            <v>gdp_inf_agri</v>
          </cell>
          <cell r="F2892">
            <v>1.322859048843384</v>
          </cell>
        </row>
        <row r="2893">
          <cell r="A2893" t="str">
            <v>PAN</v>
          </cell>
          <cell r="B2893" t="str">
            <v>Short</v>
          </cell>
          <cell r="C2893" t="str">
            <v>2018 - 2023</v>
          </cell>
          <cell r="D2893" t="str">
            <v>avg_1_99_imp</v>
          </cell>
          <cell r="E2893" t="str">
            <v>gdp_inf_ind</v>
          </cell>
          <cell r="F2893">
            <v>0.6784171462059021</v>
          </cell>
        </row>
        <row r="2894">
          <cell r="A2894" t="str">
            <v>PAN</v>
          </cell>
          <cell r="B2894" t="str">
            <v>Short</v>
          </cell>
          <cell r="C2894" t="str">
            <v>2018 - 2023</v>
          </cell>
          <cell r="D2894" t="str">
            <v>avg_1_99_imp</v>
          </cell>
          <cell r="E2894" t="str">
            <v>gdp_inf_serv</v>
          </cell>
          <cell r="F2894">
            <v>1.3749251365661621</v>
          </cell>
        </row>
        <row r="2895">
          <cell r="A2895" t="str">
            <v>PAN</v>
          </cell>
          <cell r="B2895" t="str">
            <v>Short</v>
          </cell>
          <cell r="C2895" t="str">
            <v>2018 - 2023</v>
          </cell>
          <cell r="D2895" t="str">
            <v>avg_1_99_imp</v>
          </cell>
          <cell r="E2895" t="str">
            <v>prod_for_agri</v>
          </cell>
          <cell r="F2895">
            <v>0.48325040936470032</v>
          </cell>
        </row>
        <row r="2896">
          <cell r="A2896" t="str">
            <v>PAN</v>
          </cell>
          <cell r="B2896" t="str">
            <v>Short</v>
          </cell>
          <cell r="C2896" t="str">
            <v>2018 - 2023</v>
          </cell>
          <cell r="D2896" t="str">
            <v>avg_1_99_imp</v>
          </cell>
          <cell r="E2896" t="str">
            <v>prod_for_ind</v>
          </cell>
          <cell r="F2896">
            <v>1.3644721508026121</v>
          </cell>
        </row>
        <row r="2897">
          <cell r="A2897" t="str">
            <v>PAN</v>
          </cell>
          <cell r="B2897" t="str">
            <v>Short</v>
          </cell>
          <cell r="C2897" t="str">
            <v>2018 - 2023</v>
          </cell>
          <cell r="D2897" t="str">
            <v>avg_1_99_imp</v>
          </cell>
          <cell r="E2897" t="str">
            <v>prod_for_serv</v>
          </cell>
          <cell r="F2897">
            <v>6.2445003539323807E-2</v>
          </cell>
        </row>
        <row r="2898">
          <cell r="A2898" t="str">
            <v>PAN</v>
          </cell>
          <cell r="B2898" t="str">
            <v>Short</v>
          </cell>
          <cell r="C2898" t="str">
            <v>2018 - 2023</v>
          </cell>
          <cell r="D2898" t="str">
            <v>avg_1_99_imp</v>
          </cell>
          <cell r="E2898" t="str">
            <v>prod_inf_agri</v>
          </cell>
          <cell r="F2898">
            <v>-4.157381534576416</v>
          </cell>
        </row>
        <row r="2899">
          <cell r="A2899" t="str">
            <v>PAN</v>
          </cell>
          <cell r="B2899" t="str">
            <v>Short</v>
          </cell>
          <cell r="C2899" t="str">
            <v>2018 - 2023</v>
          </cell>
          <cell r="D2899" t="str">
            <v>avg_1_99_imp</v>
          </cell>
          <cell r="E2899" t="str">
            <v>prod_inf_ind</v>
          </cell>
          <cell r="F2899">
            <v>-0.7043994665145874</v>
          </cell>
        </row>
        <row r="2900">
          <cell r="A2900" t="str">
            <v>PAN</v>
          </cell>
          <cell r="B2900" t="str">
            <v>Short</v>
          </cell>
          <cell r="C2900" t="str">
            <v>2018 - 2023</v>
          </cell>
          <cell r="D2900" t="str">
            <v>avg_1_99_imp</v>
          </cell>
          <cell r="E2900" t="str">
            <v>prod_inf_serv</v>
          </cell>
          <cell r="F2900">
            <v>0.37435093522071838</v>
          </cell>
        </row>
        <row r="2901">
          <cell r="A2901" t="str">
            <v>PAN</v>
          </cell>
          <cell r="B2901" t="str">
            <v>Short</v>
          </cell>
          <cell r="C2901" t="str">
            <v>2018 - 2023</v>
          </cell>
          <cell r="D2901" t="str">
            <v>reg</v>
          </cell>
          <cell r="E2901" t="str">
            <v>gdp_activity</v>
          </cell>
          <cell r="F2901">
            <v>0.32411009073257452</v>
          </cell>
        </row>
        <row r="2902">
          <cell r="A2902" t="str">
            <v>PAN</v>
          </cell>
          <cell r="B2902" t="str">
            <v>Short</v>
          </cell>
          <cell r="C2902" t="str">
            <v>2018 - 2023</v>
          </cell>
          <cell r="D2902" t="str">
            <v>reg</v>
          </cell>
          <cell r="E2902" t="str">
            <v>gdp_for_agri</v>
          </cell>
          <cell r="F2902">
            <v>-0.92419016361236572</v>
          </cell>
        </row>
        <row r="2903">
          <cell r="A2903" t="str">
            <v>PAN</v>
          </cell>
          <cell r="B2903" t="str">
            <v>Short</v>
          </cell>
          <cell r="C2903" t="str">
            <v>2018 - 2023</v>
          </cell>
          <cell r="D2903" t="str">
            <v>reg</v>
          </cell>
          <cell r="E2903" t="str">
            <v>gdp_for_ind</v>
          </cell>
          <cell r="F2903">
            <v>1.393602728843689</v>
          </cell>
        </row>
        <row r="2904">
          <cell r="A2904" t="str">
            <v>PAN</v>
          </cell>
          <cell r="B2904" t="str">
            <v>Short</v>
          </cell>
          <cell r="C2904" t="str">
            <v>2018 - 2023</v>
          </cell>
          <cell r="D2904" t="str">
            <v>reg</v>
          </cell>
          <cell r="E2904" t="str">
            <v>gdp_for_serv</v>
          </cell>
          <cell r="F2904">
            <v>4.8495441675186157E-2</v>
          </cell>
        </row>
        <row r="2905">
          <cell r="A2905" t="str">
            <v>PAN</v>
          </cell>
          <cell r="B2905" t="str">
            <v>Short</v>
          </cell>
          <cell r="C2905" t="str">
            <v>2018 - 2023</v>
          </cell>
          <cell r="D2905" t="str">
            <v>reg</v>
          </cell>
          <cell r="E2905" t="str">
            <v>gdp_inf_agri</v>
          </cell>
          <cell r="F2905">
            <v>0.45350593328475952</v>
          </cell>
        </row>
        <row r="2906">
          <cell r="A2906" t="str">
            <v>PAN</v>
          </cell>
          <cell r="B2906" t="str">
            <v>Short</v>
          </cell>
          <cell r="C2906" t="str">
            <v>2018 - 2023</v>
          </cell>
          <cell r="D2906" t="str">
            <v>reg</v>
          </cell>
          <cell r="E2906" t="str">
            <v>gdp_inf_ind</v>
          </cell>
          <cell r="F2906">
            <v>0.25744131207466131</v>
          </cell>
        </row>
        <row r="2907">
          <cell r="A2907" t="str">
            <v>PAN</v>
          </cell>
          <cell r="B2907" t="str">
            <v>Short</v>
          </cell>
          <cell r="C2907" t="str">
            <v>2018 - 2023</v>
          </cell>
          <cell r="D2907" t="str">
            <v>reg</v>
          </cell>
          <cell r="E2907" t="str">
            <v>gdp_inf_serv</v>
          </cell>
          <cell r="F2907">
            <v>0.58230215311050415</v>
          </cell>
        </row>
        <row r="2908">
          <cell r="A2908" t="str">
            <v>PAN</v>
          </cell>
          <cell r="B2908" t="str">
            <v>Short</v>
          </cell>
          <cell r="C2908" t="str">
            <v>2018 - 2023</v>
          </cell>
          <cell r="D2908" t="str">
            <v>reg</v>
          </cell>
          <cell r="E2908" t="str">
            <v>prod_for_agri</v>
          </cell>
          <cell r="F2908">
            <v>6.1821121722459793E-2</v>
          </cell>
        </row>
        <row r="2909">
          <cell r="A2909" t="str">
            <v>PAN</v>
          </cell>
          <cell r="B2909" t="str">
            <v>Short</v>
          </cell>
          <cell r="C2909" t="str">
            <v>2018 - 2023</v>
          </cell>
          <cell r="D2909" t="str">
            <v>reg</v>
          </cell>
          <cell r="E2909" t="str">
            <v>prod_for_ind</v>
          </cell>
          <cell r="F2909">
            <v>-0.1102247983217239</v>
          </cell>
        </row>
        <row r="2910">
          <cell r="A2910" t="str">
            <v>PAN</v>
          </cell>
          <cell r="B2910" t="str">
            <v>Short</v>
          </cell>
          <cell r="C2910" t="str">
            <v>2018 - 2023</v>
          </cell>
          <cell r="D2910" t="str">
            <v>reg</v>
          </cell>
          <cell r="E2910" t="str">
            <v>prod_for_serv</v>
          </cell>
          <cell r="F2910">
            <v>2.175554633140564E-2</v>
          </cell>
        </row>
        <row r="2911">
          <cell r="A2911" t="str">
            <v>PAN</v>
          </cell>
          <cell r="B2911" t="str">
            <v>Short</v>
          </cell>
          <cell r="C2911" t="str">
            <v>2018 - 2023</v>
          </cell>
          <cell r="D2911" t="str">
            <v>reg</v>
          </cell>
          <cell r="E2911" t="str">
            <v>prod_inf_agri</v>
          </cell>
          <cell r="F2911">
            <v>-1.265448689460754</v>
          </cell>
        </row>
        <row r="2912">
          <cell r="A2912" t="str">
            <v>PAN</v>
          </cell>
          <cell r="B2912" t="str">
            <v>Short</v>
          </cell>
          <cell r="C2912" t="str">
            <v>2018 - 2023</v>
          </cell>
          <cell r="D2912" t="str">
            <v>reg</v>
          </cell>
          <cell r="E2912" t="str">
            <v>prod_inf_ind</v>
          </cell>
          <cell r="F2912">
            <v>-1.5742036104202271</v>
          </cell>
        </row>
        <row r="2913">
          <cell r="A2913" t="str">
            <v>PAN</v>
          </cell>
          <cell r="B2913" t="str">
            <v>Short</v>
          </cell>
          <cell r="C2913" t="str">
            <v>2018 - 2023</v>
          </cell>
          <cell r="D2913" t="str">
            <v>reg</v>
          </cell>
          <cell r="E2913" t="str">
            <v>prod_inf_serv</v>
          </cell>
          <cell r="F2913">
            <v>-0.55349725484848022</v>
          </cell>
        </row>
        <row r="2914">
          <cell r="A2914" t="str">
            <v>PAN</v>
          </cell>
          <cell r="B2914" t="str">
            <v>Short</v>
          </cell>
          <cell r="C2914" t="str">
            <v>2018 - 2023</v>
          </cell>
          <cell r="D2914" t="str">
            <v>reg_gdp</v>
          </cell>
          <cell r="E2914" t="str">
            <v>gdp_activity</v>
          </cell>
          <cell r="F2914">
            <v>0.32411009073257452</v>
          </cell>
        </row>
        <row r="2915">
          <cell r="A2915" t="str">
            <v>PAN</v>
          </cell>
          <cell r="B2915" t="str">
            <v>Short</v>
          </cell>
          <cell r="C2915" t="str">
            <v>2018 - 2023</v>
          </cell>
          <cell r="D2915" t="str">
            <v>reg_gdp</v>
          </cell>
          <cell r="E2915" t="str">
            <v>gdp_for_agri</v>
          </cell>
          <cell r="F2915">
            <v>-1.1298828125</v>
          </cell>
        </row>
        <row r="2916">
          <cell r="A2916" t="str">
            <v>PAN</v>
          </cell>
          <cell r="B2916" t="str">
            <v>Short</v>
          </cell>
          <cell r="C2916" t="str">
            <v>2018 - 2023</v>
          </cell>
          <cell r="D2916" t="str">
            <v>reg_gdp</v>
          </cell>
          <cell r="E2916" t="str">
            <v>gdp_for_ind</v>
          </cell>
          <cell r="F2916">
            <v>3.2326042652130131</v>
          </cell>
        </row>
        <row r="2917">
          <cell r="A2917" t="str">
            <v>PAN</v>
          </cell>
          <cell r="B2917" t="str">
            <v>Short</v>
          </cell>
          <cell r="C2917" t="str">
            <v>2018 - 2023</v>
          </cell>
          <cell r="D2917" t="str">
            <v>reg_gdp</v>
          </cell>
          <cell r="E2917" t="str">
            <v>gdp_for_serv</v>
          </cell>
          <cell r="F2917">
            <v>-2.5760900974273682</v>
          </cell>
        </row>
        <row r="2918">
          <cell r="A2918" t="str">
            <v>PAN</v>
          </cell>
          <cell r="B2918" t="str">
            <v>Short</v>
          </cell>
          <cell r="C2918" t="str">
            <v>2018 - 2023</v>
          </cell>
          <cell r="D2918" t="str">
            <v>reg_gdp</v>
          </cell>
          <cell r="E2918" t="str">
            <v>gdp_inf_agri</v>
          </cell>
          <cell r="F2918">
            <v>0.42185279726982122</v>
          </cell>
        </row>
        <row r="2919">
          <cell r="A2919" t="str">
            <v>PAN</v>
          </cell>
          <cell r="B2919" t="str">
            <v>Short</v>
          </cell>
          <cell r="C2919" t="str">
            <v>2018 - 2023</v>
          </cell>
          <cell r="D2919" t="str">
            <v>reg_gdp</v>
          </cell>
          <cell r="E2919" t="str">
            <v>gdp_inf_ind</v>
          </cell>
          <cell r="F2919">
            <v>-0.28568196296691889</v>
          </cell>
        </row>
        <row r="2920">
          <cell r="A2920" t="str">
            <v>PAN</v>
          </cell>
          <cell r="B2920" t="str">
            <v>Short</v>
          </cell>
          <cell r="C2920" t="str">
            <v>2018 - 2023</v>
          </cell>
          <cell r="D2920" t="str">
            <v>reg_gdp</v>
          </cell>
          <cell r="E2920" t="str">
            <v>gdp_inf_serv</v>
          </cell>
          <cell r="F2920">
            <v>-6.1995763331651688E-2</v>
          </cell>
        </row>
        <row r="2921">
          <cell r="A2921" t="str">
            <v>PAN</v>
          </cell>
          <cell r="B2921" t="str">
            <v>Short</v>
          </cell>
          <cell r="C2921" t="str">
            <v>2018 - 2023</v>
          </cell>
          <cell r="D2921" t="str">
            <v>reg_gdp</v>
          </cell>
          <cell r="E2921" t="str">
            <v>prod_for_agri</v>
          </cell>
          <cell r="F2921">
            <v>0.54123860597610474</v>
          </cell>
        </row>
        <row r="2922">
          <cell r="A2922" t="str">
            <v>PAN</v>
          </cell>
          <cell r="B2922" t="str">
            <v>Short</v>
          </cell>
          <cell r="C2922" t="str">
            <v>2018 - 2023</v>
          </cell>
          <cell r="D2922" t="str">
            <v>reg_gdp</v>
          </cell>
          <cell r="E2922" t="str">
            <v>prod_for_ind</v>
          </cell>
          <cell r="F2922">
            <v>2.300660133361816</v>
          </cell>
        </row>
        <row r="2923">
          <cell r="A2923" t="str">
            <v>PAN</v>
          </cell>
          <cell r="B2923" t="str">
            <v>Short</v>
          </cell>
          <cell r="C2923" t="str">
            <v>2018 - 2023</v>
          </cell>
          <cell r="D2923" t="str">
            <v>reg_gdp</v>
          </cell>
          <cell r="E2923" t="str">
            <v>prod_for_serv</v>
          </cell>
          <cell r="F2923">
            <v>0.14083884656429291</v>
          </cell>
        </row>
        <row r="2924">
          <cell r="A2924" t="str">
            <v>PAN</v>
          </cell>
          <cell r="B2924" t="str">
            <v>Short</v>
          </cell>
          <cell r="C2924" t="str">
            <v>2018 - 2023</v>
          </cell>
          <cell r="D2924" t="str">
            <v>reg_gdp</v>
          </cell>
          <cell r="E2924" t="str">
            <v>prod_inf_agri</v>
          </cell>
          <cell r="F2924">
            <v>-0.51109308004379272</v>
          </cell>
        </row>
        <row r="2925">
          <cell r="A2925" t="str">
            <v>PAN</v>
          </cell>
          <cell r="B2925" t="str">
            <v>Short</v>
          </cell>
          <cell r="C2925" t="str">
            <v>2018 - 2023</v>
          </cell>
          <cell r="D2925" t="str">
            <v>reg_gdp</v>
          </cell>
          <cell r="E2925" t="str">
            <v>prod_inf_ind</v>
          </cell>
          <cell r="F2925">
            <v>-6.0879673957824707</v>
          </cell>
        </row>
        <row r="2926">
          <cell r="A2926" t="str">
            <v>PAN</v>
          </cell>
          <cell r="B2926" t="str">
            <v>Short</v>
          </cell>
          <cell r="C2926" t="str">
            <v>2018 - 2023</v>
          </cell>
          <cell r="D2926" t="str">
            <v>reg_gdp</v>
          </cell>
          <cell r="E2926" t="str">
            <v>prod_inf_serv</v>
          </cell>
          <cell r="F2926">
            <v>-0.50465184450149536</v>
          </cell>
        </row>
        <row r="2927">
          <cell r="A2927" t="str">
            <v>PAN</v>
          </cell>
          <cell r="B2927" t="str">
            <v>Short</v>
          </cell>
          <cell r="C2927" t="str">
            <v>2018 - 2023</v>
          </cell>
          <cell r="D2927" t="str">
            <v>reg_iter</v>
          </cell>
          <cell r="E2927" t="str">
            <v>gdp_activity</v>
          </cell>
          <cell r="F2927">
            <v>0.40331158041954041</v>
          </cell>
        </row>
        <row r="2928">
          <cell r="A2928" t="str">
            <v>PAN</v>
          </cell>
          <cell r="B2928" t="str">
            <v>Short</v>
          </cell>
          <cell r="C2928" t="str">
            <v>2018 - 2023</v>
          </cell>
          <cell r="D2928" t="str">
            <v>reg_iter</v>
          </cell>
          <cell r="E2928" t="str">
            <v>gdp_for_agri</v>
          </cell>
          <cell r="F2928">
            <v>-0.42830061912536621</v>
          </cell>
        </row>
        <row r="2929">
          <cell r="A2929" t="str">
            <v>PAN</v>
          </cell>
          <cell r="B2929" t="str">
            <v>Short</v>
          </cell>
          <cell r="C2929" t="str">
            <v>2018 - 2023</v>
          </cell>
          <cell r="D2929" t="str">
            <v>reg_iter</v>
          </cell>
          <cell r="E2929" t="str">
            <v>gdp_for_ind</v>
          </cell>
          <cell r="F2929">
            <v>0.90628588199615479</v>
          </cell>
        </row>
        <row r="2930">
          <cell r="A2930" t="str">
            <v>PAN</v>
          </cell>
          <cell r="B2930" t="str">
            <v>Short</v>
          </cell>
          <cell r="C2930" t="str">
            <v>2018 - 2023</v>
          </cell>
          <cell r="D2930" t="str">
            <v>reg_iter</v>
          </cell>
          <cell r="E2930" t="str">
            <v>gdp_for_serv</v>
          </cell>
          <cell r="F2930">
            <v>0.755077064037323</v>
          </cell>
        </row>
        <row r="2931">
          <cell r="A2931" t="str">
            <v>PAN</v>
          </cell>
          <cell r="B2931" t="str">
            <v>Short</v>
          </cell>
          <cell r="C2931" t="str">
            <v>2018 - 2023</v>
          </cell>
          <cell r="D2931" t="str">
            <v>reg_iter</v>
          </cell>
          <cell r="E2931" t="str">
            <v>gdp_inf_agri</v>
          </cell>
          <cell r="F2931">
            <v>0.50989115238189697</v>
          </cell>
        </row>
        <row r="2932">
          <cell r="A2932" t="str">
            <v>PAN</v>
          </cell>
          <cell r="B2932" t="str">
            <v>Short</v>
          </cell>
          <cell r="C2932" t="str">
            <v>2018 - 2023</v>
          </cell>
          <cell r="D2932" t="str">
            <v>reg_iter</v>
          </cell>
          <cell r="E2932" t="str">
            <v>gdp_inf_ind</v>
          </cell>
          <cell r="F2932">
            <v>0.40133190155029302</v>
          </cell>
        </row>
        <row r="2933">
          <cell r="A2933" t="str">
            <v>PAN</v>
          </cell>
          <cell r="B2933" t="str">
            <v>Short</v>
          </cell>
          <cell r="C2933" t="str">
            <v>2018 - 2023</v>
          </cell>
          <cell r="D2933" t="str">
            <v>reg_iter</v>
          </cell>
          <cell r="E2933" t="str">
            <v>gdp_inf_serv</v>
          </cell>
          <cell r="F2933">
            <v>0.73837411403656006</v>
          </cell>
        </row>
        <row r="2934">
          <cell r="A2934" t="str">
            <v>PAN</v>
          </cell>
          <cell r="B2934" t="str">
            <v>Short</v>
          </cell>
          <cell r="C2934" t="str">
            <v>2018 - 2023</v>
          </cell>
          <cell r="D2934" t="str">
            <v>reg_iter</v>
          </cell>
          <cell r="E2934" t="str">
            <v>prod_for_agri</v>
          </cell>
          <cell r="F2934">
            <v>-1.8282210826873779</v>
          </cell>
        </row>
        <row r="2935">
          <cell r="A2935" t="str">
            <v>PAN</v>
          </cell>
          <cell r="B2935" t="str">
            <v>Short</v>
          </cell>
          <cell r="C2935" t="str">
            <v>2018 - 2023</v>
          </cell>
          <cell r="D2935" t="str">
            <v>reg_iter</v>
          </cell>
          <cell r="E2935" t="str">
            <v>prod_for_ind</v>
          </cell>
          <cell r="F2935">
            <v>-0.64381057024002075</v>
          </cell>
        </row>
        <row r="2936">
          <cell r="A2936" t="str">
            <v>PAN</v>
          </cell>
          <cell r="B2936" t="str">
            <v>Short</v>
          </cell>
          <cell r="C2936" t="str">
            <v>2018 - 2023</v>
          </cell>
          <cell r="D2936" t="str">
            <v>reg_iter</v>
          </cell>
          <cell r="E2936" t="str">
            <v>prod_for_serv</v>
          </cell>
          <cell r="F2936">
            <v>-0.90222680568695068</v>
          </cell>
        </row>
        <row r="2937">
          <cell r="A2937" t="str">
            <v>PAN</v>
          </cell>
          <cell r="B2937" t="str">
            <v>Short</v>
          </cell>
          <cell r="C2937" t="str">
            <v>2018 - 2023</v>
          </cell>
          <cell r="D2937" t="str">
            <v>reg_iter</v>
          </cell>
          <cell r="E2937" t="str">
            <v>prod_inf_agri</v>
          </cell>
          <cell r="F2937">
            <v>-1.7712646722793579</v>
          </cell>
        </row>
        <row r="2938">
          <cell r="A2938" t="str">
            <v>PAN</v>
          </cell>
          <cell r="B2938" t="str">
            <v>Short</v>
          </cell>
          <cell r="C2938" t="str">
            <v>2018 - 2023</v>
          </cell>
          <cell r="D2938" t="str">
            <v>reg_iter</v>
          </cell>
          <cell r="E2938" t="str">
            <v>prod_inf_ind</v>
          </cell>
          <cell r="F2938">
            <v>-0.25289905071258539</v>
          </cell>
        </row>
        <row r="2939">
          <cell r="A2939" t="str">
            <v>PAN</v>
          </cell>
          <cell r="B2939" t="str">
            <v>Short</v>
          </cell>
          <cell r="C2939" t="str">
            <v>2018 - 2023</v>
          </cell>
          <cell r="D2939" t="str">
            <v>reg_iter</v>
          </cell>
          <cell r="E2939" t="str">
            <v>prod_inf_serv</v>
          </cell>
          <cell r="F2939">
            <v>-0.92178982496261597</v>
          </cell>
        </row>
        <row r="2940">
          <cell r="A2940" t="str">
            <v>PER</v>
          </cell>
          <cell r="B2940" t="str">
            <v>Long</v>
          </cell>
          <cell r="C2940" t="str">
            <v>2006 - 2022</v>
          </cell>
          <cell r="D2940" t="str">
            <v>avg</v>
          </cell>
          <cell r="E2940" t="str">
            <v>gdp_activity</v>
          </cell>
          <cell r="F2940">
            <v>0.48139223456382751</v>
          </cell>
        </row>
        <row r="2941">
          <cell r="A2941" t="str">
            <v>PER</v>
          </cell>
          <cell r="B2941" t="str">
            <v>Long</v>
          </cell>
          <cell r="C2941" t="str">
            <v>2006 - 2022</v>
          </cell>
          <cell r="D2941" t="str">
            <v>avg</v>
          </cell>
          <cell r="E2941" t="str">
            <v>gdp_for_agri</v>
          </cell>
          <cell r="F2941">
            <v>8.0541820526123047</v>
          </cell>
        </row>
        <row r="2942">
          <cell r="A2942" t="str">
            <v>PER</v>
          </cell>
          <cell r="B2942" t="str">
            <v>Long</v>
          </cell>
          <cell r="C2942" t="str">
            <v>2006 - 2022</v>
          </cell>
          <cell r="D2942" t="str">
            <v>avg</v>
          </cell>
          <cell r="E2942" t="str">
            <v>gdp_for_ind</v>
          </cell>
          <cell r="F2942">
            <v>4.7598943710327148</v>
          </cell>
        </row>
        <row r="2943">
          <cell r="A2943" t="str">
            <v>PER</v>
          </cell>
          <cell r="B2943" t="str">
            <v>Long</v>
          </cell>
          <cell r="C2943" t="str">
            <v>2006 - 2022</v>
          </cell>
          <cell r="D2943" t="str">
            <v>avg</v>
          </cell>
          <cell r="E2943" t="str">
            <v>gdp_for_serv</v>
          </cell>
          <cell r="F2943">
            <v>1.5405851602554319</v>
          </cell>
        </row>
        <row r="2944">
          <cell r="A2944" t="str">
            <v>PER</v>
          </cell>
          <cell r="B2944" t="str">
            <v>Long</v>
          </cell>
          <cell r="C2944" t="str">
            <v>2006 - 2022</v>
          </cell>
          <cell r="D2944" t="str">
            <v>avg</v>
          </cell>
          <cell r="E2944" t="str">
            <v>gdp_inf_agri</v>
          </cell>
          <cell r="F2944">
            <v>-2.3967864513397221</v>
          </cell>
        </row>
        <row r="2945">
          <cell r="A2945" t="str">
            <v>PER</v>
          </cell>
          <cell r="B2945" t="str">
            <v>Long</v>
          </cell>
          <cell r="C2945" t="str">
            <v>2006 - 2022</v>
          </cell>
          <cell r="D2945" t="str">
            <v>avg</v>
          </cell>
          <cell r="E2945" t="str">
            <v>gdp_inf_ind</v>
          </cell>
          <cell r="F2945">
            <v>-1.0525532960891719</v>
          </cell>
        </row>
        <row r="2946">
          <cell r="A2946" t="str">
            <v>PER</v>
          </cell>
          <cell r="B2946" t="str">
            <v>Long</v>
          </cell>
          <cell r="C2946" t="str">
            <v>2006 - 2022</v>
          </cell>
          <cell r="D2946" t="str">
            <v>avg</v>
          </cell>
          <cell r="E2946" t="str">
            <v>gdp_inf_serv</v>
          </cell>
          <cell r="F2946">
            <v>1.241583943367004</v>
          </cell>
        </row>
        <row r="2947">
          <cell r="A2947" t="str">
            <v>PER</v>
          </cell>
          <cell r="B2947" t="str">
            <v>Long</v>
          </cell>
          <cell r="C2947" t="str">
            <v>2006 - 2022</v>
          </cell>
          <cell r="D2947" t="str">
            <v>avg</v>
          </cell>
          <cell r="E2947" t="str">
            <v>prod_for_agri</v>
          </cell>
          <cell r="F2947">
            <v>212.5608215332031</v>
          </cell>
        </row>
        <row r="2948">
          <cell r="A2948" t="str">
            <v>PER</v>
          </cell>
          <cell r="B2948" t="str">
            <v>Long</v>
          </cell>
          <cell r="C2948" t="str">
            <v>2006 - 2022</v>
          </cell>
          <cell r="D2948" t="str">
            <v>avg</v>
          </cell>
          <cell r="E2948" t="str">
            <v>prod_for_ind</v>
          </cell>
          <cell r="F2948">
            <v>0.60396867990493774</v>
          </cell>
        </row>
        <row r="2949">
          <cell r="A2949" t="str">
            <v>PER</v>
          </cell>
          <cell r="B2949" t="str">
            <v>Long</v>
          </cell>
          <cell r="C2949" t="str">
            <v>2006 - 2022</v>
          </cell>
          <cell r="D2949" t="str">
            <v>avg</v>
          </cell>
          <cell r="E2949" t="str">
            <v>prod_for_serv</v>
          </cell>
          <cell r="F2949">
            <v>10.977170944213871</v>
          </cell>
        </row>
        <row r="2950">
          <cell r="A2950" t="str">
            <v>PER</v>
          </cell>
          <cell r="B2950" t="str">
            <v>Long</v>
          </cell>
          <cell r="C2950" t="str">
            <v>2006 - 2022</v>
          </cell>
          <cell r="D2950" t="str">
            <v>avg</v>
          </cell>
          <cell r="E2950" t="str">
            <v>prod_inf_agri</v>
          </cell>
          <cell r="F2950">
            <v>194.56642150878909</v>
          </cell>
        </row>
        <row r="2951">
          <cell r="A2951" t="str">
            <v>PER</v>
          </cell>
          <cell r="B2951" t="str">
            <v>Long</v>
          </cell>
          <cell r="C2951" t="str">
            <v>2006 - 2022</v>
          </cell>
          <cell r="D2951" t="str">
            <v>avg</v>
          </cell>
          <cell r="E2951" t="str">
            <v>prod_inf_ind</v>
          </cell>
          <cell r="F2951">
            <v>-9.8728954792022705E-2</v>
          </cell>
        </row>
        <row r="2952">
          <cell r="A2952" t="str">
            <v>PER</v>
          </cell>
          <cell r="B2952" t="str">
            <v>Long</v>
          </cell>
          <cell r="C2952" t="str">
            <v>2006 - 2022</v>
          </cell>
          <cell r="D2952" t="str">
            <v>avg</v>
          </cell>
          <cell r="E2952" t="str">
            <v>prod_inf_serv</v>
          </cell>
          <cell r="F2952">
            <v>12.10906982421875</v>
          </cell>
        </row>
        <row r="2953">
          <cell r="A2953" t="str">
            <v>PER</v>
          </cell>
          <cell r="B2953" t="str">
            <v>Long</v>
          </cell>
          <cell r="C2953" t="str">
            <v>2006 - 2022</v>
          </cell>
          <cell r="D2953" t="str">
            <v>avg_1_99</v>
          </cell>
          <cell r="E2953" t="str">
            <v>gdp_activity</v>
          </cell>
          <cell r="F2953">
            <v>0.42639970779418951</v>
          </cell>
        </row>
        <row r="2954">
          <cell r="A2954" t="str">
            <v>PER</v>
          </cell>
          <cell r="B2954" t="str">
            <v>Long</v>
          </cell>
          <cell r="C2954" t="str">
            <v>2006 - 2022</v>
          </cell>
          <cell r="D2954" t="str">
            <v>avg_1_99</v>
          </cell>
          <cell r="E2954" t="str">
            <v>gdp_for_agri</v>
          </cell>
          <cell r="F2954">
            <v>1.926361083984375</v>
          </cell>
        </row>
        <row r="2955">
          <cell r="A2955" t="str">
            <v>PER</v>
          </cell>
          <cell r="B2955" t="str">
            <v>Long</v>
          </cell>
          <cell r="C2955" t="str">
            <v>2006 - 2022</v>
          </cell>
          <cell r="D2955" t="str">
            <v>avg_1_99</v>
          </cell>
          <cell r="E2955" t="str">
            <v>gdp_for_ind</v>
          </cell>
          <cell r="F2955">
            <v>0.84990984201431274</v>
          </cell>
        </row>
        <row r="2956">
          <cell r="A2956" t="str">
            <v>PER</v>
          </cell>
          <cell r="B2956" t="str">
            <v>Long</v>
          </cell>
          <cell r="C2956" t="str">
            <v>2006 - 2022</v>
          </cell>
          <cell r="D2956" t="str">
            <v>avg_1_99</v>
          </cell>
          <cell r="E2956" t="str">
            <v>gdp_for_serv</v>
          </cell>
          <cell r="F2956">
            <v>1.389523863792419</v>
          </cell>
        </row>
        <row r="2957">
          <cell r="A2957" t="str">
            <v>PER</v>
          </cell>
          <cell r="B2957" t="str">
            <v>Long</v>
          </cell>
          <cell r="C2957" t="str">
            <v>2006 - 2022</v>
          </cell>
          <cell r="D2957" t="str">
            <v>avg_1_99</v>
          </cell>
          <cell r="E2957" t="str">
            <v>gdp_inf_agri</v>
          </cell>
          <cell r="F2957">
            <v>-0.5789228081703186</v>
          </cell>
        </row>
        <row r="2958">
          <cell r="A2958" t="str">
            <v>PER</v>
          </cell>
          <cell r="B2958" t="str">
            <v>Long</v>
          </cell>
          <cell r="C2958" t="str">
            <v>2006 - 2022</v>
          </cell>
          <cell r="D2958" t="str">
            <v>avg_1_99</v>
          </cell>
          <cell r="E2958" t="str">
            <v>gdp_inf_ind</v>
          </cell>
          <cell r="F2958">
            <v>1.309534907341003</v>
          </cell>
        </row>
        <row r="2959">
          <cell r="A2959" t="str">
            <v>PER</v>
          </cell>
          <cell r="B2959" t="str">
            <v>Long</v>
          </cell>
          <cell r="C2959" t="str">
            <v>2006 - 2022</v>
          </cell>
          <cell r="D2959" t="str">
            <v>avg_1_99</v>
          </cell>
          <cell r="E2959" t="str">
            <v>gdp_inf_serv</v>
          </cell>
          <cell r="F2959">
            <v>0.94767558574676514</v>
          </cell>
        </row>
        <row r="2960">
          <cell r="A2960" t="str">
            <v>PER</v>
          </cell>
          <cell r="B2960" t="str">
            <v>Long</v>
          </cell>
          <cell r="C2960" t="str">
            <v>2006 - 2022</v>
          </cell>
          <cell r="D2960" t="str">
            <v>avg_1_99</v>
          </cell>
          <cell r="E2960" t="str">
            <v>prod_for_agri</v>
          </cell>
          <cell r="F2960">
            <v>-0.22319541871547699</v>
          </cell>
        </row>
        <row r="2961">
          <cell r="A2961" t="str">
            <v>PER</v>
          </cell>
          <cell r="B2961" t="str">
            <v>Long</v>
          </cell>
          <cell r="C2961" t="str">
            <v>2006 - 2022</v>
          </cell>
          <cell r="D2961" t="str">
            <v>avg_1_99</v>
          </cell>
          <cell r="E2961" t="str">
            <v>prod_for_ind</v>
          </cell>
          <cell r="F2961">
            <v>0.43139207363128662</v>
          </cell>
        </row>
        <row r="2962">
          <cell r="A2962" t="str">
            <v>PER</v>
          </cell>
          <cell r="B2962" t="str">
            <v>Long</v>
          </cell>
          <cell r="C2962" t="str">
            <v>2006 - 2022</v>
          </cell>
          <cell r="D2962" t="str">
            <v>avg_1_99</v>
          </cell>
          <cell r="E2962" t="str">
            <v>prod_for_serv</v>
          </cell>
          <cell r="F2962">
            <v>0.49001991748809809</v>
          </cell>
        </row>
        <row r="2963">
          <cell r="A2963" t="str">
            <v>PER</v>
          </cell>
          <cell r="B2963" t="str">
            <v>Long</v>
          </cell>
          <cell r="C2963" t="str">
            <v>2006 - 2022</v>
          </cell>
          <cell r="D2963" t="str">
            <v>avg_1_99</v>
          </cell>
          <cell r="E2963" t="str">
            <v>prod_inf_agri</v>
          </cell>
          <cell r="F2963">
            <v>0.64638733863830566</v>
          </cell>
        </row>
        <row r="2964">
          <cell r="A2964" t="str">
            <v>PER</v>
          </cell>
          <cell r="B2964" t="str">
            <v>Long</v>
          </cell>
          <cell r="C2964" t="str">
            <v>2006 - 2022</v>
          </cell>
          <cell r="D2964" t="str">
            <v>avg_1_99</v>
          </cell>
          <cell r="E2964" t="str">
            <v>prod_inf_ind</v>
          </cell>
          <cell r="F2964">
            <v>-9.8214615136384964E-3</v>
          </cell>
        </row>
        <row r="2965">
          <cell r="A2965" t="str">
            <v>PER</v>
          </cell>
          <cell r="B2965" t="str">
            <v>Long</v>
          </cell>
          <cell r="C2965" t="str">
            <v>2006 - 2022</v>
          </cell>
          <cell r="D2965" t="str">
            <v>avg_1_99</v>
          </cell>
          <cell r="E2965" t="str">
            <v>prod_inf_serv</v>
          </cell>
          <cell r="F2965">
            <v>1.201644659042358</v>
          </cell>
        </row>
        <row r="2966">
          <cell r="A2966" t="str">
            <v>PER</v>
          </cell>
          <cell r="B2966" t="str">
            <v>Long</v>
          </cell>
          <cell r="C2966" t="str">
            <v>2006 - 2022</v>
          </cell>
          <cell r="D2966" t="str">
            <v>avg_1_99_imp</v>
          </cell>
          <cell r="E2966" t="str">
            <v>gdp_activity</v>
          </cell>
          <cell r="F2966">
            <v>0.4158208966255188</v>
          </cell>
        </row>
        <row r="2967">
          <cell r="A2967" t="str">
            <v>PER</v>
          </cell>
          <cell r="B2967" t="str">
            <v>Long</v>
          </cell>
          <cell r="C2967" t="str">
            <v>2006 - 2022</v>
          </cell>
          <cell r="D2967" t="str">
            <v>avg_1_99_imp</v>
          </cell>
          <cell r="E2967" t="str">
            <v>gdp_for_agri</v>
          </cell>
          <cell r="F2967">
            <v>1.801338315010071</v>
          </cell>
        </row>
        <row r="2968">
          <cell r="A2968" t="str">
            <v>PER</v>
          </cell>
          <cell r="B2968" t="str">
            <v>Long</v>
          </cell>
          <cell r="C2968" t="str">
            <v>2006 - 2022</v>
          </cell>
          <cell r="D2968" t="str">
            <v>avg_1_99_imp</v>
          </cell>
          <cell r="E2968" t="str">
            <v>gdp_for_ind</v>
          </cell>
          <cell r="F2968">
            <v>0.79519295692443848</v>
          </cell>
        </row>
        <row r="2969">
          <cell r="A2969" t="str">
            <v>PER</v>
          </cell>
          <cell r="B2969" t="str">
            <v>Long</v>
          </cell>
          <cell r="C2969" t="str">
            <v>2006 - 2022</v>
          </cell>
          <cell r="D2969" t="str">
            <v>avg_1_99_imp</v>
          </cell>
          <cell r="E2969" t="str">
            <v>gdp_for_serv</v>
          </cell>
          <cell r="F2969">
            <v>1.315487742424011</v>
          </cell>
        </row>
        <row r="2970">
          <cell r="A2970" t="str">
            <v>PER</v>
          </cell>
          <cell r="B2970" t="str">
            <v>Long</v>
          </cell>
          <cell r="C2970" t="str">
            <v>2006 - 2022</v>
          </cell>
          <cell r="D2970" t="str">
            <v>avg_1_99_imp</v>
          </cell>
          <cell r="E2970" t="str">
            <v>gdp_inf_agri</v>
          </cell>
          <cell r="F2970">
            <v>-0.53798019886016846</v>
          </cell>
        </row>
        <row r="2971">
          <cell r="A2971" t="str">
            <v>PER</v>
          </cell>
          <cell r="B2971" t="str">
            <v>Long</v>
          </cell>
          <cell r="C2971" t="str">
            <v>2006 - 2022</v>
          </cell>
          <cell r="D2971" t="str">
            <v>avg_1_99_imp</v>
          </cell>
          <cell r="E2971" t="str">
            <v>gdp_inf_ind</v>
          </cell>
          <cell r="F2971">
            <v>1.180679559707642</v>
          </cell>
        </row>
        <row r="2972">
          <cell r="A2972" t="str">
            <v>PER</v>
          </cell>
          <cell r="B2972" t="str">
            <v>Long</v>
          </cell>
          <cell r="C2972" t="str">
            <v>2006 - 2022</v>
          </cell>
          <cell r="D2972" t="str">
            <v>avg_1_99_imp</v>
          </cell>
          <cell r="E2972" t="str">
            <v>gdp_inf_serv</v>
          </cell>
          <cell r="F2972">
            <v>0.88683110475540161</v>
          </cell>
        </row>
        <row r="2973">
          <cell r="A2973" t="str">
            <v>PER</v>
          </cell>
          <cell r="B2973" t="str">
            <v>Long</v>
          </cell>
          <cell r="C2973" t="str">
            <v>2006 - 2022</v>
          </cell>
          <cell r="D2973" t="str">
            <v>avg_1_99_imp</v>
          </cell>
          <cell r="E2973" t="str">
            <v>prod_for_agri</v>
          </cell>
          <cell r="F2973">
            <v>-4.2650911957025528E-2</v>
          </cell>
        </row>
        <row r="2974">
          <cell r="A2974" t="str">
            <v>PER</v>
          </cell>
          <cell r="B2974" t="str">
            <v>Long</v>
          </cell>
          <cell r="C2974" t="str">
            <v>2006 - 2022</v>
          </cell>
          <cell r="D2974" t="str">
            <v>avg_1_99_imp</v>
          </cell>
          <cell r="E2974" t="str">
            <v>prod_for_ind</v>
          </cell>
          <cell r="F2974">
            <v>-6.6043466329574585E-2</v>
          </cell>
        </row>
        <row r="2975">
          <cell r="A2975" t="str">
            <v>PER</v>
          </cell>
          <cell r="B2975" t="str">
            <v>Long</v>
          </cell>
          <cell r="C2975" t="str">
            <v>2006 - 2022</v>
          </cell>
          <cell r="D2975" t="str">
            <v>avg_1_99_imp</v>
          </cell>
          <cell r="E2975" t="str">
            <v>prod_for_serv</v>
          </cell>
          <cell r="F2975">
            <v>4.6074997633695602E-2</v>
          </cell>
        </row>
        <row r="2976">
          <cell r="A2976" t="str">
            <v>PER</v>
          </cell>
          <cell r="B2976" t="str">
            <v>Long</v>
          </cell>
          <cell r="C2976" t="str">
            <v>2006 - 2022</v>
          </cell>
          <cell r="D2976" t="str">
            <v>avg_1_99_imp</v>
          </cell>
          <cell r="E2976" t="str">
            <v>prod_inf_agri</v>
          </cell>
          <cell r="F2976">
            <v>0.62000781297683716</v>
          </cell>
        </row>
        <row r="2977">
          <cell r="A2977" t="str">
            <v>PER</v>
          </cell>
          <cell r="B2977" t="str">
            <v>Long</v>
          </cell>
          <cell r="C2977" t="str">
            <v>2006 - 2022</v>
          </cell>
          <cell r="D2977" t="str">
            <v>avg_1_99_imp</v>
          </cell>
          <cell r="E2977" t="str">
            <v>prod_inf_ind</v>
          </cell>
          <cell r="F2977">
            <v>-1.128353271633387E-2</v>
          </cell>
        </row>
        <row r="2978">
          <cell r="A2978" t="str">
            <v>PER</v>
          </cell>
          <cell r="B2978" t="str">
            <v>Long</v>
          </cell>
          <cell r="C2978" t="str">
            <v>2006 - 2022</v>
          </cell>
          <cell r="D2978" t="str">
            <v>avg_1_99_imp</v>
          </cell>
          <cell r="E2978" t="str">
            <v>prod_inf_serv</v>
          </cell>
          <cell r="F2978">
            <v>1.0992591381073</v>
          </cell>
        </row>
        <row r="2979">
          <cell r="A2979" t="str">
            <v>PER</v>
          </cell>
          <cell r="B2979" t="str">
            <v>Long</v>
          </cell>
          <cell r="C2979" t="str">
            <v>2006 - 2022</v>
          </cell>
          <cell r="D2979" t="str">
            <v>med_reg</v>
          </cell>
          <cell r="E2979" t="str">
            <v>gdp_activity</v>
          </cell>
          <cell r="F2979">
            <v>0.26403304934501648</v>
          </cell>
        </row>
        <row r="2980">
          <cell r="A2980" t="str">
            <v>PER</v>
          </cell>
          <cell r="B2980" t="str">
            <v>Long</v>
          </cell>
          <cell r="C2980" t="str">
            <v>2006 - 2022</v>
          </cell>
          <cell r="D2980" t="str">
            <v>med_reg</v>
          </cell>
          <cell r="E2980" t="str">
            <v>gdp_for_agri</v>
          </cell>
          <cell r="F2980">
            <v>1.8670400381088259</v>
          </cell>
        </row>
        <row r="2981">
          <cell r="A2981" t="str">
            <v>PER</v>
          </cell>
          <cell r="B2981" t="str">
            <v>Long</v>
          </cell>
          <cell r="C2981" t="str">
            <v>2006 - 2022</v>
          </cell>
          <cell r="D2981" t="str">
            <v>med_reg</v>
          </cell>
          <cell r="E2981" t="str">
            <v>gdp_for_ind</v>
          </cell>
          <cell r="F2981">
            <v>0.6052250862121582</v>
          </cell>
        </row>
        <row r="2982">
          <cell r="A2982" t="str">
            <v>PER</v>
          </cell>
          <cell r="B2982" t="str">
            <v>Long</v>
          </cell>
          <cell r="C2982" t="str">
            <v>2006 - 2022</v>
          </cell>
          <cell r="D2982" t="str">
            <v>med_reg</v>
          </cell>
          <cell r="E2982" t="str">
            <v>gdp_for_serv</v>
          </cell>
          <cell r="F2982">
            <v>0.63586932420730591</v>
          </cell>
        </row>
        <row r="2983">
          <cell r="A2983" t="str">
            <v>PER</v>
          </cell>
          <cell r="B2983" t="str">
            <v>Long</v>
          </cell>
          <cell r="C2983" t="str">
            <v>2006 - 2022</v>
          </cell>
          <cell r="D2983" t="str">
            <v>med_reg</v>
          </cell>
          <cell r="E2983" t="str">
            <v>gdp_inf_agri</v>
          </cell>
          <cell r="F2983">
            <v>0.1507314145565033</v>
          </cell>
        </row>
        <row r="2984">
          <cell r="A2984" t="str">
            <v>PER</v>
          </cell>
          <cell r="B2984" t="str">
            <v>Long</v>
          </cell>
          <cell r="C2984" t="str">
            <v>2006 - 2022</v>
          </cell>
          <cell r="D2984" t="str">
            <v>med_reg</v>
          </cell>
          <cell r="E2984" t="str">
            <v>gdp_inf_ind</v>
          </cell>
          <cell r="F2984">
            <v>6.8707041442394257E-2</v>
          </cell>
        </row>
        <row r="2985">
          <cell r="A2985" t="str">
            <v>PER</v>
          </cell>
          <cell r="B2985" t="str">
            <v>Long</v>
          </cell>
          <cell r="C2985" t="str">
            <v>2006 - 2022</v>
          </cell>
          <cell r="D2985" t="str">
            <v>med_reg</v>
          </cell>
          <cell r="E2985" t="str">
            <v>gdp_inf_serv</v>
          </cell>
          <cell r="F2985">
            <v>7.792278379201889E-2</v>
          </cell>
        </row>
        <row r="2986">
          <cell r="A2986" t="str">
            <v>PER</v>
          </cell>
          <cell r="B2986" t="str">
            <v>Long</v>
          </cell>
          <cell r="C2986" t="str">
            <v>2006 - 2022</v>
          </cell>
          <cell r="D2986" t="str">
            <v>med_reg</v>
          </cell>
          <cell r="E2986" t="str">
            <v>prod_for_agri</v>
          </cell>
          <cell r="F2986">
            <v>0.32106444239616388</v>
          </cell>
        </row>
        <row r="2987">
          <cell r="A2987" t="str">
            <v>PER</v>
          </cell>
          <cell r="B2987" t="str">
            <v>Long</v>
          </cell>
          <cell r="C2987" t="str">
            <v>2006 - 2022</v>
          </cell>
          <cell r="D2987" t="str">
            <v>med_reg</v>
          </cell>
          <cell r="E2987" t="str">
            <v>prod_for_ind</v>
          </cell>
          <cell r="F2987">
            <v>-8.8418491184711456E-2</v>
          </cell>
        </row>
        <row r="2988">
          <cell r="A2988" t="str">
            <v>PER</v>
          </cell>
          <cell r="B2988" t="str">
            <v>Long</v>
          </cell>
          <cell r="C2988" t="str">
            <v>2006 - 2022</v>
          </cell>
          <cell r="D2988" t="str">
            <v>med_reg</v>
          </cell>
          <cell r="E2988" t="str">
            <v>prod_for_serv</v>
          </cell>
          <cell r="F2988">
            <v>3.0191841069608931E-3</v>
          </cell>
        </row>
        <row r="2989">
          <cell r="A2989" t="str">
            <v>PER</v>
          </cell>
          <cell r="B2989" t="str">
            <v>Long</v>
          </cell>
          <cell r="C2989" t="str">
            <v>2006 - 2022</v>
          </cell>
          <cell r="D2989" t="str">
            <v>med_reg</v>
          </cell>
          <cell r="E2989" t="str">
            <v>prod_inf_agri</v>
          </cell>
          <cell r="F2989">
            <v>0.58408421277999878</v>
          </cell>
        </row>
        <row r="2990">
          <cell r="A2990" t="str">
            <v>PER</v>
          </cell>
          <cell r="B2990" t="str">
            <v>Long</v>
          </cell>
          <cell r="C2990" t="str">
            <v>2006 - 2022</v>
          </cell>
          <cell r="D2990" t="str">
            <v>med_reg</v>
          </cell>
          <cell r="E2990" t="str">
            <v>prod_inf_ind</v>
          </cell>
          <cell r="F2990">
            <v>0.33643651008605963</v>
          </cell>
        </row>
        <row r="2991">
          <cell r="A2991" t="str">
            <v>PER</v>
          </cell>
          <cell r="B2991" t="str">
            <v>Long</v>
          </cell>
          <cell r="C2991" t="str">
            <v>2006 - 2022</v>
          </cell>
          <cell r="D2991" t="str">
            <v>med_reg</v>
          </cell>
          <cell r="E2991" t="str">
            <v>prod_inf_serv</v>
          </cell>
          <cell r="F2991">
            <v>0.4300801157951355</v>
          </cell>
        </row>
        <row r="2992">
          <cell r="A2992" t="str">
            <v>PER</v>
          </cell>
          <cell r="B2992" t="str">
            <v>Long</v>
          </cell>
          <cell r="C2992" t="str">
            <v>2006 - 2022</v>
          </cell>
          <cell r="D2992" t="str">
            <v>reg</v>
          </cell>
          <cell r="E2992" t="str">
            <v>gdp_activity</v>
          </cell>
          <cell r="F2992">
            <v>0.27120533585548401</v>
          </cell>
        </row>
        <row r="2993">
          <cell r="A2993" t="str">
            <v>PER</v>
          </cell>
          <cell r="B2993" t="str">
            <v>Long</v>
          </cell>
          <cell r="C2993" t="str">
            <v>2006 - 2022</v>
          </cell>
          <cell r="D2993" t="str">
            <v>reg</v>
          </cell>
          <cell r="E2993" t="str">
            <v>gdp_for_agri</v>
          </cell>
          <cell r="F2993">
            <v>1.948577284812927</v>
          </cell>
        </row>
        <row r="2994">
          <cell r="A2994" t="str">
            <v>PER</v>
          </cell>
          <cell r="B2994" t="str">
            <v>Long</v>
          </cell>
          <cell r="C2994" t="str">
            <v>2006 - 2022</v>
          </cell>
          <cell r="D2994" t="str">
            <v>reg</v>
          </cell>
          <cell r="E2994" t="str">
            <v>gdp_for_ind</v>
          </cell>
          <cell r="F2994">
            <v>0.70093154907226563</v>
          </cell>
        </row>
        <row r="2995">
          <cell r="A2995" t="str">
            <v>PER</v>
          </cell>
          <cell r="B2995" t="str">
            <v>Long</v>
          </cell>
          <cell r="C2995" t="str">
            <v>2006 - 2022</v>
          </cell>
          <cell r="D2995" t="str">
            <v>reg</v>
          </cell>
          <cell r="E2995" t="str">
            <v>gdp_for_serv</v>
          </cell>
          <cell r="F2995">
            <v>0.55167800188064575</v>
          </cell>
        </row>
        <row r="2996">
          <cell r="A2996" t="str">
            <v>PER</v>
          </cell>
          <cell r="B2996" t="str">
            <v>Long</v>
          </cell>
          <cell r="C2996" t="str">
            <v>2006 - 2022</v>
          </cell>
          <cell r="D2996" t="str">
            <v>reg</v>
          </cell>
          <cell r="E2996" t="str">
            <v>gdp_inf_agri</v>
          </cell>
          <cell r="F2996">
            <v>-0.1408015042543411</v>
          </cell>
        </row>
        <row r="2997">
          <cell r="A2997" t="str">
            <v>PER</v>
          </cell>
          <cell r="B2997" t="str">
            <v>Long</v>
          </cell>
          <cell r="C2997" t="str">
            <v>2006 - 2022</v>
          </cell>
          <cell r="D2997" t="str">
            <v>reg</v>
          </cell>
          <cell r="E2997" t="str">
            <v>gdp_inf_ind</v>
          </cell>
          <cell r="F2997">
            <v>0.13515236973762509</v>
          </cell>
        </row>
        <row r="2998">
          <cell r="A2998" t="str">
            <v>PER</v>
          </cell>
          <cell r="B2998" t="str">
            <v>Long</v>
          </cell>
          <cell r="C2998" t="str">
            <v>2006 - 2022</v>
          </cell>
          <cell r="D2998" t="str">
            <v>reg</v>
          </cell>
          <cell r="E2998" t="str">
            <v>gdp_inf_serv</v>
          </cell>
          <cell r="F2998">
            <v>7.8908177092671394E-3</v>
          </cell>
        </row>
        <row r="2999">
          <cell r="A2999" t="str">
            <v>PER</v>
          </cell>
          <cell r="B2999" t="str">
            <v>Long</v>
          </cell>
          <cell r="C2999" t="str">
            <v>2006 - 2022</v>
          </cell>
          <cell r="D2999" t="str">
            <v>reg</v>
          </cell>
          <cell r="E2999" t="str">
            <v>prod_for_agri</v>
          </cell>
          <cell r="F2999">
            <v>0.15983082354068759</v>
          </cell>
        </row>
        <row r="3000">
          <cell r="A3000" t="str">
            <v>PER</v>
          </cell>
          <cell r="B3000" t="str">
            <v>Long</v>
          </cell>
          <cell r="C3000" t="str">
            <v>2006 - 2022</v>
          </cell>
          <cell r="D3000" t="str">
            <v>reg</v>
          </cell>
          <cell r="E3000" t="str">
            <v>prod_for_ind</v>
          </cell>
          <cell r="F3000">
            <v>-9.1547496616840363E-2</v>
          </cell>
        </row>
        <row r="3001">
          <cell r="A3001" t="str">
            <v>PER</v>
          </cell>
          <cell r="B3001" t="str">
            <v>Long</v>
          </cell>
          <cell r="C3001" t="str">
            <v>2006 - 2022</v>
          </cell>
          <cell r="D3001" t="str">
            <v>reg</v>
          </cell>
          <cell r="E3001" t="str">
            <v>prod_for_serv</v>
          </cell>
          <cell r="F3001">
            <v>4.0451988577842712E-2</v>
          </cell>
        </row>
        <row r="3002">
          <cell r="A3002" t="str">
            <v>PER</v>
          </cell>
          <cell r="B3002" t="str">
            <v>Long</v>
          </cell>
          <cell r="C3002" t="str">
            <v>2006 - 2022</v>
          </cell>
          <cell r="D3002" t="str">
            <v>reg</v>
          </cell>
          <cell r="E3002" t="str">
            <v>prod_inf_agri</v>
          </cell>
          <cell r="F3002">
            <v>0.31547650694847112</v>
          </cell>
        </row>
        <row r="3003">
          <cell r="A3003" t="str">
            <v>PER</v>
          </cell>
          <cell r="B3003" t="str">
            <v>Long</v>
          </cell>
          <cell r="C3003" t="str">
            <v>2006 - 2022</v>
          </cell>
          <cell r="D3003" t="str">
            <v>reg</v>
          </cell>
          <cell r="E3003" t="str">
            <v>prod_inf_ind</v>
          </cell>
          <cell r="F3003">
            <v>0.22352638840675351</v>
          </cell>
        </row>
        <row r="3004">
          <cell r="A3004" t="str">
            <v>PER</v>
          </cell>
          <cell r="B3004" t="str">
            <v>Long</v>
          </cell>
          <cell r="C3004" t="str">
            <v>2006 - 2022</v>
          </cell>
          <cell r="D3004" t="str">
            <v>reg</v>
          </cell>
          <cell r="E3004" t="str">
            <v>prod_inf_serv</v>
          </cell>
          <cell r="F3004">
            <v>0.14193746447563171</v>
          </cell>
        </row>
        <row r="3005">
          <cell r="A3005" t="str">
            <v>PER</v>
          </cell>
          <cell r="B3005" t="str">
            <v>Long</v>
          </cell>
          <cell r="C3005" t="str">
            <v>2006 - 2022</v>
          </cell>
          <cell r="D3005" t="str">
            <v>reg_gdp</v>
          </cell>
          <cell r="E3005" t="str">
            <v>gdp_activity</v>
          </cell>
          <cell r="F3005">
            <v>0.27120533585548401</v>
          </cell>
        </row>
        <row r="3006">
          <cell r="A3006" t="str">
            <v>PER</v>
          </cell>
          <cell r="B3006" t="str">
            <v>Long</v>
          </cell>
          <cell r="C3006" t="str">
            <v>2006 - 2022</v>
          </cell>
          <cell r="D3006" t="str">
            <v>reg_gdp</v>
          </cell>
          <cell r="E3006" t="str">
            <v>gdp_for_agri</v>
          </cell>
          <cell r="F3006">
            <v>-0.46058839559555048</v>
          </cell>
        </row>
        <row r="3007">
          <cell r="A3007" t="str">
            <v>PER</v>
          </cell>
          <cell r="B3007" t="str">
            <v>Long</v>
          </cell>
          <cell r="C3007" t="str">
            <v>2006 - 2022</v>
          </cell>
          <cell r="D3007" t="str">
            <v>reg_gdp</v>
          </cell>
          <cell r="E3007" t="str">
            <v>gdp_for_ind</v>
          </cell>
          <cell r="F3007">
            <v>7.7941393852233887</v>
          </cell>
        </row>
        <row r="3008">
          <cell r="A3008" t="str">
            <v>PER</v>
          </cell>
          <cell r="B3008" t="str">
            <v>Long</v>
          </cell>
          <cell r="C3008" t="str">
            <v>2006 - 2022</v>
          </cell>
          <cell r="D3008" t="str">
            <v>reg_gdp</v>
          </cell>
          <cell r="E3008" t="str">
            <v>gdp_for_serv</v>
          </cell>
          <cell r="F3008">
            <v>-7.6776528358459473</v>
          </cell>
        </row>
        <row r="3009">
          <cell r="A3009" t="str">
            <v>PER</v>
          </cell>
          <cell r="B3009" t="str">
            <v>Long</v>
          </cell>
          <cell r="C3009" t="str">
            <v>2006 - 2022</v>
          </cell>
          <cell r="D3009" t="str">
            <v>reg_gdp</v>
          </cell>
          <cell r="E3009" t="str">
            <v>gdp_inf_agri</v>
          </cell>
          <cell r="F3009">
            <v>-1.4684373140335081</v>
          </cell>
        </row>
        <row r="3010">
          <cell r="A3010" t="str">
            <v>PER</v>
          </cell>
          <cell r="B3010" t="str">
            <v>Long</v>
          </cell>
          <cell r="C3010" t="str">
            <v>2006 - 2022</v>
          </cell>
          <cell r="D3010" t="str">
            <v>reg_gdp</v>
          </cell>
          <cell r="E3010" t="str">
            <v>gdp_inf_ind</v>
          </cell>
          <cell r="F3010">
            <v>7.3256196975708008</v>
          </cell>
        </row>
        <row r="3011">
          <cell r="A3011" t="str">
            <v>PER</v>
          </cell>
          <cell r="B3011" t="str">
            <v>Long</v>
          </cell>
          <cell r="C3011" t="str">
            <v>2006 - 2022</v>
          </cell>
          <cell r="D3011" t="str">
            <v>reg_gdp</v>
          </cell>
          <cell r="E3011" t="str">
            <v>gdp_inf_serv</v>
          </cell>
          <cell r="F3011">
            <v>-9.8425788879394531</v>
          </cell>
        </row>
        <row r="3012">
          <cell r="A3012" t="str">
            <v>PER</v>
          </cell>
          <cell r="B3012" t="str">
            <v>Long</v>
          </cell>
          <cell r="C3012" t="str">
            <v>2006 - 2022</v>
          </cell>
          <cell r="D3012" t="str">
            <v>reg_gdp</v>
          </cell>
          <cell r="E3012" t="str">
            <v>prod_for_agri</v>
          </cell>
          <cell r="F3012">
            <v>1.4613098464906219E-2</v>
          </cell>
        </row>
        <row r="3013">
          <cell r="A3013" t="str">
            <v>PER</v>
          </cell>
          <cell r="B3013" t="str">
            <v>Long</v>
          </cell>
          <cell r="C3013" t="str">
            <v>2006 - 2022</v>
          </cell>
          <cell r="D3013" t="str">
            <v>reg_gdp</v>
          </cell>
          <cell r="E3013" t="str">
            <v>prod_for_ind</v>
          </cell>
          <cell r="F3013">
            <v>-5.9185851365327842E-2</v>
          </cell>
        </row>
        <row r="3014">
          <cell r="A3014" t="str">
            <v>PER</v>
          </cell>
          <cell r="B3014" t="str">
            <v>Long</v>
          </cell>
          <cell r="C3014" t="str">
            <v>2006 - 2022</v>
          </cell>
          <cell r="D3014" t="str">
            <v>reg_gdp</v>
          </cell>
          <cell r="E3014" t="str">
            <v>prod_for_serv</v>
          </cell>
          <cell r="F3014">
            <v>-3.2355848699808121E-2</v>
          </cell>
        </row>
        <row r="3015">
          <cell r="A3015" t="str">
            <v>PER</v>
          </cell>
          <cell r="B3015" t="str">
            <v>Long</v>
          </cell>
          <cell r="C3015" t="str">
            <v>2006 - 2022</v>
          </cell>
          <cell r="D3015" t="str">
            <v>reg_gdp</v>
          </cell>
          <cell r="E3015" t="str">
            <v>prod_inf_agri</v>
          </cell>
          <cell r="F3015">
            <v>8.7337225675582886E-2</v>
          </cell>
        </row>
        <row r="3016">
          <cell r="A3016" t="str">
            <v>PER</v>
          </cell>
          <cell r="B3016" t="str">
            <v>Long</v>
          </cell>
          <cell r="C3016" t="str">
            <v>2006 - 2022</v>
          </cell>
          <cell r="D3016" t="str">
            <v>reg_gdp</v>
          </cell>
          <cell r="E3016" t="str">
            <v>prod_inf_ind</v>
          </cell>
          <cell r="F3016">
            <v>-0.1049771755933762</v>
          </cell>
        </row>
        <row r="3017">
          <cell r="A3017" t="str">
            <v>PER</v>
          </cell>
          <cell r="B3017" t="str">
            <v>Long</v>
          </cell>
          <cell r="C3017" t="str">
            <v>2006 - 2022</v>
          </cell>
          <cell r="D3017" t="str">
            <v>reg_gdp</v>
          </cell>
          <cell r="E3017" t="str">
            <v>prod_inf_serv</v>
          </cell>
          <cell r="F3017">
            <v>-3.6378458142280579E-2</v>
          </cell>
        </row>
        <row r="3018">
          <cell r="A3018" t="str">
            <v>PER</v>
          </cell>
          <cell r="B3018" t="str">
            <v>Long</v>
          </cell>
          <cell r="C3018" t="str">
            <v>2006 - 2022</v>
          </cell>
          <cell r="D3018" t="str">
            <v>reg_iter</v>
          </cell>
          <cell r="E3018" t="str">
            <v>gdp_activity</v>
          </cell>
          <cell r="F3018">
            <v>0.28263971209526062</v>
          </cell>
        </row>
        <row r="3019">
          <cell r="A3019" t="str">
            <v>PER</v>
          </cell>
          <cell r="B3019" t="str">
            <v>Long</v>
          </cell>
          <cell r="C3019" t="str">
            <v>2006 - 2022</v>
          </cell>
          <cell r="D3019" t="str">
            <v>reg_iter</v>
          </cell>
          <cell r="E3019" t="str">
            <v>gdp_for_agri</v>
          </cell>
          <cell r="F3019">
            <v>1.799616694450378</v>
          </cell>
        </row>
        <row r="3020">
          <cell r="A3020" t="str">
            <v>PER</v>
          </cell>
          <cell r="B3020" t="str">
            <v>Long</v>
          </cell>
          <cell r="C3020" t="str">
            <v>2006 - 2022</v>
          </cell>
          <cell r="D3020" t="str">
            <v>reg_iter</v>
          </cell>
          <cell r="E3020" t="str">
            <v>gdp_for_ind</v>
          </cell>
          <cell r="F3020">
            <v>0.50277811288833618</v>
          </cell>
        </row>
        <row r="3021">
          <cell r="A3021" t="str">
            <v>PER</v>
          </cell>
          <cell r="B3021" t="str">
            <v>Long</v>
          </cell>
          <cell r="C3021" t="str">
            <v>2006 - 2022</v>
          </cell>
          <cell r="D3021" t="str">
            <v>reg_iter</v>
          </cell>
          <cell r="E3021" t="str">
            <v>gdp_for_serv</v>
          </cell>
          <cell r="F3021">
            <v>0.3619685173034668</v>
          </cell>
        </row>
        <row r="3022">
          <cell r="A3022" t="str">
            <v>PER</v>
          </cell>
          <cell r="B3022" t="str">
            <v>Long</v>
          </cell>
          <cell r="C3022" t="str">
            <v>2006 - 2022</v>
          </cell>
          <cell r="D3022" t="str">
            <v>reg_iter</v>
          </cell>
          <cell r="E3022" t="str">
            <v>gdp_inf_agri</v>
          </cell>
          <cell r="F3022">
            <v>-9.5157496631145477E-2</v>
          </cell>
        </row>
        <row r="3023">
          <cell r="A3023" t="str">
            <v>PER</v>
          </cell>
          <cell r="B3023" t="str">
            <v>Long</v>
          </cell>
          <cell r="C3023" t="str">
            <v>2006 - 2022</v>
          </cell>
          <cell r="D3023" t="str">
            <v>reg_iter</v>
          </cell>
          <cell r="E3023" t="str">
            <v>gdp_inf_ind</v>
          </cell>
          <cell r="F3023">
            <v>0.33958145976066589</v>
          </cell>
        </row>
        <row r="3024">
          <cell r="A3024" t="str">
            <v>PER</v>
          </cell>
          <cell r="B3024" t="str">
            <v>Long</v>
          </cell>
          <cell r="C3024" t="str">
            <v>2006 - 2022</v>
          </cell>
          <cell r="D3024" t="str">
            <v>reg_iter</v>
          </cell>
          <cell r="E3024" t="str">
            <v>gdp_inf_serv</v>
          </cell>
          <cell r="F3024">
            <v>8.3286523818969727E-2</v>
          </cell>
        </row>
        <row r="3025">
          <cell r="A3025" t="str">
            <v>PER</v>
          </cell>
          <cell r="B3025" t="str">
            <v>Long</v>
          </cell>
          <cell r="C3025" t="str">
            <v>2006 - 2022</v>
          </cell>
          <cell r="D3025" t="str">
            <v>reg_iter</v>
          </cell>
          <cell r="E3025" t="str">
            <v>prod_for_agri</v>
          </cell>
          <cell r="F3025">
            <v>0.1444032937288284</v>
          </cell>
        </row>
        <row r="3026">
          <cell r="A3026" t="str">
            <v>PER</v>
          </cell>
          <cell r="B3026" t="str">
            <v>Long</v>
          </cell>
          <cell r="C3026" t="str">
            <v>2006 - 2022</v>
          </cell>
          <cell r="D3026" t="str">
            <v>reg_iter</v>
          </cell>
          <cell r="E3026" t="str">
            <v>prod_for_ind</v>
          </cell>
          <cell r="F3026">
            <v>-0.1376979798078537</v>
          </cell>
        </row>
        <row r="3027">
          <cell r="A3027" t="str">
            <v>PER</v>
          </cell>
          <cell r="B3027" t="str">
            <v>Long</v>
          </cell>
          <cell r="C3027" t="str">
            <v>2006 - 2022</v>
          </cell>
          <cell r="D3027" t="str">
            <v>reg_iter</v>
          </cell>
          <cell r="E3027" t="str">
            <v>prod_for_serv</v>
          </cell>
          <cell r="F3027">
            <v>-3.354361979290843E-3</v>
          </cell>
        </row>
        <row r="3028">
          <cell r="A3028" t="str">
            <v>PER</v>
          </cell>
          <cell r="B3028" t="str">
            <v>Long</v>
          </cell>
          <cell r="C3028" t="str">
            <v>2006 - 2022</v>
          </cell>
          <cell r="D3028" t="str">
            <v>reg_iter</v>
          </cell>
          <cell r="E3028" t="str">
            <v>prod_inf_agri</v>
          </cell>
          <cell r="F3028">
            <v>0.26956743001937872</v>
          </cell>
        </row>
        <row r="3029">
          <cell r="A3029" t="str">
            <v>PER</v>
          </cell>
          <cell r="B3029" t="str">
            <v>Long</v>
          </cell>
          <cell r="C3029" t="str">
            <v>2006 - 2022</v>
          </cell>
          <cell r="D3029" t="str">
            <v>reg_iter</v>
          </cell>
          <cell r="E3029" t="str">
            <v>prod_inf_ind</v>
          </cell>
          <cell r="F3029">
            <v>6.7528016865253448E-2</v>
          </cell>
        </row>
        <row r="3030">
          <cell r="A3030" t="str">
            <v>PER</v>
          </cell>
          <cell r="B3030" t="str">
            <v>Long</v>
          </cell>
          <cell r="C3030" t="str">
            <v>2006 - 2022</v>
          </cell>
          <cell r="D3030" t="str">
            <v>reg_iter</v>
          </cell>
          <cell r="E3030" t="str">
            <v>prod_inf_serv</v>
          </cell>
          <cell r="F3030">
            <v>4.6555966138839722E-2</v>
          </cell>
        </row>
        <row r="3031">
          <cell r="A3031" t="str">
            <v>PER</v>
          </cell>
          <cell r="B3031" t="str">
            <v>Middle</v>
          </cell>
          <cell r="C3031" t="str">
            <v>2015 - 2022</v>
          </cell>
          <cell r="D3031" t="str">
            <v>avg</v>
          </cell>
          <cell r="E3031" t="str">
            <v>gdp_activity</v>
          </cell>
          <cell r="F3031">
            <v>0.45946303009986877</v>
          </cell>
        </row>
        <row r="3032">
          <cell r="A3032" t="str">
            <v>PER</v>
          </cell>
          <cell r="B3032" t="str">
            <v>Middle</v>
          </cell>
          <cell r="C3032" t="str">
            <v>2015 - 2022</v>
          </cell>
          <cell r="D3032" t="str">
            <v>avg</v>
          </cell>
          <cell r="E3032" t="str">
            <v>gdp_for_agri</v>
          </cell>
          <cell r="F3032">
            <v>-1.3175674676895139</v>
          </cell>
        </row>
        <row r="3033">
          <cell r="A3033" t="str">
            <v>PER</v>
          </cell>
          <cell r="B3033" t="str">
            <v>Middle</v>
          </cell>
          <cell r="C3033" t="str">
            <v>2015 - 2022</v>
          </cell>
          <cell r="D3033" t="str">
            <v>avg</v>
          </cell>
          <cell r="E3033" t="str">
            <v>gdp_for_ind</v>
          </cell>
          <cell r="F3033">
            <v>9.3717575073242188</v>
          </cell>
        </row>
        <row r="3034">
          <cell r="A3034" t="str">
            <v>PER</v>
          </cell>
          <cell r="B3034" t="str">
            <v>Middle</v>
          </cell>
          <cell r="C3034" t="str">
            <v>2015 - 2022</v>
          </cell>
          <cell r="D3034" t="str">
            <v>avg</v>
          </cell>
          <cell r="E3034" t="str">
            <v>gdp_for_serv</v>
          </cell>
          <cell r="F3034">
            <v>1.6975134611129761</v>
          </cell>
        </row>
        <row r="3035">
          <cell r="A3035" t="str">
            <v>PER</v>
          </cell>
          <cell r="B3035" t="str">
            <v>Middle</v>
          </cell>
          <cell r="C3035" t="str">
            <v>2015 - 2022</v>
          </cell>
          <cell r="D3035" t="str">
            <v>avg</v>
          </cell>
          <cell r="E3035" t="str">
            <v>gdp_inf_agri</v>
          </cell>
          <cell r="F3035">
            <v>-3.6801373958587651</v>
          </cell>
        </row>
        <row r="3036">
          <cell r="A3036" t="str">
            <v>PER</v>
          </cell>
          <cell r="B3036" t="str">
            <v>Middle</v>
          </cell>
          <cell r="C3036" t="str">
            <v>2015 - 2022</v>
          </cell>
          <cell r="D3036" t="str">
            <v>avg</v>
          </cell>
          <cell r="E3036" t="str">
            <v>gdp_inf_ind</v>
          </cell>
          <cell r="F3036">
            <v>-3.5805363655090332</v>
          </cell>
        </row>
        <row r="3037">
          <cell r="A3037" t="str">
            <v>PER</v>
          </cell>
          <cell r="B3037" t="str">
            <v>Middle</v>
          </cell>
          <cell r="C3037" t="str">
            <v>2015 - 2022</v>
          </cell>
          <cell r="D3037" t="str">
            <v>avg</v>
          </cell>
          <cell r="E3037" t="str">
            <v>gdp_inf_serv</v>
          </cell>
          <cell r="F3037">
            <v>2.2781975269317631</v>
          </cell>
        </row>
        <row r="3038">
          <cell r="A3038" t="str">
            <v>PER</v>
          </cell>
          <cell r="B3038" t="str">
            <v>Middle</v>
          </cell>
          <cell r="C3038" t="str">
            <v>2015 - 2022</v>
          </cell>
          <cell r="D3038" t="str">
            <v>avg</v>
          </cell>
          <cell r="E3038" t="str">
            <v>prod_for_agri</v>
          </cell>
          <cell r="F3038">
            <v>-2.1565415859222412</v>
          </cell>
        </row>
        <row r="3039">
          <cell r="A3039" t="str">
            <v>PER</v>
          </cell>
          <cell r="B3039" t="str">
            <v>Middle</v>
          </cell>
          <cell r="C3039" t="str">
            <v>2015 - 2022</v>
          </cell>
          <cell r="D3039" t="str">
            <v>avg</v>
          </cell>
          <cell r="E3039" t="str">
            <v>prod_for_ind</v>
          </cell>
          <cell r="F3039">
            <v>0.95005005598068237</v>
          </cell>
        </row>
        <row r="3040">
          <cell r="A3040" t="str">
            <v>PER</v>
          </cell>
          <cell r="B3040" t="str">
            <v>Middle</v>
          </cell>
          <cell r="C3040" t="str">
            <v>2015 - 2022</v>
          </cell>
          <cell r="D3040" t="str">
            <v>avg</v>
          </cell>
          <cell r="E3040" t="str">
            <v>prod_for_serv</v>
          </cell>
          <cell r="F3040">
            <v>28.511177062988281</v>
          </cell>
        </row>
        <row r="3041">
          <cell r="A3041" t="str">
            <v>PER</v>
          </cell>
          <cell r="B3041" t="str">
            <v>Middle</v>
          </cell>
          <cell r="C3041" t="str">
            <v>2015 - 2022</v>
          </cell>
          <cell r="D3041" t="str">
            <v>avg</v>
          </cell>
          <cell r="E3041" t="str">
            <v>prod_inf_agri</v>
          </cell>
          <cell r="F3041">
            <v>0.1803883761167526</v>
          </cell>
        </row>
        <row r="3042">
          <cell r="A3042" t="str">
            <v>PER</v>
          </cell>
          <cell r="B3042" t="str">
            <v>Middle</v>
          </cell>
          <cell r="C3042" t="str">
            <v>2015 - 2022</v>
          </cell>
          <cell r="D3042" t="str">
            <v>avg</v>
          </cell>
          <cell r="E3042" t="str">
            <v>prod_inf_ind</v>
          </cell>
          <cell r="F3042">
            <v>-0.52519810199737549</v>
          </cell>
        </row>
        <row r="3043">
          <cell r="A3043" t="str">
            <v>PER</v>
          </cell>
          <cell r="B3043" t="str">
            <v>Middle</v>
          </cell>
          <cell r="C3043" t="str">
            <v>2015 - 2022</v>
          </cell>
          <cell r="D3043" t="str">
            <v>avg</v>
          </cell>
          <cell r="E3043" t="str">
            <v>prod_inf_serv</v>
          </cell>
          <cell r="F3043">
            <v>20.974847793579102</v>
          </cell>
        </row>
        <row r="3044">
          <cell r="A3044" t="str">
            <v>PER</v>
          </cell>
          <cell r="B3044" t="str">
            <v>Middle</v>
          </cell>
          <cell r="C3044" t="str">
            <v>2015 - 2022</v>
          </cell>
          <cell r="D3044" t="str">
            <v>avg_1_99</v>
          </cell>
          <cell r="E3044" t="str">
            <v>gdp_activity</v>
          </cell>
          <cell r="F3044">
            <v>0.58683401346206665</v>
          </cell>
        </row>
        <row r="3045">
          <cell r="A3045" t="str">
            <v>PER</v>
          </cell>
          <cell r="B3045" t="str">
            <v>Middle</v>
          </cell>
          <cell r="C3045" t="str">
            <v>2015 - 2022</v>
          </cell>
          <cell r="D3045" t="str">
            <v>avg_1_99</v>
          </cell>
          <cell r="E3045" t="str">
            <v>gdp_for_agri</v>
          </cell>
          <cell r="F3045">
            <v>3.7766721248626709</v>
          </cell>
        </row>
        <row r="3046">
          <cell r="A3046" t="str">
            <v>PER</v>
          </cell>
          <cell r="B3046" t="str">
            <v>Middle</v>
          </cell>
          <cell r="C3046" t="str">
            <v>2015 - 2022</v>
          </cell>
          <cell r="D3046" t="str">
            <v>avg_1_99</v>
          </cell>
          <cell r="E3046" t="str">
            <v>gdp_for_ind</v>
          </cell>
          <cell r="F3046">
            <v>1.294086813926697</v>
          </cell>
        </row>
        <row r="3047">
          <cell r="A3047" t="str">
            <v>PER</v>
          </cell>
          <cell r="B3047" t="str">
            <v>Middle</v>
          </cell>
          <cell r="C3047" t="str">
            <v>2015 - 2022</v>
          </cell>
          <cell r="D3047" t="str">
            <v>avg_1_99</v>
          </cell>
          <cell r="E3047" t="str">
            <v>gdp_for_serv</v>
          </cell>
          <cell r="F3047">
            <v>1.4225233793258669</v>
          </cell>
        </row>
        <row r="3048">
          <cell r="A3048" t="str">
            <v>PER</v>
          </cell>
          <cell r="B3048" t="str">
            <v>Middle</v>
          </cell>
          <cell r="C3048" t="str">
            <v>2015 - 2022</v>
          </cell>
          <cell r="D3048" t="str">
            <v>avg_1_99</v>
          </cell>
          <cell r="E3048" t="str">
            <v>gdp_inf_agri</v>
          </cell>
          <cell r="F3048">
            <v>-0.16921630501747131</v>
          </cell>
        </row>
        <row r="3049">
          <cell r="A3049" t="str">
            <v>PER</v>
          </cell>
          <cell r="B3049" t="str">
            <v>Middle</v>
          </cell>
          <cell r="C3049" t="str">
            <v>2015 - 2022</v>
          </cell>
          <cell r="D3049" t="str">
            <v>avg_1_99</v>
          </cell>
          <cell r="E3049" t="str">
            <v>gdp_inf_ind</v>
          </cell>
          <cell r="F3049">
            <v>2.2041327953338619</v>
          </cell>
        </row>
        <row r="3050">
          <cell r="A3050" t="str">
            <v>PER</v>
          </cell>
          <cell r="B3050" t="str">
            <v>Middle</v>
          </cell>
          <cell r="C3050" t="str">
            <v>2015 - 2022</v>
          </cell>
          <cell r="D3050" t="str">
            <v>avg_1_99</v>
          </cell>
          <cell r="E3050" t="str">
            <v>gdp_inf_serv</v>
          </cell>
          <cell r="F3050">
            <v>1.9869341850280759</v>
          </cell>
        </row>
        <row r="3051">
          <cell r="A3051" t="str">
            <v>PER</v>
          </cell>
          <cell r="B3051" t="str">
            <v>Middle</v>
          </cell>
          <cell r="C3051" t="str">
            <v>2015 - 2022</v>
          </cell>
          <cell r="D3051" t="str">
            <v>avg_1_99</v>
          </cell>
          <cell r="E3051" t="str">
            <v>prod_for_agri</v>
          </cell>
          <cell r="F3051">
            <v>-0.34394156932830811</v>
          </cell>
        </row>
        <row r="3052">
          <cell r="A3052" t="str">
            <v>PER</v>
          </cell>
          <cell r="B3052" t="str">
            <v>Middle</v>
          </cell>
          <cell r="C3052" t="str">
            <v>2015 - 2022</v>
          </cell>
          <cell r="D3052" t="str">
            <v>avg_1_99</v>
          </cell>
          <cell r="E3052" t="str">
            <v>prod_for_ind</v>
          </cell>
          <cell r="F3052">
            <v>0.24886868894100189</v>
          </cell>
        </row>
        <row r="3053">
          <cell r="A3053" t="str">
            <v>PER</v>
          </cell>
          <cell r="B3053" t="str">
            <v>Middle</v>
          </cell>
          <cell r="C3053" t="str">
            <v>2015 - 2022</v>
          </cell>
          <cell r="D3053" t="str">
            <v>avg_1_99</v>
          </cell>
          <cell r="E3053" t="str">
            <v>prod_for_serv</v>
          </cell>
          <cell r="F3053">
            <v>1.053977966308594</v>
          </cell>
        </row>
        <row r="3054">
          <cell r="A3054" t="str">
            <v>PER</v>
          </cell>
          <cell r="B3054" t="str">
            <v>Middle</v>
          </cell>
          <cell r="C3054" t="str">
            <v>2015 - 2022</v>
          </cell>
          <cell r="D3054" t="str">
            <v>avg_1_99</v>
          </cell>
          <cell r="E3054" t="str">
            <v>prod_inf_agri</v>
          </cell>
          <cell r="F3054">
            <v>0.1803883761167526</v>
          </cell>
        </row>
        <row r="3055">
          <cell r="A3055" t="str">
            <v>PER</v>
          </cell>
          <cell r="B3055" t="str">
            <v>Middle</v>
          </cell>
          <cell r="C3055" t="str">
            <v>2015 - 2022</v>
          </cell>
          <cell r="D3055" t="str">
            <v>avg_1_99</v>
          </cell>
          <cell r="E3055" t="str">
            <v>prod_inf_ind</v>
          </cell>
          <cell r="F3055">
            <v>-9.8587855696678162E-2</v>
          </cell>
        </row>
        <row r="3056">
          <cell r="A3056" t="str">
            <v>PER</v>
          </cell>
          <cell r="B3056" t="str">
            <v>Middle</v>
          </cell>
          <cell r="C3056" t="str">
            <v>2015 - 2022</v>
          </cell>
          <cell r="D3056" t="str">
            <v>avg_1_99</v>
          </cell>
          <cell r="E3056" t="str">
            <v>prod_inf_serv</v>
          </cell>
          <cell r="F3056">
            <v>0.1341800391674042</v>
          </cell>
        </row>
        <row r="3057">
          <cell r="A3057" t="str">
            <v>PER</v>
          </cell>
          <cell r="B3057" t="str">
            <v>Middle</v>
          </cell>
          <cell r="C3057" t="str">
            <v>2015 - 2022</v>
          </cell>
          <cell r="D3057" t="str">
            <v>avg_1_99_imp</v>
          </cell>
          <cell r="E3057" t="str">
            <v>gdp_activity</v>
          </cell>
          <cell r="F3057">
            <v>0.59737646579742432</v>
          </cell>
        </row>
        <row r="3058">
          <cell r="A3058" t="str">
            <v>PER</v>
          </cell>
          <cell r="B3058" t="str">
            <v>Middle</v>
          </cell>
          <cell r="C3058" t="str">
            <v>2015 - 2022</v>
          </cell>
          <cell r="D3058" t="str">
            <v>avg_1_99_imp</v>
          </cell>
          <cell r="E3058" t="str">
            <v>gdp_for_agri</v>
          </cell>
          <cell r="F3058">
            <v>3.428174495697021</v>
          </cell>
        </row>
        <row r="3059">
          <cell r="A3059" t="str">
            <v>PER</v>
          </cell>
          <cell r="B3059" t="str">
            <v>Middle</v>
          </cell>
          <cell r="C3059" t="str">
            <v>2015 - 2022</v>
          </cell>
          <cell r="D3059" t="str">
            <v>avg_1_99_imp</v>
          </cell>
          <cell r="E3059" t="str">
            <v>gdp_for_ind</v>
          </cell>
          <cell r="F3059">
            <v>1.1488603353500371</v>
          </cell>
        </row>
        <row r="3060">
          <cell r="A3060" t="str">
            <v>PER</v>
          </cell>
          <cell r="B3060" t="str">
            <v>Middle</v>
          </cell>
          <cell r="C3060" t="str">
            <v>2015 - 2022</v>
          </cell>
          <cell r="D3060" t="str">
            <v>avg_1_99_imp</v>
          </cell>
          <cell r="E3060" t="str">
            <v>gdp_for_serv</v>
          </cell>
          <cell r="F3060">
            <v>1.2435261011123659</v>
          </cell>
        </row>
        <row r="3061">
          <cell r="A3061" t="str">
            <v>PER</v>
          </cell>
          <cell r="B3061" t="str">
            <v>Middle</v>
          </cell>
          <cell r="C3061" t="str">
            <v>2015 - 2022</v>
          </cell>
          <cell r="D3061" t="str">
            <v>avg_1_99_imp</v>
          </cell>
          <cell r="E3061" t="str">
            <v>gdp_inf_agri</v>
          </cell>
          <cell r="F3061">
            <v>-0.18917302787303919</v>
          </cell>
        </row>
        <row r="3062">
          <cell r="A3062" t="str">
            <v>PER</v>
          </cell>
          <cell r="B3062" t="str">
            <v>Middle</v>
          </cell>
          <cell r="C3062" t="str">
            <v>2015 - 2022</v>
          </cell>
          <cell r="D3062" t="str">
            <v>avg_1_99_imp</v>
          </cell>
          <cell r="E3062" t="str">
            <v>gdp_inf_ind</v>
          </cell>
          <cell r="F3062">
            <v>1.960165143013</v>
          </cell>
        </row>
        <row r="3063">
          <cell r="A3063" t="str">
            <v>PER</v>
          </cell>
          <cell r="B3063" t="str">
            <v>Middle</v>
          </cell>
          <cell r="C3063" t="str">
            <v>2015 - 2022</v>
          </cell>
          <cell r="D3063" t="str">
            <v>avg_1_99_imp</v>
          </cell>
          <cell r="E3063" t="str">
            <v>gdp_inf_serv</v>
          </cell>
          <cell r="F3063">
            <v>1.7470195293426509</v>
          </cell>
        </row>
        <row r="3064">
          <cell r="A3064" t="str">
            <v>PER</v>
          </cell>
          <cell r="B3064" t="str">
            <v>Middle</v>
          </cell>
          <cell r="C3064" t="str">
            <v>2015 - 2022</v>
          </cell>
          <cell r="D3064" t="str">
            <v>avg_1_99_imp</v>
          </cell>
          <cell r="E3064" t="str">
            <v>prod_for_agri</v>
          </cell>
          <cell r="F3064">
            <v>-4.2650911957025528E-2</v>
          </cell>
        </row>
        <row r="3065">
          <cell r="A3065" t="str">
            <v>PER</v>
          </cell>
          <cell r="B3065" t="str">
            <v>Middle</v>
          </cell>
          <cell r="C3065" t="str">
            <v>2015 - 2022</v>
          </cell>
          <cell r="D3065" t="str">
            <v>avg_1_99_imp</v>
          </cell>
          <cell r="E3065" t="str">
            <v>prod_for_ind</v>
          </cell>
          <cell r="F3065">
            <v>-6.6043466329574585E-2</v>
          </cell>
        </row>
        <row r="3066">
          <cell r="A3066" t="str">
            <v>PER</v>
          </cell>
          <cell r="B3066" t="str">
            <v>Middle</v>
          </cell>
          <cell r="C3066" t="str">
            <v>2015 - 2022</v>
          </cell>
          <cell r="D3066" t="str">
            <v>avg_1_99_imp</v>
          </cell>
          <cell r="E3066" t="str">
            <v>prod_for_serv</v>
          </cell>
          <cell r="F3066">
            <v>0.40872302651405329</v>
          </cell>
        </row>
        <row r="3067">
          <cell r="A3067" t="str">
            <v>PER</v>
          </cell>
          <cell r="B3067" t="str">
            <v>Middle</v>
          </cell>
          <cell r="C3067" t="str">
            <v>2015 - 2022</v>
          </cell>
          <cell r="D3067" t="str">
            <v>avg_1_99_imp</v>
          </cell>
          <cell r="E3067" t="str">
            <v>prod_inf_agri</v>
          </cell>
          <cell r="F3067">
            <v>0.1803883761167526</v>
          </cell>
        </row>
        <row r="3068">
          <cell r="A3068" t="str">
            <v>PER</v>
          </cell>
          <cell r="B3068" t="str">
            <v>Middle</v>
          </cell>
          <cell r="C3068" t="str">
            <v>2015 - 2022</v>
          </cell>
          <cell r="D3068" t="str">
            <v>avg_1_99_imp</v>
          </cell>
          <cell r="E3068" t="str">
            <v>prod_inf_ind</v>
          </cell>
          <cell r="F3068">
            <v>-9.6413619816303253E-2</v>
          </cell>
        </row>
        <row r="3069">
          <cell r="A3069" t="str">
            <v>PER</v>
          </cell>
          <cell r="B3069" t="str">
            <v>Middle</v>
          </cell>
          <cell r="C3069" t="str">
            <v>2015 - 2022</v>
          </cell>
          <cell r="D3069" t="str">
            <v>avg_1_99_imp</v>
          </cell>
          <cell r="E3069" t="str">
            <v>prod_inf_serv</v>
          </cell>
          <cell r="F3069">
            <v>0.15122129023075101</v>
          </cell>
        </row>
        <row r="3070">
          <cell r="A3070" t="str">
            <v>PER</v>
          </cell>
          <cell r="B3070" t="str">
            <v>Middle</v>
          </cell>
          <cell r="C3070" t="str">
            <v>2015 - 2022</v>
          </cell>
          <cell r="D3070" t="str">
            <v>reg</v>
          </cell>
          <cell r="E3070" t="str">
            <v>gdp_activity</v>
          </cell>
          <cell r="F3070">
            <v>0.58472263813018799</v>
          </cell>
        </row>
        <row r="3071">
          <cell r="A3071" t="str">
            <v>PER</v>
          </cell>
          <cell r="B3071" t="str">
            <v>Middle</v>
          </cell>
          <cell r="C3071" t="str">
            <v>2015 - 2022</v>
          </cell>
          <cell r="D3071" t="str">
            <v>reg</v>
          </cell>
          <cell r="E3071" t="str">
            <v>gdp_for_agri</v>
          </cell>
          <cell r="F3071">
            <v>0.97297823429107666</v>
          </cell>
        </row>
        <row r="3072">
          <cell r="A3072" t="str">
            <v>PER</v>
          </cell>
          <cell r="B3072" t="str">
            <v>Middle</v>
          </cell>
          <cell r="C3072" t="str">
            <v>2015 - 2022</v>
          </cell>
          <cell r="D3072" t="str">
            <v>reg</v>
          </cell>
          <cell r="E3072" t="str">
            <v>gdp_for_ind</v>
          </cell>
          <cell r="F3072">
            <v>2.3578794002532959</v>
          </cell>
        </row>
        <row r="3073">
          <cell r="A3073" t="str">
            <v>PER</v>
          </cell>
          <cell r="B3073" t="str">
            <v>Middle</v>
          </cell>
          <cell r="C3073" t="str">
            <v>2015 - 2022</v>
          </cell>
          <cell r="D3073" t="str">
            <v>reg</v>
          </cell>
          <cell r="E3073" t="str">
            <v>gdp_for_serv</v>
          </cell>
          <cell r="F3073">
            <v>0.89570647478103638</v>
          </cell>
        </row>
        <row r="3074">
          <cell r="A3074" t="str">
            <v>PER</v>
          </cell>
          <cell r="B3074" t="str">
            <v>Middle</v>
          </cell>
          <cell r="C3074" t="str">
            <v>2015 - 2022</v>
          </cell>
          <cell r="D3074" t="str">
            <v>reg</v>
          </cell>
          <cell r="E3074" t="str">
            <v>gdp_inf_agri</v>
          </cell>
          <cell r="F3074">
            <v>-0.2390106916427612</v>
          </cell>
        </row>
        <row r="3075">
          <cell r="A3075" t="str">
            <v>PER</v>
          </cell>
          <cell r="B3075" t="str">
            <v>Middle</v>
          </cell>
          <cell r="C3075" t="str">
            <v>2015 - 2022</v>
          </cell>
          <cell r="D3075" t="str">
            <v>reg</v>
          </cell>
          <cell r="E3075" t="str">
            <v>gdp_inf_ind</v>
          </cell>
          <cell r="F3075">
            <v>3.0533280372619629</v>
          </cell>
        </row>
        <row r="3076">
          <cell r="A3076" t="str">
            <v>PER</v>
          </cell>
          <cell r="B3076" t="str">
            <v>Middle</v>
          </cell>
          <cell r="C3076" t="str">
            <v>2015 - 2022</v>
          </cell>
          <cell r="D3076" t="str">
            <v>reg</v>
          </cell>
          <cell r="E3076" t="str">
            <v>gdp_inf_serv</v>
          </cell>
          <cell r="F3076">
            <v>1.7980185747146611</v>
          </cell>
        </row>
        <row r="3077">
          <cell r="A3077" t="str">
            <v>PER</v>
          </cell>
          <cell r="B3077" t="str">
            <v>Middle</v>
          </cell>
          <cell r="C3077" t="str">
            <v>2015 - 2022</v>
          </cell>
          <cell r="D3077" t="str">
            <v>reg</v>
          </cell>
          <cell r="E3077" t="str">
            <v>prod_for_agri</v>
          </cell>
          <cell r="F3077">
            <v>2.4178721010684971E-2</v>
          </cell>
        </row>
        <row r="3078">
          <cell r="A3078" t="str">
            <v>PER</v>
          </cell>
          <cell r="B3078" t="str">
            <v>Middle</v>
          </cell>
          <cell r="C3078" t="str">
            <v>2015 - 2022</v>
          </cell>
          <cell r="D3078" t="str">
            <v>reg</v>
          </cell>
          <cell r="E3078" t="str">
            <v>prod_for_ind</v>
          </cell>
          <cell r="F3078">
            <v>-0.1072710156440735</v>
          </cell>
        </row>
        <row r="3079">
          <cell r="A3079" t="str">
            <v>PER</v>
          </cell>
          <cell r="B3079" t="str">
            <v>Middle</v>
          </cell>
          <cell r="C3079" t="str">
            <v>2015 - 2022</v>
          </cell>
          <cell r="D3079" t="str">
            <v>reg</v>
          </cell>
          <cell r="E3079" t="str">
            <v>prod_for_serv</v>
          </cell>
          <cell r="F3079">
            <v>-9.3921490013599396E-2</v>
          </cell>
        </row>
        <row r="3080">
          <cell r="A3080" t="str">
            <v>PER</v>
          </cell>
          <cell r="B3080" t="str">
            <v>Middle</v>
          </cell>
          <cell r="C3080" t="str">
            <v>2015 - 2022</v>
          </cell>
          <cell r="D3080" t="str">
            <v>reg</v>
          </cell>
          <cell r="E3080" t="str">
            <v>prod_inf_agri</v>
          </cell>
          <cell r="F3080">
            <v>6.8304784595966339E-2</v>
          </cell>
        </row>
        <row r="3081">
          <cell r="A3081" t="str">
            <v>PER</v>
          </cell>
          <cell r="B3081" t="str">
            <v>Middle</v>
          </cell>
          <cell r="C3081" t="str">
            <v>2015 - 2022</v>
          </cell>
          <cell r="D3081" t="str">
            <v>reg</v>
          </cell>
          <cell r="E3081" t="str">
            <v>prod_inf_ind</v>
          </cell>
          <cell r="F3081">
            <v>-0.1818622350692749</v>
          </cell>
        </row>
        <row r="3082">
          <cell r="A3082" t="str">
            <v>PER</v>
          </cell>
          <cell r="B3082" t="str">
            <v>Middle</v>
          </cell>
          <cell r="C3082" t="str">
            <v>2015 - 2022</v>
          </cell>
          <cell r="D3082" t="str">
            <v>reg</v>
          </cell>
          <cell r="E3082" t="str">
            <v>prod_inf_serv</v>
          </cell>
          <cell r="F3082">
            <v>-0.1131153106689453</v>
          </cell>
        </row>
        <row r="3083">
          <cell r="A3083" t="str">
            <v>PER</v>
          </cell>
          <cell r="B3083" t="str">
            <v>Middle</v>
          </cell>
          <cell r="C3083" t="str">
            <v>2015 - 2022</v>
          </cell>
          <cell r="D3083" t="str">
            <v>reg_gdp</v>
          </cell>
          <cell r="E3083" t="str">
            <v>gdp_activity</v>
          </cell>
          <cell r="F3083">
            <v>0.58472263813018799</v>
          </cell>
        </row>
        <row r="3084">
          <cell r="A3084" t="str">
            <v>PER</v>
          </cell>
          <cell r="B3084" t="str">
            <v>Middle</v>
          </cell>
          <cell r="C3084" t="str">
            <v>2015 - 2022</v>
          </cell>
          <cell r="D3084" t="str">
            <v>reg_gdp</v>
          </cell>
          <cell r="E3084" t="str">
            <v>gdp_for_agri</v>
          </cell>
          <cell r="F3084">
            <v>-0.94031250476837158</v>
          </cell>
        </row>
        <row r="3085">
          <cell r="A3085" t="str">
            <v>PER</v>
          </cell>
          <cell r="B3085" t="str">
            <v>Middle</v>
          </cell>
          <cell r="C3085" t="str">
            <v>2015 - 2022</v>
          </cell>
          <cell r="D3085" t="str">
            <v>reg_gdp</v>
          </cell>
          <cell r="E3085" t="str">
            <v>gdp_for_ind</v>
          </cell>
          <cell r="F3085">
            <v>9.6328897476196289</v>
          </cell>
        </row>
        <row r="3086">
          <cell r="A3086" t="str">
            <v>PER</v>
          </cell>
          <cell r="B3086" t="str">
            <v>Middle</v>
          </cell>
          <cell r="C3086" t="str">
            <v>2015 - 2022</v>
          </cell>
          <cell r="D3086" t="str">
            <v>reg_gdp</v>
          </cell>
          <cell r="E3086" t="str">
            <v>gdp_for_serv</v>
          </cell>
          <cell r="F3086">
            <v>-18.21701812744141</v>
          </cell>
        </row>
        <row r="3087">
          <cell r="A3087" t="str">
            <v>PER</v>
          </cell>
          <cell r="B3087" t="str">
            <v>Middle</v>
          </cell>
          <cell r="C3087" t="str">
            <v>2015 - 2022</v>
          </cell>
          <cell r="D3087" t="str">
            <v>reg_gdp</v>
          </cell>
          <cell r="E3087" t="str">
            <v>gdp_inf_agri</v>
          </cell>
          <cell r="F3087">
            <v>-2.980668306350708</v>
          </cell>
        </row>
        <row r="3088">
          <cell r="A3088" t="str">
            <v>PER</v>
          </cell>
          <cell r="B3088" t="str">
            <v>Middle</v>
          </cell>
          <cell r="C3088" t="str">
            <v>2015 - 2022</v>
          </cell>
          <cell r="D3088" t="str">
            <v>reg_gdp</v>
          </cell>
          <cell r="E3088" t="str">
            <v>gdp_inf_ind</v>
          </cell>
          <cell r="F3088">
            <v>7.6627764701843262</v>
          </cell>
        </row>
        <row r="3089">
          <cell r="A3089" t="str">
            <v>PER</v>
          </cell>
          <cell r="B3089" t="str">
            <v>Middle</v>
          </cell>
          <cell r="C3089" t="str">
            <v>2015 - 2022</v>
          </cell>
          <cell r="D3089" t="str">
            <v>reg_gdp</v>
          </cell>
          <cell r="E3089" t="str">
            <v>gdp_inf_serv</v>
          </cell>
          <cell r="F3089">
            <v>-16.481201171875</v>
          </cell>
        </row>
        <row r="3090">
          <cell r="A3090" t="str">
            <v>PER</v>
          </cell>
          <cell r="B3090" t="str">
            <v>Middle</v>
          </cell>
          <cell r="C3090" t="str">
            <v>2015 - 2022</v>
          </cell>
          <cell r="D3090" t="str">
            <v>reg_gdp</v>
          </cell>
          <cell r="E3090" t="str">
            <v>prod_for_agri</v>
          </cell>
          <cell r="F3090">
            <v>7.5104221701622009E-2</v>
          </cell>
        </row>
        <row r="3091">
          <cell r="A3091" t="str">
            <v>PER</v>
          </cell>
          <cell r="B3091" t="str">
            <v>Middle</v>
          </cell>
          <cell r="C3091" t="str">
            <v>2015 - 2022</v>
          </cell>
          <cell r="D3091" t="str">
            <v>reg_gdp</v>
          </cell>
          <cell r="E3091" t="str">
            <v>prod_for_ind</v>
          </cell>
          <cell r="F3091">
            <v>-0.19503772258758539</v>
          </cell>
        </row>
        <row r="3092">
          <cell r="A3092" t="str">
            <v>PER</v>
          </cell>
          <cell r="B3092" t="str">
            <v>Middle</v>
          </cell>
          <cell r="C3092" t="str">
            <v>2015 - 2022</v>
          </cell>
          <cell r="D3092" t="str">
            <v>reg_gdp</v>
          </cell>
          <cell r="E3092" t="str">
            <v>prod_for_serv</v>
          </cell>
          <cell r="F3092">
            <v>-0.1161049082875252</v>
          </cell>
        </row>
        <row r="3093">
          <cell r="A3093" t="str">
            <v>PER</v>
          </cell>
          <cell r="B3093" t="str">
            <v>Middle</v>
          </cell>
          <cell r="C3093" t="str">
            <v>2015 - 2022</v>
          </cell>
          <cell r="D3093" t="str">
            <v>reg_gdp</v>
          </cell>
          <cell r="E3093" t="str">
            <v>prod_inf_agri</v>
          </cell>
          <cell r="F3093">
            <v>0.1037848144769669</v>
          </cell>
        </row>
        <row r="3094">
          <cell r="A3094" t="str">
            <v>PER</v>
          </cell>
          <cell r="B3094" t="str">
            <v>Middle</v>
          </cell>
          <cell r="C3094" t="str">
            <v>2015 - 2022</v>
          </cell>
          <cell r="D3094" t="str">
            <v>reg_gdp</v>
          </cell>
          <cell r="E3094" t="str">
            <v>prod_inf_ind</v>
          </cell>
          <cell r="F3094">
            <v>-0.24009875953197479</v>
          </cell>
        </row>
        <row r="3095">
          <cell r="A3095" t="str">
            <v>PER</v>
          </cell>
          <cell r="B3095" t="str">
            <v>Middle</v>
          </cell>
          <cell r="C3095" t="str">
            <v>2015 - 2022</v>
          </cell>
          <cell r="D3095" t="str">
            <v>reg_gdp</v>
          </cell>
          <cell r="E3095" t="str">
            <v>prod_inf_serv</v>
          </cell>
          <cell r="F3095">
            <v>-0.16033859550952911</v>
          </cell>
        </row>
        <row r="3096">
          <cell r="A3096" t="str">
            <v>PER</v>
          </cell>
          <cell r="B3096" t="str">
            <v>Middle</v>
          </cell>
          <cell r="C3096" t="str">
            <v>2015 - 2022</v>
          </cell>
          <cell r="D3096" t="str">
            <v>reg_iter</v>
          </cell>
          <cell r="E3096" t="str">
            <v>gdp_activity</v>
          </cell>
          <cell r="F3096">
            <v>0.71864479780197144</v>
          </cell>
        </row>
        <row r="3097">
          <cell r="A3097" t="str">
            <v>PER</v>
          </cell>
          <cell r="B3097" t="str">
            <v>Middle</v>
          </cell>
          <cell r="C3097" t="str">
            <v>2015 - 2022</v>
          </cell>
          <cell r="D3097" t="str">
            <v>reg_iter</v>
          </cell>
          <cell r="E3097" t="str">
            <v>gdp_for_agri</v>
          </cell>
          <cell r="F3097">
            <v>-1.50440502166748</v>
          </cell>
        </row>
        <row r="3098">
          <cell r="A3098" t="str">
            <v>PER</v>
          </cell>
          <cell r="B3098" t="str">
            <v>Middle</v>
          </cell>
          <cell r="C3098" t="str">
            <v>2015 - 2022</v>
          </cell>
          <cell r="D3098" t="str">
            <v>reg_iter</v>
          </cell>
          <cell r="E3098" t="str">
            <v>gdp_for_ind</v>
          </cell>
          <cell r="F3098">
            <v>4.5731139183044434</v>
          </cell>
        </row>
        <row r="3099">
          <cell r="A3099" t="str">
            <v>PER</v>
          </cell>
          <cell r="B3099" t="str">
            <v>Middle</v>
          </cell>
          <cell r="C3099" t="str">
            <v>2015 - 2022</v>
          </cell>
          <cell r="D3099" t="str">
            <v>reg_iter</v>
          </cell>
          <cell r="E3099" t="str">
            <v>gdp_for_serv</v>
          </cell>
          <cell r="F3099">
            <v>3.39576268196106</v>
          </cell>
        </row>
        <row r="3100">
          <cell r="A3100" t="str">
            <v>PER</v>
          </cell>
          <cell r="B3100" t="str">
            <v>Middle</v>
          </cell>
          <cell r="C3100" t="str">
            <v>2015 - 2022</v>
          </cell>
          <cell r="D3100" t="str">
            <v>reg_iter</v>
          </cell>
          <cell r="E3100" t="str">
            <v>gdp_inf_agri</v>
          </cell>
          <cell r="F3100">
            <v>-3.3635458946228032</v>
          </cell>
        </row>
        <row r="3101">
          <cell r="A3101" t="str">
            <v>PER</v>
          </cell>
          <cell r="B3101" t="str">
            <v>Middle</v>
          </cell>
          <cell r="C3101" t="str">
            <v>2015 - 2022</v>
          </cell>
          <cell r="D3101" t="str">
            <v>reg_iter</v>
          </cell>
          <cell r="E3101" t="str">
            <v>gdp_inf_ind</v>
          </cell>
          <cell r="F3101">
            <v>4.007051944732666</v>
          </cell>
        </row>
        <row r="3102">
          <cell r="A3102" t="str">
            <v>PER</v>
          </cell>
          <cell r="B3102" t="str">
            <v>Middle</v>
          </cell>
          <cell r="C3102" t="str">
            <v>2015 - 2022</v>
          </cell>
          <cell r="D3102" t="str">
            <v>reg_iter</v>
          </cell>
          <cell r="E3102" t="str">
            <v>gdp_inf_serv</v>
          </cell>
          <cell r="F3102">
            <v>3.3393318653106689</v>
          </cell>
        </row>
        <row r="3103">
          <cell r="A3103" t="str">
            <v>PER</v>
          </cell>
          <cell r="B3103" t="str">
            <v>Middle</v>
          </cell>
          <cell r="C3103" t="str">
            <v>2015 - 2022</v>
          </cell>
          <cell r="D3103" t="str">
            <v>reg_iter</v>
          </cell>
          <cell r="E3103" t="str">
            <v>prod_for_agri</v>
          </cell>
          <cell r="F3103">
            <v>1.8052363768219951E-2</v>
          </cell>
        </row>
        <row r="3104">
          <cell r="A3104" t="str">
            <v>PER</v>
          </cell>
          <cell r="B3104" t="str">
            <v>Middle</v>
          </cell>
          <cell r="C3104" t="str">
            <v>2015 - 2022</v>
          </cell>
          <cell r="D3104" t="str">
            <v>reg_iter</v>
          </cell>
          <cell r="E3104" t="str">
            <v>prod_for_ind</v>
          </cell>
          <cell r="F3104">
            <v>-0.13673499226570129</v>
          </cell>
        </row>
        <row r="3105">
          <cell r="A3105" t="str">
            <v>PER</v>
          </cell>
          <cell r="B3105" t="str">
            <v>Middle</v>
          </cell>
          <cell r="C3105" t="str">
            <v>2015 - 2022</v>
          </cell>
          <cell r="D3105" t="str">
            <v>reg_iter</v>
          </cell>
          <cell r="E3105" t="str">
            <v>prod_for_serv</v>
          </cell>
          <cell r="F3105">
            <v>-7.9569049179553986E-2</v>
          </cell>
        </row>
        <row r="3106">
          <cell r="A3106" t="str">
            <v>PER</v>
          </cell>
          <cell r="B3106" t="str">
            <v>Middle</v>
          </cell>
          <cell r="C3106" t="str">
            <v>2015 - 2022</v>
          </cell>
          <cell r="D3106" t="str">
            <v>reg_iter</v>
          </cell>
          <cell r="E3106" t="str">
            <v>prod_inf_agri</v>
          </cell>
          <cell r="F3106">
            <v>6.3635729253292084E-2</v>
          </cell>
        </row>
        <row r="3107">
          <cell r="A3107" t="str">
            <v>PER</v>
          </cell>
          <cell r="B3107" t="str">
            <v>Middle</v>
          </cell>
          <cell r="C3107" t="str">
            <v>2015 - 2022</v>
          </cell>
          <cell r="D3107" t="str">
            <v>reg_iter</v>
          </cell>
          <cell r="E3107" t="str">
            <v>prod_inf_ind</v>
          </cell>
          <cell r="F3107">
            <v>-0.20049859583377841</v>
          </cell>
        </row>
        <row r="3108">
          <cell r="A3108" t="str">
            <v>PER</v>
          </cell>
          <cell r="B3108" t="str">
            <v>Middle</v>
          </cell>
          <cell r="C3108" t="str">
            <v>2015 - 2022</v>
          </cell>
          <cell r="D3108" t="str">
            <v>reg_iter</v>
          </cell>
          <cell r="E3108" t="str">
            <v>prod_inf_serv</v>
          </cell>
          <cell r="F3108">
            <v>-9.2417381703853607E-2</v>
          </cell>
        </row>
        <row r="3109">
          <cell r="A3109" t="str">
            <v>PER</v>
          </cell>
          <cell r="B3109" t="str">
            <v>Short</v>
          </cell>
          <cell r="C3109" t="str">
            <v>2018 - 2022</v>
          </cell>
          <cell r="D3109" t="str">
            <v>avg</v>
          </cell>
          <cell r="E3109" t="str">
            <v>gdp_activity</v>
          </cell>
          <cell r="F3109">
            <v>0.62652027606964111</v>
          </cell>
        </row>
        <row r="3110">
          <cell r="A3110" t="str">
            <v>PER</v>
          </cell>
          <cell r="B3110" t="str">
            <v>Short</v>
          </cell>
          <cell r="C3110" t="str">
            <v>2018 - 2022</v>
          </cell>
          <cell r="D3110" t="str">
            <v>avg</v>
          </cell>
          <cell r="E3110" t="str">
            <v>gdp_for_agri</v>
          </cell>
          <cell r="F3110">
            <v>-2.922931432723999</v>
          </cell>
        </row>
        <row r="3111">
          <cell r="A3111" t="str">
            <v>PER</v>
          </cell>
          <cell r="B3111" t="str">
            <v>Short</v>
          </cell>
          <cell r="C3111" t="str">
            <v>2018 - 2022</v>
          </cell>
          <cell r="D3111" t="str">
            <v>avg</v>
          </cell>
          <cell r="E3111" t="str">
            <v>gdp_for_ind</v>
          </cell>
          <cell r="F3111">
            <v>15.555727958679199</v>
          </cell>
        </row>
        <row r="3112">
          <cell r="A3112" t="str">
            <v>PER</v>
          </cell>
          <cell r="B3112" t="str">
            <v>Short</v>
          </cell>
          <cell r="C3112" t="str">
            <v>2018 - 2022</v>
          </cell>
          <cell r="D3112" t="str">
            <v>avg</v>
          </cell>
          <cell r="E3112" t="str">
            <v>gdp_for_serv</v>
          </cell>
          <cell r="F3112">
            <v>2.66748046875</v>
          </cell>
        </row>
        <row r="3113">
          <cell r="A3113" t="str">
            <v>PER</v>
          </cell>
          <cell r="B3113" t="str">
            <v>Short</v>
          </cell>
          <cell r="C3113" t="str">
            <v>2018 - 2022</v>
          </cell>
          <cell r="D3113" t="str">
            <v>avg</v>
          </cell>
          <cell r="E3113" t="str">
            <v>gdp_inf_agri</v>
          </cell>
          <cell r="F3113">
            <v>-6.0074849128723136</v>
          </cell>
        </row>
        <row r="3114">
          <cell r="A3114" t="str">
            <v>PER</v>
          </cell>
          <cell r="B3114" t="str">
            <v>Short</v>
          </cell>
          <cell r="C3114" t="str">
            <v>2018 - 2022</v>
          </cell>
          <cell r="D3114" t="str">
            <v>avg</v>
          </cell>
          <cell r="E3114" t="str">
            <v>gdp_inf_ind</v>
          </cell>
          <cell r="F3114">
            <v>-5.4443392753601074</v>
          </cell>
        </row>
        <row r="3115">
          <cell r="A3115" t="str">
            <v>PER</v>
          </cell>
          <cell r="B3115" t="str">
            <v>Short</v>
          </cell>
          <cell r="C3115" t="str">
            <v>2018 - 2022</v>
          </cell>
          <cell r="D3115" t="str">
            <v>avg</v>
          </cell>
          <cell r="E3115" t="str">
            <v>gdp_inf_serv</v>
          </cell>
          <cell r="F3115">
            <v>3.3222107887268071</v>
          </cell>
        </row>
        <row r="3116">
          <cell r="A3116" t="str">
            <v>PER</v>
          </cell>
          <cell r="B3116" t="str">
            <v>Short</v>
          </cell>
          <cell r="C3116" t="str">
            <v>2018 - 2022</v>
          </cell>
          <cell r="D3116" t="str">
            <v>avg</v>
          </cell>
          <cell r="E3116" t="str">
            <v>prod_for_agri</v>
          </cell>
          <cell r="F3116">
            <v>5.5087525397539139E-2</v>
          </cell>
        </row>
        <row r="3117">
          <cell r="A3117" t="str">
            <v>PER</v>
          </cell>
          <cell r="B3117" t="str">
            <v>Short</v>
          </cell>
          <cell r="C3117" t="str">
            <v>2018 - 2022</v>
          </cell>
          <cell r="D3117" t="str">
            <v>avg</v>
          </cell>
          <cell r="E3117" t="str">
            <v>prod_for_ind</v>
          </cell>
          <cell r="F3117">
            <v>1.1092392206192021</v>
          </cell>
        </row>
        <row r="3118">
          <cell r="A3118" t="str">
            <v>PER</v>
          </cell>
          <cell r="B3118" t="str">
            <v>Short</v>
          </cell>
          <cell r="C3118" t="str">
            <v>2018 - 2022</v>
          </cell>
          <cell r="D3118" t="str">
            <v>avg</v>
          </cell>
          <cell r="E3118" t="str">
            <v>prod_for_serv</v>
          </cell>
          <cell r="F3118">
            <v>0.47977173328399658</v>
          </cell>
        </row>
        <row r="3119">
          <cell r="A3119" t="str">
            <v>PER</v>
          </cell>
          <cell r="B3119" t="str">
            <v>Short</v>
          </cell>
          <cell r="C3119" t="str">
            <v>2018 - 2022</v>
          </cell>
          <cell r="D3119" t="str">
            <v>avg</v>
          </cell>
          <cell r="E3119" t="str">
            <v>prod_inf_agri</v>
          </cell>
          <cell r="F3119">
            <v>0.1215788871049881</v>
          </cell>
        </row>
        <row r="3120">
          <cell r="A3120" t="str">
            <v>PER</v>
          </cell>
          <cell r="B3120" t="str">
            <v>Short</v>
          </cell>
          <cell r="C3120" t="str">
            <v>2018 - 2022</v>
          </cell>
          <cell r="D3120" t="str">
            <v>avg</v>
          </cell>
          <cell r="E3120" t="str">
            <v>prod_inf_ind</v>
          </cell>
          <cell r="F3120">
            <v>-0.9074590802192688</v>
          </cell>
        </row>
        <row r="3121">
          <cell r="A3121" t="str">
            <v>PER</v>
          </cell>
          <cell r="B3121" t="str">
            <v>Short</v>
          </cell>
          <cell r="C3121" t="str">
            <v>2018 - 2022</v>
          </cell>
          <cell r="D3121" t="str">
            <v>avg</v>
          </cell>
          <cell r="E3121" t="str">
            <v>prod_inf_serv</v>
          </cell>
          <cell r="F3121">
            <v>-0.12651439011096949</v>
          </cell>
        </row>
        <row r="3122">
          <cell r="A3122" t="str">
            <v>PER</v>
          </cell>
          <cell r="B3122" t="str">
            <v>Short</v>
          </cell>
          <cell r="C3122" t="str">
            <v>2018 - 2022</v>
          </cell>
          <cell r="D3122" t="str">
            <v>avg_1_99</v>
          </cell>
          <cell r="E3122" t="str">
            <v>gdp_activity</v>
          </cell>
          <cell r="F3122">
            <v>0.62652027606964111</v>
          </cell>
        </row>
        <row r="3123">
          <cell r="A3123" t="str">
            <v>PER</v>
          </cell>
          <cell r="B3123" t="str">
            <v>Short</v>
          </cell>
          <cell r="C3123" t="str">
            <v>2018 - 2022</v>
          </cell>
          <cell r="D3123" t="str">
            <v>avg_1_99</v>
          </cell>
          <cell r="E3123" t="str">
            <v>gdp_for_agri</v>
          </cell>
          <cell r="F3123">
            <v>5.5906472206115723</v>
          </cell>
        </row>
        <row r="3124">
          <cell r="A3124" t="str">
            <v>PER</v>
          </cell>
          <cell r="B3124" t="str">
            <v>Short</v>
          </cell>
          <cell r="C3124" t="str">
            <v>2018 - 2022</v>
          </cell>
          <cell r="D3124" t="str">
            <v>avg_1_99</v>
          </cell>
          <cell r="E3124" t="str">
            <v>gdp_for_ind</v>
          </cell>
          <cell r="F3124">
            <v>2.9657974243164058</v>
          </cell>
        </row>
        <row r="3125">
          <cell r="A3125" t="str">
            <v>PER</v>
          </cell>
          <cell r="B3125" t="str">
            <v>Short</v>
          </cell>
          <cell r="C3125" t="str">
            <v>2018 - 2022</v>
          </cell>
          <cell r="D3125" t="str">
            <v>avg_1_99</v>
          </cell>
          <cell r="E3125" t="str">
            <v>gdp_for_serv</v>
          </cell>
          <cell r="F3125">
            <v>1.920513391494751</v>
          </cell>
        </row>
        <row r="3126">
          <cell r="A3126" t="str">
            <v>PER</v>
          </cell>
          <cell r="B3126" t="str">
            <v>Short</v>
          </cell>
          <cell r="C3126" t="str">
            <v>2018 - 2022</v>
          </cell>
          <cell r="D3126" t="str">
            <v>avg_1_99</v>
          </cell>
          <cell r="E3126" t="str">
            <v>gdp_inf_agri</v>
          </cell>
          <cell r="F3126">
            <v>-0.53720754384994507</v>
          </cell>
        </row>
        <row r="3127">
          <cell r="A3127" t="str">
            <v>PER</v>
          </cell>
          <cell r="B3127" t="str">
            <v>Short</v>
          </cell>
          <cell r="C3127" t="str">
            <v>2018 - 2022</v>
          </cell>
          <cell r="D3127" t="str">
            <v>avg_1_99</v>
          </cell>
          <cell r="E3127" t="str">
            <v>gdp_inf_ind</v>
          </cell>
          <cell r="F3127">
            <v>4.2128806114196777</v>
          </cell>
        </row>
        <row r="3128">
          <cell r="A3128" t="str">
            <v>PER</v>
          </cell>
          <cell r="B3128" t="str">
            <v>Short</v>
          </cell>
          <cell r="C3128" t="str">
            <v>2018 - 2022</v>
          </cell>
          <cell r="D3128" t="str">
            <v>avg_1_99</v>
          </cell>
          <cell r="E3128" t="str">
            <v>gdp_inf_serv</v>
          </cell>
          <cell r="F3128">
            <v>2.4667634963989258</v>
          </cell>
        </row>
        <row r="3129">
          <cell r="A3129" t="str">
            <v>PER</v>
          </cell>
          <cell r="B3129" t="str">
            <v>Short</v>
          </cell>
          <cell r="C3129" t="str">
            <v>2018 - 2022</v>
          </cell>
          <cell r="D3129" t="str">
            <v>avg_1_99</v>
          </cell>
          <cell r="E3129" t="str">
            <v>prod_for_agri</v>
          </cell>
          <cell r="F3129">
            <v>5.5087525397539139E-2</v>
          </cell>
        </row>
        <row r="3130">
          <cell r="A3130" t="str">
            <v>PER</v>
          </cell>
          <cell r="B3130" t="str">
            <v>Short</v>
          </cell>
          <cell r="C3130" t="str">
            <v>2018 - 2022</v>
          </cell>
          <cell r="D3130" t="str">
            <v>avg_1_99</v>
          </cell>
          <cell r="E3130" t="str">
            <v>prod_for_ind</v>
          </cell>
          <cell r="F3130">
            <v>-7.8030891716480255E-2</v>
          </cell>
        </row>
        <row r="3131">
          <cell r="A3131" t="str">
            <v>PER</v>
          </cell>
          <cell r="B3131" t="str">
            <v>Short</v>
          </cell>
          <cell r="C3131" t="str">
            <v>2018 - 2022</v>
          </cell>
          <cell r="D3131" t="str">
            <v>avg_1_99</v>
          </cell>
          <cell r="E3131" t="str">
            <v>prod_for_serv</v>
          </cell>
          <cell r="F3131">
            <v>0.47977173328399658</v>
          </cell>
        </row>
        <row r="3132">
          <cell r="A3132" t="str">
            <v>PER</v>
          </cell>
          <cell r="B3132" t="str">
            <v>Short</v>
          </cell>
          <cell r="C3132" t="str">
            <v>2018 - 2022</v>
          </cell>
          <cell r="D3132" t="str">
            <v>avg_1_99</v>
          </cell>
          <cell r="E3132" t="str">
            <v>prod_inf_agri</v>
          </cell>
          <cell r="F3132">
            <v>0.1215788871049881</v>
          </cell>
        </row>
        <row r="3133">
          <cell r="A3133" t="str">
            <v>PER</v>
          </cell>
          <cell r="B3133" t="str">
            <v>Short</v>
          </cell>
          <cell r="C3133" t="str">
            <v>2018 - 2022</v>
          </cell>
          <cell r="D3133" t="str">
            <v>avg_1_99</v>
          </cell>
          <cell r="E3133" t="str">
            <v>prod_inf_ind</v>
          </cell>
          <cell r="F3133">
            <v>-0.25645637512207031</v>
          </cell>
        </row>
        <row r="3134">
          <cell r="A3134" t="str">
            <v>PER</v>
          </cell>
          <cell r="B3134" t="str">
            <v>Short</v>
          </cell>
          <cell r="C3134" t="str">
            <v>2018 - 2022</v>
          </cell>
          <cell r="D3134" t="str">
            <v>avg_1_99</v>
          </cell>
          <cell r="E3134" t="str">
            <v>prod_inf_serv</v>
          </cell>
          <cell r="F3134">
            <v>-0.12651439011096949</v>
          </cell>
        </row>
        <row r="3135">
          <cell r="A3135" t="str">
            <v>PER</v>
          </cell>
          <cell r="B3135" t="str">
            <v>Short</v>
          </cell>
          <cell r="C3135" t="str">
            <v>2018 - 2022</v>
          </cell>
          <cell r="D3135" t="str">
            <v>avg_1_99_imp</v>
          </cell>
          <cell r="E3135" t="str">
            <v>gdp_activity</v>
          </cell>
          <cell r="F3135">
            <v>0.62652027606964111</v>
          </cell>
        </row>
        <row r="3136">
          <cell r="A3136" t="str">
            <v>PER</v>
          </cell>
          <cell r="B3136" t="str">
            <v>Short</v>
          </cell>
          <cell r="C3136" t="str">
            <v>2018 - 2022</v>
          </cell>
          <cell r="D3136" t="str">
            <v>avg_1_99_imp</v>
          </cell>
          <cell r="E3136" t="str">
            <v>gdp_for_agri</v>
          </cell>
          <cell r="F3136">
            <v>5.2601766586303711</v>
          </cell>
        </row>
        <row r="3137">
          <cell r="A3137" t="str">
            <v>PER</v>
          </cell>
          <cell r="B3137" t="str">
            <v>Short</v>
          </cell>
          <cell r="C3137" t="str">
            <v>2018 - 2022</v>
          </cell>
          <cell r="D3137" t="str">
            <v>avg_1_99_imp</v>
          </cell>
          <cell r="E3137" t="str">
            <v>gdp_for_ind</v>
          </cell>
          <cell r="F3137">
            <v>3.132968664169312</v>
          </cell>
        </row>
        <row r="3138">
          <cell r="A3138" t="str">
            <v>PER</v>
          </cell>
          <cell r="B3138" t="str">
            <v>Short</v>
          </cell>
          <cell r="C3138" t="str">
            <v>2018 - 2022</v>
          </cell>
          <cell r="D3138" t="str">
            <v>avg_1_99_imp</v>
          </cell>
          <cell r="E3138" t="str">
            <v>gdp_for_serv</v>
          </cell>
          <cell r="F3138">
            <v>1.843942523002625</v>
          </cell>
        </row>
        <row r="3139">
          <cell r="A3139" t="str">
            <v>PER</v>
          </cell>
          <cell r="B3139" t="str">
            <v>Short</v>
          </cell>
          <cell r="C3139" t="str">
            <v>2018 - 2022</v>
          </cell>
          <cell r="D3139" t="str">
            <v>avg_1_99_imp</v>
          </cell>
          <cell r="E3139" t="str">
            <v>gdp_inf_agri</v>
          </cell>
          <cell r="F3139">
            <v>-0.61987596750259399</v>
          </cell>
        </row>
        <row r="3140">
          <cell r="A3140" t="str">
            <v>PER</v>
          </cell>
          <cell r="B3140" t="str">
            <v>Short</v>
          </cell>
          <cell r="C3140" t="str">
            <v>2018 - 2022</v>
          </cell>
          <cell r="D3140" t="str">
            <v>avg_1_99_imp</v>
          </cell>
          <cell r="E3140" t="str">
            <v>gdp_inf_ind</v>
          </cell>
          <cell r="F3140">
            <v>4.2091312408447266</v>
          </cell>
        </row>
        <row r="3141">
          <cell r="A3141" t="str">
            <v>PER</v>
          </cell>
          <cell r="B3141" t="str">
            <v>Short</v>
          </cell>
          <cell r="C3141" t="str">
            <v>2018 - 2022</v>
          </cell>
          <cell r="D3141" t="str">
            <v>avg_1_99_imp</v>
          </cell>
          <cell r="E3141" t="str">
            <v>gdp_inf_serv</v>
          </cell>
          <cell r="F3141">
            <v>2.4528236389160161</v>
          </cell>
        </row>
        <row r="3142">
          <cell r="A3142" t="str">
            <v>PER</v>
          </cell>
          <cell r="B3142" t="str">
            <v>Short</v>
          </cell>
          <cell r="C3142" t="str">
            <v>2018 - 2022</v>
          </cell>
          <cell r="D3142" t="str">
            <v>avg_1_99_imp</v>
          </cell>
          <cell r="E3142" t="str">
            <v>prod_for_agri</v>
          </cell>
          <cell r="F3142">
            <v>-2.4654051288962361E-2</v>
          </cell>
        </row>
        <row r="3143">
          <cell r="A3143" t="str">
            <v>PER</v>
          </cell>
          <cell r="B3143" t="str">
            <v>Short</v>
          </cell>
          <cell r="C3143" t="str">
            <v>2018 - 2022</v>
          </cell>
          <cell r="D3143" t="str">
            <v>avg_1_99_imp</v>
          </cell>
          <cell r="E3143" t="str">
            <v>prod_for_ind</v>
          </cell>
          <cell r="F3143">
            <v>2.841761335730553E-2</v>
          </cell>
        </row>
        <row r="3144">
          <cell r="A3144" t="str">
            <v>PER</v>
          </cell>
          <cell r="B3144" t="str">
            <v>Short</v>
          </cell>
          <cell r="C3144" t="str">
            <v>2018 - 2022</v>
          </cell>
          <cell r="D3144" t="str">
            <v>avg_1_99_imp</v>
          </cell>
          <cell r="E3144" t="str">
            <v>prod_for_serv</v>
          </cell>
          <cell r="F3144">
            <v>0.40872302651405329</v>
          </cell>
        </row>
        <row r="3145">
          <cell r="A3145" t="str">
            <v>PER</v>
          </cell>
          <cell r="B3145" t="str">
            <v>Short</v>
          </cell>
          <cell r="C3145" t="str">
            <v>2018 - 2022</v>
          </cell>
          <cell r="D3145" t="str">
            <v>avg_1_99_imp</v>
          </cell>
          <cell r="E3145" t="str">
            <v>prod_inf_agri</v>
          </cell>
          <cell r="F3145">
            <v>0.1215788871049881</v>
          </cell>
        </row>
        <row r="3146">
          <cell r="A3146" t="str">
            <v>PER</v>
          </cell>
          <cell r="B3146" t="str">
            <v>Short</v>
          </cell>
          <cell r="C3146" t="str">
            <v>2018 - 2022</v>
          </cell>
          <cell r="D3146" t="str">
            <v>avg_1_99_imp</v>
          </cell>
          <cell r="E3146" t="str">
            <v>prod_inf_ind</v>
          </cell>
          <cell r="F3146">
            <v>-0.2274825721979141</v>
          </cell>
        </row>
        <row r="3147">
          <cell r="A3147" t="str">
            <v>PER</v>
          </cell>
          <cell r="B3147" t="str">
            <v>Short</v>
          </cell>
          <cell r="C3147" t="str">
            <v>2018 - 2022</v>
          </cell>
          <cell r="D3147" t="str">
            <v>avg_1_99_imp</v>
          </cell>
          <cell r="E3147" t="str">
            <v>prod_inf_serv</v>
          </cell>
          <cell r="F3147">
            <v>-0.12651439011096949</v>
          </cell>
        </row>
        <row r="3148">
          <cell r="A3148" t="str">
            <v>PER</v>
          </cell>
          <cell r="B3148" t="str">
            <v>Short</v>
          </cell>
          <cell r="C3148" t="str">
            <v>2018 - 2022</v>
          </cell>
          <cell r="D3148" t="str">
            <v>reg</v>
          </cell>
          <cell r="E3148" t="str">
            <v>gdp_activity</v>
          </cell>
          <cell r="F3148">
            <v>0.83429306745529175</v>
          </cell>
        </row>
        <row r="3149">
          <cell r="A3149" t="str">
            <v>PER</v>
          </cell>
          <cell r="B3149" t="str">
            <v>Short</v>
          </cell>
          <cell r="C3149" t="str">
            <v>2018 - 2022</v>
          </cell>
          <cell r="D3149" t="str">
            <v>reg</v>
          </cell>
          <cell r="E3149" t="str">
            <v>gdp_for_agri</v>
          </cell>
          <cell r="F3149">
            <v>3.28870701789856</v>
          </cell>
        </row>
        <row r="3150">
          <cell r="A3150" t="str">
            <v>PER</v>
          </cell>
          <cell r="B3150" t="str">
            <v>Short</v>
          </cell>
          <cell r="C3150" t="str">
            <v>2018 - 2022</v>
          </cell>
          <cell r="D3150" t="str">
            <v>reg</v>
          </cell>
          <cell r="E3150" t="str">
            <v>gdp_for_ind</v>
          </cell>
          <cell r="F3150">
            <v>3.697534322738647</v>
          </cell>
        </row>
        <row r="3151">
          <cell r="A3151" t="str">
            <v>PER</v>
          </cell>
          <cell r="B3151" t="str">
            <v>Short</v>
          </cell>
          <cell r="C3151" t="str">
            <v>2018 - 2022</v>
          </cell>
          <cell r="D3151" t="str">
            <v>reg</v>
          </cell>
          <cell r="E3151" t="str">
            <v>gdp_for_serv</v>
          </cell>
          <cell r="F3151">
            <v>4.3197107315063477</v>
          </cell>
        </row>
        <row r="3152">
          <cell r="A3152" t="str">
            <v>PER</v>
          </cell>
          <cell r="B3152" t="str">
            <v>Short</v>
          </cell>
          <cell r="C3152" t="str">
            <v>2018 - 2022</v>
          </cell>
          <cell r="D3152" t="str">
            <v>reg</v>
          </cell>
          <cell r="E3152" t="str">
            <v>gdp_inf_agri</v>
          </cell>
          <cell r="F3152">
            <v>2.2592778205871582</v>
          </cell>
        </row>
        <row r="3153">
          <cell r="A3153" t="str">
            <v>PER</v>
          </cell>
          <cell r="B3153" t="str">
            <v>Short</v>
          </cell>
          <cell r="C3153" t="str">
            <v>2018 - 2022</v>
          </cell>
          <cell r="D3153" t="str">
            <v>reg</v>
          </cell>
          <cell r="E3153" t="str">
            <v>gdp_inf_ind</v>
          </cell>
          <cell r="F3153">
            <v>4.1244344711303711</v>
          </cell>
        </row>
        <row r="3154">
          <cell r="A3154" t="str">
            <v>PER</v>
          </cell>
          <cell r="B3154" t="str">
            <v>Short</v>
          </cell>
          <cell r="C3154" t="str">
            <v>2018 - 2022</v>
          </cell>
          <cell r="D3154" t="str">
            <v>reg</v>
          </cell>
          <cell r="E3154" t="str">
            <v>gdp_inf_serv</v>
          </cell>
          <cell r="F3154">
            <v>4.9975452423095703</v>
          </cell>
        </row>
        <row r="3155">
          <cell r="A3155" t="str">
            <v>PER</v>
          </cell>
          <cell r="B3155" t="str">
            <v>Short</v>
          </cell>
          <cell r="C3155" t="str">
            <v>2018 - 2022</v>
          </cell>
          <cell r="D3155" t="str">
            <v>reg</v>
          </cell>
          <cell r="E3155" t="str">
            <v>prod_for_agri</v>
          </cell>
          <cell r="F3155">
            <v>-9.2529214918613434E-2</v>
          </cell>
        </row>
        <row r="3156">
          <cell r="A3156" t="str">
            <v>PER</v>
          </cell>
          <cell r="B3156" t="str">
            <v>Short</v>
          </cell>
          <cell r="C3156" t="str">
            <v>2018 - 2022</v>
          </cell>
          <cell r="D3156" t="str">
            <v>reg</v>
          </cell>
          <cell r="E3156" t="str">
            <v>prod_for_ind</v>
          </cell>
          <cell r="F3156">
            <v>7.0534786209464073E-3</v>
          </cell>
        </row>
        <row r="3157">
          <cell r="A3157" t="str">
            <v>PER</v>
          </cell>
          <cell r="B3157" t="str">
            <v>Short</v>
          </cell>
          <cell r="C3157" t="str">
            <v>2018 - 2022</v>
          </cell>
          <cell r="D3157" t="str">
            <v>reg</v>
          </cell>
          <cell r="E3157" t="str">
            <v>prod_for_serv</v>
          </cell>
          <cell r="F3157">
            <v>-7.3776952922344208E-2</v>
          </cell>
        </row>
        <row r="3158">
          <cell r="A3158" t="str">
            <v>PER</v>
          </cell>
          <cell r="B3158" t="str">
            <v>Short</v>
          </cell>
          <cell r="C3158" t="str">
            <v>2018 - 2022</v>
          </cell>
          <cell r="D3158" t="str">
            <v>reg</v>
          </cell>
          <cell r="E3158" t="str">
            <v>prod_inf_agri</v>
          </cell>
          <cell r="F3158">
            <v>-3.0262613669037819E-2</v>
          </cell>
        </row>
        <row r="3159">
          <cell r="A3159" t="str">
            <v>PER</v>
          </cell>
          <cell r="B3159" t="str">
            <v>Short</v>
          </cell>
          <cell r="C3159" t="str">
            <v>2018 - 2022</v>
          </cell>
          <cell r="D3159" t="str">
            <v>reg</v>
          </cell>
          <cell r="E3159" t="str">
            <v>prod_inf_ind</v>
          </cell>
          <cell r="F3159">
            <v>-0.10093479603528981</v>
          </cell>
        </row>
        <row r="3160">
          <cell r="A3160" t="str">
            <v>PER</v>
          </cell>
          <cell r="B3160" t="str">
            <v>Short</v>
          </cell>
          <cell r="C3160" t="str">
            <v>2018 - 2022</v>
          </cell>
          <cell r="D3160" t="str">
            <v>reg</v>
          </cell>
          <cell r="E3160" t="str">
            <v>prod_inf_serv</v>
          </cell>
          <cell r="F3160">
            <v>-5.5045224726200097E-2</v>
          </cell>
        </row>
        <row r="3161">
          <cell r="A3161" t="str">
            <v>PER</v>
          </cell>
          <cell r="B3161" t="str">
            <v>Short</v>
          </cell>
          <cell r="C3161" t="str">
            <v>2018 - 2022</v>
          </cell>
          <cell r="D3161" t="str">
            <v>reg_gdp</v>
          </cell>
          <cell r="E3161" t="str">
            <v>gdp_activity</v>
          </cell>
          <cell r="F3161">
            <v>0.83429306745529175</v>
          </cell>
        </row>
        <row r="3162">
          <cell r="A3162" t="str">
            <v>PER</v>
          </cell>
          <cell r="B3162" t="str">
            <v>Short</v>
          </cell>
          <cell r="C3162" t="str">
            <v>2018 - 2022</v>
          </cell>
          <cell r="D3162" t="str">
            <v>reg_gdp</v>
          </cell>
          <cell r="E3162" t="str">
            <v>gdp_for_agri</v>
          </cell>
          <cell r="F3162">
            <v>0.52155166864395142</v>
          </cell>
        </row>
        <row r="3163">
          <cell r="A3163" t="str">
            <v>PER</v>
          </cell>
          <cell r="B3163" t="str">
            <v>Short</v>
          </cell>
          <cell r="C3163" t="str">
            <v>2018 - 2022</v>
          </cell>
          <cell r="D3163" t="str">
            <v>reg_gdp</v>
          </cell>
          <cell r="E3163" t="str">
            <v>gdp_for_ind</v>
          </cell>
          <cell r="F3163">
            <v>7.7404847145080566</v>
          </cell>
        </row>
        <row r="3164">
          <cell r="A3164" t="str">
            <v>PER</v>
          </cell>
          <cell r="B3164" t="str">
            <v>Short</v>
          </cell>
          <cell r="C3164" t="str">
            <v>2018 - 2022</v>
          </cell>
          <cell r="D3164" t="str">
            <v>reg_gdp</v>
          </cell>
          <cell r="E3164" t="str">
            <v>gdp_for_serv</v>
          </cell>
          <cell r="F3164">
            <v>-2.1730210781097412</v>
          </cell>
        </row>
        <row r="3165">
          <cell r="A3165" t="str">
            <v>PER</v>
          </cell>
          <cell r="B3165" t="str">
            <v>Short</v>
          </cell>
          <cell r="C3165" t="str">
            <v>2018 - 2022</v>
          </cell>
          <cell r="D3165" t="str">
            <v>reg_gdp</v>
          </cell>
          <cell r="E3165" t="str">
            <v>gdp_inf_agri</v>
          </cell>
          <cell r="F3165">
            <v>-1.831718444824219</v>
          </cell>
        </row>
        <row r="3166">
          <cell r="A3166" t="str">
            <v>PER</v>
          </cell>
          <cell r="B3166" t="str">
            <v>Short</v>
          </cell>
          <cell r="C3166" t="str">
            <v>2018 - 2022</v>
          </cell>
          <cell r="D3166" t="str">
            <v>reg_gdp</v>
          </cell>
          <cell r="E3166" t="str">
            <v>gdp_inf_ind</v>
          </cell>
          <cell r="F3166">
            <v>2.9512510299682622</v>
          </cell>
        </row>
        <row r="3167">
          <cell r="A3167" t="str">
            <v>PER</v>
          </cell>
          <cell r="B3167" t="str">
            <v>Short</v>
          </cell>
          <cell r="C3167" t="str">
            <v>2018 - 2022</v>
          </cell>
          <cell r="D3167" t="str">
            <v>reg_gdp</v>
          </cell>
          <cell r="E3167" t="str">
            <v>gdp_inf_serv</v>
          </cell>
          <cell r="F3167">
            <v>-2.628678560256958</v>
          </cell>
        </row>
        <row r="3168">
          <cell r="A3168" t="str">
            <v>PER</v>
          </cell>
          <cell r="B3168" t="str">
            <v>Short</v>
          </cell>
          <cell r="C3168" t="str">
            <v>2018 - 2022</v>
          </cell>
          <cell r="D3168" t="str">
            <v>reg_gdp</v>
          </cell>
          <cell r="E3168" t="str">
            <v>prod_for_agri</v>
          </cell>
          <cell r="F3168">
            <v>0.15966078639030459</v>
          </cell>
        </row>
        <row r="3169">
          <cell r="A3169" t="str">
            <v>PER</v>
          </cell>
          <cell r="B3169" t="str">
            <v>Short</v>
          </cell>
          <cell r="C3169" t="str">
            <v>2018 - 2022</v>
          </cell>
          <cell r="D3169" t="str">
            <v>reg_gdp</v>
          </cell>
          <cell r="E3169" t="str">
            <v>prod_for_ind</v>
          </cell>
          <cell r="F3169">
            <v>-0.96625298261642456</v>
          </cell>
        </row>
        <row r="3170">
          <cell r="A3170" t="str">
            <v>PER</v>
          </cell>
          <cell r="B3170" t="str">
            <v>Short</v>
          </cell>
          <cell r="C3170" t="str">
            <v>2018 - 2022</v>
          </cell>
          <cell r="D3170" t="str">
            <v>reg_gdp</v>
          </cell>
          <cell r="E3170" t="str">
            <v>prod_for_serv</v>
          </cell>
          <cell r="F3170">
            <v>-0.40694534778594971</v>
          </cell>
        </row>
        <row r="3171">
          <cell r="A3171" t="str">
            <v>PER</v>
          </cell>
          <cell r="B3171" t="str">
            <v>Short</v>
          </cell>
          <cell r="C3171" t="str">
            <v>2018 - 2022</v>
          </cell>
          <cell r="D3171" t="str">
            <v>reg_gdp</v>
          </cell>
          <cell r="E3171" t="str">
            <v>prod_inf_agri</v>
          </cell>
          <cell r="F3171">
            <v>8.9782737195491791E-2</v>
          </cell>
        </row>
        <row r="3172">
          <cell r="A3172" t="str">
            <v>PER</v>
          </cell>
          <cell r="B3172" t="str">
            <v>Short</v>
          </cell>
          <cell r="C3172" t="str">
            <v>2018 - 2022</v>
          </cell>
          <cell r="D3172" t="str">
            <v>reg_gdp</v>
          </cell>
          <cell r="E3172" t="str">
            <v>prod_inf_ind</v>
          </cell>
          <cell r="F3172">
            <v>-0.51489585638046265</v>
          </cell>
        </row>
        <row r="3173">
          <cell r="A3173" t="str">
            <v>PER</v>
          </cell>
          <cell r="B3173" t="str">
            <v>Short</v>
          </cell>
          <cell r="C3173" t="str">
            <v>2018 - 2022</v>
          </cell>
          <cell r="D3173" t="str">
            <v>reg_gdp</v>
          </cell>
          <cell r="E3173" t="str">
            <v>prod_inf_serv</v>
          </cell>
          <cell r="F3173">
            <v>-0.45640787482261658</v>
          </cell>
        </row>
        <row r="3174">
          <cell r="A3174" t="str">
            <v>PER</v>
          </cell>
          <cell r="B3174" t="str">
            <v>Short</v>
          </cell>
          <cell r="C3174" t="str">
            <v>2018 - 2022</v>
          </cell>
          <cell r="D3174" t="str">
            <v>reg_iter</v>
          </cell>
          <cell r="E3174" t="str">
            <v>gdp_activity</v>
          </cell>
          <cell r="F3174">
            <v>0.88776767253875732</v>
          </cell>
        </row>
        <row r="3175">
          <cell r="A3175" t="str">
            <v>PER</v>
          </cell>
          <cell r="B3175" t="str">
            <v>Short</v>
          </cell>
          <cell r="C3175" t="str">
            <v>2018 - 2022</v>
          </cell>
          <cell r="D3175" t="str">
            <v>reg_iter</v>
          </cell>
          <cell r="E3175" t="str">
            <v>gdp_for_agri</v>
          </cell>
          <cell r="F3175">
            <v>-8.4875640869140625</v>
          </cell>
        </row>
        <row r="3176">
          <cell r="A3176" t="str">
            <v>PER</v>
          </cell>
          <cell r="B3176" t="str">
            <v>Short</v>
          </cell>
          <cell r="C3176" t="str">
            <v>2018 - 2022</v>
          </cell>
          <cell r="D3176" t="str">
            <v>reg_iter</v>
          </cell>
          <cell r="E3176" t="str">
            <v>gdp_for_ind</v>
          </cell>
          <cell r="F3176">
            <v>4.7369251251220703</v>
          </cell>
        </row>
        <row r="3177">
          <cell r="A3177" t="str">
            <v>PER</v>
          </cell>
          <cell r="B3177" t="str">
            <v>Short</v>
          </cell>
          <cell r="C3177" t="str">
            <v>2018 - 2022</v>
          </cell>
          <cell r="D3177" t="str">
            <v>reg_iter</v>
          </cell>
          <cell r="E3177" t="str">
            <v>gdp_for_serv</v>
          </cell>
          <cell r="F3177">
            <v>6.6949167251586914</v>
          </cell>
        </row>
        <row r="3178">
          <cell r="A3178" t="str">
            <v>PER</v>
          </cell>
          <cell r="B3178" t="str">
            <v>Short</v>
          </cell>
          <cell r="C3178" t="str">
            <v>2018 - 2022</v>
          </cell>
          <cell r="D3178" t="str">
            <v>reg_iter</v>
          </cell>
          <cell r="E3178" t="str">
            <v>gdp_inf_agri</v>
          </cell>
          <cell r="F3178">
            <v>-15.377284049987789</v>
          </cell>
        </row>
        <row r="3179">
          <cell r="A3179" t="str">
            <v>PER</v>
          </cell>
          <cell r="B3179" t="str">
            <v>Short</v>
          </cell>
          <cell r="C3179" t="str">
            <v>2018 - 2022</v>
          </cell>
          <cell r="D3179" t="str">
            <v>reg_iter</v>
          </cell>
          <cell r="E3179" t="str">
            <v>gdp_inf_ind</v>
          </cell>
          <cell r="F3179">
            <v>4.1144628524780273</v>
          </cell>
        </row>
        <row r="3180">
          <cell r="A3180" t="str">
            <v>PER</v>
          </cell>
          <cell r="B3180" t="str">
            <v>Short</v>
          </cell>
          <cell r="C3180" t="str">
            <v>2018 - 2022</v>
          </cell>
          <cell r="D3180" t="str">
            <v>reg_iter</v>
          </cell>
          <cell r="E3180" t="str">
            <v>gdp_inf_serv</v>
          </cell>
          <cell r="F3180">
            <v>6.4356069564819336</v>
          </cell>
        </row>
        <row r="3181">
          <cell r="A3181" t="str">
            <v>PER</v>
          </cell>
          <cell r="B3181" t="str">
            <v>Short</v>
          </cell>
          <cell r="C3181" t="str">
            <v>2018 - 2022</v>
          </cell>
          <cell r="D3181" t="str">
            <v>reg_iter</v>
          </cell>
          <cell r="E3181" t="str">
            <v>prod_for_agri</v>
          </cell>
          <cell r="F3181">
            <v>-3.7291903048753738E-2</v>
          </cell>
        </row>
        <row r="3182">
          <cell r="A3182" t="str">
            <v>PER</v>
          </cell>
          <cell r="B3182" t="str">
            <v>Short</v>
          </cell>
          <cell r="C3182" t="str">
            <v>2018 - 2022</v>
          </cell>
          <cell r="D3182" t="str">
            <v>reg_iter</v>
          </cell>
          <cell r="E3182" t="str">
            <v>prod_for_ind</v>
          </cell>
          <cell r="F3182">
            <v>-0.16888909041881561</v>
          </cell>
        </row>
        <row r="3183">
          <cell r="A3183" t="str">
            <v>PER</v>
          </cell>
          <cell r="B3183" t="str">
            <v>Short</v>
          </cell>
          <cell r="C3183" t="str">
            <v>2018 - 2022</v>
          </cell>
          <cell r="D3183" t="str">
            <v>reg_iter</v>
          </cell>
          <cell r="E3183" t="str">
            <v>prod_for_serv</v>
          </cell>
          <cell r="F3183">
            <v>-0.14275085926055911</v>
          </cell>
        </row>
        <row r="3184">
          <cell r="A3184" t="str">
            <v>PER</v>
          </cell>
          <cell r="B3184" t="str">
            <v>Short</v>
          </cell>
          <cell r="C3184" t="str">
            <v>2018 - 2022</v>
          </cell>
          <cell r="D3184" t="str">
            <v>reg_iter</v>
          </cell>
          <cell r="E3184" t="str">
            <v>prod_inf_agri</v>
          </cell>
          <cell r="F3184">
            <v>7.1079675108194351E-3</v>
          </cell>
        </row>
        <row r="3185">
          <cell r="A3185" t="str">
            <v>PER</v>
          </cell>
          <cell r="B3185" t="str">
            <v>Short</v>
          </cell>
          <cell r="C3185" t="str">
            <v>2018 - 2022</v>
          </cell>
          <cell r="D3185" t="str">
            <v>reg_iter</v>
          </cell>
          <cell r="E3185" t="str">
            <v>prod_inf_ind</v>
          </cell>
          <cell r="F3185">
            <v>-0.1997150331735611</v>
          </cell>
        </row>
        <row r="3186">
          <cell r="A3186" t="str">
            <v>PER</v>
          </cell>
          <cell r="B3186" t="str">
            <v>Short</v>
          </cell>
          <cell r="C3186" t="str">
            <v>2018 - 2022</v>
          </cell>
          <cell r="D3186" t="str">
            <v>reg_iter</v>
          </cell>
          <cell r="E3186" t="str">
            <v>prod_inf_serv</v>
          </cell>
          <cell r="F3186">
            <v>-0.13346132636070249</v>
          </cell>
        </row>
        <row r="3187">
          <cell r="A3187" t="str">
            <v>PRY</v>
          </cell>
          <cell r="B3187" t="str">
            <v>Long</v>
          </cell>
          <cell r="C3187" t="str">
            <v>2006 - 2022</v>
          </cell>
          <cell r="D3187" t="str">
            <v>avg</v>
          </cell>
          <cell r="E3187" t="str">
            <v>gdp_activity</v>
          </cell>
          <cell r="F3187">
            <v>-2.103288888931274</v>
          </cell>
        </row>
        <row r="3188">
          <cell r="A3188" t="str">
            <v>PRY</v>
          </cell>
          <cell r="B3188" t="str">
            <v>Long</v>
          </cell>
          <cell r="C3188" t="str">
            <v>2006 - 2022</v>
          </cell>
          <cell r="D3188" t="str">
            <v>avg</v>
          </cell>
          <cell r="E3188" t="str">
            <v>gdp_for_agri</v>
          </cell>
          <cell r="F3188">
            <v>5.7418990135192871</v>
          </cell>
        </row>
        <row r="3189">
          <cell r="A3189" t="str">
            <v>PRY</v>
          </cell>
          <cell r="B3189" t="str">
            <v>Long</v>
          </cell>
          <cell r="C3189" t="str">
            <v>2006 - 2022</v>
          </cell>
          <cell r="D3189" t="str">
            <v>avg</v>
          </cell>
          <cell r="E3189" t="str">
            <v>gdp_for_ind</v>
          </cell>
          <cell r="F3189">
            <v>3.0426876544952388</v>
          </cell>
        </row>
        <row r="3190">
          <cell r="A3190" t="str">
            <v>PRY</v>
          </cell>
          <cell r="B3190" t="str">
            <v>Long</v>
          </cell>
          <cell r="C3190" t="str">
            <v>2006 - 2022</v>
          </cell>
          <cell r="D3190" t="str">
            <v>avg</v>
          </cell>
          <cell r="E3190" t="str">
            <v>gdp_for_serv</v>
          </cell>
          <cell r="F3190">
            <v>1.596305727958679</v>
          </cell>
        </row>
        <row r="3191">
          <cell r="A3191" t="str">
            <v>PRY</v>
          </cell>
          <cell r="B3191" t="str">
            <v>Long</v>
          </cell>
          <cell r="C3191" t="str">
            <v>2006 - 2022</v>
          </cell>
          <cell r="D3191" t="str">
            <v>avg</v>
          </cell>
          <cell r="E3191" t="str">
            <v>gdp_inf_agri</v>
          </cell>
          <cell r="F3191">
            <v>8.185603141784668</v>
          </cell>
        </row>
        <row r="3192">
          <cell r="A3192" t="str">
            <v>PRY</v>
          </cell>
          <cell r="B3192" t="str">
            <v>Long</v>
          </cell>
          <cell r="C3192" t="str">
            <v>2006 - 2022</v>
          </cell>
          <cell r="D3192" t="str">
            <v>avg</v>
          </cell>
          <cell r="E3192" t="str">
            <v>gdp_inf_ind</v>
          </cell>
          <cell r="F3192">
            <v>-0.23438744246959689</v>
          </cell>
        </row>
        <row r="3193">
          <cell r="A3193" t="str">
            <v>PRY</v>
          </cell>
          <cell r="B3193" t="str">
            <v>Long</v>
          </cell>
          <cell r="C3193" t="str">
            <v>2006 - 2022</v>
          </cell>
          <cell r="D3193" t="str">
            <v>avg</v>
          </cell>
          <cell r="E3193" t="str">
            <v>gdp_inf_serv</v>
          </cell>
          <cell r="F3193">
            <v>2.3921012878417969</v>
          </cell>
        </row>
        <row r="3194">
          <cell r="A3194" t="str">
            <v>PRY</v>
          </cell>
          <cell r="B3194" t="str">
            <v>Long</v>
          </cell>
          <cell r="C3194" t="str">
            <v>2006 - 2022</v>
          </cell>
          <cell r="D3194" t="str">
            <v>avg</v>
          </cell>
          <cell r="E3194" t="str">
            <v>prod_for_agri</v>
          </cell>
          <cell r="F3194">
            <v>-2.386465311050415</v>
          </cell>
        </row>
        <row r="3195">
          <cell r="A3195" t="str">
            <v>PRY</v>
          </cell>
          <cell r="B3195" t="str">
            <v>Long</v>
          </cell>
          <cell r="C3195" t="str">
            <v>2006 - 2022</v>
          </cell>
          <cell r="D3195" t="str">
            <v>avg</v>
          </cell>
          <cell r="E3195" t="str">
            <v>prod_for_ind</v>
          </cell>
          <cell r="F3195">
            <v>-0.30183076858520508</v>
          </cell>
        </row>
        <row r="3196">
          <cell r="A3196" t="str">
            <v>PRY</v>
          </cell>
          <cell r="B3196" t="str">
            <v>Long</v>
          </cell>
          <cell r="C3196" t="str">
            <v>2006 - 2022</v>
          </cell>
          <cell r="D3196" t="str">
            <v>avg</v>
          </cell>
          <cell r="E3196" t="str">
            <v>prod_for_serv</v>
          </cell>
          <cell r="F3196">
            <v>-0.12842470407485959</v>
          </cell>
        </row>
        <row r="3197">
          <cell r="A3197" t="str">
            <v>PRY</v>
          </cell>
          <cell r="B3197" t="str">
            <v>Long</v>
          </cell>
          <cell r="C3197" t="str">
            <v>2006 - 2022</v>
          </cell>
          <cell r="D3197" t="str">
            <v>avg</v>
          </cell>
          <cell r="E3197" t="str">
            <v>prod_inf_agri</v>
          </cell>
          <cell r="F3197">
            <v>-3.600877046585083</v>
          </cell>
        </row>
        <row r="3198">
          <cell r="A3198" t="str">
            <v>PRY</v>
          </cell>
          <cell r="B3198" t="str">
            <v>Long</v>
          </cell>
          <cell r="C3198" t="str">
            <v>2006 - 2022</v>
          </cell>
          <cell r="D3198" t="str">
            <v>avg</v>
          </cell>
          <cell r="E3198" t="str">
            <v>prod_inf_ind</v>
          </cell>
          <cell r="F3198">
            <v>-0.27736416459083563</v>
          </cell>
        </row>
        <row r="3199">
          <cell r="A3199" t="str">
            <v>PRY</v>
          </cell>
          <cell r="B3199" t="str">
            <v>Long</v>
          </cell>
          <cell r="C3199" t="str">
            <v>2006 - 2022</v>
          </cell>
          <cell r="D3199" t="str">
            <v>avg</v>
          </cell>
          <cell r="E3199" t="str">
            <v>prod_inf_serv</v>
          </cell>
          <cell r="F3199">
            <v>-3.1584665179252618E-2</v>
          </cell>
        </row>
        <row r="3200">
          <cell r="A3200" t="str">
            <v>PRY</v>
          </cell>
          <cell r="B3200" t="str">
            <v>Long</v>
          </cell>
          <cell r="C3200" t="str">
            <v>2006 - 2022</v>
          </cell>
          <cell r="D3200" t="str">
            <v>avg_1_99</v>
          </cell>
          <cell r="E3200" t="str">
            <v>gdp_activity</v>
          </cell>
          <cell r="F3200">
            <v>-1.256256222724915</v>
          </cell>
        </row>
        <row r="3201">
          <cell r="A3201" t="str">
            <v>PRY</v>
          </cell>
          <cell r="B3201" t="str">
            <v>Long</v>
          </cell>
          <cell r="C3201" t="str">
            <v>2006 - 2022</v>
          </cell>
          <cell r="D3201" t="str">
            <v>avg_1_99</v>
          </cell>
          <cell r="E3201" t="str">
            <v>gdp_for_agri</v>
          </cell>
          <cell r="F3201">
            <v>4.1875629425048828</v>
          </cell>
        </row>
        <row r="3202">
          <cell r="A3202" t="str">
            <v>PRY</v>
          </cell>
          <cell r="B3202" t="str">
            <v>Long</v>
          </cell>
          <cell r="C3202" t="str">
            <v>2006 - 2022</v>
          </cell>
          <cell r="D3202" t="str">
            <v>avg_1_99</v>
          </cell>
          <cell r="E3202" t="str">
            <v>gdp_for_ind</v>
          </cell>
          <cell r="F3202">
            <v>2.5048913955688481</v>
          </cell>
        </row>
        <row r="3203">
          <cell r="A3203" t="str">
            <v>PRY</v>
          </cell>
          <cell r="B3203" t="str">
            <v>Long</v>
          </cell>
          <cell r="C3203" t="str">
            <v>2006 - 2022</v>
          </cell>
          <cell r="D3203" t="str">
            <v>avg_1_99</v>
          </cell>
          <cell r="E3203" t="str">
            <v>gdp_for_serv</v>
          </cell>
          <cell r="F3203">
            <v>1.605060935020447</v>
          </cell>
        </row>
        <row r="3204">
          <cell r="A3204" t="str">
            <v>PRY</v>
          </cell>
          <cell r="B3204" t="str">
            <v>Long</v>
          </cell>
          <cell r="C3204" t="str">
            <v>2006 - 2022</v>
          </cell>
          <cell r="D3204" t="str">
            <v>avg_1_99</v>
          </cell>
          <cell r="E3204" t="str">
            <v>gdp_inf_agri</v>
          </cell>
          <cell r="F3204">
            <v>0.472911536693573</v>
          </cell>
        </row>
        <row r="3205">
          <cell r="A3205" t="str">
            <v>PRY</v>
          </cell>
          <cell r="B3205" t="str">
            <v>Long</v>
          </cell>
          <cell r="C3205" t="str">
            <v>2006 - 2022</v>
          </cell>
          <cell r="D3205" t="str">
            <v>avg_1_99</v>
          </cell>
          <cell r="E3205" t="str">
            <v>gdp_inf_ind</v>
          </cell>
          <cell r="F3205">
            <v>7.1432637050747871E-3</v>
          </cell>
        </row>
        <row r="3206">
          <cell r="A3206" t="str">
            <v>PRY</v>
          </cell>
          <cell r="B3206" t="str">
            <v>Long</v>
          </cell>
          <cell r="C3206" t="str">
            <v>2006 - 2022</v>
          </cell>
          <cell r="D3206" t="str">
            <v>avg_1_99</v>
          </cell>
          <cell r="E3206" t="str">
            <v>gdp_inf_serv</v>
          </cell>
          <cell r="F3206">
            <v>1.057212829589844</v>
          </cell>
        </row>
        <row r="3207">
          <cell r="A3207" t="str">
            <v>PRY</v>
          </cell>
          <cell r="B3207" t="str">
            <v>Long</v>
          </cell>
          <cell r="C3207" t="str">
            <v>2006 - 2022</v>
          </cell>
          <cell r="D3207" t="str">
            <v>avg_1_99</v>
          </cell>
          <cell r="E3207" t="str">
            <v>prod_for_agri</v>
          </cell>
          <cell r="F3207">
            <v>-1.2919256687164311</v>
          </cell>
        </row>
        <row r="3208">
          <cell r="A3208" t="str">
            <v>PRY</v>
          </cell>
          <cell r="B3208" t="str">
            <v>Long</v>
          </cell>
          <cell r="C3208" t="str">
            <v>2006 - 2022</v>
          </cell>
          <cell r="D3208" t="str">
            <v>avg_1_99</v>
          </cell>
          <cell r="E3208" t="str">
            <v>prod_for_ind</v>
          </cell>
          <cell r="F3208">
            <v>-2.3695694282650951E-2</v>
          </cell>
        </row>
        <row r="3209">
          <cell r="A3209" t="str">
            <v>PRY</v>
          </cell>
          <cell r="B3209" t="str">
            <v>Long</v>
          </cell>
          <cell r="C3209" t="str">
            <v>2006 - 2022</v>
          </cell>
          <cell r="D3209" t="str">
            <v>avg_1_99</v>
          </cell>
          <cell r="E3209" t="str">
            <v>prod_for_serv</v>
          </cell>
          <cell r="F3209">
            <v>1.4109494164586071E-2</v>
          </cell>
        </row>
        <row r="3210">
          <cell r="A3210" t="str">
            <v>PRY</v>
          </cell>
          <cell r="B3210" t="str">
            <v>Long</v>
          </cell>
          <cell r="C3210" t="str">
            <v>2006 - 2022</v>
          </cell>
          <cell r="D3210" t="str">
            <v>avg_1_99</v>
          </cell>
          <cell r="E3210" t="str">
            <v>prod_inf_agri</v>
          </cell>
          <cell r="F3210">
            <v>-1.250704765319824</v>
          </cell>
        </row>
        <row r="3211">
          <cell r="A3211" t="str">
            <v>PRY</v>
          </cell>
          <cell r="B3211" t="str">
            <v>Long</v>
          </cell>
          <cell r="C3211" t="str">
            <v>2006 - 2022</v>
          </cell>
          <cell r="D3211" t="str">
            <v>avg_1_99</v>
          </cell>
          <cell r="E3211" t="str">
            <v>prod_inf_ind</v>
          </cell>
          <cell r="F3211">
            <v>-0.34210231900215149</v>
          </cell>
        </row>
        <row r="3212">
          <cell r="A3212" t="str">
            <v>PRY</v>
          </cell>
          <cell r="B3212" t="str">
            <v>Long</v>
          </cell>
          <cell r="C3212" t="str">
            <v>2006 - 2022</v>
          </cell>
          <cell r="D3212" t="str">
            <v>avg_1_99</v>
          </cell>
          <cell r="E3212" t="str">
            <v>prod_inf_serv</v>
          </cell>
          <cell r="F3212">
            <v>-0.13179151713848111</v>
          </cell>
        </row>
        <row r="3213">
          <cell r="A3213" t="str">
            <v>PRY</v>
          </cell>
          <cell r="B3213" t="str">
            <v>Long</v>
          </cell>
          <cell r="C3213" t="str">
            <v>2006 - 2022</v>
          </cell>
          <cell r="D3213" t="str">
            <v>avg_1_99_imp</v>
          </cell>
          <cell r="E3213" t="str">
            <v>gdp_activity</v>
          </cell>
          <cell r="F3213">
            <v>-1.059382557868958</v>
          </cell>
        </row>
        <row r="3214">
          <cell r="A3214" t="str">
            <v>PRY</v>
          </cell>
          <cell r="B3214" t="str">
            <v>Long</v>
          </cell>
          <cell r="C3214" t="str">
            <v>2006 - 2022</v>
          </cell>
          <cell r="D3214" t="str">
            <v>avg_1_99_imp</v>
          </cell>
          <cell r="E3214" t="str">
            <v>gdp_for_agri</v>
          </cell>
          <cell r="F3214">
            <v>3.7878682613372798</v>
          </cell>
        </row>
        <row r="3215">
          <cell r="A3215" t="str">
            <v>PRY</v>
          </cell>
          <cell r="B3215" t="str">
            <v>Long</v>
          </cell>
          <cell r="C3215" t="str">
            <v>2006 - 2022</v>
          </cell>
          <cell r="D3215" t="str">
            <v>avg_1_99_imp</v>
          </cell>
          <cell r="E3215" t="str">
            <v>gdp_for_ind</v>
          </cell>
          <cell r="F3215">
            <v>2.5369172096252441</v>
          </cell>
        </row>
        <row r="3216">
          <cell r="A3216" t="str">
            <v>PRY</v>
          </cell>
          <cell r="B3216" t="str">
            <v>Long</v>
          </cell>
          <cell r="C3216" t="str">
            <v>2006 - 2022</v>
          </cell>
          <cell r="D3216" t="str">
            <v>avg_1_99_imp</v>
          </cell>
          <cell r="E3216" t="str">
            <v>gdp_for_serv</v>
          </cell>
          <cell r="F3216">
            <v>1.578163266181946</v>
          </cell>
        </row>
        <row r="3217">
          <cell r="A3217" t="str">
            <v>PRY</v>
          </cell>
          <cell r="B3217" t="str">
            <v>Long</v>
          </cell>
          <cell r="C3217" t="str">
            <v>2006 - 2022</v>
          </cell>
          <cell r="D3217" t="str">
            <v>avg_1_99_imp</v>
          </cell>
          <cell r="E3217" t="str">
            <v>gdp_inf_agri</v>
          </cell>
          <cell r="F3217">
            <v>0.37622624635696411</v>
          </cell>
        </row>
        <row r="3218">
          <cell r="A3218" t="str">
            <v>PRY</v>
          </cell>
          <cell r="B3218" t="str">
            <v>Long</v>
          </cell>
          <cell r="C3218" t="str">
            <v>2006 - 2022</v>
          </cell>
          <cell r="D3218" t="str">
            <v>avg_1_99_imp</v>
          </cell>
          <cell r="E3218" t="str">
            <v>gdp_inf_ind</v>
          </cell>
          <cell r="F3218">
            <v>9.0513654053211212E-2</v>
          </cell>
        </row>
        <row r="3219">
          <cell r="A3219" t="str">
            <v>PRY</v>
          </cell>
          <cell r="B3219" t="str">
            <v>Long</v>
          </cell>
          <cell r="C3219" t="str">
            <v>2006 - 2022</v>
          </cell>
          <cell r="D3219" t="str">
            <v>avg_1_99_imp</v>
          </cell>
          <cell r="E3219" t="str">
            <v>gdp_inf_serv</v>
          </cell>
          <cell r="F3219">
            <v>1.001034617424011</v>
          </cell>
        </row>
        <row r="3220">
          <cell r="A3220" t="str">
            <v>PRY</v>
          </cell>
          <cell r="B3220" t="str">
            <v>Long</v>
          </cell>
          <cell r="C3220" t="str">
            <v>2006 - 2022</v>
          </cell>
          <cell r="D3220" t="str">
            <v>avg_1_99_imp</v>
          </cell>
          <cell r="E3220" t="str">
            <v>prod_for_agri</v>
          </cell>
          <cell r="F3220">
            <v>-1.2653490304946899</v>
          </cell>
        </row>
        <row r="3221">
          <cell r="A3221" t="str">
            <v>PRY</v>
          </cell>
          <cell r="B3221" t="str">
            <v>Long</v>
          </cell>
          <cell r="C3221" t="str">
            <v>2006 - 2022</v>
          </cell>
          <cell r="D3221" t="str">
            <v>avg_1_99_imp</v>
          </cell>
          <cell r="E3221" t="str">
            <v>prod_for_ind</v>
          </cell>
          <cell r="F3221">
            <v>0.43896132707595831</v>
          </cell>
        </row>
        <row r="3222">
          <cell r="A3222" t="str">
            <v>PRY</v>
          </cell>
          <cell r="B3222" t="str">
            <v>Long</v>
          </cell>
          <cell r="C3222" t="str">
            <v>2006 - 2022</v>
          </cell>
          <cell r="D3222" t="str">
            <v>avg_1_99_imp</v>
          </cell>
          <cell r="E3222" t="str">
            <v>prod_for_serv</v>
          </cell>
          <cell r="F3222">
            <v>-9.6972078084945679E-2</v>
          </cell>
        </row>
        <row r="3223">
          <cell r="A3223" t="str">
            <v>PRY</v>
          </cell>
          <cell r="B3223" t="str">
            <v>Long</v>
          </cell>
          <cell r="C3223" t="str">
            <v>2006 - 2022</v>
          </cell>
          <cell r="D3223" t="str">
            <v>avg_1_99_imp</v>
          </cell>
          <cell r="E3223" t="str">
            <v>prod_inf_agri</v>
          </cell>
          <cell r="F3223">
            <v>-1.058178067207336</v>
          </cell>
        </row>
        <row r="3224">
          <cell r="A3224" t="str">
            <v>PRY</v>
          </cell>
          <cell r="B3224" t="str">
            <v>Long</v>
          </cell>
          <cell r="C3224" t="str">
            <v>2006 - 2022</v>
          </cell>
          <cell r="D3224" t="str">
            <v>avg_1_99_imp</v>
          </cell>
          <cell r="E3224" t="str">
            <v>prod_inf_ind</v>
          </cell>
          <cell r="F3224">
            <v>-0.3523697555065155</v>
          </cell>
        </row>
        <row r="3225">
          <cell r="A3225" t="str">
            <v>PRY</v>
          </cell>
          <cell r="B3225" t="str">
            <v>Long</v>
          </cell>
          <cell r="C3225" t="str">
            <v>2006 - 2022</v>
          </cell>
          <cell r="D3225" t="str">
            <v>avg_1_99_imp</v>
          </cell>
          <cell r="E3225" t="str">
            <v>prod_inf_serv</v>
          </cell>
          <cell r="F3225">
            <v>-0.11681860685348509</v>
          </cell>
        </row>
        <row r="3226">
          <cell r="A3226" t="str">
            <v>PRY</v>
          </cell>
          <cell r="B3226" t="str">
            <v>Long</v>
          </cell>
          <cell r="C3226" t="str">
            <v>2006 - 2022</v>
          </cell>
          <cell r="D3226" t="str">
            <v>med_reg</v>
          </cell>
          <cell r="E3226" t="str">
            <v>gdp_activity</v>
          </cell>
          <cell r="F3226">
            <v>0.65731751918792725</v>
          </cell>
        </row>
        <row r="3227">
          <cell r="A3227" t="str">
            <v>PRY</v>
          </cell>
          <cell r="B3227" t="str">
            <v>Long</v>
          </cell>
          <cell r="C3227" t="str">
            <v>2006 - 2022</v>
          </cell>
          <cell r="D3227" t="str">
            <v>med_reg</v>
          </cell>
          <cell r="E3227" t="str">
            <v>gdp_for_agri</v>
          </cell>
          <cell r="F3227">
            <v>1.8447369337081909</v>
          </cell>
        </row>
        <row r="3228">
          <cell r="A3228" t="str">
            <v>PRY</v>
          </cell>
          <cell r="B3228" t="str">
            <v>Long</v>
          </cell>
          <cell r="C3228" t="str">
            <v>2006 - 2022</v>
          </cell>
          <cell r="D3228" t="str">
            <v>med_reg</v>
          </cell>
          <cell r="E3228" t="str">
            <v>gdp_for_ind</v>
          </cell>
          <cell r="F3228">
            <v>1.8857177495956421</v>
          </cell>
        </row>
        <row r="3229">
          <cell r="A3229" t="str">
            <v>PRY</v>
          </cell>
          <cell r="B3229" t="str">
            <v>Long</v>
          </cell>
          <cell r="C3229" t="str">
            <v>2006 - 2022</v>
          </cell>
          <cell r="D3229" t="str">
            <v>med_reg</v>
          </cell>
          <cell r="E3229" t="str">
            <v>gdp_for_serv</v>
          </cell>
          <cell r="F3229">
            <v>1.22631847858429</v>
          </cell>
        </row>
        <row r="3230">
          <cell r="A3230" t="str">
            <v>PRY</v>
          </cell>
          <cell r="B3230" t="str">
            <v>Long</v>
          </cell>
          <cell r="C3230" t="str">
            <v>2006 - 2022</v>
          </cell>
          <cell r="D3230" t="str">
            <v>med_reg</v>
          </cell>
          <cell r="E3230" t="str">
            <v>gdp_inf_agri</v>
          </cell>
          <cell r="F3230">
            <v>-0.31468489766120911</v>
          </cell>
        </row>
        <row r="3231">
          <cell r="A3231" t="str">
            <v>PRY</v>
          </cell>
          <cell r="B3231" t="str">
            <v>Long</v>
          </cell>
          <cell r="C3231" t="str">
            <v>2006 - 2022</v>
          </cell>
          <cell r="D3231" t="str">
            <v>med_reg</v>
          </cell>
          <cell r="E3231" t="str">
            <v>gdp_inf_ind</v>
          </cell>
          <cell r="F3231">
            <v>0.59379708766937256</v>
          </cell>
        </row>
        <row r="3232">
          <cell r="A3232" t="str">
            <v>PRY</v>
          </cell>
          <cell r="B3232" t="str">
            <v>Long</v>
          </cell>
          <cell r="C3232" t="str">
            <v>2006 - 2022</v>
          </cell>
          <cell r="D3232" t="str">
            <v>med_reg</v>
          </cell>
          <cell r="E3232" t="str">
            <v>gdp_inf_serv</v>
          </cell>
          <cell r="F3232">
            <v>0.69061017036437988</v>
          </cell>
        </row>
        <row r="3233">
          <cell r="A3233" t="str">
            <v>PRY</v>
          </cell>
          <cell r="B3233" t="str">
            <v>Long</v>
          </cell>
          <cell r="C3233" t="str">
            <v>2006 - 2022</v>
          </cell>
          <cell r="D3233" t="str">
            <v>med_reg</v>
          </cell>
          <cell r="E3233" t="str">
            <v>prod_for_agri</v>
          </cell>
          <cell r="F3233">
            <v>2.0110193639993671E-2</v>
          </cell>
        </row>
        <row r="3234">
          <cell r="A3234" t="str">
            <v>PRY</v>
          </cell>
          <cell r="B3234" t="str">
            <v>Long</v>
          </cell>
          <cell r="C3234" t="str">
            <v>2006 - 2022</v>
          </cell>
          <cell r="D3234" t="str">
            <v>med_reg</v>
          </cell>
          <cell r="E3234" t="str">
            <v>prod_for_ind</v>
          </cell>
          <cell r="F3234">
            <v>-0.16834272444248199</v>
          </cell>
        </row>
        <row r="3235">
          <cell r="A3235" t="str">
            <v>PRY</v>
          </cell>
          <cell r="B3235" t="str">
            <v>Long</v>
          </cell>
          <cell r="C3235" t="str">
            <v>2006 - 2022</v>
          </cell>
          <cell r="D3235" t="str">
            <v>med_reg</v>
          </cell>
          <cell r="E3235" t="str">
            <v>prod_for_serv</v>
          </cell>
          <cell r="F3235">
            <v>-0.2406510263681412</v>
          </cell>
        </row>
        <row r="3236">
          <cell r="A3236" t="str">
            <v>PRY</v>
          </cell>
          <cell r="B3236" t="str">
            <v>Long</v>
          </cell>
          <cell r="C3236" t="str">
            <v>2006 - 2022</v>
          </cell>
          <cell r="D3236" t="str">
            <v>med_reg</v>
          </cell>
          <cell r="E3236" t="str">
            <v>prod_inf_agri</v>
          </cell>
          <cell r="F3236">
            <v>0.11862253397703169</v>
          </cell>
        </row>
        <row r="3237">
          <cell r="A3237" t="str">
            <v>PRY</v>
          </cell>
          <cell r="B3237" t="str">
            <v>Long</v>
          </cell>
          <cell r="C3237" t="str">
            <v>2006 - 2022</v>
          </cell>
          <cell r="D3237" t="str">
            <v>med_reg</v>
          </cell>
          <cell r="E3237" t="str">
            <v>prod_inf_ind</v>
          </cell>
          <cell r="F3237">
            <v>0.33070412278175348</v>
          </cell>
        </row>
        <row r="3238">
          <cell r="A3238" t="str">
            <v>PRY</v>
          </cell>
          <cell r="B3238" t="str">
            <v>Long</v>
          </cell>
          <cell r="C3238" t="str">
            <v>2006 - 2022</v>
          </cell>
          <cell r="D3238" t="str">
            <v>med_reg</v>
          </cell>
          <cell r="E3238" t="str">
            <v>prod_inf_serv</v>
          </cell>
          <cell r="F3238">
            <v>-0.29117473959922791</v>
          </cell>
        </row>
        <row r="3239">
          <cell r="A3239" t="str">
            <v>PRY</v>
          </cell>
          <cell r="B3239" t="str">
            <v>Long</v>
          </cell>
          <cell r="C3239" t="str">
            <v>2006 - 2022</v>
          </cell>
          <cell r="D3239" t="str">
            <v>reg</v>
          </cell>
          <cell r="E3239" t="str">
            <v>gdp_activity</v>
          </cell>
          <cell r="F3239">
            <v>0.62542349100112915</v>
          </cell>
        </row>
        <row r="3240">
          <cell r="A3240" t="str">
            <v>PRY</v>
          </cell>
          <cell r="B3240" t="str">
            <v>Long</v>
          </cell>
          <cell r="C3240" t="str">
            <v>2006 - 2022</v>
          </cell>
          <cell r="D3240" t="str">
            <v>reg</v>
          </cell>
          <cell r="E3240" t="str">
            <v>gdp_for_agri</v>
          </cell>
          <cell r="F3240">
            <v>1.826322674751282</v>
          </cell>
        </row>
        <row r="3241">
          <cell r="A3241" t="str">
            <v>PRY</v>
          </cell>
          <cell r="B3241" t="str">
            <v>Long</v>
          </cell>
          <cell r="C3241" t="str">
            <v>2006 - 2022</v>
          </cell>
          <cell r="D3241" t="str">
            <v>reg</v>
          </cell>
          <cell r="E3241" t="str">
            <v>gdp_for_ind</v>
          </cell>
          <cell r="F3241">
            <v>1.8166463375091551</v>
          </cell>
        </row>
        <row r="3242">
          <cell r="A3242" t="str">
            <v>PRY</v>
          </cell>
          <cell r="B3242" t="str">
            <v>Long</v>
          </cell>
          <cell r="C3242" t="str">
            <v>2006 - 2022</v>
          </cell>
          <cell r="D3242" t="str">
            <v>reg</v>
          </cell>
          <cell r="E3242" t="str">
            <v>gdp_for_serv</v>
          </cell>
          <cell r="F3242">
            <v>1.241479754447937</v>
          </cell>
        </row>
        <row r="3243">
          <cell r="A3243" t="str">
            <v>PRY</v>
          </cell>
          <cell r="B3243" t="str">
            <v>Long</v>
          </cell>
          <cell r="C3243" t="str">
            <v>2006 - 2022</v>
          </cell>
          <cell r="D3243" t="str">
            <v>reg</v>
          </cell>
          <cell r="E3243" t="str">
            <v>gdp_inf_agri</v>
          </cell>
          <cell r="F3243">
            <v>-0.2327787131071091</v>
          </cell>
        </row>
        <row r="3244">
          <cell r="A3244" t="str">
            <v>PRY</v>
          </cell>
          <cell r="B3244" t="str">
            <v>Long</v>
          </cell>
          <cell r="C3244" t="str">
            <v>2006 - 2022</v>
          </cell>
          <cell r="D3244" t="str">
            <v>reg</v>
          </cell>
          <cell r="E3244" t="str">
            <v>gdp_inf_ind</v>
          </cell>
          <cell r="F3244">
            <v>0.88418614864349365</v>
          </cell>
        </row>
        <row r="3245">
          <cell r="A3245" t="str">
            <v>PRY</v>
          </cell>
          <cell r="B3245" t="str">
            <v>Long</v>
          </cell>
          <cell r="C3245" t="str">
            <v>2006 - 2022</v>
          </cell>
          <cell r="D3245" t="str">
            <v>reg</v>
          </cell>
          <cell r="E3245" t="str">
            <v>gdp_inf_serv</v>
          </cell>
          <cell r="F3245">
            <v>0.92894834280014038</v>
          </cell>
        </row>
        <row r="3246">
          <cell r="A3246" t="str">
            <v>PRY</v>
          </cell>
          <cell r="B3246" t="str">
            <v>Long</v>
          </cell>
          <cell r="C3246" t="str">
            <v>2006 - 2022</v>
          </cell>
          <cell r="D3246" t="str">
            <v>reg</v>
          </cell>
          <cell r="E3246" t="str">
            <v>prod_for_agri</v>
          </cell>
          <cell r="F3246">
            <v>-5.0066102296113968E-2</v>
          </cell>
        </row>
        <row r="3247">
          <cell r="A3247" t="str">
            <v>PRY</v>
          </cell>
          <cell r="B3247" t="str">
            <v>Long</v>
          </cell>
          <cell r="C3247" t="str">
            <v>2006 - 2022</v>
          </cell>
          <cell r="D3247" t="str">
            <v>reg</v>
          </cell>
          <cell r="E3247" t="str">
            <v>prod_for_ind</v>
          </cell>
          <cell r="F3247">
            <v>-0.1745003163814545</v>
          </cell>
        </row>
        <row r="3248">
          <cell r="A3248" t="str">
            <v>PRY</v>
          </cell>
          <cell r="B3248" t="str">
            <v>Long</v>
          </cell>
          <cell r="C3248" t="str">
            <v>2006 - 2022</v>
          </cell>
          <cell r="D3248" t="str">
            <v>reg</v>
          </cell>
          <cell r="E3248" t="str">
            <v>prod_for_serv</v>
          </cell>
          <cell r="F3248">
            <v>-0.12762719392776489</v>
          </cell>
        </row>
        <row r="3249">
          <cell r="A3249" t="str">
            <v>PRY</v>
          </cell>
          <cell r="B3249" t="str">
            <v>Long</v>
          </cell>
          <cell r="C3249" t="str">
            <v>2006 - 2022</v>
          </cell>
          <cell r="D3249" t="str">
            <v>reg</v>
          </cell>
          <cell r="E3249" t="str">
            <v>prod_inf_agri</v>
          </cell>
          <cell r="F3249">
            <v>0.1175015047192574</v>
          </cell>
        </row>
        <row r="3250">
          <cell r="A3250" t="str">
            <v>PRY</v>
          </cell>
          <cell r="B3250" t="str">
            <v>Long</v>
          </cell>
          <cell r="C3250" t="str">
            <v>2006 - 2022</v>
          </cell>
          <cell r="D3250" t="str">
            <v>reg</v>
          </cell>
          <cell r="E3250" t="str">
            <v>prod_inf_ind</v>
          </cell>
          <cell r="F3250">
            <v>-4.4394531287252903E-3</v>
          </cell>
        </row>
        <row r="3251">
          <cell r="A3251" t="str">
            <v>PRY</v>
          </cell>
          <cell r="B3251" t="str">
            <v>Long</v>
          </cell>
          <cell r="C3251" t="str">
            <v>2006 - 2022</v>
          </cell>
          <cell r="D3251" t="str">
            <v>reg</v>
          </cell>
          <cell r="E3251" t="str">
            <v>prod_inf_serv</v>
          </cell>
          <cell r="F3251">
            <v>-0.25681084394454962</v>
          </cell>
        </row>
        <row r="3252">
          <cell r="A3252" t="str">
            <v>PRY</v>
          </cell>
          <cell r="B3252" t="str">
            <v>Long</v>
          </cell>
          <cell r="C3252" t="str">
            <v>2006 - 2022</v>
          </cell>
          <cell r="D3252" t="str">
            <v>reg_gdp</v>
          </cell>
          <cell r="E3252" t="str">
            <v>gdp_activity</v>
          </cell>
          <cell r="F3252">
            <v>0.62542349100112915</v>
          </cell>
        </row>
        <row r="3253">
          <cell r="A3253" t="str">
            <v>PRY</v>
          </cell>
          <cell r="B3253" t="str">
            <v>Long</v>
          </cell>
          <cell r="C3253" t="str">
            <v>2006 - 2022</v>
          </cell>
          <cell r="D3253" t="str">
            <v>reg_gdp</v>
          </cell>
          <cell r="E3253" t="str">
            <v>gdp_for_agri</v>
          </cell>
          <cell r="F3253">
            <v>-0.37277919054031372</v>
          </cell>
        </row>
        <row r="3254">
          <cell r="A3254" t="str">
            <v>PRY</v>
          </cell>
          <cell r="B3254" t="str">
            <v>Long</v>
          </cell>
          <cell r="C3254" t="str">
            <v>2006 - 2022</v>
          </cell>
          <cell r="D3254" t="str">
            <v>reg_gdp</v>
          </cell>
          <cell r="E3254" t="str">
            <v>gdp_for_ind</v>
          </cell>
          <cell r="F3254">
            <v>0.52232670783996582</v>
          </cell>
        </row>
        <row r="3255">
          <cell r="A3255" t="str">
            <v>PRY</v>
          </cell>
          <cell r="B3255" t="str">
            <v>Long</v>
          </cell>
          <cell r="C3255" t="str">
            <v>2006 - 2022</v>
          </cell>
          <cell r="D3255" t="str">
            <v>reg_gdp</v>
          </cell>
          <cell r="E3255" t="str">
            <v>gdp_for_serv</v>
          </cell>
          <cell r="F3255">
            <v>0.75199174880981445</v>
          </cell>
        </row>
        <row r="3256">
          <cell r="A3256" t="str">
            <v>PRY</v>
          </cell>
          <cell r="B3256" t="str">
            <v>Long</v>
          </cell>
          <cell r="C3256" t="str">
            <v>2006 - 2022</v>
          </cell>
          <cell r="D3256" t="str">
            <v>reg_gdp</v>
          </cell>
          <cell r="E3256" t="str">
            <v>gdp_inf_agri</v>
          </cell>
          <cell r="F3256">
            <v>-1.6810537576675419</v>
          </cell>
        </row>
        <row r="3257">
          <cell r="A3257" t="str">
            <v>PRY</v>
          </cell>
          <cell r="B3257" t="str">
            <v>Long</v>
          </cell>
          <cell r="C3257" t="str">
            <v>2006 - 2022</v>
          </cell>
          <cell r="D3257" t="str">
            <v>reg_gdp</v>
          </cell>
          <cell r="E3257" t="str">
            <v>gdp_inf_ind</v>
          </cell>
          <cell r="F3257">
            <v>4.383674144744873</v>
          </cell>
        </row>
        <row r="3258">
          <cell r="A3258" t="str">
            <v>PRY</v>
          </cell>
          <cell r="B3258" t="str">
            <v>Long</v>
          </cell>
          <cell r="C3258" t="str">
            <v>2006 - 2022</v>
          </cell>
          <cell r="D3258" t="str">
            <v>reg_gdp</v>
          </cell>
          <cell r="E3258" t="str">
            <v>gdp_inf_serv</v>
          </cell>
          <cell r="F3258">
            <v>2.084995031356812</v>
          </cell>
        </row>
        <row r="3259">
          <cell r="A3259" t="str">
            <v>PRY</v>
          </cell>
          <cell r="B3259" t="str">
            <v>Long</v>
          </cell>
          <cell r="C3259" t="str">
            <v>2006 - 2022</v>
          </cell>
          <cell r="D3259" t="str">
            <v>reg_gdp</v>
          </cell>
          <cell r="E3259" t="str">
            <v>prod_for_agri</v>
          </cell>
          <cell r="F3259">
            <v>-2.0895075052976608E-2</v>
          </cell>
        </row>
        <row r="3260">
          <cell r="A3260" t="str">
            <v>PRY</v>
          </cell>
          <cell r="B3260" t="str">
            <v>Long</v>
          </cell>
          <cell r="C3260" t="str">
            <v>2006 - 2022</v>
          </cell>
          <cell r="D3260" t="str">
            <v>reg_gdp</v>
          </cell>
          <cell r="E3260" t="str">
            <v>prod_for_ind</v>
          </cell>
          <cell r="F3260">
            <v>-0.17659033834934229</v>
          </cell>
        </row>
        <row r="3261">
          <cell r="A3261" t="str">
            <v>PRY</v>
          </cell>
          <cell r="B3261" t="str">
            <v>Long</v>
          </cell>
          <cell r="C3261" t="str">
            <v>2006 - 2022</v>
          </cell>
          <cell r="D3261" t="str">
            <v>reg_gdp</v>
          </cell>
          <cell r="E3261" t="str">
            <v>prod_for_serv</v>
          </cell>
          <cell r="F3261">
            <v>-0.12925584614276889</v>
          </cell>
        </row>
        <row r="3262">
          <cell r="A3262" t="str">
            <v>PRY</v>
          </cell>
          <cell r="B3262" t="str">
            <v>Long</v>
          </cell>
          <cell r="C3262" t="str">
            <v>2006 - 2022</v>
          </cell>
          <cell r="D3262" t="str">
            <v>reg_gdp</v>
          </cell>
          <cell r="E3262" t="str">
            <v>prod_inf_agri</v>
          </cell>
          <cell r="F3262">
            <v>0.13569386303424841</v>
          </cell>
        </row>
        <row r="3263">
          <cell r="A3263" t="str">
            <v>PRY</v>
          </cell>
          <cell r="B3263" t="str">
            <v>Long</v>
          </cell>
          <cell r="C3263" t="str">
            <v>2006 - 2022</v>
          </cell>
          <cell r="D3263" t="str">
            <v>reg_gdp</v>
          </cell>
          <cell r="E3263" t="str">
            <v>prod_inf_ind</v>
          </cell>
          <cell r="F3263">
            <v>2.551625482738018E-3</v>
          </cell>
        </row>
        <row r="3264">
          <cell r="A3264" t="str">
            <v>PRY</v>
          </cell>
          <cell r="B3264" t="str">
            <v>Long</v>
          </cell>
          <cell r="C3264" t="str">
            <v>2006 - 2022</v>
          </cell>
          <cell r="D3264" t="str">
            <v>reg_gdp</v>
          </cell>
          <cell r="E3264" t="str">
            <v>prod_inf_serv</v>
          </cell>
          <cell r="F3264">
            <v>-0.25710424780845642</v>
          </cell>
        </row>
        <row r="3265">
          <cell r="A3265" t="str">
            <v>PRY</v>
          </cell>
          <cell r="B3265" t="str">
            <v>Long</v>
          </cell>
          <cell r="C3265" t="str">
            <v>2006 - 2022</v>
          </cell>
          <cell r="D3265" t="str">
            <v>reg_iter</v>
          </cell>
          <cell r="E3265" t="str">
            <v>gdp_activity</v>
          </cell>
          <cell r="F3265">
            <v>0.64830535650253296</v>
          </cell>
        </row>
        <row r="3266">
          <cell r="A3266" t="str">
            <v>PRY</v>
          </cell>
          <cell r="B3266" t="str">
            <v>Long</v>
          </cell>
          <cell r="C3266" t="str">
            <v>2006 - 2022</v>
          </cell>
          <cell r="D3266" t="str">
            <v>reg_iter</v>
          </cell>
          <cell r="E3266" t="str">
            <v>gdp_for_agri</v>
          </cell>
          <cell r="F3266">
            <v>2.1596908569335942</v>
          </cell>
        </row>
        <row r="3267">
          <cell r="A3267" t="str">
            <v>PRY</v>
          </cell>
          <cell r="B3267" t="str">
            <v>Long</v>
          </cell>
          <cell r="C3267" t="str">
            <v>2006 - 2022</v>
          </cell>
          <cell r="D3267" t="str">
            <v>reg_iter</v>
          </cell>
          <cell r="E3267" t="str">
            <v>gdp_for_ind</v>
          </cell>
          <cell r="F3267">
            <v>1.813251376152039</v>
          </cell>
        </row>
        <row r="3268">
          <cell r="A3268" t="str">
            <v>PRY</v>
          </cell>
          <cell r="B3268" t="str">
            <v>Long</v>
          </cell>
          <cell r="C3268" t="str">
            <v>2006 - 2022</v>
          </cell>
          <cell r="D3268" t="str">
            <v>reg_iter</v>
          </cell>
          <cell r="E3268" t="str">
            <v>gdp_for_serv</v>
          </cell>
          <cell r="F3268">
            <v>1.254864454269409</v>
          </cell>
        </row>
        <row r="3269">
          <cell r="A3269" t="str">
            <v>PRY</v>
          </cell>
          <cell r="B3269" t="str">
            <v>Long</v>
          </cell>
          <cell r="C3269" t="str">
            <v>2006 - 2022</v>
          </cell>
          <cell r="D3269" t="str">
            <v>reg_iter</v>
          </cell>
          <cell r="E3269" t="str">
            <v>gdp_inf_agri</v>
          </cell>
          <cell r="F3269">
            <v>0.90236186981201172</v>
          </cell>
        </row>
        <row r="3270">
          <cell r="A3270" t="str">
            <v>PRY</v>
          </cell>
          <cell r="B3270" t="str">
            <v>Long</v>
          </cell>
          <cell r="C3270" t="str">
            <v>2006 - 2022</v>
          </cell>
          <cell r="D3270" t="str">
            <v>reg_iter</v>
          </cell>
          <cell r="E3270" t="str">
            <v>gdp_inf_ind</v>
          </cell>
          <cell r="F3270">
            <v>1.030269980430603</v>
          </cell>
        </row>
        <row r="3271">
          <cell r="A3271" t="str">
            <v>PRY</v>
          </cell>
          <cell r="B3271" t="str">
            <v>Long</v>
          </cell>
          <cell r="C3271" t="str">
            <v>2006 - 2022</v>
          </cell>
          <cell r="D3271" t="str">
            <v>reg_iter</v>
          </cell>
          <cell r="E3271" t="str">
            <v>gdp_inf_serv</v>
          </cell>
          <cell r="F3271">
            <v>1.1800359487533569</v>
          </cell>
        </row>
        <row r="3272">
          <cell r="A3272" t="str">
            <v>PRY</v>
          </cell>
          <cell r="B3272" t="str">
            <v>Long</v>
          </cell>
          <cell r="C3272" t="str">
            <v>2006 - 2022</v>
          </cell>
          <cell r="D3272" t="str">
            <v>reg_iter</v>
          </cell>
          <cell r="E3272" t="str">
            <v>prod_for_agri</v>
          </cell>
          <cell r="F3272">
            <v>0.37106925249099731</v>
          </cell>
        </row>
        <row r="3273">
          <cell r="A3273" t="str">
            <v>PRY</v>
          </cell>
          <cell r="B3273" t="str">
            <v>Long</v>
          </cell>
          <cell r="C3273" t="str">
            <v>2006 - 2022</v>
          </cell>
          <cell r="D3273" t="str">
            <v>reg_iter</v>
          </cell>
          <cell r="E3273" t="str">
            <v>prod_for_ind</v>
          </cell>
          <cell r="F3273">
            <v>9.4847030937671661E-2</v>
          </cell>
        </row>
        <row r="3274">
          <cell r="A3274" t="str">
            <v>PRY</v>
          </cell>
          <cell r="B3274" t="str">
            <v>Long</v>
          </cell>
          <cell r="C3274" t="str">
            <v>2006 - 2022</v>
          </cell>
          <cell r="D3274" t="str">
            <v>reg_iter</v>
          </cell>
          <cell r="E3274" t="str">
            <v>prod_for_serv</v>
          </cell>
          <cell r="F3274">
            <v>-1.1835769414901729</v>
          </cell>
        </row>
        <row r="3275">
          <cell r="A3275" t="str">
            <v>PRY</v>
          </cell>
          <cell r="B3275" t="str">
            <v>Long</v>
          </cell>
          <cell r="C3275" t="str">
            <v>2006 - 2022</v>
          </cell>
          <cell r="D3275" t="str">
            <v>reg_iter</v>
          </cell>
          <cell r="E3275" t="str">
            <v>prod_inf_agri</v>
          </cell>
          <cell r="F3275">
            <v>0.27280116081237787</v>
          </cell>
        </row>
        <row r="3276">
          <cell r="A3276" t="str">
            <v>PRY</v>
          </cell>
          <cell r="B3276" t="str">
            <v>Long</v>
          </cell>
          <cell r="C3276" t="str">
            <v>2006 - 2022</v>
          </cell>
          <cell r="D3276" t="str">
            <v>reg_iter</v>
          </cell>
          <cell r="E3276" t="str">
            <v>prod_inf_ind</v>
          </cell>
          <cell r="F3276">
            <v>-0.4403107762336731</v>
          </cell>
        </row>
        <row r="3277">
          <cell r="A3277" t="str">
            <v>PRY</v>
          </cell>
          <cell r="B3277" t="str">
            <v>Long</v>
          </cell>
          <cell r="C3277" t="str">
            <v>2006 - 2022</v>
          </cell>
          <cell r="D3277" t="str">
            <v>reg_iter</v>
          </cell>
          <cell r="E3277" t="str">
            <v>prod_inf_serv</v>
          </cell>
          <cell r="F3277">
            <v>-0.67654752731323242</v>
          </cell>
        </row>
        <row r="3278">
          <cell r="A3278" t="str">
            <v>PRY</v>
          </cell>
          <cell r="B3278" t="str">
            <v>Middle</v>
          </cell>
          <cell r="C3278" t="str">
            <v>2015 - 2022</v>
          </cell>
          <cell r="D3278" t="str">
            <v>avg</v>
          </cell>
          <cell r="E3278" t="str">
            <v>gdp_activity</v>
          </cell>
          <cell r="F3278">
            <v>-0.86103963851928711</v>
          </cell>
        </row>
        <row r="3279">
          <cell r="A3279" t="str">
            <v>PRY</v>
          </cell>
          <cell r="B3279" t="str">
            <v>Middle</v>
          </cell>
          <cell r="C3279" t="str">
            <v>2015 - 2022</v>
          </cell>
          <cell r="D3279" t="str">
            <v>avg</v>
          </cell>
          <cell r="E3279" t="str">
            <v>gdp_for_agri</v>
          </cell>
          <cell r="F3279">
            <v>7.0065531730651864</v>
          </cell>
        </row>
        <row r="3280">
          <cell r="A3280" t="str">
            <v>PRY</v>
          </cell>
          <cell r="B3280" t="str">
            <v>Middle</v>
          </cell>
          <cell r="C3280" t="str">
            <v>2015 - 2022</v>
          </cell>
          <cell r="D3280" t="str">
            <v>avg</v>
          </cell>
          <cell r="E3280" t="str">
            <v>gdp_for_ind</v>
          </cell>
          <cell r="F3280">
            <v>3.2056303024291992</v>
          </cell>
        </row>
        <row r="3281">
          <cell r="A3281" t="str">
            <v>PRY</v>
          </cell>
          <cell r="B3281" t="str">
            <v>Middle</v>
          </cell>
          <cell r="C3281" t="str">
            <v>2015 - 2022</v>
          </cell>
          <cell r="D3281" t="str">
            <v>avg</v>
          </cell>
          <cell r="E3281" t="str">
            <v>gdp_for_serv</v>
          </cell>
          <cell r="F3281">
            <v>1.3771036863327031</v>
          </cell>
        </row>
        <row r="3282">
          <cell r="A3282" t="str">
            <v>PRY</v>
          </cell>
          <cell r="B3282" t="str">
            <v>Middle</v>
          </cell>
          <cell r="C3282" t="str">
            <v>2015 - 2022</v>
          </cell>
          <cell r="D3282" t="str">
            <v>avg</v>
          </cell>
          <cell r="E3282" t="str">
            <v>gdp_inf_agri</v>
          </cell>
          <cell r="F3282">
            <v>1.2341785430908201</v>
          </cell>
        </row>
        <row r="3283">
          <cell r="A3283" t="str">
            <v>PRY</v>
          </cell>
          <cell r="B3283" t="str">
            <v>Middle</v>
          </cell>
          <cell r="C3283" t="str">
            <v>2015 - 2022</v>
          </cell>
          <cell r="D3283" t="str">
            <v>avg</v>
          </cell>
          <cell r="E3283" t="str">
            <v>gdp_inf_ind</v>
          </cell>
          <cell r="F3283">
            <v>-1.2648957967758181</v>
          </cell>
        </row>
        <row r="3284">
          <cell r="A3284" t="str">
            <v>PRY</v>
          </cell>
          <cell r="B3284" t="str">
            <v>Middle</v>
          </cell>
          <cell r="C3284" t="str">
            <v>2015 - 2022</v>
          </cell>
          <cell r="D3284" t="str">
            <v>avg</v>
          </cell>
          <cell r="E3284" t="str">
            <v>gdp_inf_serv</v>
          </cell>
          <cell r="F3284">
            <v>1.3169035911560061</v>
          </cell>
        </row>
        <row r="3285">
          <cell r="A3285" t="str">
            <v>PRY</v>
          </cell>
          <cell r="B3285" t="str">
            <v>Middle</v>
          </cell>
          <cell r="C3285" t="str">
            <v>2015 - 2022</v>
          </cell>
          <cell r="D3285" t="str">
            <v>avg</v>
          </cell>
          <cell r="E3285" t="str">
            <v>prod_for_agri</v>
          </cell>
          <cell r="F3285">
            <v>-3.9032993316650391</v>
          </cell>
        </row>
        <row r="3286">
          <cell r="A3286" t="str">
            <v>PRY</v>
          </cell>
          <cell r="B3286" t="str">
            <v>Middle</v>
          </cell>
          <cell r="C3286" t="str">
            <v>2015 - 2022</v>
          </cell>
          <cell r="D3286" t="str">
            <v>avg</v>
          </cell>
          <cell r="E3286" t="str">
            <v>prod_for_ind</v>
          </cell>
          <cell r="F3286">
            <v>0.39884737133979797</v>
          </cell>
        </row>
        <row r="3287">
          <cell r="A3287" t="str">
            <v>PRY</v>
          </cell>
          <cell r="B3287" t="str">
            <v>Middle</v>
          </cell>
          <cell r="C3287" t="str">
            <v>2015 - 2022</v>
          </cell>
          <cell r="D3287" t="str">
            <v>avg</v>
          </cell>
          <cell r="E3287" t="str">
            <v>prod_for_serv</v>
          </cell>
          <cell r="F3287">
            <v>0.83276200294494629</v>
          </cell>
        </row>
        <row r="3288">
          <cell r="A3288" t="str">
            <v>PRY</v>
          </cell>
          <cell r="B3288" t="str">
            <v>Middle</v>
          </cell>
          <cell r="C3288" t="str">
            <v>2015 - 2022</v>
          </cell>
          <cell r="D3288" t="str">
            <v>avg</v>
          </cell>
          <cell r="E3288" t="str">
            <v>prod_inf_agri</v>
          </cell>
          <cell r="F3288">
            <v>-8.0716438293457031</v>
          </cell>
        </row>
        <row r="3289">
          <cell r="A3289" t="str">
            <v>PRY</v>
          </cell>
          <cell r="B3289" t="str">
            <v>Middle</v>
          </cell>
          <cell r="C3289" t="str">
            <v>2015 - 2022</v>
          </cell>
          <cell r="D3289" t="str">
            <v>avg</v>
          </cell>
          <cell r="E3289" t="str">
            <v>prod_inf_ind</v>
          </cell>
          <cell r="F3289">
            <v>-1.072163939476013</v>
          </cell>
        </row>
        <row r="3290">
          <cell r="A3290" t="str">
            <v>PRY</v>
          </cell>
          <cell r="B3290" t="str">
            <v>Middle</v>
          </cell>
          <cell r="C3290" t="str">
            <v>2015 - 2022</v>
          </cell>
          <cell r="D3290" t="str">
            <v>avg</v>
          </cell>
          <cell r="E3290" t="str">
            <v>prod_inf_serv</v>
          </cell>
          <cell r="F3290">
            <v>-0.31185129284858698</v>
          </cell>
        </row>
        <row r="3291">
          <cell r="A3291" t="str">
            <v>PRY</v>
          </cell>
          <cell r="B3291" t="str">
            <v>Middle</v>
          </cell>
          <cell r="C3291" t="str">
            <v>2015 - 2022</v>
          </cell>
          <cell r="D3291" t="str">
            <v>avg_1_99</v>
          </cell>
          <cell r="E3291" t="str">
            <v>gdp_activity</v>
          </cell>
          <cell r="F3291">
            <v>-1.1932675838470459</v>
          </cell>
        </row>
        <row r="3292">
          <cell r="A3292" t="str">
            <v>PRY</v>
          </cell>
          <cell r="B3292" t="str">
            <v>Middle</v>
          </cell>
          <cell r="C3292" t="str">
            <v>2015 - 2022</v>
          </cell>
          <cell r="D3292" t="str">
            <v>avg_1_99</v>
          </cell>
          <cell r="E3292" t="str">
            <v>gdp_for_agri</v>
          </cell>
          <cell r="F3292">
            <v>4.0603761672973633</v>
          </cell>
        </row>
        <row r="3293">
          <cell r="A3293" t="str">
            <v>PRY</v>
          </cell>
          <cell r="B3293" t="str">
            <v>Middle</v>
          </cell>
          <cell r="C3293" t="str">
            <v>2015 - 2022</v>
          </cell>
          <cell r="D3293" t="str">
            <v>avg_1_99</v>
          </cell>
          <cell r="E3293" t="str">
            <v>gdp_for_ind</v>
          </cell>
          <cell r="F3293">
            <v>2.0947191715240479</v>
          </cell>
        </row>
        <row r="3294">
          <cell r="A3294" t="str">
            <v>PRY</v>
          </cell>
          <cell r="B3294" t="str">
            <v>Middle</v>
          </cell>
          <cell r="C3294" t="str">
            <v>2015 - 2022</v>
          </cell>
          <cell r="D3294" t="str">
            <v>avg_1_99</v>
          </cell>
          <cell r="E3294" t="str">
            <v>gdp_for_serv</v>
          </cell>
          <cell r="F3294">
            <v>0.99797952175140381</v>
          </cell>
        </row>
        <row r="3295">
          <cell r="A3295" t="str">
            <v>PRY</v>
          </cell>
          <cell r="B3295" t="str">
            <v>Middle</v>
          </cell>
          <cell r="C3295" t="str">
            <v>2015 - 2022</v>
          </cell>
          <cell r="D3295" t="str">
            <v>avg_1_99</v>
          </cell>
          <cell r="E3295" t="str">
            <v>gdp_inf_agri</v>
          </cell>
          <cell r="F3295">
            <v>1.2341785430908201</v>
          </cell>
        </row>
        <row r="3296">
          <cell r="A3296" t="str">
            <v>PRY</v>
          </cell>
          <cell r="B3296" t="str">
            <v>Middle</v>
          </cell>
          <cell r="C3296" t="str">
            <v>2015 - 2022</v>
          </cell>
          <cell r="D3296" t="str">
            <v>avg_1_99</v>
          </cell>
          <cell r="E3296" t="str">
            <v>gdp_inf_ind</v>
          </cell>
          <cell r="F3296">
            <v>0.40394487977027888</v>
          </cell>
        </row>
        <row r="3297">
          <cell r="A3297" t="str">
            <v>PRY</v>
          </cell>
          <cell r="B3297" t="str">
            <v>Middle</v>
          </cell>
          <cell r="C3297" t="str">
            <v>2015 - 2022</v>
          </cell>
          <cell r="D3297" t="str">
            <v>avg_1_99</v>
          </cell>
          <cell r="E3297" t="str">
            <v>gdp_inf_serv</v>
          </cell>
          <cell r="F3297">
            <v>1.3169035911560061</v>
          </cell>
        </row>
        <row r="3298">
          <cell r="A3298" t="str">
            <v>PRY</v>
          </cell>
          <cell r="B3298" t="str">
            <v>Middle</v>
          </cell>
          <cell r="C3298" t="str">
            <v>2015 - 2022</v>
          </cell>
          <cell r="D3298" t="str">
            <v>avg_1_99</v>
          </cell>
          <cell r="E3298" t="str">
            <v>prod_for_agri</v>
          </cell>
          <cell r="F3298">
            <v>-2.0374083518981929</v>
          </cell>
        </row>
        <row r="3299">
          <cell r="A3299" t="str">
            <v>PRY</v>
          </cell>
          <cell r="B3299" t="str">
            <v>Middle</v>
          </cell>
          <cell r="C3299" t="str">
            <v>2015 - 2022</v>
          </cell>
          <cell r="D3299" t="str">
            <v>avg_1_99</v>
          </cell>
          <cell r="E3299" t="str">
            <v>prod_for_ind</v>
          </cell>
          <cell r="F3299">
            <v>1.235032796859741</v>
          </cell>
        </row>
        <row r="3300">
          <cell r="A3300" t="str">
            <v>PRY</v>
          </cell>
          <cell r="B3300" t="str">
            <v>Middle</v>
          </cell>
          <cell r="C3300" t="str">
            <v>2015 - 2022</v>
          </cell>
          <cell r="D3300" t="str">
            <v>avg_1_99</v>
          </cell>
          <cell r="E3300" t="str">
            <v>prod_for_serv</v>
          </cell>
          <cell r="F3300">
            <v>0.51246064901351929</v>
          </cell>
        </row>
        <row r="3301">
          <cell r="A3301" t="str">
            <v>PRY</v>
          </cell>
          <cell r="B3301" t="str">
            <v>Middle</v>
          </cell>
          <cell r="C3301" t="str">
            <v>2015 - 2022</v>
          </cell>
          <cell r="D3301" t="str">
            <v>avg_1_99</v>
          </cell>
          <cell r="E3301" t="str">
            <v>prod_inf_agri</v>
          </cell>
          <cell r="F3301">
            <v>-2.7231101989746089</v>
          </cell>
        </row>
        <row r="3302">
          <cell r="A3302" t="str">
            <v>PRY</v>
          </cell>
          <cell r="B3302" t="str">
            <v>Middle</v>
          </cell>
          <cell r="C3302" t="str">
            <v>2015 - 2022</v>
          </cell>
          <cell r="D3302" t="str">
            <v>avg_1_99</v>
          </cell>
          <cell r="E3302" t="str">
            <v>prod_inf_ind</v>
          </cell>
          <cell r="F3302">
            <v>-0.19048891961574549</v>
          </cell>
        </row>
        <row r="3303">
          <cell r="A3303" t="str">
            <v>PRY</v>
          </cell>
          <cell r="B3303" t="str">
            <v>Middle</v>
          </cell>
          <cell r="C3303" t="str">
            <v>2015 - 2022</v>
          </cell>
          <cell r="D3303" t="str">
            <v>avg_1_99</v>
          </cell>
          <cell r="E3303" t="str">
            <v>prod_inf_serv</v>
          </cell>
          <cell r="F3303">
            <v>0.20508779585361481</v>
          </cell>
        </row>
        <row r="3304">
          <cell r="A3304" t="str">
            <v>PRY</v>
          </cell>
          <cell r="B3304" t="str">
            <v>Middle</v>
          </cell>
          <cell r="C3304" t="str">
            <v>2015 - 2022</v>
          </cell>
          <cell r="D3304" t="str">
            <v>avg_1_99_imp</v>
          </cell>
          <cell r="E3304" t="str">
            <v>gdp_activity</v>
          </cell>
          <cell r="F3304">
            <v>-0.99241179227828979</v>
          </cell>
        </row>
        <row r="3305">
          <cell r="A3305" t="str">
            <v>PRY</v>
          </cell>
          <cell r="B3305" t="str">
            <v>Middle</v>
          </cell>
          <cell r="C3305" t="str">
            <v>2015 - 2022</v>
          </cell>
          <cell r="D3305" t="str">
            <v>avg_1_99_imp</v>
          </cell>
          <cell r="E3305" t="str">
            <v>gdp_for_agri</v>
          </cell>
          <cell r="F3305">
            <v>3.8172116279602051</v>
          </cell>
        </row>
        <row r="3306">
          <cell r="A3306" t="str">
            <v>PRY</v>
          </cell>
          <cell r="B3306" t="str">
            <v>Middle</v>
          </cell>
          <cell r="C3306" t="str">
            <v>2015 - 2022</v>
          </cell>
          <cell r="D3306" t="str">
            <v>avg_1_99_imp</v>
          </cell>
          <cell r="E3306" t="str">
            <v>gdp_for_ind</v>
          </cell>
          <cell r="F3306">
            <v>2.175716876983643</v>
          </cell>
        </row>
        <row r="3307">
          <cell r="A3307" t="str">
            <v>PRY</v>
          </cell>
          <cell r="B3307" t="str">
            <v>Middle</v>
          </cell>
          <cell r="C3307" t="str">
            <v>2015 - 2022</v>
          </cell>
          <cell r="D3307" t="str">
            <v>avg_1_99_imp</v>
          </cell>
          <cell r="E3307" t="str">
            <v>gdp_for_serv</v>
          </cell>
          <cell r="F3307">
            <v>1.0483705997467041</v>
          </cell>
        </row>
        <row r="3308">
          <cell r="A3308" t="str">
            <v>PRY</v>
          </cell>
          <cell r="B3308" t="str">
            <v>Middle</v>
          </cell>
          <cell r="C3308" t="str">
            <v>2015 - 2022</v>
          </cell>
          <cell r="D3308" t="str">
            <v>avg_1_99_imp</v>
          </cell>
          <cell r="E3308" t="str">
            <v>gdp_inf_agri</v>
          </cell>
          <cell r="F3308">
            <v>1.2341785430908201</v>
          </cell>
        </row>
        <row r="3309">
          <cell r="A3309" t="str">
            <v>PRY</v>
          </cell>
          <cell r="B3309" t="str">
            <v>Middle</v>
          </cell>
          <cell r="C3309" t="str">
            <v>2015 - 2022</v>
          </cell>
          <cell r="D3309" t="str">
            <v>avg_1_99_imp</v>
          </cell>
          <cell r="E3309" t="str">
            <v>gdp_inf_ind</v>
          </cell>
          <cell r="F3309">
            <v>0.43250441551208502</v>
          </cell>
        </row>
        <row r="3310">
          <cell r="A3310" t="str">
            <v>PRY</v>
          </cell>
          <cell r="B3310" t="str">
            <v>Middle</v>
          </cell>
          <cell r="C3310" t="str">
            <v>2015 - 2022</v>
          </cell>
          <cell r="D3310" t="str">
            <v>avg_1_99_imp</v>
          </cell>
          <cell r="E3310" t="str">
            <v>gdp_inf_serv</v>
          </cell>
          <cell r="F3310">
            <v>1.3169035911560061</v>
          </cell>
        </row>
        <row r="3311">
          <cell r="A3311" t="str">
            <v>PRY</v>
          </cell>
          <cell r="B3311" t="str">
            <v>Middle</v>
          </cell>
          <cell r="C3311" t="str">
            <v>2015 - 2022</v>
          </cell>
          <cell r="D3311" t="str">
            <v>avg_1_99_imp</v>
          </cell>
          <cell r="E3311" t="str">
            <v>prod_for_agri</v>
          </cell>
          <cell r="F3311">
            <v>-1.557321190834045</v>
          </cell>
        </row>
        <row r="3312">
          <cell r="A3312" t="str">
            <v>PRY</v>
          </cell>
          <cell r="B3312" t="str">
            <v>Middle</v>
          </cell>
          <cell r="C3312" t="str">
            <v>2015 - 2022</v>
          </cell>
          <cell r="D3312" t="str">
            <v>avg_1_99_imp</v>
          </cell>
          <cell r="E3312" t="str">
            <v>prod_for_ind</v>
          </cell>
          <cell r="F3312">
            <v>1.05286705493927</v>
          </cell>
        </row>
        <row r="3313">
          <cell r="A3313" t="str">
            <v>PRY</v>
          </cell>
          <cell r="B3313" t="str">
            <v>Middle</v>
          </cell>
          <cell r="C3313" t="str">
            <v>2015 - 2022</v>
          </cell>
          <cell r="D3313" t="str">
            <v>avg_1_99_imp</v>
          </cell>
          <cell r="E3313" t="str">
            <v>prod_for_serv</v>
          </cell>
          <cell r="F3313">
            <v>0.5253521203994751</v>
          </cell>
        </row>
        <row r="3314">
          <cell r="A3314" t="str">
            <v>PRY</v>
          </cell>
          <cell r="B3314" t="str">
            <v>Middle</v>
          </cell>
          <cell r="C3314" t="str">
            <v>2015 - 2022</v>
          </cell>
          <cell r="D3314" t="str">
            <v>avg_1_99_imp</v>
          </cell>
          <cell r="E3314" t="str">
            <v>prod_inf_agri</v>
          </cell>
          <cell r="F3314">
            <v>-2.6586024761199951</v>
          </cell>
        </row>
        <row r="3315">
          <cell r="A3315" t="str">
            <v>PRY</v>
          </cell>
          <cell r="B3315" t="str">
            <v>Middle</v>
          </cell>
          <cell r="C3315" t="str">
            <v>2015 - 2022</v>
          </cell>
          <cell r="D3315" t="str">
            <v>avg_1_99_imp</v>
          </cell>
          <cell r="E3315" t="str">
            <v>prod_inf_ind</v>
          </cell>
          <cell r="F3315">
            <v>-0.1943823844194412</v>
          </cell>
        </row>
        <row r="3316">
          <cell r="A3316" t="str">
            <v>PRY</v>
          </cell>
          <cell r="B3316" t="str">
            <v>Middle</v>
          </cell>
          <cell r="C3316" t="str">
            <v>2015 - 2022</v>
          </cell>
          <cell r="D3316" t="str">
            <v>avg_1_99_imp</v>
          </cell>
          <cell r="E3316" t="str">
            <v>prod_inf_serv</v>
          </cell>
          <cell r="F3316">
            <v>0.25706759095191961</v>
          </cell>
        </row>
        <row r="3317">
          <cell r="A3317" t="str">
            <v>PRY</v>
          </cell>
          <cell r="B3317" t="str">
            <v>Middle</v>
          </cell>
          <cell r="C3317" t="str">
            <v>2015 - 2022</v>
          </cell>
          <cell r="D3317" t="str">
            <v>reg</v>
          </cell>
          <cell r="E3317" t="str">
            <v>gdp_activity</v>
          </cell>
          <cell r="F3317">
            <v>0.93351495265960693</v>
          </cell>
        </row>
        <row r="3318">
          <cell r="A3318" t="str">
            <v>PRY</v>
          </cell>
          <cell r="B3318" t="str">
            <v>Middle</v>
          </cell>
          <cell r="C3318" t="str">
            <v>2015 - 2022</v>
          </cell>
          <cell r="D3318" t="str">
            <v>reg</v>
          </cell>
          <cell r="E3318" t="str">
            <v>gdp_for_agri</v>
          </cell>
          <cell r="F3318">
            <v>1.0615460872650151</v>
          </cell>
        </row>
        <row r="3319">
          <cell r="A3319" t="str">
            <v>PRY</v>
          </cell>
          <cell r="B3319" t="str">
            <v>Middle</v>
          </cell>
          <cell r="C3319" t="str">
            <v>2015 - 2022</v>
          </cell>
          <cell r="D3319" t="str">
            <v>reg</v>
          </cell>
          <cell r="E3319" t="str">
            <v>gdp_for_ind</v>
          </cell>
          <cell r="F3319">
            <v>1.6623514890670781</v>
          </cell>
        </row>
        <row r="3320">
          <cell r="A3320" t="str">
            <v>PRY</v>
          </cell>
          <cell r="B3320" t="str">
            <v>Middle</v>
          </cell>
          <cell r="C3320" t="str">
            <v>2015 - 2022</v>
          </cell>
          <cell r="D3320" t="str">
            <v>reg</v>
          </cell>
          <cell r="E3320" t="str">
            <v>gdp_for_serv</v>
          </cell>
          <cell r="F3320">
            <v>0.88255643844604492</v>
          </cell>
        </row>
        <row r="3321">
          <cell r="A3321" t="str">
            <v>PRY</v>
          </cell>
          <cell r="B3321" t="str">
            <v>Middle</v>
          </cell>
          <cell r="C3321" t="str">
            <v>2015 - 2022</v>
          </cell>
          <cell r="D3321" t="str">
            <v>reg</v>
          </cell>
          <cell r="E3321" t="str">
            <v>gdp_inf_agri</v>
          </cell>
          <cell r="F3321">
            <v>0.80371308326721191</v>
          </cell>
        </row>
        <row r="3322">
          <cell r="A3322" t="str">
            <v>PRY</v>
          </cell>
          <cell r="B3322" t="str">
            <v>Middle</v>
          </cell>
          <cell r="C3322" t="str">
            <v>2015 - 2022</v>
          </cell>
          <cell r="D3322" t="str">
            <v>reg</v>
          </cell>
          <cell r="E3322" t="str">
            <v>gdp_inf_ind</v>
          </cell>
          <cell r="F3322">
            <v>0.47497305274009699</v>
          </cell>
        </row>
        <row r="3323">
          <cell r="A3323" t="str">
            <v>PRY</v>
          </cell>
          <cell r="B3323" t="str">
            <v>Middle</v>
          </cell>
          <cell r="C3323" t="str">
            <v>2015 - 2022</v>
          </cell>
          <cell r="D3323" t="str">
            <v>reg</v>
          </cell>
          <cell r="E3323" t="str">
            <v>gdp_inf_serv</v>
          </cell>
          <cell r="F3323">
            <v>0.98175162076950073</v>
          </cell>
        </row>
        <row r="3324">
          <cell r="A3324" t="str">
            <v>PRY</v>
          </cell>
          <cell r="B3324" t="str">
            <v>Middle</v>
          </cell>
          <cell r="C3324" t="str">
            <v>2015 - 2022</v>
          </cell>
          <cell r="D3324" t="str">
            <v>reg</v>
          </cell>
          <cell r="E3324" t="str">
            <v>prod_for_agri</v>
          </cell>
          <cell r="F3324">
            <v>-0.90352469682693481</v>
          </cell>
        </row>
        <row r="3325">
          <cell r="A3325" t="str">
            <v>PRY</v>
          </cell>
          <cell r="B3325" t="str">
            <v>Middle</v>
          </cell>
          <cell r="C3325" t="str">
            <v>2015 - 2022</v>
          </cell>
          <cell r="D3325" t="str">
            <v>reg</v>
          </cell>
          <cell r="E3325" t="str">
            <v>prod_for_ind</v>
          </cell>
          <cell r="F3325">
            <v>-0.43432223796844482</v>
          </cell>
        </row>
        <row r="3326">
          <cell r="A3326" t="str">
            <v>PRY</v>
          </cell>
          <cell r="B3326" t="str">
            <v>Middle</v>
          </cell>
          <cell r="C3326" t="str">
            <v>2015 - 2022</v>
          </cell>
          <cell r="D3326" t="str">
            <v>reg</v>
          </cell>
          <cell r="E3326" t="str">
            <v>prod_for_serv</v>
          </cell>
          <cell r="F3326">
            <v>0.80921190977096558</v>
          </cell>
        </row>
        <row r="3327">
          <cell r="A3327" t="str">
            <v>PRY</v>
          </cell>
          <cell r="B3327" t="str">
            <v>Middle</v>
          </cell>
          <cell r="C3327" t="str">
            <v>2015 - 2022</v>
          </cell>
          <cell r="D3327" t="str">
            <v>reg</v>
          </cell>
          <cell r="E3327" t="str">
            <v>prod_inf_agri</v>
          </cell>
          <cell r="F3327">
            <v>0.77675372362136841</v>
          </cell>
        </row>
        <row r="3328">
          <cell r="A3328" t="str">
            <v>PRY</v>
          </cell>
          <cell r="B3328" t="str">
            <v>Middle</v>
          </cell>
          <cell r="C3328" t="str">
            <v>2015 - 2022</v>
          </cell>
          <cell r="D3328" t="str">
            <v>reg</v>
          </cell>
          <cell r="E3328" t="str">
            <v>prod_inf_ind</v>
          </cell>
          <cell r="F3328">
            <v>0.16828171908855441</v>
          </cell>
        </row>
        <row r="3329">
          <cell r="A3329" t="str">
            <v>PRY</v>
          </cell>
          <cell r="B3329" t="str">
            <v>Middle</v>
          </cell>
          <cell r="C3329" t="str">
            <v>2015 - 2022</v>
          </cell>
          <cell r="D3329" t="str">
            <v>reg</v>
          </cell>
          <cell r="E3329" t="str">
            <v>prod_inf_serv</v>
          </cell>
          <cell r="F3329">
            <v>-0.53991788625717163</v>
          </cell>
        </row>
        <row r="3330">
          <cell r="A3330" t="str">
            <v>PRY</v>
          </cell>
          <cell r="B3330" t="str">
            <v>Middle</v>
          </cell>
          <cell r="C3330" t="str">
            <v>2015 - 2022</v>
          </cell>
          <cell r="D3330" t="str">
            <v>reg_gdp</v>
          </cell>
          <cell r="E3330" t="str">
            <v>gdp_activity</v>
          </cell>
          <cell r="F3330">
            <v>0.93351495265960693</v>
          </cell>
        </row>
        <row r="3331">
          <cell r="A3331" t="str">
            <v>PRY</v>
          </cell>
          <cell r="B3331" t="str">
            <v>Middle</v>
          </cell>
          <cell r="C3331" t="str">
            <v>2015 - 2022</v>
          </cell>
          <cell r="D3331" t="str">
            <v>reg_gdp</v>
          </cell>
          <cell r="E3331" t="str">
            <v>gdp_for_agri</v>
          </cell>
          <cell r="F3331">
            <v>1.138224124908447</v>
          </cell>
        </row>
        <row r="3332">
          <cell r="A3332" t="str">
            <v>PRY</v>
          </cell>
          <cell r="B3332" t="str">
            <v>Middle</v>
          </cell>
          <cell r="C3332" t="str">
            <v>2015 - 2022</v>
          </cell>
          <cell r="D3332" t="str">
            <v>reg_gdp</v>
          </cell>
          <cell r="E3332" t="str">
            <v>gdp_for_ind</v>
          </cell>
          <cell r="F3332">
            <v>-0.30831053853034968</v>
          </cell>
        </row>
        <row r="3333">
          <cell r="A3333" t="str">
            <v>PRY</v>
          </cell>
          <cell r="B3333" t="str">
            <v>Middle</v>
          </cell>
          <cell r="C3333" t="str">
            <v>2015 - 2022</v>
          </cell>
          <cell r="D3333" t="str">
            <v>reg_gdp</v>
          </cell>
          <cell r="E3333" t="str">
            <v>gdp_for_serv</v>
          </cell>
          <cell r="F3333">
            <v>1.879608154296875</v>
          </cell>
        </row>
        <row r="3334">
          <cell r="A3334" t="str">
            <v>PRY</v>
          </cell>
          <cell r="B3334" t="str">
            <v>Middle</v>
          </cell>
          <cell r="C3334" t="str">
            <v>2015 - 2022</v>
          </cell>
          <cell r="D3334" t="str">
            <v>reg_gdp</v>
          </cell>
          <cell r="E3334" t="str">
            <v>gdp_inf_agri</v>
          </cell>
          <cell r="F3334">
            <v>0.80113160610198975</v>
          </cell>
        </row>
        <row r="3335">
          <cell r="A3335" t="str">
            <v>PRY</v>
          </cell>
          <cell r="B3335" t="str">
            <v>Middle</v>
          </cell>
          <cell r="C3335" t="str">
            <v>2015 - 2022</v>
          </cell>
          <cell r="D3335" t="str">
            <v>reg_gdp</v>
          </cell>
          <cell r="E3335" t="str">
            <v>gdp_inf_ind</v>
          </cell>
          <cell r="F3335">
            <v>-0.55653905868530273</v>
          </cell>
        </row>
        <row r="3336">
          <cell r="A3336" t="str">
            <v>PRY</v>
          </cell>
          <cell r="B3336" t="str">
            <v>Middle</v>
          </cell>
          <cell r="C3336" t="str">
            <v>2015 - 2022</v>
          </cell>
          <cell r="D3336" t="str">
            <v>reg_gdp</v>
          </cell>
          <cell r="E3336" t="str">
            <v>gdp_inf_serv</v>
          </cell>
          <cell r="F3336">
            <v>1.8980976343154909</v>
          </cell>
        </row>
        <row r="3337">
          <cell r="A3337" t="str">
            <v>PRY</v>
          </cell>
          <cell r="B3337" t="str">
            <v>Middle</v>
          </cell>
          <cell r="C3337" t="str">
            <v>2015 - 2022</v>
          </cell>
          <cell r="D3337" t="str">
            <v>reg_gdp</v>
          </cell>
          <cell r="E3337" t="str">
            <v>prod_for_agri</v>
          </cell>
          <cell r="F3337">
            <v>-0.88230431079864502</v>
          </cell>
        </row>
        <row r="3338">
          <cell r="A3338" t="str">
            <v>PRY</v>
          </cell>
          <cell r="B3338" t="str">
            <v>Middle</v>
          </cell>
          <cell r="C3338" t="str">
            <v>2015 - 2022</v>
          </cell>
          <cell r="D3338" t="str">
            <v>reg_gdp</v>
          </cell>
          <cell r="E3338" t="str">
            <v>prod_for_ind</v>
          </cell>
          <cell r="F3338">
            <v>-5.5793490260839462E-2</v>
          </cell>
        </row>
        <row r="3339">
          <cell r="A3339" t="str">
            <v>PRY</v>
          </cell>
          <cell r="B3339" t="str">
            <v>Middle</v>
          </cell>
          <cell r="C3339" t="str">
            <v>2015 - 2022</v>
          </cell>
          <cell r="D3339" t="str">
            <v>reg_gdp</v>
          </cell>
          <cell r="E3339" t="str">
            <v>prod_for_serv</v>
          </cell>
          <cell r="F3339">
            <v>1.2918998003005979</v>
          </cell>
        </row>
        <row r="3340">
          <cell r="A3340" t="str">
            <v>PRY</v>
          </cell>
          <cell r="B3340" t="str">
            <v>Middle</v>
          </cell>
          <cell r="C3340" t="str">
            <v>2015 - 2022</v>
          </cell>
          <cell r="D3340" t="str">
            <v>reg_gdp</v>
          </cell>
          <cell r="E3340" t="str">
            <v>prod_inf_agri</v>
          </cell>
          <cell r="F3340">
            <v>0.78865569829940796</v>
          </cell>
        </row>
        <row r="3341">
          <cell r="A3341" t="str">
            <v>PRY</v>
          </cell>
          <cell r="B3341" t="str">
            <v>Middle</v>
          </cell>
          <cell r="C3341" t="str">
            <v>2015 - 2022</v>
          </cell>
          <cell r="D3341" t="str">
            <v>reg_gdp</v>
          </cell>
          <cell r="E3341" t="str">
            <v>prod_inf_ind</v>
          </cell>
          <cell r="F3341">
            <v>0.39719274640083307</v>
          </cell>
        </row>
        <row r="3342">
          <cell r="A3342" t="str">
            <v>PRY</v>
          </cell>
          <cell r="B3342" t="str">
            <v>Middle</v>
          </cell>
          <cell r="C3342" t="str">
            <v>2015 - 2022</v>
          </cell>
          <cell r="D3342" t="str">
            <v>reg_gdp</v>
          </cell>
          <cell r="E3342" t="str">
            <v>prod_inf_serv</v>
          </cell>
          <cell r="F3342">
            <v>0.3855939507484436</v>
          </cell>
        </row>
        <row r="3343">
          <cell r="A3343" t="str">
            <v>PRY</v>
          </cell>
          <cell r="B3343" t="str">
            <v>Middle</v>
          </cell>
          <cell r="C3343" t="str">
            <v>2015 - 2022</v>
          </cell>
          <cell r="D3343" t="str">
            <v>reg_iter</v>
          </cell>
          <cell r="E3343" t="str">
            <v>gdp_activity</v>
          </cell>
          <cell r="F3343">
            <v>0.94533878564834595</v>
          </cell>
        </row>
        <row r="3344">
          <cell r="A3344" t="str">
            <v>PRY</v>
          </cell>
          <cell r="B3344" t="str">
            <v>Middle</v>
          </cell>
          <cell r="C3344" t="str">
            <v>2015 - 2022</v>
          </cell>
          <cell r="D3344" t="str">
            <v>reg_iter</v>
          </cell>
          <cell r="E3344" t="str">
            <v>gdp_for_agri</v>
          </cell>
          <cell r="F3344">
            <v>1.638491630554199</v>
          </cell>
        </row>
        <row r="3345">
          <cell r="A3345" t="str">
            <v>PRY</v>
          </cell>
          <cell r="B3345" t="str">
            <v>Middle</v>
          </cell>
          <cell r="C3345" t="str">
            <v>2015 - 2022</v>
          </cell>
          <cell r="D3345" t="str">
            <v>reg_iter</v>
          </cell>
          <cell r="E3345" t="str">
            <v>gdp_for_ind</v>
          </cell>
          <cell r="F3345">
            <v>1.486639261245728</v>
          </cell>
        </row>
        <row r="3346">
          <cell r="A3346" t="str">
            <v>PRY</v>
          </cell>
          <cell r="B3346" t="str">
            <v>Middle</v>
          </cell>
          <cell r="C3346" t="str">
            <v>2015 - 2022</v>
          </cell>
          <cell r="D3346" t="str">
            <v>reg_iter</v>
          </cell>
          <cell r="E3346" t="str">
            <v>gdp_for_serv</v>
          </cell>
          <cell r="F3346">
            <v>0.7320936918258667</v>
          </cell>
        </row>
        <row r="3347">
          <cell r="A3347" t="str">
            <v>PRY</v>
          </cell>
          <cell r="B3347" t="str">
            <v>Middle</v>
          </cell>
          <cell r="C3347" t="str">
            <v>2015 - 2022</v>
          </cell>
          <cell r="D3347" t="str">
            <v>reg_iter</v>
          </cell>
          <cell r="E3347" t="str">
            <v>gdp_inf_agri</v>
          </cell>
          <cell r="F3347">
            <v>0.71416985988616943</v>
          </cell>
        </row>
        <row r="3348">
          <cell r="A3348" t="str">
            <v>PRY</v>
          </cell>
          <cell r="B3348" t="str">
            <v>Middle</v>
          </cell>
          <cell r="C3348" t="str">
            <v>2015 - 2022</v>
          </cell>
          <cell r="D3348" t="str">
            <v>reg_iter</v>
          </cell>
          <cell r="E3348" t="str">
            <v>gdp_inf_ind</v>
          </cell>
          <cell r="F3348">
            <v>0.52210789918899536</v>
          </cell>
        </row>
        <row r="3349">
          <cell r="A3349" t="str">
            <v>PRY</v>
          </cell>
          <cell r="B3349" t="str">
            <v>Middle</v>
          </cell>
          <cell r="C3349" t="str">
            <v>2015 - 2022</v>
          </cell>
          <cell r="D3349" t="str">
            <v>reg_iter</v>
          </cell>
          <cell r="E3349" t="str">
            <v>gdp_inf_serv</v>
          </cell>
          <cell r="F3349">
            <v>0.97716575860977173</v>
          </cell>
        </row>
        <row r="3350">
          <cell r="A3350" t="str">
            <v>PRY</v>
          </cell>
          <cell r="B3350" t="str">
            <v>Middle</v>
          </cell>
          <cell r="C3350" t="str">
            <v>2015 - 2022</v>
          </cell>
          <cell r="D3350" t="str">
            <v>reg_iter</v>
          </cell>
          <cell r="E3350" t="str">
            <v>prod_for_agri</v>
          </cell>
          <cell r="F3350">
            <v>-1.113648056983948</v>
          </cell>
        </row>
        <row r="3351">
          <cell r="A3351" t="str">
            <v>PRY</v>
          </cell>
          <cell r="B3351" t="str">
            <v>Middle</v>
          </cell>
          <cell r="C3351" t="str">
            <v>2015 - 2022</v>
          </cell>
          <cell r="D3351" t="str">
            <v>reg_iter</v>
          </cell>
          <cell r="E3351" t="str">
            <v>prod_for_ind</v>
          </cell>
          <cell r="F3351">
            <v>-0.41099962592124939</v>
          </cell>
        </row>
        <row r="3352">
          <cell r="A3352" t="str">
            <v>PRY</v>
          </cell>
          <cell r="B3352" t="str">
            <v>Middle</v>
          </cell>
          <cell r="C3352" t="str">
            <v>2015 - 2022</v>
          </cell>
          <cell r="D3352" t="str">
            <v>reg_iter</v>
          </cell>
          <cell r="E3352" t="str">
            <v>prod_for_serv</v>
          </cell>
          <cell r="F3352">
            <v>0.8989747166633606</v>
          </cell>
        </row>
        <row r="3353">
          <cell r="A3353" t="str">
            <v>PRY</v>
          </cell>
          <cell r="B3353" t="str">
            <v>Middle</v>
          </cell>
          <cell r="C3353" t="str">
            <v>2015 - 2022</v>
          </cell>
          <cell r="D3353" t="str">
            <v>reg_iter</v>
          </cell>
          <cell r="E3353" t="str">
            <v>prod_inf_agri</v>
          </cell>
          <cell r="F3353">
            <v>-6.9251492619514465E-2</v>
          </cell>
        </row>
        <row r="3354">
          <cell r="A3354" t="str">
            <v>PRY</v>
          </cell>
          <cell r="B3354" t="str">
            <v>Middle</v>
          </cell>
          <cell r="C3354" t="str">
            <v>2015 - 2022</v>
          </cell>
          <cell r="D3354" t="str">
            <v>reg_iter</v>
          </cell>
          <cell r="E3354" t="str">
            <v>prod_inf_ind</v>
          </cell>
          <cell r="F3354">
            <v>0.18549582362174991</v>
          </cell>
        </row>
        <row r="3355">
          <cell r="A3355" t="str">
            <v>PRY</v>
          </cell>
          <cell r="B3355" t="str">
            <v>Middle</v>
          </cell>
          <cell r="C3355" t="str">
            <v>2015 - 2022</v>
          </cell>
          <cell r="D3355" t="str">
            <v>reg_iter</v>
          </cell>
          <cell r="E3355" t="str">
            <v>prod_inf_serv</v>
          </cell>
          <cell r="F3355">
            <v>-0.58991765975952148</v>
          </cell>
        </row>
        <row r="3356">
          <cell r="A3356" t="str">
            <v>PRY</v>
          </cell>
          <cell r="B3356" t="str">
            <v>Short</v>
          </cell>
          <cell r="C3356" t="str">
            <v>2018 - 2022</v>
          </cell>
          <cell r="D3356" t="str">
            <v>avg</v>
          </cell>
          <cell r="E3356" t="str">
            <v>gdp_activity</v>
          </cell>
          <cell r="F3356">
            <v>-1.7924400568008421</v>
          </cell>
        </row>
        <row r="3357">
          <cell r="A3357" t="str">
            <v>PRY</v>
          </cell>
          <cell r="B3357" t="str">
            <v>Short</v>
          </cell>
          <cell r="C3357" t="str">
            <v>2018 - 2022</v>
          </cell>
          <cell r="D3357" t="str">
            <v>avg</v>
          </cell>
          <cell r="E3357" t="str">
            <v>gdp_for_agri</v>
          </cell>
          <cell r="F3357">
            <v>-0.91939395666122437</v>
          </cell>
        </row>
        <row r="3358">
          <cell r="A3358" t="str">
            <v>PRY</v>
          </cell>
          <cell r="B3358" t="str">
            <v>Short</v>
          </cell>
          <cell r="C3358" t="str">
            <v>2018 - 2022</v>
          </cell>
          <cell r="D3358" t="str">
            <v>avg</v>
          </cell>
          <cell r="E3358" t="str">
            <v>gdp_for_ind</v>
          </cell>
          <cell r="F3358">
            <v>3.9684238433837891</v>
          </cell>
        </row>
        <row r="3359">
          <cell r="A3359" t="str">
            <v>PRY</v>
          </cell>
          <cell r="B3359" t="str">
            <v>Short</v>
          </cell>
          <cell r="C3359" t="str">
            <v>2018 - 2022</v>
          </cell>
          <cell r="D3359" t="str">
            <v>avg</v>
          </cell>
          <cell r="E3359" t="str">
            <v>gdp_for_serv</v>
          </cell>
          <cell r="F3359">
            <v>1.913997530937195</v>
          </cell>
        </row>
        <row r="3360">
          <cell r="A3360" t="str">
            <v>PRY</v>
          </cell>
          <cell r="B3360" t="str">
            <v>Short</v>
          </cell>
          <cell r="C3360" t="str">
            <v>2018 - 2022</v>
          </cell>
          <cell r="D3360" t="str">
            <v>avg</v>
          </cell>
          <cell r="E3360" t="str">
            <v>gdp_inf_agri</v>
          </cell>
          <cell r="F3360">
            <v>0.66796213388442993</v>
          </cell>
        </row>
        <row r="3361">
          <cell r="A3361" t="str">
            <v>PRY</v>
          </cell>
          <cell r="B3361" t="str">
            <v>Short</v>
          </cell>
          <cell r="C3361" t="str">
            <v>2018 - 2022</v>
          </cell>
          <cell r="D3361" t="str">
            <v>avg</v>
          </cell>
          <cell r="E3361" t="str">
            <v>gdp_inf_ind</v>
          </cell>
          <cell r="F3361">
            <v>-2.623849630355835</v>
          </cell>
        </row>
        <row r="3362">
          <cell r="A3362" t="str">
            <v>PRY</v>
          </cell>
          <cell r="B3362" t="str">
            <v>Short</v>
          </cell>
          <cell r="C3362" t="str">
            <v>2018 - 2022</v>
          </cell>
          <cell r="D3362" t="str">
            <v>avg</v>
          </cell>
          <cell r="E3362" t="str">
            <v>gdp_inf_serv</v>
          </cell>
          <cell r="F3362">
            <v>1.5118921995162959</v>
          </cell>
        </row>
        <row r="3363">
          <cell r="A3363" t="str">
            <v>PRY</v>
          </cell>
          <cell r="B3363" t="str">
            <v>Short</v>
          </cell>
          <cell r="C3363" t="str">
            <v>2018 - 2022</v>
          </cell>
          <cell r="D3363" t="str">
            <v>avg</v>
          </cell>
          <cell r="E3363" t="str">
            <v>prod_for_agri</v>
          </cell>
          <cell r="F3363">
            <v>-5.5409855842590332</v>
          </cell>
        </row>
        <row r="3364">
          <cell r="A3364" t="str">
            <v>PRY</v>
          </cell>
          <cell r="B3364" t="str">
            <v>Short</v>
          </cell>
          <cell r="C3364" t="str">
            <v>2018 - 2022</v>
          </cell>
          <cell r="D3364" t="str">
            <v>avg</v>
          </cell>
          <cell r="E3364" t="str">
            <v>prod_for_ind</v>
          </cell>
          <cell r="F3364">
            <v>-0.65735667943954468</v>
          </cell>
        </row>
        <row r="3365">
          <cell r="A3365" t="str">
            <v>PRY</v>
          </cell>
          <cell r="B3365" t="str">
            <v>Short</v>
          </cell>
          <cell r="C3365" t="str">
            <v>2018 - 2022</v>
          </cell>
          <cell r="D3365" t="str">
            <v>avg</v>
          </cell>
          <cell r="E3365" t="str">
            <v>prod_for_serv</v>
          </cell>
          <cell r="F3365">
            <v>1.5466073751449581</v>
          </cell>
        </row>
        <row r="3366">
          <cell r="A3366" t="str">
            <v>PRY</v>
          </cell>
          <cell r="B3366" t="str">
            <v>Short</v>
          </cell>
          <cell r="C3366" t="str">
            <v>2018 - 2022</v>
          </cell>
          <cell r="D3366" t="str">
            <v>avg</v>
          </cell>
          <cell r="E3366" t="str">
            <v>prod_inf_agri</v>
          </cell>
          <cell r="F3366">
            <v>-12.17729663848877</v>
          </cell>
        </row>
        <row r="3367">
          <cell r="A3367" t="str">
            <v>PRY</v>
          </cell>
          <cell r="B3367" t="str">
            <v>Short</v>
          </cell>
          <cell r="C3367" t="str">
            <v>2018 - 2022</v>
          </cell>
          <cell r="D3367" t="str">
            <v>avg</v>
          </cell>
          <cell r="E3367" t="str">
            <v>prod_inf_ind</v>
          </cell>
          <cell r="F3367">
            <v>-1.357968330383301</v>
          </cell>
        </row>
        <row r="3368">
          <cell r="A3368" t="str">
            <v>PRY</v>
          </cell>
          <cell r="B3368" t="str">
            <v>Short</v>
          </cell>
          <cell r="C3368" t="str">
            <v>2018 - 2022</v>
          </cell>
          <cell r="D3368" t="str">
            <v>avg</v>
          </cell>
          <cell r="E3368" t="str">
            <v>prod_inf_serv</v>
          </cell>
          <cell r="F3368">
            <v>0.41506719589233398</v>
          </cell>
        </row>
        <row r="3369">
          <cell r="A3369" t="str">
            <v>PRY</v>
          </cell>
          <cell r="B3369" t="str">
            <v>Short</v>
          </cell>
          <cell r="C3369" t="str">
            <v>2018 - 2022</v>
          </cell>
          <cell r="D3369" t="str">
            <v>avg_1_99</v>
          </cell>
          <cell r="E3369" t="str">
            <v>gdp_activity</v>
          </cell>
          <cell r="F3369">
            <v>-2.6066892147064209</v>
          </cell>
        </row>
        <row r="3370">
          <cell r="A3370" t="str">
            <v>PRY</v>
          </cell>
          <cell r="B3370" t="str">
            <v>Short</v>
          </cell>
          <cell r="C3370" t="str">
            <v>2018 - 2022</v>
          </cell>
          <cell r="D3370" t="str">
            <v>avg_1_99</v>
          </cell>
          <cell r="E3370" t="str">
            <v>gdp_for_agri</v>
          </cell>
          <cell r="F3370">
            <v>1.280769824981689</v>
          </cell>
        </row>
        <row r="3371">
          <cell r="A3371" t="str">
            <v>PRY</v>
          </cell>
          <cell r="B3371" t="str">
            <v>Short</v>
          </cell>
          <cell r="C3371" t="str">
            <v>2018 - 2022</v>
          </cell>
          <cell r="D3371" t="str">
            <v>avg_1_99</v>
          </cell>
          <cell r="E3371" t="str">
            <v>gdp_for_ind</v>
          </cell>
          <cell r="F3371">
            <v>2.2551312446594238</v>
          </cell>
        </row>
        <row r="3372">
          <cell r="A3372" t="str">
            <v>PRY</v>
          </cell>
          <cell r="B3372" t="str">
            <v>Short</v>
          </cell>
          <cell r="C3372" t="str">
            <v>2018 - 2022</v>
          </cell>
          <cell r="D3372" t="str">
            <v>avg_1_99</v>
          </cell>
          <cell r="E3372" t="str">
            <v>gdp_for_serv</v>
          </cell>
          <cell r="F3372">
            <v>1.384753465652466</v>
          </cell>
        </row>
        <row r="3373">
          <cell r="A3373" t="str">
            <v>PRY</v>
          </cell>
          <cell r="B3373" t="str">
            <v>Short</v>
          </cell>
          <cell r="C3373" t="str">
            <v>2018 - 2022</v>
          </cell>
          <cell r="D3373" t="str">
            <v>avg_1_99</v>
          </cell>
          <cell r="E3373" t="str">
            <v>gdp_inf_agri</v>
          </cell>
          <cell r="F3373">
            <v>0.66796213388442993</v>
          </cell>
        </row>
        <row r="3374">
          <cell r="A3374" t="str">
            <v>PRY</v>
          </cell>
          <cell r="B3374" t="str">
            <v>Short</v>
          </cell>
          <cell r="C3374" t="str">
            <v>2018 - 2022</v>
          </cell>
          <cell r="D3374" t="str">
            <v>avg_1_99</v>
          </cell>
          <cell r="E3374" t="str">
            <v>gdp_inf_ind</v>
          </cell>
          <cell r="F3374">
            <v>-4.3116971850395203E-2</v>
          </cell>
        </row>
        <row r="3375">
          <cell r="A3375" t="str">
            <v>PRY</v>
          </cell>
          <cell r="B3375" t="str">
            <v>Short</v>
          </cell>
          <cell r="C3375" t="str">
            <v>2018 - 2022</v>
          </cell>
          <cell r="D3375" t="str">
            <v>avg_1_99</v>
          </cell>
          <cell r="E3375" t="str">
            <v>gdp_inf_serv</v>
          </cell>
          <cell r="F3375">
            <v>1.5118921995162959</v>
          </cell>
        </row>
        <row r="3376">
          <cell r="A3376" t="str">
            <v>PRY</v>
          </cell>
          <cell r="B3376" t="str">
            <v>Short</v>
          </cell>
          <cell r="C3376" t="str">
            <v>2018 - 2022</v>
          </cell>
          <cell r="D3376" t="str">
            <v>avg_1_99</v>
          </cell>
          <cell r="E3376" t="str">
            <v>prod_for_agri</v>
          </cell>
          <cell r="F3376">
            <v>-2.9009943008422852</v>
          </cell>
        </row>
        <row r="3377">
          <cell r="A3377" t="str">
            <v>PRY</v>
          </cell>
          <cell r="B3377" t="str">
            <v>Short</v>
          </cell>
          <cell r="C3377" t="str">
            <v>2018 - 2022</v>
          </cell>
          <cell r="D3377" t="str">
            <v>avg_1_99</v>
          </cell>
          <cell r="E3377" t="str">
            <v>prod_for_ind</v>
          </cell>
          <cell r="F3377">
            <v>0.31087806820869451</v>
          </cell>
        </row>
        <row r="3378">
          <cell r="A3378" t="str">
            <v>PRY</v>
          </cell>
          <cell r="B3378" t="str">
            <v>Short</v>
          </cell>
          <cell r="C3378" t="str">
            <v>2018 - 2022</v>
          </cell>
          <cell r="D3378" t="str">
            <v>avg_1_99</v>
          </cell>
          <cell r="E3378" t="str">
            <v>prod_for_serv</v>
          </cell>
          <cell r="F3378">
            <v>1.164541363716125</v>
          </cell>
        </row>
        <row r="3379">
          <cell r="A3379" t="str">
            <v>PRY</v>
          </cell>
          <cell r="B3379" t="str">
            <v>Short</v>
          </cell>
          <cell r="C3379" t="str">
            <v>2018 - 2022</v>
          </cell>
          <cell r="D3379" t="str">
            <v>avg_1_99</v>
          </cell>
          <cell r="E3379" t="str">
            <v>prod_inf_agri</v>
          </cell>
          <cell r="F3379">
            <v>-3.8437759876251221</v>
          </cell>
        </row>
        <row r="3380">
          <cell r="A3380" t="str">
            <v>PRY</v>
          </cell>
          <cell r="B3380" t="str">
            <v>Short</v>
          </cell>
          <cell r="C3380" t="str">
            <v>2018 - 2022</v>
          </cell>
          <cell r="D3380" t="str">
            <v>avg_1_99</v>
          </cell>
          <cell r="E3380" t="str">
            <v>prod_inf_ind</v>
          </cell>
          <cell r="F3380">
            <v>0.1135119572281837</v>
          </cell>
        </row>
        <row r="3381">
          <cell r="A3381" t="str">
            <v>PRY</v>
          </cell>
          <cell r="B3381" t="str">
            <v>Short</v>
          </cell>
          <cell r="C3381" t="str">
            <v>2018 - 2022</v>
          </cell>
          <cell r="D3381" t="str">
            <v>avg_1_99</v>
          </cell>
          <cell r="E3381" t="str">
            <v>prod_inf_serv</v>
          </cell>
          <cell r="F3381">
            <v>0.41506719589233398</v>
          </cell>
        </row>
        <row r="3382">
          <cell r="A3382" t="str">
            <v>PRY</v>
          </cell>
          <cell r="B3382" t="str">
            <v>Short</v>
          </cell>
          <cell r="C3382" t="str">
            <v>2018 - 2022</v>
          </cell>
          <cell r="D3382" t="str">
            <v>avg_1_99_imp</v>
          </cell>
          <cell r="E3382" t="str">
            <v>gdp_activity</v>
          </cell>
          <cell r="F3382">
            <v>-2.348293542861938</v>
          </cell>
        </row>
        <row r="3383">
          <cell r="A3383" t="str">
            <v>PRY</v>
          </cell>
          <cell r="B3383" t="str">
            <v>Short</v>
          </cell>
          <cell r="C3383" t="str">
            <v>2018 - 2022</v>
          </cell>
          <cell r="D3383" t="str">
            <v>avg_1_99_imp</v>
          </cell>
          <cell r="E3383" t="str">
            <v>gdp_for_agri</v>
          </cell>
          <cell r="F3383">
            <v>0.80839473009109497</v>
          </cell>
        </row>
        <row r="3384">
          <cell r="A3384" t="str">
            <v>PRY</v>
          </cell>
          <cell r="B3384" t="str">
            <v>Short</v>
          </cell>
          <cell r="C3384" t="str">
            <v>2018 - 2022</v>
          </cell>
          <cell r="D3384" t="str">
            <v>avg_1_99_imp</v>
          </cell>
          <cell r="E3384" t="str">
            <v>gdp_for_ind</v>
          </cell>
          <cell r="F3384">
            <v>2.0769190788269039</v>
          </cell>
        </row>
        <row r="3385">
          <cell r="A3385" t="str">
            <v>PRY</v>
          </cell>
          <cell r="B3385" t="str">
            <v>Short</v>
          </cell>
          <cell r="C3385" t="str">
            <v>2018 - 2022</v>
          </cell>
          <cell r="D3385" t="str">
            <v>avg_1_99_imp</v>
          </cell>
          <cell r="E3385" t="str">
            <v>gdp_for_serv</v>
          </cell>
          <cell r="F3385">
            <v>1.388246536254883</v>
          </cell>
        </row>
        <row r="3386">
          <cell r="A3386" t="str">
            <v>PRY</v>
          </cell>
          <cell r="B3386" t="str">
            <v>Short</v>
          </cell>
          <cell r="C3386" t="str">
            <v>2018 - 2022</v>
          </cell>
          <cell r="D3386" t="str">
            <v>avg_1_99_imp</v>
          </cell>
          <cell r="E3386" t="str">
            <v>gdp_inf_agri</v>
          </cell>
          <cell r="F3386">
            <v>0.66796213388442993</v>
          </cell>
        </row>
        <row r="3387">
          <cell r="A3387" t="str">
            <v>PRY</v>
          </cell>
          <cell r="B3387" t="str">
            <v>Short</v>
          </cell>
          <cell r="C3387" t="str">
            <v>2018 - 2022</v>
          </cell>
          <cell r="D3387" t="str">
            <v>avg_1_99_imp</v>
          </cell>
          <cell r="E3387" t="str">
            <v>gdp_inf_ind</v>
          </cell>
          <cell r="F3387">
            <v>-0.15336993336677551</v>
          </cell>
        </row>
        <row r="3388">
          <cell r="A3388" t="str">
            <v>PRY</v>
          </cell>
          <cell r="B3388" t="str">
            <v>Short</v>
          </cell>
          <cell r="C3388" t="str">
            <v>2018 - 2022</v>
          </cell>
          <cell r="D3388" t="str">
            <v>avg_1_99_imp</v>
          </cell>
          <cell r="E3388" t="str">
            <v>gdp_inf_serv</v>
          </cell>
          <cell r="F3388">
            <v>1.5118921995162959</v>
          </cell>
        </row>
        <row r="3389">
          <cell r="A3389" t="str">
            <v>PRY</v>
          </cell>
          <cell r="B3389" t="str">
            <v>Short</v>
          </cell>
          <cell r="C3389" t="str">
            <v>2018 - 2022</v>
          </cell>
          <cell r="D3389" t="str">
            <v>avg_1_99_imp</v>
          </cell>
          <cell r="E3389" t="str">
            <v>prod_for_agri</v>
          </cell>
          <cell r="F3389">
            <v>-1.96608567237854</v>
          </cell>
        </row>
        <row r="3390">
          <cell r="A3390" t="str">
            <v>PRY</v>
          </cell>
          <cell r="B3390" t="str">
            <v>Short</v>
          </cell>
          <cell r="C3390" t="str">
            <v>2018 - 2022</v>
          </cell>
          <cell r="D3390" t="str">
            <v>avg_1_99_imp</v>
          </cell>
          <cell r="E3390" t="str">
            <v>prod_for_ind</v>
          </cell>
          <cell r="F3390">
            <v>0.43896132707595831</v>
          </cell>
        </row>
        <row r="3391">
          <cell r="A3391" t="str">
            <v>PRY</v>
          </cell>
          <cell r="B3391" t="str">
            <v>Short</v>
          </cell>
          <cell r="C3391" t="str">
            <v>2018 - 2022</v>
          </cell>
          <cell r="D3391" t="str">
            <v>avg_1_99_imp</v>
          </cell>
          <cell r="E3391" t="str">
            <v>prod_for_serv</v>
          </cell>
          <cell r="F3391">
            <v>1.159050822257996</v>
          </cell>
        </row>
        <row r="3392">
          <cell r="A3392" t="str">
            <v>PRY</v>
          </cell>
          <cell r="B3392" t="str">
            <v>Short</v>
          </cell>
          <cell r="C3392" t="str">
            <v>2018 - 2022</v>
          </cell>
          <cell r="D3392" t="str">
            <v>avg_1_99_imp</v>
          </cell>
          <cell r="E3392" t="str">
            <v>prod_inf_agri</v>
          </cell>
          <cell r="F3392">
            <v>-3.6857535839080811</v>
          </cell>
        </row>
        <row r="3393">
          <cell r="A3393" t="str">
            <v>PRY</v>
          </cell>
          <cell r="B3393" t="str">
            <v>Short</v>
          </cell>
          <cell r="C3393" t="str">
            <v>2018 - 2022</v>
          </cell>
          <cell r="D3393" t="str">
            <v>avg_1_99_imp</v>
          </cell>
          <cell r="E3393" t="str">
            <v>prod_inf_ind</v>
          </cell>
          <cell r="F3393">
            <v>9.0039335191249847E-2</v>
          </cell>
        </row>
        <row r="3394">
          <cell r="A3394" t="str">
            <v>PRY</v>
          </cell>
          <cell r="B3394" t="str">
            <v>Short</v>
          </cell>
          <cell r="C3394" t="str">
            <v>2018 - 2022</v>
          </cell>
          <cell r="D3394" t="str">
            <v>avg_1_99_imp</v>
          </cell>
          <cell r="E3394" t="str">
            <v>prod_inf_serv</v>
          </cell>
          <cell r="F3394">
            <v>0.41506719589233398</v>
          </cell>
        </row>
        <row r="3395">
          <cell r="A3395" t="str">
            <v>PRY</v>
          </cell>
          <cell r="B3395" t="str">
            <v>Short</v>
          </cell>
          <cell r="C3395" t="str">
            <v>2018 - 2022</v>
          </cell>
          <cell r="D3395" t="str">
            <v>reg</v>
          </cell>
          <cell r="E3395" t="str">
            <v>gdp_activity</v>
          </cell>
          <cell r="F3395">
            <v>0.79848885536193848</v>
          </cell>
        </row>
        <row r="3396">
          <cell r="A3396" t="str">
            <v>PRY</v>
          </cell>
          <cell r="B3396" t="str">
            <v>Short</v>
          </cell>
          <cell r="C3396" t="str">
            <v>2018 - 2022</v>
          </cell>
          <cell r="D3396" t="str">
            <v>reg</v>
          </cell>
          <cell r="E3396" t="str">
            <v>gdp_for_agri</v>
          </cell>
          <cell r="F3396">
            <v>6.2982410192489624E-2</v>
          </cell>
        </row>
        <row r="3397">
          <cell r="A3397" t="str">
            <v>PRY</v>
          </cell>
          <cell r="B3397" t="str">
            <v>Short</v>
          </cell>
          <cell r="C3397" t="str">
            <v>2018 - 2022</v>
          </cell>
          <cell r="D3397" t="str">
            <v>reg</v>
          </cell>
          <cell r="E3397" t="str">
            <v>gdp_for_ind</v>
          </cell>
          <cell r="F3397">
            <v>2.2334814071655269</v>
          </cell>
        </row>
        <row r="3398">
          <cell r="A3398" t="str">
            <v>PRY</v>
          </cell>
          <cell r="B3398" t="str">
            <v>Short</v>
          </cell>
          <cell r="C3398" t="str">
            <v>2018 - 2022</v>
          </cell>
          <cell r="D3398" t="str">
            <v>reg</v>
          </cell>
          <cell r="E3398" t="str">
            <v>gdp_for_serv</v>
          </cell>
          <cell r="F3398">
            <v>0.52572816610336304</v>
          </cell>
        </row>
        <row r="3399">
          <cell r="A3399" t="str">
            <v>PRY</v>
          </cell>
          <cell r="B3399" t="str">
            <v>Short</v>
          </cell>
          <cell r="C3399" t="str">
            <v>2018 - 2022</v>
          </cell>
          <cell r="D3399" t="str">
            <v>reg</v>
          </cell>
          <cell r="E3399" t="str">
            <v>gdp_inf_agri</v>
          </cell>
          <cell r="F3399">
            <v>0.87391632795333862</v>
          </cell>
        </row>
        <row r="3400">
          <cell r="A3400" t="str">
            <v>PRY</v>
          </cell>
          <cell r="B3400" t="str">
            <v>Short</v>
          </cell>
          <cell r="C3400" t="str">
            <v>2018 - 2022</v>
          </cell>
          <cell r="D3400" t="str">
            <v>reg</v>
          </cell>
          <cell r="E3400" t="str">
            <v>gdp_inf_ind</v>
          </cell>
          <cell r="F3400">
            <v>-9.4254456460475922E-2</v>
          </cell>
        </row>
        <row r="3401">
          <cell r="A3401" t="str">
            <v>PRY</v>
          </cell>
          <cell r="B3401" t="str">
            <v>Short</v>
          </cell>
          <cell r="C3401" t="str">
            <v>2018 - 2022</v>
          </cell>
          <cell r="D3401" t="str">
            <v>reg</v>
          </cell>
          <cell r="E3401" t="str">
            <v>gdp_inf_serv</v>
          </cell>
          <cell r="F3401">
            <v>1.509924173355103</v>
          </cell>
        </row>
        <row r="3402">
          <cell r="A3402" t="str">
            <v>PRY</v>
          </cell>
          <cell r="B3402" t="str">
            <v>Short</v>
          </cell>
          <cell r="C3402" t="str">
            <v>2018 - 2022</v>
          </cell>
          <cell r="D3402" t="str">
            <v>reg</v>
          </cell>
          <cell r="E3402" t="str">
            <v>prod_for_agri</v>
          </cell>
          <cell r="F3402">
            <v>-0.29856163263320917</v>
          </cell>
        </row>
        <row r="3403">
          <cell r="A3403" t="str">
            <v>PRY</v>
          </cell>
          <cell r="B3403" t="str">
            <v>Short</v>
          </cell>
          <cell r="C3403" t="str">
            <v>2018 - 2022</v>
          </cell>
          <cell r="D3403" t="str">
            <v>reg</v>
          </cell>
          <cell r="E3403" t="str">
            <v>prod_for_ind</v>
          </cell>
          <cell r="F3403">
            <v>-0.36608445644378662</v>
          </cell>
        </row>
        <row r="3404">
          <cell r="A3404" t="str">
            <v>PRY</v>
          </cell>
          <cell r="B3404" t="str">
            <v>Short</v>
          </cell>
          <cell r="C3404" t="str">
            <v>2018 - 2022</v>
          </cell>
          <cell r="D3404" t="str">
            <v>reg</v>
          </cell>
          <cell r="E3404" t="str">
            <v>prod_for_serv</v>
          </cell>
          <cell r="F3404">
            <v>1.4787929058074949</v>
          </cell>
        </row>
        <row r="3405">
          <cell r="A3405" t="str">
            <v>PRY</v>
          </cell>
          <cell r="B3405" t="str">
            <v>Short</v>
          </cell>
          <cell r="C3405" t="str">
            <v>2018 - 2022</v>
          </cell>
          <cell r="D3405" t="str">
            <v>reg</v>
          </cell>
          <cell r="E3405" t="str">
            <v>prod_inf_agri</v>
          </cell>
          <cell r="F3405">
            <v>0.46903550624847412</v>
          </cell>
        </row>
        <row r="3406">
          <cell r="A3406" t="str">
            <v>PRY</v>
          </cell>
          <cell r="B3406" t="str">
            <v>Short</v>
          </cell>
          <cell r="C3406" t="str">
            <v>2018 - 2022</v>
          </cell>
          <cell r="D3406" t="str">
            <v>reg</v>
          </cell>
          <cell r="E3406" t="str">
            <v>prod_inf_ind</v>
          </cell>
          <cell r="F3406">
            <v>0.62987500429153442</v>
          </cell>
        </row>
        <row r="3407">
          <cell r="A3407" t="str">
            <v>PRY</v>
          </cell>
          <cell r="B3407" t="str">
            <v>Short</v>
          </cell>
          <cell r="C3407" t="str">
            <v>2018 - 2022</v>
          </cell>
          <cell r="D3407" t="str">
            <v>reg</v>
          </cell>
          <cell r="E3407" t="str">
            <v>prod_inf_serv</v>
          </cell>
          <cell r="F3407">
            <v>0.4428764283657074</v>
          </cell>
        </row>
        <row r="3408">
          <cell r="A3408" t="str">
            <v>PRY</v>
          </cell>
          <cell r="B3408" t="str">
            <v>Short</v>
          </cell>
          <cell r="C3408" t="str">
            <v>2018 - 2022</v>
          </cell>
          <cell r="D3408" t="str">
            <v>reg_gdp</v>
          </cell>
          <cell r="E3408" t="str">
            <v>gdp_activity</v>
          </cell>
          <cell r="F3408">
            <v>0.79848885536193848</v>
          </cell>
        </row>
        <row r="3409">
          <cell r="A3409" t="str">
            <v>PRY</v>
          </cell>
          <cell r="B3409" t="str">
            <v>Short</v>
          </cell>
          <cell r="C3409" t="str">
            <v>2018 - 2022</v>
          </cell>
          <cell r="D3409" t="str">
            <v>reg_gdp</v>
          </cell>
          <cell r="E3409" t="str">
            <v>gdp_for_agri</v>
          </cell>
          <cell r="F3409">
            <v>-4.057647705078125</v>
          </cell>
        </row>
        <row r="3410">
          <cell r="A3410" t="str">
            <v>PRY</v>
          </cell>
          <cell r="B3410" t="str">
            <v>Short</v>
          </cell>
          <cell r="C3410" t="str">
            <v>2018 - 2022</v>
          </cell>
          <cell r="D3410" t="str">
            <v>reg_gdp</v>
          </cell>
          <cell r="E3410" t="str">
            <v>gdp_for_ind</v>
          </cell>
          <cell r="F3410">
            <v>5.8909919112920761E-2</v>
          </cell>
        </row>
        <row r="3411">
          <cell r="A3411" t="str">
            <v>PRY</v>
          </cell>
          <cell r="B3411" t="str">
            <v>Short</v>
          </cell>
          <cell r="C3411" t="str">
            <v>2018 - 2022</v>
          </cell>
          <cell r="D3411" t="str">
            <v>reg_gdp</v>
          </cell>
          <cell r="E3411" t="str">
            <v>gdp_for_serv</v>
          </cell>
          <cell r="F3411">
            <v>2.565072774887085</v>
          </cell>
        </row>
        <row r="3412">
          <cell r="A3412" t="str">
            <v>PRY</v>
          </cell>
          <cell r="B3412" t="str">
            <v>Short</v>
          </cell>
          <cell r="C3412" t="str">
            <v>2018 - 2022</v>
          </cell>
          <cell r="D3412" t="str">
            <v>reg_gdp</v>
          </cell>
          <cell r="E3412" t="str">
            <v>gdp_inf_agri</v>
          </cell>
          <cell r="F3412">
            <v>1.647446990013123</v>
          </cell>
        </row>
        <row r="3413">
          <cell r="A3413" t="str">
            <v>PRY</v>
          </cell>
          <cell r="B3413" t="str">
            <v>Short</v>
          </cell>
          <cell r="C3413" t="str">
            <v>2018 - 2022</v>
          </cell>
          <cell r="D3413" t="str">
            <v>reg_gdp</v>
          </cell>
          <cell r="E3413" t="str">
            <v>gdp_inf_ind</v>
          </cell>
          <cell r="F3413">
            <v>-1.806097269058228</v>
          </cell>
        </row>
        <row r="3414">
          <cell r="A3414" t="str">
            <v>PRY</v>
          </cell>
          <cell r="B3414" t="str">
            <v>Short</v>
          </cell>
          <cell r="C3414" t="str">
            <v>2018 - 2022</v>
          </cell>
          <cell r="D3414" t="str">
            <v>reg_gdp</v>
          </cell>
          <cell r="E3414" t="str">
            <v>gdp_inf_serv</v>
          </cell>
          <cell r="F3414">
            <v>1.8595460653305049</v>
          </cell>
        </row>
        <row r="3415">
          <cell r="A3415" t="str">
            <v>PRY</v>
          </cell>
          <cell r="B3415" t="str">
            <v>Short</v>
          </cell>
          <cell r="C3415" t="str">
            <v>2018 - 2022</v>
          </cell>
          <cell r="D3415" t="str">
            <v>reg_gdp</v>
          </cell>
          <cell r="E3415" t="str">
            <v>prod_for_agri</v>
          </cell>
          <cell r="F3415">
            <v>1.596677303314209</v>
          </cell>
        </row>
        <row r="3416">
          <cell r="A3416" t="str">
            <v>PRY</v>
          </cell>
          <cell r="B3416" t="str">
            <v>Short</v>
          </cell>
          <cell r="C3416" t="str">
            <v>2018 - 2022</v>
          </cell>
          <cell r="D3416" t="str">
            <v>reg_gdp</v>
          </cell>
          <cell r="E3416" t="str">
            <v>prod_for_ind</v>
          </cell>
          <cell r="F3416">
            <v>0.2483484894037247</v>
          </cell>
        </row>
        <row r="3417">
          <cell r="A3417" t="str">
            <v>PRY</v>
          </cell>
          <cell r="B3417" t="str">
            <v>Short</v>
          </cell>
          <cell r="C3417" t="str">
            <v>2018 - 2022</v>
          </cell>
          <cell r="D3417" t="str">
            <v>reg_gdp</v>
          </cell>
          <cell r="E3417" t="str">
            <v>prod_for_serv</v>
          </cell>
          <cell r="F3417">
            <v>1.319677591323853</v>
          </cell>
        </row>
        <row r="3418">
          <cell r="A3418" t="str">
            <v>PRY</v>
          </cell>
          <cell r="B3418" t="str">
            <v>Short</v>
          </cell>
          <cell r="C3418" t="str">
            <v>2018 - 2022</v>
          </cell>
          <cell r="D3418" t="str">
            <v>reg_gdp</v>
          </cell>
          <cell r="E3418" t="str">
            <v>prod_inf_agri</v>
          </cell>
          <cell r="F3418">
            <v>2.551214218139648</v>
          </cell>
        </row>
        <row r="3419">
          <cell r="A3419" t="str">
            <v>PRY</v>
          </cell>
          <cell r="B3419" t="str">
            <v>Short</v>
          </cell>
          <cell r="C3419" t="str">
            <v>2018 - 2022</v>
          </cell>
          <cell r="D3419" t="str">
            <v>reg_gdp</v>
          </cell>
          <cell r="E3419" t="str">
            <v>prod_inf_ind</v>
          </cell>
          <cell r="F3419">
            <v>0.91043740510940552</v>
          </cell>
        </row>
        <row r="3420">
          <cell r="A3420" t="str">
            <v>PRY</v>
          </cell>
          <cell r="B3420" t="str">
            <v>Short</v>
          </cell>
          <cell r="C3420" t="str">
            <v>2018 - 2022</v>
          </cell>
          <cell r="D3420" t="str">
            <v>reg_gdp</v>
          </cell>
          <cell r="E3420" t="str">
            <v>prod_inf_serv</v>
          </cell>
          <cell r="F3420">
            <v>0.44447460770606989</v>
          </cell>
        </row>
        <row r="3421">
          <cell r="A3421" t="str">
            <v>PRY</v>
          </cell>
          <cell r="B3421" t="str">
            <v>Short</v>
          </cell>
          <cell r="C3421" t="str">
            <v>2018 - 2022</v>
          </cell>
          <cell r="D3421" t="str">
            <v>reg_iter</v>
          </cell>
          <cell r="E3421" t="str">
            <v>gdp_activity</v>
          </cell>
          <cell r="F3421">
            <v>0.74646812677383423</v>
          </cell>
        </row>
        <row r="3422">
          <cell r="A3422" t="str">
            <v>PRY</v>
          </cell>
          <cell r="B3422" t="str">
            <v>Short</v>
          </cell>
          <cell r="C3422" t="str">
            <v>2018 - 2022</v>
          </cell>
          <cell r="D3422" t="str">
            <v>reg_iter</v>
          </cell>
          <cell r="E3422" t="str">
            <v>gdp_for_agri</v>
          </cell>
          <cell r="F3422">
            <v>0.60535591840744019</v>
          </cell>
        </row>
        <row r="3423">
          <cell r="A3423" t="str">
            <v>PRY</v>
          </cell>
          <cell r="B3423" t="str">
            <v>Short</v>
          </cell>
          <cell r="C3423" t="str">
            <v>2018 - 2022</v>
          </cell>
          <cell r="D3423" t="str">
            <v>reg_iter</v>
          </cell>
          <cell r="E3423" t="str">
            <v>gdp_for_ind</v>
          </cell>
          <cell r="F3423">
            <v>2.6367819309234619</v>
          </cell>
        </row>
        <row r="3424">
          <cell r="A3424" t="str">
            <v>PRY</v>
          </cell>
          <cell r="B3424" t="str">
            <v>Short</v>
          </cell>
          <cell r="C3424" t="str">
            <v>2018 - 2022</v>
          </cell>
          <cell r="D3424" t="str">
            <v>reg_iter</v>
          </cell>
          <cell r="E3424" t="str">
            <v>gdp_for_serv</v>
          </cell>
          <cell r="F3424">
            <v>0.47557106614112848</v>
          </cell>
        </row>
        <row r="3425">
          <cell r="A3425" t="str">
            <v>PRY</v>
          </cell>
          <cell r="B3425" t="str">
            <v>Short</v>
          </cell>
          <cell r="C3425" t="str">
            <v>2018 - 2022</v>
          </cell>
          <cell r="D3425" t="str">
            <v>reg_iter</v>
          </cell>
          <cell r="E3425" t="str">
            <v>gdp_inf_agri</v>
          </cell>
          <cell r="F3425">
            <v>0.7667241096496582</v>
          </cell>
        </row>
        <row r="3426">
          <cell r="A3426" t="str">
            <v>PRY</v>
          </cell>
          <cell r="B3426" t="str">
            <v>Short</v>
          </cell>
          <cell r="C3426" t="str">
            <v>2018 - 2022</v>
          </cell>
          <cell r="D3426" t="str">
            <v>reg_iter</v>
          </cell>
          <cell r="E3426" t="str">
            <v>gdp_inf_ind</v>
          </cell>
          <cell r="F3426">
            <v>-0.34430584311485291</v>
          </cell>
        </row>
        <row r="3427">
          <cell r="A3427" t="str">
            <v>PRY</v>
          </cell>
          <cell r="B3427" t="str">
            <v>Short</v>
          </cell>
          <cell r="C3427" t="str">
            <v>2018 - 2022</v>
          </cell>
          <cell r="D3427" t="str">
            <v>reg_iter</v>
          </cell>
          <cell r="E3427" t="str">
            <v>gdp_inf_serv</v>
          </cell>
          <cell r="F3427">
            <v>1.5106019973754881</v>
          </cell>
        </row>
        <row r="3428">
          <cell r="A3428" t="str">
            <v>PRY</v>
          </cell>
          <cell r="B3428" t="str">
            <v>Short</v>
          </cell>
          <cell r="C3428" t="str">
            <v>2018 - 2022</v>
          </cell>
          <cell r="D3428" t="str">
            <v>reg_iter</v>
          </cell>
          <cell r="E3428" t="str">
            <v>prod_for_agri</v>
          </cell>
          <cell r="F3428">
            <v>-1.6079509258270259</v>
          </cell>
        </row>
        <row r="3429">
          <cell r="A3429" t="str">
            <v>PRY</v>
          </cell>
          <cell r="B3429" t="str">
            <v>Short</v>
          </cell>
          <cell r="C3429" t="str">
            <v>2018 - 2022</v>
          </cell>
          <cell r="D3429" t="str">
            <v>reg_iter</v>
          </cell>
          <cell r="E3429" t="str">
            <v>prod_for_ind</v>
          </cell>
          <cell r="F3429">
            <v>-0.41908171772956848</v>
          </cell>
        </row>
        <row r="3430">
          <cell r="A3430" t="str">
            <v>PRY</v>
          </cell>
          <cell r="B3430" t="str">
            <v>Short</v>
          </cell>
          <cell r="C3430" t="str">
            <v>2018 - 2022</v>
          </cell>
          <cell r="D3430" t="str">
            <v>reg_iter</v>
          </cell>
          <cell r="E3430" t="str">
            <v>prod_for_serv</v>
          </cell>
          <cell r="F3430">
            <v>1.7411985397338869</v>
          </cell>
        </row>
        <row r="3431">
          <cell r="A3431" t="str">
            <v>PRY</v>
          </cell>
          <cell r="B3431" t="str">
            <v>Short</v>
          </cell>
          <cell r="C3431" t="str">
            <v>2018 - 2022</v>
          </cell>
          <cell r="D3431" t="str">
            <v>reg_iter</v>
          </cell>
          <cell r="E3431" t="str">
            <v>prod_inf_agri</v>
          </cell>
          <cell r="F3431">
            <v>-2.412042379379272</v>
          </cell>
        </row>
        <row r="3432">
          <cell r="A3432" t="str">
            <v>PRY</v>
          </cell>
          <cell r="B3432" t="str">
            <v>Short</v>
          </cell>
          <cell r="C3432" t="str">
            <v>2018 - 2022</v>
          </cell>
          <cell r="D3432" t="str">
            <v>reg_iter</v>
          </cell>
          <cell r="E3432" t="str">
            <v>prod_inf_ind</v>
          </cell>
          <cell r="F3432">
            <v>0.67845338582992554</v>
          </cell>
        </row>
        <row r="3433">
          <cell r="A3433" t="str">
            <v>PRY</v>
          </cell>
          <cell r="B3433" t="str">
            <v>Short</v>
          </cell>
          <cell r="C3433" t="str">
            <v>2018 - 2022</v>
          </cell>
          <cell r="D3433" t="str">
            <v>reg_iter</v>
          </cell>
          <cell r="E3433" t="str">
            <v>prod_inf_serv</v>
          </cell>
          <cell r="F3433">
            <v>0.99307483434677124</v>
          </cell>
        </row>
        <row r="3434">
          <cell r="A3434" t="str">
            <v>SLV</v>
          </cell>
          <cell r="B3434" t="str">
            <v>Long</v>
          </cell>
          <cell r="C3434" t="str">
            <v>2006 - 2023</v>
          </cell>
          <cell r="D3434" t="str">
            <v>avg</v>
          </cell>
          <cell r="E3434" t="str">
            <v>gdp_activity</v>
          </cell>
          <cell r="F3434">
            <v>0.68885838985443115</v>
          </cell>
        </row>
        <row r="3435">
          <cell r="A3435" t="str">
            <v>SLV</v>
          </cell>
          <cell r="B3435" t="str">
            <v>Long</v>
          </cell>
          <cell r="C3435" t="str">
            <v>2006 - 2023</v>
          </cell>
          <cell r="D3435" t="str">
            <v>avg</v>
          </cell>
          <cell r="E3435" t="str">
            <v>gdp_for_agri</v>
          </cell>
          <cell r="F3435">
            <v>-10.343940734863279</v>
          </cell>
        </row>
        <row r="3436">
          <cell r="A3436" t="str">
            <v>SLV</v>
          </cell>
          <cell r="B3436" t="str">
            <v>Long</v>
          </cell>
          <cell r="C3436" t="str">
            <v>2006 - 2023</v>
          </cell>
          <cell r="D3436" t="str">
            <v>avg</v>
          </cell>
          <cell r="E3436" t="str">
            <v>gdp_for_ind</v>
          </cell>
          <cell r="F3436">
            <v>1.3379877805709841</v>
          </cell>
        </row>
        <row r="3437">
          <cell r="A3437" t="str">
            <v>SLV</v>
          </cell>
          <cell r="B3437" t="str">
            <v>Long</v>
          </cell>
          <cell r="C3437" t="str">
            <v>2006 - 2023</v>
          </cell>
          <cell r="D3437" t="str">
            <v>avg</v>
          </cell>
          <cell r="E3437" t="str">
            <v>gdp_for_serv</v>
          </cell>
          <cell r="F3437">
            <v>-1.827027559280396</v>
          </cell>
        </row>
        <row r="3438">
          <cell r="A3438" t="str">
            <v>SLV</v>
          </cell>
          <cell r="B3438" t="str">
            <v>Long</v>
          </cell>
          <cell r="C3438" t="str">
            <v>2006 - 2023</v>
          </cell>
          <cell r="D3438" t="str">
            <v>avg</v>
          </cell>
          <cell r="E3438" t="str">
            <v>gdp_inf_agri</v>
          </cell>
          <cell r="F3438">
            <v>-5.3567814826965332</v>
          </cell>
        </row>
        <row r="3439">
          <cell r="A3439" t="str">
            <v>SLV</v>
          </cell>
          <cell r="B3439" t="str">
            <v>Long</v>
          </cell>
          <cell r="C3439" t="str">
            <v>2006 - 2023</v>
          </cell>
          <cell r="D3439" t="str">
            <v>avg</v>
          </cell>
          <cell r="E3439" t="str">
            <v>gdp_inf_ind</v>
          </cell>
          <cell r="F3439">
            <v>0.97965741157531738</v>
          </cell>
        </row>
        <row r="3440">
          <cell r="A3440" t="str">
            <v>SLV</v>
          </cell>
          <cell r="B3440" t="str">
            <v>Long</v>
          </cell>
          <cell r="C3440" t="str">
            <v>2006 - 2023</v>
          </cell>
          <cell r="D3440" t="str">
            <v>avg</v>
          </cell>
          <cell r="E3440" t="str">
            <v>gdp_inf_serv</v>
          </cell>
          <cell r="F3440">
            <v>-2.7929172515869141</v>
          </cell>
        </row>
        <row r="3441">
          <cell r="A3441" t="str">
            <v>SLV</v>
          </cell>
          <cell r="B3441" t="str">
            <v>Long</v>
          </cell>
          <cell r="C3441" t="str">
            <v>2006 - 2023</v>
          </cell>
          <cell r="D3441" t="str">
            <v>avg</v>
          </cell>
          <cell r="E3441" t="str">
            <v>prod_for_agri</v>
          </cell>
          <cell r="F3441">
            <v>0.8270186185836792</v>
          </cell>
        </row>
        <row r="3442">
          <cell r="A3442" t="str">
            <v>SLV</v>
          </cell>
          <cell r="B3442" t="str">
            <v>Long</v>
          </cell>
          <cell r="C3442" t="str">
            <v>2006 - 2023</v>
          </cell>
          <cell r="D3442" t="str">
            <v>avg</v>
          </cell>
          <cell r="E3442" t="str">
            <v>prod_for_ind</v>
          </cell>
          <cell r="F3442">
            <v>1.1506527662277219</v>
          </cell>
        </row>
        <row r="3443">
          <cell r="A3443" t="str">
            <v>SLV</v>
          </cell>
          <cell r="B3443" t="str">
            <v>Long</v>
          </cell>
          <cell r="C3443" t="str">
            <v>2006 - 2023</v>
          </cell>
          <cell r="D3443" t="str">
            <v>avg</v>
          </cell>
          <cell r="E3443" t="str">
            <v>prod_for_serv</v>
          </cell>
          <cell r="F3443">
            <v>-2.282407283782959</v>
          </cell>
        </row>
        <row r="3444">
          <cell r="A3444" t="str">
            <v>SLV</v>
          </cell>
          <cell r="B3444" t="str">
            <v>Long</v>
          </cell>
          <cell r="C3444" t="str">
            <v>2006 - 2023</v>
          </cell>
          <cell r="D3444" t="str">
            <v>avg</v>
          </cell>
          <cell r="E3444" t="str">
            <v>prod_inf_agri</v>
          </cell>
          <cell r="F3444">
            <v>0.35682633519172668</v>
          </cell>
        </row>
        <row r="3445">
          <cell r="A3445" t="str">
            <v>SLV</v>
          </cell>
          <cell r="B3445" t="str">
            <v>Long</v>
          </cell>
          <cell r="C3445" t="str">
            <v>2006 - 2023</v>
          </cell>
          <cell r="D3445" t="str">
            <v>avg</v>
          </cell>
          <cell r="E3445" t="str">
            <v>prod_inf_ind</v>
          </cell>
          <cell r="F3445">
            <v>-4.4023728370666504</v>
          </cell>
        </row>
        <row r="3446">
          <cell r="A3446" t="str">
            <v>SLV</v>
          </cell>
          <cell r="B3446" t="str">
            <v>Long</v>
          </cell>
          <cell r="C3446" t="str">
            <v>2006 - 2023</v>
          </cell>
          <cell r="D3446" t="str">
            <v>avg</v>
          </cell>
          <cell r="E3446" t="str">
            <v>prod_inf_serv</v>
          </cell>
          <cell r="F3446">
            <v>-1.190078139305115</v>
          </cell>
        </row>
        <row r="3447">
          <cell r="A3447" t="str">
            <v>SLV</v>
          </cell>
          <cell r="B3447" t="str">
            <v>Long</v>
          </cell>
          <cell r="C3447" t="str">
            <v>2006 - 2023</v>
          </cell>
          <cell r="D3447" t="str">
            <v>avg_1_99</v>
          </cell>
          <cell r="E3447" t="str">
            <v>gdp_activity</v>
          </cell>
          <cell r="F3447">
            <v>0.67920917272567749</v>
          </cell>
        </row>
        <row r="3448">
          <cell r="A3448" t="str">
            <v>SLV</v>
          </cell>
          <cell r="B3448" t="str">
            <v>Long</v>
          </cell>
          <cell r="C3448" t="str">
            <v>2006 - 2023</v>
          </cell>
          <cell r="D3448" t="str">
            <v>avg_1_99</v>
          </cell>
          <cell r="E3448" t="str">
            <v>gdp_for_agri</v>
          </cell>
          <cell r="F3448">
            <v>4.7994179725646973</v>
          </cell>
        </row>
        <row r="3449">
          <cell r="A3449" t="str">
            <v>SLV</v>
          </cell>
          <cell r="B3449" t="str">
            <v>Long</v>
          </cell>
          <cell r="C3449" t="str">
            <v>2006 - 2023</v>
          </cell>
          <cell r="D3449" t="str">
            <v>avg_1_99</v>
          </cell>
          <cell r="E3449" t="str">
            <v>gdp_for_ind</v>
          </cell>
          <cell r="F3449">
            <v>1.4212296009063721</v>
          </cell>
        </row>
        <row r="3450">
          <cell r="A3450" t="str">
            <v>SLV</v>
          </cell>
          <cell r="B3450" t="str">
            <v>Long</v>
          </cell>
          <cell r="C3450" t="str">
            <v>2006 - 2023</v>
          </cell>
          <cell r="D3450" t="str">
            <v>avg_1_99</v>
          </cell>
          <cell r="E3450" t="str">
            <v>gdp_for_serv</v>
          </cell>
          <cell r="F3450">
            <v>1.055899977684021</v>
          </cell>
        </row>
        <row r="3451">
          <cell r="A3451" t="str">
            <v>SLV</v>
          </cell>
          <cell r="B3451" t="str">
            <v>Long</v>
          </cell>
          <cell r="C3451" t="str">
            <v>2006 - 2023</v>
          </cell>
          <cell r="D3451" t="str">
            <v>avg_1_99</v>
          </cell>
          <cell r="E3451" t="str">
            <v>gdp_inf_agri</v>
          </cell>
          <cell r="F3451">
            <v>0.23841163516044619</v>
          </cell>
        </row>
        <row r="3452">
          <cell r="A3452" t="str">
            <v>SLV</v>
          </cell>
          <cell r="B3452" t="str">
            <v>Long</v>
          </cell>
          <cell r="C3452" t="str">
            <v>2006 - 2023</v>
          </cell>
          <cell r="D3452" t="str">
            <v>avg_1_99</v>
          </cell>
          <cell r="E3452" t="str">
            <v>gdp_inf_ind</v>
          </cell>
          <cell r="F3452">
            <v>1.1163375377655029</v>
          </cell>
        </row>
        <row r="3453">
          <cell r="A3453" t="str">
            <v>SLV</v>
          </cell>
          <cell r="B3453" t="str">
            <v>Long</v>
          </cell>
          <cell r="C3453" t="str">
            <v>2006 - 2023</v>
          </cell>
          <cell r="D3453" t="str">
            <v>avg_1_99</v>
          </cell>
          <cell r="E3453" t="str">
            <v>gdp_inf_serv</v>
          </cell>
          <cell r="F3453">
            <v>7.266998291015625E-3</v>
          </cell>
        </row>
        <row r="3454">
          <cell r="A3454" t="str">
            <v>SLV</v>
          </cell>
          <cell r="B3454" t="str">
            <v>Long</v>
          </cell>
          <cell r="C3454" t="str">
            <v>2006 - 2023</v>
          </cell>
          <cell r="D3454" t="str">
            <v>avg_1_99</v>
          </cell>
          <cell r="E3454" t="str">
            <v>prod_for_agri</v>
          </cell>
          <cell r="F3454">
            <v>0.1413063257932663</v>
          </cell>
        </row>
        <row r="3455">
          <cell r="A3455" t="str">
            <v>SLV</v>
          </cell>
          <cell r="B3455" t="str">
            <v>Long</v>
          </cell>
          <cell r="C3455" t="str">
            <v>2006 - 2023</v>
          </cell>
          <cell r="D3455" t="str">
            <v>avg_1_99</v>
          </cell>
          <cell r="E3455" t="str">
            <v>prod_for_ind</v>
          </cell>
          <cell r="F3455">
            <v>0.1019982472062111</v>
          </cell>
        </row>
        <row r="3456">
          <cell r="A3456" t="str">
            <v>SLV</v>
          </cell>
          <cell r="B3456" t="str">
            <v>Long</v>
          </cell>
          <cell r="C3456" t="str">
            <v>2006 - 2023</v>
          </cell>
          <cell r="D3456" t="str">
            <v>avg_1_99</v>
          </cell>
          <cell r="E3456" t="str">
            <v>prod_for_serv</v>
          </cell>
          <cell r="F3456">
            <v>-1.8953233957290649</v>
          </cell>
        </row>
        <row r="3457">
          <cell r="A3457" t="str">
            <v>SLV</v>
          </cell>
          <cell r="B3457" t="str">
            <v>Long</v>
          </cell>
          <cell r="C3457" t="str">
            <v>2006 - 2023</v>
          </cell>
          <cell r="D3457" t="str">
            <v>avg_1_99</v>
          </cell>
          <cell r="E3457" t="str">
            <v>prod_inf_agri</v>
          </cell>
          <cell r="F3457">
            <v>0.28138595819473272</v>
          </cell>
        </row>
        <row r="3458">
          <cell r="A3458" t="str">
            <v>SLV</v>
          </cell>
          <cell r="B3458" t="str">
            <v>Long</v>
          </cell>
          <cell r="C3458" t="str">
            <v>2006 - 2023</v>
          </cell>
          <cell r="D3458" t="str">
            <v>avg_1_99</v>
          </cell>
          <cell r="E3458" t="str">
            <v>prod_inf_ind</v>
          </cell>
          <cell r="F3458">
            <v>-0.88123810291290283</v>
          </cell>
        </row>
        <row r="3459">
          <cell r="A3459" t="str">
            <v>SLV</v>
          </cell>
          <cell r="B3459" t="str">
            <v>Long</v>
          </cell>
          <cell r="C3459" t="str">
            <v>2006 - 2023</v>
          </cell>
          <cell r="D3459" t="str">
            <v>avg_1_99</v>
          </cell>
          <cell r="E3459" t="str">
            <v>prod_inf_serv</v>
          </cell>
          <cell r="F3459">
            <v>-0.79376751184463501</v>
          </cell>
        </row>
        <row r="3460">
          <cell r="A3460" t="str">
            <v>SLV</v>
          </cell>
          <cell r="B3460" t="str">
            <v>Long</v>
          </cell>
          <cell r="C3460" t="str">
            <v>2006 - 2023</v>
          </cell>
          <cell r="D3460" t="str">
            <v>avg_1_99_imp</v>
          </cell>
          <cell r="E3460" t="str">
            <v>gdp_activity</v>
          </cell>
          <cell r="F3460">
            <v>0.69389206171035767</v>
          </cell>
        </row>
        <row r="3461">
          <cell r="A3461" t="str">
            <v>SLV</v>
          </cell>
          <cell r="B3461" t="str">
            <v>Long</v>
          </cell>
          <cell r="C3461" t="str">
            <v>2006 - 2023</v>
          </cell>
          <cell r="D3461" t="str">
            <v>avg_1_99_imp</v>
          </cell>
          <cell r="E3461" t="str">
            <v>gdp_for_agri</v>
          </cell>
          <cell r="F3461">
            <v>4.0908870697021484</v>
          </cell>
        </row>
        <row r="3462">
          <cell r="A3462" t="str">
            <v>SLV</v>
          </cell>
          <cell r="B3462" t="str">
            <v>Long</v>
          </cell>
          <cell r="C3462" t="str">
            <v>2006 - 2023</v>
          </cell>
          <cell r="D3462" t="str">
            <v>avg_1_99_imp</v>
          </cell>
          <cell r="E3462" t="str">
            <v>gdp_for_ind</v>
          </cell>
          <cell r="F3462">
            <v>1.4545938968658449</v>
          </cell>
        </row>
        <row r="3463">
          <cell r="A3463" t="str">
            <v>SLV</v>
          </cell>
          <cell r="B3463" t="str">
            <v>Long</v>
          </cell>
          <cell r="C3463" t="str">
            <v>2006 - 2023</v>
          </cell>
          <cell r="D3463" t="str">
            <v>avg_1_99_imp</v>
          </cell>
          <cell r="E3463" t="str">
            <v>gdp_for_serv</v>
          </cell>
          <cell r="F3463">
            <v>1.0845843553543091</v>
          </cell>
        </row>
        <row r="3464">
          <cell r="A3464" t="str">
            <v>SLV</v>
          </cell>
          <cell r="B3464" t="str">
            <v>Long</v>
          </cell>
          <cell r="C3464" t="str">
            <v>2006 - 2023</v>
          </cell>
          <cell r="D3464" t="str">
            <v>avg_1_99_imp</v>
          </cell>
          <cell r="E3464" t="str">
            <v>gdp_inf_agri</v>
          </cell>
          <cell r="F3464">
            <v>0.28372389078140259</v>
          </cell>
        </row>
        <row r="3465">
          <cell r="A3465" t="str">
            <v>SLV</v>
          </cell>
          <cell r="B3465" t="str">
            <v>Long</v>
          </cell>
          <cell r="C3465" t="str">
            <v>2006 - 2023</v>
          </cell>
          <cell r="D3465" t="str">
            <v>avg_1_99_imp</v>
          </cell>
          <cell r="E3465" t="str">
            <v>gdp_inf_ind</v>
          </cell>
          <cell r="F3465">
            <v>1.1626530885696409</v>
          </cell>
        </row>
        <row r="3466">
          <cell r="A3466" t="str">
            <v>SLV</v>
          </cell>
          <cell r="B3466" t="str">
            <v>Long</v>
          </cell>
          <cell r="C3466" t="str">
            <v>2006 - 2023</v>
          </cell>
          <cell r="D3466" t="str">
            <v>avg_1_99_imp</v>
          </cell>
          <cell r="E3466" t="str">
            <v>gdp_inf_serv</v>
          </cell>
          <cell r="F3466">
            <v>8.4088593721389771E-2</v>
          </cell>
        </row>
        <row r="3467">
          <cell r="A3467" t="str">
            <v>SLV</v>
          </cell>
          <cell r="B3467" t="str">
            <v>Long</v>
          </cell>
          <cell r="C3467" t="str">
            <v>2006 - 2023</v>
          </cell>
          <cell r="D3467" t="str">
            <v>avg_1_99_imp</v>
          </cell>
          <cell r="E3467" t="str">
            <v>prod_for_agri</v>
          </cell>
          <cell r="F3467">
            <v>-0.54326927661895752</v>
          </cell>
        </row>
        <row r="3468">
          <cell r="A3468" t="str">
            <v>SLV</v>
          </cell>
          <cell r="B3468" t="str">
            <v>Long</v>
          </cell>
          <cell r="C3468" t="str">
            <v>2006 - 2023</v>
          </cell>
          <cell r="D3468" t="str">
            <v>avg_1_99_imp</v>
          </cell>
          <cell r="E3468" t="str">
            <v>prod_for_ind</v>
          </cell>
          <cell r="F3468">
            <v>-0.73564529418945313</v>
          </cell>
        </row>
        <row r="3469">
          <cell r="A3469" t="str">
            <v>SLV</v>
          </cell>
          <cell r="B3469" t="str">
            <v>Long</v>
          </cell>
          <cell r="C3469" t="str">
            <v>2006 - 2023</v>
          </cell>
          <cell r="D3469" t="str">
            <v>avg_1_99_imp</v>
          </cell>
          <cell r="E3469" t="str">
            <v>prod_for_serv</v>
          </cell>
          <cell r="F3469">
            <v>-2.1746504306793208</v>
          </cell>
        </row>
        <row r="3470">
          <cell r="A3470" t="str">
            <v>SLV</v>
          </cell>
          <cell r="B3470" t="str">
            <v>Long</v>
          </cell>
          <cell r="C3470" t="str">
            <v>2006 - 2023</v>
          </cell>
          <cell r="D3470" t="str">
            <v>avg_1_99_imp</v>
          </cell>
          <cell r="E3470" t="str">
            <v>prod_inf_agri</v>
          </cell>
          <cell r="F3470">
            <v>0.26601478457450872</v>
          </cell>
        </row>
        <row r="3471">
          <cell r="A3471" t="str">
            <v>SLV</v>
          </cell>
          <cell r="B3471" t="str">
            <v>Long</v>
          </cell>
          <cell r="C3471" t="str">
            <v>2006 - 2023</v>
          </cell>
          <cell r="D3471" t="str">
            <v>avg_1_99_imp</v>
          </cell>
          <cell r="E3471" t="str">
            <v>prod_inf_ind</v>
          </cell>
          <cell r="F3471">
            <v>-0.84529942274093628</v>
          </cell>
        </row>
        <row r="3472">
          <cell r="A3472" t="str">
            <v>SLV</v>
          </cell>
          <cell r="B3472" t="str">
            <v>Long</v>
          </cell>
          <cell r="C3472" t="str">
            <v>2006 - 2023</v>
          </cell>
          <cell r="D3472" t="str">
            <v>avg_1_99_imp</v>
          </cell>
          <cell r="E3472" t="str">
            <v>prod_inf_serv</v>
          </cell>
          <cell r="F3472">
            <v>-0.65028840303421021</v>
          </cell>
        </row>
        <row r="3473">
          <cell r="A3473" t="str">
            <v>SLV</v>
          </cell>
          <cell r="B3473" t="str">
            <v>Long</v>
          </cell>
          <cell r="C3473" t="str">
            <v>2006 - 2023</v>
          </cell>
          <cell r="D3473" t="str">
            <v>med_reg</v>
          </cell>
          <cell r="E3473" t="str">
            <v>gdp_activity</v>
          </cell>
          <cell r="F3473">
            <v>0.71750277280807495</v>
          </cell>
        </row>
        <row r="3474">
          <cell r="A3474" t="str">
            <v>SLV</v>
          </cell>
          <cell r="B3474" t="str">
            <v>Long</v>
          </cell>
          <cell r="C3474" t="str">
            <v>2006 - 2023</v>
          </cell>
          <cell r="D3474" t="str">
            <v>med_reg</v>
          </cell>
          <cell r="E3474" t="str">
            <v>gdp_for_agri</v>
          </cell>
          <cell r="F3474">
            <v>-2.678335428237915</v>
          </cell>
        </row>
        <row r="3475">
          <cell r="A3475" t="str">
            <v>SLV</v>
          </cell>
          <cell r="B3475" t="str">
            <v>Long</v>
          </cell>
          <cell r="C3475" t="str">
            <v>2006 - 2023</v>
          </cell>
          <cell r="D3475" t="str">
            <v>med_reg</v>
          </cell>
          <cell r="E3475" t="str">
            <v>gdp_for_ind</v>
          </cell>
          <cell r="F3475">
            <v>0.80546706914901733</v>
          </cell>
        </row>
        <row r="3476">
          <cell r="A3476" t="str">
            <v>SLV</v>
          </cell>
          <cell r="B3476" t="str">
            <v>Long</v>
          </cell>
          <cell r="C3476" t="str">
            <v>2006 - 2023</v>
          </cell>
          <cell r="D3476" t="str">
            <v>med_reg</v>
          </cell>
          <cell r="E3476" t="str">
            <v>gdp_for_serv</v>
          </cell>
          <cell r="F3476">
            <v>1.071220278739929</v>
          </cell>
        </row>
        <row r="3477">
          <cell r="A3477" t="str">
            <v>SLV</v>
          </cell>
          <cell r="B3477" t="str">
            <v>Long</v>
          </cell>
          <cell r="C3477" t="str">
            <v>2006 - 2023</v>
          </cell>
          <cell r="D3477" t="str">
            <v>med_reg</v>
          </cell>
          <cell r="E3477" t="str">
            <v>gdp_inf_agri</v>
          </cell>
          <cell r="F3477">
            <v>0.29654553532600397</v>
          </cell>
        </row>
        <row r="3478">
          <cell r="A3478" t="str">
            <v>SLV</v>
          </cell>
          <cell r="B3478" t="str">
            <v>Long</v>
          </cell>
          <cell r="C3478" t="str">
            <v>2006 - 2023</v>
          </cell>
          <cell r="D3478" t="str">
            <v>med_reg</v>
          </cell>
          <cell r="E3478" t="str">
            <v>gdp_inf_ind</v>
          </cell>
          <cell r="F3478">
            <v>1.468293190002441</v>
          </cell>
        </row>
        <row r="3479">
          <cell r="A3479" t="str">
            <v>SLV</v>
          </cell>
          <cell r="B3479" t="str">
            <v>Long</v>
          </cell>
          <cell r="C3479" t="str">
            <v>2006 - 2023</v>
          </cell>
          <cell r="D3479" t="str">
            <v>med_reg</v>
          </cell>
          <cell r="E3479" t="str">
            <v>gdp_inf_serv</v>
          </cell>
          <cell r="F3479">
            <v>0.78794538974761963</v>
          </cell>
        </row>
        <row r="3480">
          <cell r="A3480" t="str">
            <v>SLV</v>
          </cell>
          <cell r="B3480" t="str">
            <v>Long</v>
          </cell>
          <cell r="C3480" t="str">
            <v>2006 - 2023</v>
          </cell>
          <cell r="D3480" t="str">
            <v>med_reg</v>
          </cell>
          <cell r="E3480" t="str">
            <v>prod_for_agri</v>
          </cell>
          <cell r="F3480">
            <v>0.47033438086509699</v>
          </cell>
        </row>
        <row r="3481">
          <cell r="A3481" t="str">
            <v>SLV</v>
          </cell>
          <cell r="B3481" t="str">
            <v>Long</v>
          </cell>
          <cell r="C3481" t="str">
            <v>2006 - 2023</v>
          </cell>
          <cell r="D3481" t="str">
            <v>med_reg</v>
          </cell>
          <cell r="E3481" t="str">
            <v>prod_for_ind</v>
          </cell>
          <cell r="F3481">
            <v>-2.0797171592712398</v>
          </cell>
        </row>
        <row r="3482">
          <cell r="A3482" t="str">
            <v>SLV</v>
          </cell>
          <cell r="B3482" t="str">
            <v>Long</v>
          </cell>
          <cell r="C3482" t="str">
            <v>2006 - 2023</v>
          </cell>
          <cell r="D3482" t="str">
            <v>med_reg</v>
          </cell>
          <cell r="E3482" t="str">
            <v>prod_for_serv</v>
          </cell>
          <cell r="F3482">
            <v>0.69877171516418457</v>
          </cell>
        </row>
        <row r="3483">
          <cell r="A3483" t="str">
            <v>SLV</v>
          </cell>
          <cell r="B3483" t="str">
            <v>Long</v>
          </cell>
          <cell r="C3483" t="str">
            <v>2006 - 2023</v>
          </cell>
          <cell r="D3483" t="str">
            <v>med_reg</v>
          </cell>
          <cell r="E3483" t="str">
            <v>prod_inf_agri</v>
          </cell>
          <cell r="F3483">
            <v>0.81665843725204468</v>
          </cell>
        </row>
        <row r="3484">
          <cell r="A3484" t="str">
            <v>SLV</v>
          </cell>
          <cell r="B3484" t="str">
            <v>Long</v>
          </cell>
          <cell r="C3484" t="str">
            <v>2006 - 2023</v>
          </cell>
          <cell r="D3484" t="str">
            <v>med_reg</v>
          </cell>
          <cell r="E3484" t="str">
            <v>prod_inf_ind</v>
          </cell>
          <cell r="F3484">
            <v>-2.4094772338867192</v>
          </cell>
        </row>
        <row r="3485">
          <cell r="A3485" t="str">
            <v>SLV</v>
          </cell>
          <cell r="B3485" t="str">
            <v>Long</v>
          </cell>
          <cell r="C3485" t="str">
            <v>2006 - 2023</v>
          </cell>
          <cell r="D3485" t="str">
            <v>med_reg</v>
          </cell>
          <cell r="E3485" t="str">
            <v>prod_inf_serv</v>
          </cell>
          <cell r="F3485">
            <v>1.628714919090271</v>
          </cell>
        </row>
        <row r="3486">
          <cell r="A3486" t="str">
            <v>SLV</v>
          </cell>
          <cell r="B3486" t="str">
            <v>Long</v>
          </cell>
          <cell r="C3486" t="str">
            <v>2006 - 2023</v>
          </cell>
          <cell r="D3486" t="str">
            <v>reg</v>
          </cell>
          <cell r="E3486" t="str">
            <v>gdp_activity</v>
          </cell>
          <cell r="F3486">
            <v>0.67770475149154663</v>
          </cell>
        </row>
        <row r="3487">
          <cell r="A3487" t="str">
            <v>SLV</v>
          </cell>
          <cell r="B3487" t="str">
            <v>Long</v>
          </cell>
          <cell r="C3487" t="str">
            <v>2006 - 2023</v>
          </cell>
          <cell r="D3487" t="str">
            <v>reg</v>
          </cell>
          <cell r="E3487" t="str">
            <v>gdp_for_agri</v>
          </cell>
          <cell r="F3487">
            <v>-2.7391433715820308</v>
          </cell>
        </row>
        <row r="3488">
          <cell r="A3488" t="str">
            <v>SLV</v>
          </cell>
          <cell r="B3488" t="str">
            <v>Long</v>
          </cell>
          <cell r="C3488" t="str">
            <v>2006 - 2023</v>
          </cell>
          <cell r="D3488" t="str">
            <v>reg</v>
          </cell>
          <cell r="E3488" t="str">
            <v>gdp_for_ind</v>
          </cell>
          <cell r="F3488">
            <v>0.70728147029876709</v>
          </cell>
        </row>
        <row r="3489">
          <cell r="A3489" t="str">
            <v>SLV</v>
          </cell>
          <cell r="B3489" t="str">
            <v>Long</v>
          </cell>
          <cell r="C3489" t="str">
            <v>2006 - 2023</v>
          </cell>
          <cell r="D3489" t="str">
            <v>reg</v>
          </cell>
          <cell r="E3489" t="str">
            <v>gdp_for_serv</v>
          </cell>
          <cell r="F3489">
            <v>0.99465876817703247</v>
          </cell>
        </row>
        <row r="3490">
          <cell r="A3490" t="str">
            <v>SLV</v>
          </cell>
          <cell r="B3490" t="str">
            <v>Long</v>
          </cell>
          <cell r="C3490" t="str">
            <v>2006 - 2023</v>
          </cell>
          <cell r="D3490" t="str">
            <v>reg</v>
          </cell>
          <cell r="E3490" t="str">
            <v>gdp_inf_agri</v>
          </cell>
          <cell r="F3490">
            <v>-0.2225958704948425</v>
          </cell>
        </row>
        <row r="3491">
          <cell r="A3491" t="str">
            <v>SLV</v>
          </cell>
          <cell r="B3491" t="str">
            <v>Long</v>
          </cell>
          <cell r="C3491" t="str">
            <v>2006 - 2023</v>
          </cell>
          <cell r="D3491" t="str">
            <v>reg</v>
          </cell>
          <cell r="E3491" t="str">
            <v>gdp_inf_ind</v>
          </cell>
          <cell r="F3491">
            <v>1.3193013668060301</v>
          </cell>
        </row>
        <row r="3492">
          <cell r="A3492" t="str">
            <v>SLV</v>
          </cell>
          <cell r="B3492" t="str">
            <v>Long</v>
          </cell>
          <cell r="C3492" t="str">
            <v>2006 - 2023</v>
          </cell>
          <cell r="D3492" t="str">
            <v>reg</v>
          </cell>
          <cell r="E3492" t="str">
            <v>gdp_inf_serv</v>
          </cell>
          <cell r="F3492">
            <v>0.7190818190574646</v>
          </cell>
        </row>
        <row r="3493">
          <cell r="A3493" t="str">
            <v>SLV</v>
          </cell>
          <cell r="B3493" t="str">
            <v>Long</v>
          </cell>
          <cell r="C3493" t="str">
            <v>2006 - 2023</v>
          </cell>
          <cell r="D3493" t="str">
            <v>reg</v>
          </cell>
          <cell r="E3493" t="str">
            <v>prod_for_agri</v>
          </cell>
          <cell r="F3493">
            <v>0.35784509778022772</v>
          </cell>
        </row>
        <row r="3494">
          <cell r="A3494" t="str">
            <v>SLV</v>
          </cell>
          <cell r="B3494" t="str">
            <v>Long</v>
          </cell>
          <cell r="C3494" t="str">
            <v>2006 - 2023</v>
          </cell>
          <cell r="D3494" t="str">
            <v>reg</v>
          </cell>
          <cell r="E3494" t="str">
            <v>prod_for_ind</v>
          </cell>
          <cell r="F3494">
            <v>-2.2599682807922359</v>
          </cell>
        </row>
        <row r="3495">
          <cell r="A3495" t="str">
            <v>SLV</v>
          </cell>
          <cell r="B3495" t="str">
            <v>Long</v>
          </cell>
          <cell r="C3495" t="str">
            <v>2006 - 2023</v>
          </cell>
          <cell r="D3495" t="str">
            <v>reg</v>
          </cell>
          <cell r="E3495" t="str">
            <v>prod_for_serv</v>
          </cell>
          <cell r="F3495">
            <v>0.41834250092506409</v>
          </cell>
        </row>
        <row r="3496">
          <cell r="A3496" t="str">
            <v>SLV</v>
          </cell>
          <cell r="B3496" t="str">
            <v>Long</v>
          </cell>
          <cell r="C3496" t="str">
            <v>2006 - 2023</v>
          </cell>
          <cell r="D3496" t="str">
            <v>reg</v>
          </cell>
          <cell r="E3496" t="str">
            <v>prod_inf_agri</v>
          </cell>
          <cell r="F3496">
            <v>0.42345407605171198</v>
          </cell>
        </row>
        <row r="3497">
          <cell r="A3497" t="str">
            <v>SLV</v>
          </cell>
          <cell r="B3497" t="str">
            <v>Long</v>
          </cell>
          <cell r="C3497" t="str">
            <v>2006 - 2023</v>
          </cell>
          <cell r="D3497" t="str">
            <v>reg</v>
          </cell>
          <cell r="E3497" t="str">
            <v>prod_inf_ind</v>
          </cell>
          <cell r="F3497">
            <v>-1.925214529037476</v>
          </cell>
        </row>
        <row r="3498">
          <cell r="A3498" t="str">
            <v>SLV</v>
          </cell>
          <cell r="B3498" t="str">
            <v>Long</v>
          </cell>
          <cell r="C3498" t="str">
            <v>2006 - 2023</v>
          </cell>
          <cell r="D3498" t="str">
            <v>reg</v>
          </cell>
          <cell r="E3498" t="str">
            <v>prod_inf_serv</v>
          </cell>
          <cell r="F3498">
            <v>1.5804833173751831</v>
          </cell>
        </row>
        <row r="3499">
          <cell r="A3499" t="str">
            <v>SLV</v>
          </cell>
          <cell r="B3499" t="str">
            <v>Long</v>
          </cell>
          <cell r="C3499" t="str">
            <v>2006 - 2023</v>
          </cell>
          <cell r="D3499" t="str">
            <v>reg_gdp</v>
          </cell>
          <cell r="E3499" t="str">
            <v>gdp_activity</v>
          </cell>
          <cell r="F3499">
            <v>0.67770475149154663</v>
          </cell>
        </row>
        <row r="3500">
          <cell r="A3500" t="str">
            <v>SLV</v>
          </cell>
          <cell r="B3500" t="str">
            <v>Long</v>
          </cell>
          <cell r="C3500" t="str">
            <v>2006 - 2023</v>
          </cell>
          <cell r="D3500" t="str">
            <v>reg_gdp</v>
          </cell>
          <cell r="E3500" t="str">
            <v>gdp_for_agri</v>
          </cell>
          <cell r="F3500">
            <v>-1.839357852935791</v>
          </cell>
        </row>
        <row r="3501">
          <cell r="A3501" t="str">
            <v>SLV</v>
          </cell>
          <cell r="B3501" t="str">
            <v>Long</v>
          </cell>
          <cell r="C3501" t="str">
            <v>2006 - 2023</v>
          </cell>
          <cell r="D3501" t="str">
            <v>reg_gdp</v>
          </cell>
          <cell r="E3501" t="str">
            <v>gdp_for_ind</v>
          </cell>
          <cell r="F3501">
            <v>2.1502153873443599</v>
          </cell>
        </row>
        <row r="3502">
          <cell r="A3502" t="str">
            <v>SLV</v>
          </cell>
          <cell r="B3502" t="str">
            <v>Long</v>
          </cell>
          <cell r="C3502" t="str">
            <v>2006 - 2023</v>
          </cell>
          <cell r="D3502" t="str">
            <v>reg_gdp</v>
          </cell>
          <cell r="E3502" t="str">
            <v>gdp_for_serv</v>
          </cell>
          <cell r="F3502">
            <v>0.46146917343139648</v>
          </cell>
        </row>
        <row r="3503">
          <cell r="A3503" t="str">
            <v>SLV</v>
          </cell>
          <cell r="B3503" t="str">
            <v>Long</v>
          </cell>
          <cell r="C3503" t="str">
            <v>2006 - 2023</v>
          </cell>
          <cell r="D3503" t="str">
            <v>reg_gdp</v>
          </cell>
          <cell r="E3503" t="str">
            <v>gdp_inf_agri</v>
          </cell>
          <cell r="F3503">
            <v>-1.196331262588501</v>
          </cell>
        </row>
        <row r="3504">
          <cell r="A3504" t="str">
            <v>SLV</v>
          </cell>
          <cell r="B3504" t="str">
            <v>Long</v>
          </cell>
          <cell r="C3504" t="str">
            <v>2006 - 2023</v>
          </cell>
          <cell r="D3504" t="str">
            <v>reg_gdp</v>
          </cell>
          <cell r="E3504" t="str">
            <v>gdp_inf_ind</v>
          </cell>
          <cell r="F3504">
            <v>-0.18879283964633939</v>
          </cell>
        </row>
        <row r="3505">
          <cell r="A3505" t="str">
            <v>SLV</v>
          </cell>
          <cell r="B3505" t="str">
            <v>Long</v>
          </cell>
          <cell r="C3505" t="str">
            <v>2006 - 2023</v>
          </cell>
          <cell r="D3505" t="str">
            <v>reg_gdp</v>
          </cell>
          <cell r="E3505" t="str">
            <v>gdp_inf_serv</v>
          </cell>
          <cell r="F3505">
            <v>-1.7035869359970091</v>
          </cell>
        </row>
        <row r="3506">
          <cell r="A3506" t="str">
            <v>SLV</v>
          </cell>
          <cell r="B3506" t="str">
            <v>Long</v>
          </cell>
          <cell r="C3506" t="str">
            <v>2006 - 2023</v>
          </cell>
          <cell r="D3506" t="str">
            <v>reg_gdp</v>
          </cell>
          <cell r="E3506" t="str">
            <v>prod_for_agri</v>
          </cell>
          <cell r="F3506">
            <v>0.31022995710372919</v>
          </cell>
        </row>
        <row r="3507">
          <cell r="A3507" t="str">
            <v>SLV</v>
          </cell>
          <cell r="B3507" t="str">
            <v>Long</v>
          </cell>
          <cell r="C3507" t="str">
            <v>2006 - 2023</v>
          </cell>
          <cell r="D3507" t="str">
            <v>reg_gdp</v>
          </cell>
          <cell r="E3507" t="str">
            <v>prod_for_ind</v>
          </cell>
          <cell r="F3507">
            <v>-1.862402081489563</v>
          </cell>
        </row>
        <row r="3508">
          <cell r="A3508" t="str">
            <v>SLV</v>
          </cell>
          <cell r="B3508" t="str">
            <v>Long</v>
          </cell>
          <cell r="C3508" t="str">
            <v>2006 - 2023</v>
          </cell>
          <cell r="D3508" t="str">
            <v>reg_gdp</v>
          </cell>
          <cell r="E3508" t="str">
            <v>prod_for_serv</v>
          </cell>
          <cell r="F3508">
            <v>0.3295280933380127</v>
          </cell>
        </row>
        <row r="3509">
          <cell r="A3509" t="str">
            <v>SLV</v>
          </cell>
          <cell r="B3509" t="str">
            <v>Long</v>
          </cell>
          <cell r="C3509" t="str">
            <v>2006 - 2023</v>
          </cell>
          <cell r="D3509" t="str">
            <v>reg_gdp</v>
          </cell>
          <cell r="E3509" t="str">
            <v>prod_inf_agri</v>
          </cell>
          <cell r="F3509">
            <v>0.33023178577423101</v>
          </cell>
        </row>
        <row r="3510">
          <cell r="A3510" t="str">
            <v>SLV</v>
          </cell>
          <cell r="B3510" t="str">
            <v>Long</v>
          </cell>
          <cell r="C3510" t="str">
            <v>2006 - 2023</v>
          </cell>
          <cell r="D3510" t="str">
            <v>reg_gdp</v>
          </cell>
          <cell r="E3510" t="str">
            <v>prod_inf_ind</v>
          </cell>
          <cell r="F3510">
            <v>-1.094738841056824</v>
          </cell>
        </row>
        <row r="3511">
          <cell r="A3511" t="str">
            <v>SLV</v>
          </cell>
          <cell r="B3511" t="str">
            <v>Long</v>
          </cell>
          <cell r="C3511" t="str">
            <v>2006 - 2023</v>
          </cell>
          <cell r="D3511" t="str">
            <v>reg_gdp</v>
          </cell>
          <cell r="E3511" t="str">
            <v>prod_inf_serv</v>
          </cell>
          <cell r="F3511">
            <v>1.0791740417480471</v>
          </cell>
        </row>
        <row r="3512">
          <cell r="A3512" t="str">
            <v>SLV</v>
          </cell>
          <cell r="B3512" t="str">
            <v>Long</v>
          </cell>
          <cell r="C3512" t="str">
            <v>2006 - 2023</v>
          </cell>
          <cell r="D3512" t="str">
            <v>reg_iter</v>
          </cell>
          <cell r="E3512" t="str">
            <v>gdp_activity</v>
          </cell>
          <cell r="F3512">
            <v>0.69504666328430176</v>
          </cell>
        </row>
        <row r="3513">
          <cell r="A3513" t="str">
            <v>SLV</v>
          </cell>
          <cell r="B3513" t="str">
            <v>Long</v>
          </cell>
          <cell r="C3513" t="str">
            <v>2006 - 2023</v>
          </cell>
          <cell r="D3513" t="str">
            <v>reg_iter</v>
          </cell>
          <cell r="E3513" t="str">
            <v>gdp_for_agri</v>
          </cell>
          <cell r="F3513">
            <v>-2.774219274520874</v>
          </cell>
        </row>
        <row r="3514">
          <cell r="A3514" t="str">
            <v>SLV</v>
          </cell>
          <cell r="B3514" t="str">
            <v>Long</v>
          </cell>
          <cell r="C3514" t="str">
            <v>2006 - 2023</v>
          </cell>
          <cell r="D3514" t="str">
            <v>reg_iter</v>
          </cell>
          <cell r="E3514" t="str">
            <v>gdp_for_ind</v>
          </cell>
          <cell r="F3514">
            <v>0.68484532833099365</v>
          </cell>
        </row>
        <row r="3515">
          <cell r="A3515" t="str">
            <v>SLV</v>
          </cell>
          <cell r="B3515" t="str">
            <v>Long</v>
          </cell>
          <cell r="C3515" t="str">
            <v>2006 - 2023</v>
          </cell>
          <cell r="D3515" t="str">
            <v>reg_iter</v>
          </cell>
          <cell r="E3515" t="str">
            <v>gdp_for_serv</v>
          </cell>
          <cell r="F3515">
            <v>0.98300445079803467</v>
          </cell>
        </row>
        <row r="3516">
          <cell r="A3516" t="str">
            <v>SLV</v>
          </cell>
          <cell r="B3516" t="str">
            <v>Long</v>
          </cell>
          <cell r="C3516" t="str">
            <v>2006 - 2023</v>
          </cell>
          <cell r="D3516" t="str">
            <v>reg_iter</v>
          </cell>
          <cell r="E3516" t="str">
            <v>gdp_inf_agri</v>
          </cell>
          <cell r="F3516">
            <v>-0.30681777000427252</v>
          </cell>
        </row>
        <row r="3517">
          <cell r="A3517" t="str">
            <v>SLV</v>
          </cell>
          <cell r="B3517" t="str">
            <v>Long</v>
          </cell>
          <cell r="C3517" t="str">
            <v>2006 - 2023</v>
          </cell>
          <cell r="D3517" t="str">
            <v>reg_iter</v>
          </cell>
          <cell r="E3517" t="str">
            <v>gdp_inf_ind</v>
          </cell>
          <cell r="F3517">
            <v>1.3077740669250491</v>
          </cell>
        </row>
        <row r="3518">
          <cell r="A3518" t="str">
            <v>SLV</v>
          </cell>
          <cell r="B3518" t="str">
            <v>Long</v>
          </cell>
          <cell r="C3518" t="str">
            <v>2006 - 2023</v>
          </cell>
          <cell r="D3518" t="str">
            <v>reg_iter</v>
          </cell>
          <cell r="E3518" t="str">
            <v>gdp_inf_serv</v>
          </cell>
          <cell r="F3518">
            <v>0.73728954792022705</v>
          </cell>
        </row>
        <row r="3519">
          <cell r="A3519" t="str">
            <v>SLV</v>
          </cell>
          <cell r="B3519" t="str">
            <v>Long</v>
          </cell>
          <cell r="C3519" t="str">
            <v>2006 - 2023</v>
          </cell>
          <cell r="D3519" t="str">
            <v>reg_iter</v>
          </cell>
          <cell r="E3519" t="str">
            <v>prod_for_agri</v>
          </cell>
          <cell r="F3519">
            <v>0.39029896259307861</v>
          </cell>
        </row>
        <row r="3520">
          <cell r="A3520" t="str">
            <v>SLV</v>
          </cell>
          <cell r="B3520" t="str">
            <v>Long</v>
          </cell>
          <cell r="C3520" t="str">
            <v>2006 - 2023</v>
          </cell>
          <cell r="D3520" t="str">
            <v>reg_iter</v>
          </cell>
          <cell r="E3520" t="str">
            <v>prod_for_ind</v>
          </cell>
          <cell r="F3520">
            <v>-2.158143043518066</v>
          </cell>
        </row>
        <row r="3521">
          <cell r="A3521" t="str">
            <v>SLV</v>
          </cell>
          <cell r="B3521" t="str">
            <v>Long</v>
          </cell>
          <cell r="C3521" t="str">
            <v>2006 - 2023</v>
          </cell>
          <cell r="D3521" t="str">
            <v>reg_iter</v>
          </cell>
          <cell r="E3521" t="str">
            <v>prod_for_serv</v>
          </cell>
          <cell r="F3521">
            <v>0.31318184733390808</v>
          </cell>
        </row>
        <row r="3522">
          <cell r="A3522" t="str">
            <v>SLV</v>
          </cell>
          <cell r="B3522" t="str">
            <v>Long</v>
          </cell>
          <cell r="C3522" t="str">
            <v>2006 - 2023</v>
          </cell>
          <cell r="D3522" t="str">
            <v>reg_iter</v>
          </cell>
          <cell r="E3522" t="str">
            <v>prod_inf_agri</v>
          </cell>
          <cell r="F3522">
            <v>0.48294258117675781</v>
          </cell>
        </row>
        <row r="3523">
          <cell r="A3523" t="str">
            <v>SLV</v>
          </cell>
          <cell r="B3523" t="str">
            <v>Long</v>
          </cell>
          <cell r="C3523" t="str">
            <v>2006 - 2023</v>
          </cell>
          <cell r="D3523" t="str">
            <v>reg_iter</v>
          </cell>
          <cell r="E3523" t="str">
            <v>prod_inf_ind</v>
          </cell>
          <cell r="F3523">
            <v>-1.900541424751282</v>
          </cell>
        </row>
        <row r="3524">
          <cell r="A3524" t="str">
            <v>SLV</v>
          </cell>
          <cell r="B3524" t="str">
            <v>Long</v>
          </cell>
          <cell r="C3524" t="str">
            <v>2006 - 2023</v>
          </cell>
          <cell r="D3524" t="str">
            <v>reg_iter</v>
          </cell>
          <cell r="E3524" t="str">
            <v>prod_inf_serv</v>
          </cell>
          <cell r="F3524">
            <v>1.36720860004425</v>
          </cell>
        </row>
        <row r="3525">
          <cell r="A3525" t="str">
            <v>SLV</v>
          </cell>
          <cell r="B3525" t="str">
            <v>Middle</v>
          </cell>
          <cell r="C3525" t="str">
            <v>2015 - 2023</v>
          </cell>
          <cell r="D3525" t="str">
            <v>avg</v>
          </cell>
          <cell r="E3525" t="str">
            <v>gdp_activity</v>
          </cell>
          <cell r="F3525">
            <v>0.38762503862380981</v>
          </cell>
        </row>
        <row r="3526">
          <cell r="A3526" t="str">
            <v>SLV</v>
          </cell>
          <cell r="B3526" t="str">
            <v>Middle</v>
          </cell>
          <cell r="C3526" t="str">
            <v>2015 - 2023</v>
          </cell>
          <cell r="D3526" t="str">
            <v>avg</v>
          </cell>
          <cell r="E3526" t="str">
            <v>gdp_for_agri</v>
          </cell>
          <cell r="F3526">
            <v>22.23182487487793</v>
          </cell>
        </row>
        <row r="3527">
          <cell r="A3527" t="str">
            <v>SLV</v>
          </cell>
          <cell r="B3527" t="str">
            <v>Middle</v>
          </cell>
          <cell r="C3527" t="str">
            <v>2015 - 2023</v>
          </cell>
          <cell r="D3527" t="str">
            <v>avg</v>
          </cell>
          <cell r="E3527" t="str">
            <v>gdp_for_ind</v>
          </cell>
          <cell r="F3527">
            <v>0.90254539251327515</v>
          </cell>
        </row>
        <row r="3528">
          <cell r="A3528" t="str">
            <v>SLV</v>
          </cell>
          <cell r="B3528" t="str">
            <v>Middle</v>
          </cell>
          <cell r="C3528" t="str">
            <v>2015 - 2023</v>
          </cell>
          <cell r="D3528" t="str">
            <v>avg</v>
          </cell>
          <cell r="E3528" t="str">
            <v>gdp_for_serv</v>
          </cell>
          <cell r="F3528">
            <v>0.78200507164001465</v>
          </cell>
        </row>
        <row r="3529">
          <cell r="A3529" t="str">
            <v>SLV</v>
          </cell>
          <cell r="B3529" t="str">
            <v>Middle</v>
          </cell>
          <cell r="C3529" t="str">
            <v>2015 - 2023</v>
          </cell>
          <cell r="D3529" t="str">
            <v>avg</v>
          </cell>
          <cell r="E3529" t="str">
            <v>gdp_inf_agri</v>
          </cell>
          <cell r="F3529">
            <v>4.6228847503662109</v>
          </cell>
        </row>
        <row r="3530">
          <cell r="A3530" t="str">
            <v>SLV</v>
          </cell>
          <cell r="B3530" t="str">
            <v>Middle</v>
          </cell>
          <cell r="C3530" t="str">
            <v>2015 - 2023</v>
          </cell>
          <cell r="D3530" t="str">
            <v>avg</v>
          </cell>
          <cell r="E3530" t="str">
            <v>gdp_inf_ind</v>
          </cell>
          <cell r="F3530">
            <v>1.173547744750977</v>
          </cell>
        </row>
        <row r="3531">
          <cell r="A3531" t="str">
            <v>SLV</v>
          </cell>
          <cell r="B3531" t="str">
            <v>Middle</v>
          </cell>
          <cell r="C3531" t="str">
            <v>2015 - 2023</v>
          </cell>
          <cell r="D3531" t="str">
            <v>avg</v>
          </cell>
          <cell r="E3531" t="str">
            <v>gdp_inf_serv</v>
          </cell>
          <cell r="F3531">
            <v>0.51788711547851563</v>
          </cell>
        </row>
        <row r="3532">
          <cell r="A3532" t="str">
            <v>SLV</v>
          </cell>
          <cell r="B3532" t="str">
            <v>Middle</v>
          </cell>
          <cell r="C3532" t="str">
            <v>2015 - 2023</v>
          </cell>
          <cell r="D3532" t="str">
            <v>avg</v>
          </cell>
          <cell r="E3532" t="str">
            <v>prod_for_agri</v>
          </cell>
          <cell r="F3532">
            <v>1.5050134658813481</v>
          </cell>
        </row>
        <row r="3533">
          <cell r="A3533" t="str">
            <v>SLV</v>
          </cell>
          <cell r="B3533" t="str">
            <v>Middle</v>
          </cell>
          <cell r="C3533" t="str">
            <v>2015 - 2023</v>
          </cell>
          <cell r="D3533" t="str">
            <v>avg</v>
          </cell>
          <cell r="E3533" t="str">
            <v>prod_for_ind</v>
          </cell>
          <cell r="F3533">
            <v>-1.322775602340698</v>
          </cell>
        </row>
        <row r="3534">
          <cell r="A3534" t="str">
            <v>SLV</v>
          </cell>
          <cell r="B3534" t="str">
            <v>Middle</v>
          </cell>
          <cell r="C3534" t="str">
            <v>2015 - 2023</v>
          </cell>
          <cell r="D3534" t="str">
            <v>avg</v>
          </cell>
          <cell r="E3534" t="str">
            <v>prod_for_serv</v>
          </cell>
          <cell r="F3534">
            <v>-0.8451957106590271</v>
          </cell>
        </row>
        <row r="3535">
          <cell r="A3535" t="str">
            <v>SLV</v>
          </cell>
          <cell r="B3535" t="str">
            <v>Middle</v>
          </cell>
          <cell r="C3535" t="str">
            <v>2015 - 2023</v>
          </cell>
          <cell r="D3535" t="str">
            <v>avg</v>
          </cell>
          <cell r="E3535" t="str">
            <v>prod_inf_agri</v>
          </cell>
          <cell r="F3535">
            <v>0.98619568347930908</v>
          </cell>
        </row>
        <row r="3536">
          <cell r="A3536" t="str">
            <v>SLV</v>
          </cell>
          <cell r="B3536" t="str">
            <v>Middle</v>
          </cell>
          <cell r="C3536" t="str">
            <v>2015 - 2023</v>
          </cell>
          <cell r="D3536" t="str">
            <v>avg</v>
          </cell>
          <cell r="E3536" t="str">
            <v>prod_inf_ind</v>
          </cell>
          <cell r="F3536">
            <v>-8.0917444229125977</v>
          </cell>
        </row>
        <row r="3537">
          <cell r="A3537" t="str">
            <v>SLV</v>
          </cell>
          <cell r="B3537" t="str">
            <v>Middle</v>
          </cell>
          <cell r="C3537" t="str">
            <v>2015 - 2023</v>
          </cell>
          <cell r="D3537" t="str">
            <v>avg</v>
          </cell>
          <cell r="E3537" t="str">
            <v>prod_inf_serv</v>
          </cell>
          <cell r="F3537">
            <v>-2.960493803024292</v>
          </cell>
        </row>
        <row r="3538">
          <cell r="A3538" t="str">
            <v>SLV</v>
          </cell>
          <cell r="B3538" t="str">
            <v>Middle</v>
          </cell>
          <cell r="C3538" t="str">
            <v>2015 - 2023</v>
          </cell>
          <cell r="D3538" t="str">
            <v>avg_1_99</v>
          </cell>
          <cell r="E3538" t="str">
            <v>gdp_activity</v>
          </cell>
          <cell r="F3538">
            <v>0.76072251796722412</v>
          </cell>
        </row>
        <row r="3539">
          <cell r="A3539" t="str">
            <v>SLV</v>
          </cell>
          <cell r="B3539" t="str">
            <v>Middle</v>
          </cell>
          <cell r="C3539" t="str">
            <v>2015 - 2023</v>
          </cell>
          <cell r="D3539" t="str">
            <v>avg_1_99</v>
          </cell>
          <cell r="E3539" t="str">
            <v>gdp_for_agri</v>
          </cell>
          <cell r="F3539">
            <v>12.84720611572266</v>
          </cell>
        </row>
        <row r="3540">
          <cell r="A3540" t="str">
            <v>SLV</v>
          </cell>
          <cell r="B3540" t="str">
            <v>Middle</v>
          </cell>
          <cell r="C3540" t="str">
            <v>2015 - 2023</v>
          </cell>
          <cell r="D3540" t="str">
            <v>avg_1_99</v>
          </cell>
          <cell r="E3540" t="str">
            <v>gdp_for_ind</v>
          </cell>
          <cell r="F3540">
            <v>1.407008171081543</v>
          </cell>
        </row>
        <row r="3541">
          <cell r="A3541" t="str">
            <v>SLV</v>
          </cell>
          <cell r="B3541" t="str">
            <v>Middle</v>
          </cell>
          <cell r="C3541" t="str">
            <v>2015 - 2023</v>
          </cell>
          <cell r="D3541" t="str">
            <v>avg_1_99</v>
          </cell>
          <cell r="E3541" t="str">
            <v>gdp_for_serv</v>
          </cell>
          <cell r="F3541">
            <v>0.78200507164001465</v>
          </cell>
        </row>
        <row r="3542">
          <cell r="A3542" t="str">
            <v>SLV</v>
          </cell>
          <cell r="B3542" t="str">
            <v>Middle</v>
          </cell>
          <cell r="C3542" t="str">
            <v>2015 - 2023</v>
          </cell>
          <cell r="D3542" t="str">
            <v>avg_1_99</v>
          </cell>
          <cell r="E3542" t="str">
            <v>gdp_inf_agri</v>
          </cell>
          <cell r="F3542">
            <v>1.455446243286133</v>
          </cell>
        </row>
        <row r="3543">
          <cell r="A3543" t="str">
            <v>SLV</v>
          </cell>
          <cell r="B3543" t="str">
            <v>Middle</v>
          </cell>
          <cell r="C3543" t="str">
            <v>2015 - 2023</v>
          </cell>
          <cell r="D3543" t="str">
            <v>avg_1_99</v>
          </cell>
          <cell r="E3543" t="str">
            <v>gdp_inf_ind</v>
          </cell>
          <cell r="F3543">
            <v>1.534318208694458</v>
          </cell>
        </row>
        <row r="3544">
          <cell r="A3544" t="str">
            <v>SLV</v>
          </cell>
          <cell r="B3544" t="str">
            <v>Middle</v>
          </cell>
          <cell r="C3544" t="str">
            <v>2015 - 2023</v>
          </cell>
          <cell r="D3544" t="str">
            <v>avg_1_99</v>
          </cell>
          <cell r="E3544" t="str">
            <v>gdp_inf_serv</v>
          </cell>
          <cell r="F3544">
            <v>0.29426097869873052</v>
          </cell>
        </row>
        <row r="3545">
          <cell r="A3545" t="str">
            <v>SLV</v>
          </cell>
          <cell r="B3545" t="str">
            <v>Middle</v>
          </cell>
          <cell r="C3545" t="str">
            <v>2015 - 2023</v>
          </cell>
          <cell r="D3545" t="str">
            <v>avg_1_99</v>
          </cell>
          <cell r="E3545" t="str">
            <v>prod_for_agri</v>
          </cell>
          <cell r="F3545">
            <v>0.24530179798603061</v>
          </cell>
        </row>
        <row r="3546">
          <cell r="A3546" t="str">
            <v>SLV</v>
          </cell>
          <cell r="B3546" t="str">
            <v>Middle</v>
          </cell>
          <cell r="C3546" t="str">
            <v>2015 - 2023</v>
          </cell>
          <cell r="D3546" t="str">
            <v>avg_1_99</v>
          </cell>
          <cell r="E3546" t="str">
            <v>prod_for_ind</v>
          </cell>
          <cell r="F3546">
            <v>0.64907032251358032</v>
          </cell>
        </row>
        <row r="3547">
          <cell r="A3547" t="str">
            <v>SLV</v>
          </cell>
          <cell r="B3547" t="str">
            <v>Middle</v>
          </cell>
          <cell r="C3547" t="str">
            <v>2015 - 2023</v>
          </cell>
          <cell r="D3547" t="str">
            <v>avg_1_99</v>
          </cell>
          <cell r="E3547" t="str">
            <v>prod_for_serv</v>
          </cell>
          <cell r="F3547">
            <v>-1.4725744724273679</v>
          </cell>
        </row>
        <row r="3548">
          <cell r="A3548" t="str">
            <v>SLV</v>
          </cell>
          <cell r="B3548" t="str">
            <v>Middle</v>
          </cell>
          <cell r="C3548" t="str">
            <v>2015 - 2023</v>
          </cell>
          <cell r="D3548" t="str">
            <v>avg_1_99</v>
          </cell>
          <cell r="E3548" t="str">
            <v>prod_inf_agri</v>
          </cell>
          <cell r="F3548">
            <v>1.032531261444092</v>
          </cell>
        </row>
        <row r="3549">
          <cell r="A3549" t="str">
            <v>SLV</v>
          </cell>
          <cell r="B3549" t="str">
            <v>Middle</v>
          </cell>
          <cell r="C3549" t="str">
            <v>2015 - 2023</v>
          </cell>
          <cell r="D3549" t="str">
            <v>avg_1_99</v>
          </cell>
          <cell r="E3549" t="str">
            <v>prod_inf_ind</v>
          </cell>
          <cell r="F3549">
            <v>-1.6924102306365969</v>
          </cell>
        </row>
        <row r="3550">
          <cell r="A3550" t="str">
            <v>SLV</v>
          </cell>
          <cell r="B3550" t="str">
            <v>Middle</v>
          </cell>
          <cell r="C3550" t="str">
            <v>2015 - 2023</v>
          </cell>
          <cell r="D3550" t="str">
            <v>avg_1_99</v>
          </cell>
          <cell r="E3550" t="str">
            <v>prod_inf_serv</v>
          </cell>
          <cell r="F3550">
            <v>-1.8101847171783449</v>
          </cell>
        </row>
        <row r="3551">
          <cell r="A3551" t="str">
            <v>SLV</v>
          </cell>
          <cell r="B3551" t="str">
            <v>Middle</v>
          </cell>
          <cell r="C3551" t="str">
            <v>2015 - 2023</v>
          </cell>
          <cell r="D3551" t="str">
            <v>avg_1_99_imp</v>
          </cell>
          <cell r="E3551" t="str">
            <v>gdp_activity</v>
          </cell>
          <cell r="F3551">
            <v>0.76429855823516846</v>
          </cell>
        </row>
        <row r="3552">
          <cell r="A3552" t="str">
            <v>SLV</v>
          </cell>
          <cell r="B3552" t="str">
            <v>Middle</v>
          </cell>
          <cell r="C3552" t="str">
            <v>2015 - 2023</v>
          </cell>
          <cell r="D3552" t="str">
            <v>avg_1_99_imp</v>
          </cell>
          <cell r="E3552" t="str">
            <v>gdp_for_agri</v>
          </cell>
          <cell r="F3552">
            <v>11.557352066040041</v>
          </cell>
        </row>
        <row r="3553">
          <cell r="A3553" t="str">
            <v>SLV</v>
          </cell>
          <cell r="B3553" t="str">
            <v>Middle</v>
          </cell>
          <cell r="C3553" t="str">
            <v>2015 - 2023</v>
          </cell>
          <cell r="D3553" t="str">
            <v>avg_1_99_imp</v>
          </cell>
          <cell r="E3553" t="str">
            <v>gdp_for_ind</v>
          </cell>
          <cell r="F3553">
            <v>1.4400649070739751</v>
          </cell>
        </row>
        <row r="3554">
          <cell r="A3554" t="str">
            <v>SLV</v>
          </cell>
          <cell r="B3554" t="str">
            <v>Middle</v>
          </cell>
          <cell r="C3554" t="str">
            <v>2015 - 2023</v>
          </cell>
          <cell r="D3554" t="str">
            <v>avg_1_99_imp</v>
          </cell>
          <cell r="E3554" t="str">
            <v>gdp_for_serv</v>
          </cell>
          <cell r="F3554">
            <v>0.78200507164001465</v>
          </cell>
        </row>
        <row r="3555">
          <cell r="A3555" t="str">
            <v>SLV</v>
          </cell>
          <cell r="B3555" t="str">
            <v>Middle</v>
          </cell>
          <cell r="C3555" t="str">
            <v>2015 - 2023</v>
          </cell>
          <cell r="D3555" t="str">
            <v>avg_1_99_imp</v>
          </cell>
          <cell r="E3555" t="str">
            <v>gdp_inf_agri</v>
          </cell>
          <cell r="F3555">
            <v>1.360557079315186</v>
          </cell>
        </row>
        <row r="3556">
          <cell r="A3556" t="str">
            <v>SLV</v>
          </cell>
          <cell r="B3556" t="str">
            <v>Middle</v>
          </cell>
          <cell r="C3556" t="str">
            <v>2015 - 2023</v>
          </cell>
          <cell r="D3556" t="str">
            <v>avg_1_99_imp</v>
          </cell>
          <cell r="E3556" t="str">
            <v>gdp_inf_ind</v>
          </cell>
          <cell r="F3556">
            <v>1.6731653213500981</v>
          </cell>
        </row>
        <row r="3557">
          <cell r="A3557" t="str">
            <v>SLV</v>
          </cell>
          <cell r="B3557" t="str">
            <v>Middle</v>
          </cell>
          <cell r="C3557" t="str">
            <v>2015 - 2023</v>
          </cell>
          <cell r="D3557" t="str">
            <v>avg_1_99_imp</v>
          </cell>
          <cell r="E3557" t="str">
            <v>gdp_inf_serv</v>
          </cell>
          <cell r="F3557">
            <v>0.33142343163490301</v>
          </cell>
        </row>
        <row r="3558">
          <cell r="A3558" t="str">
            <v>SLV</v>
          </cell>
          <cell r="B3558" t="str">
            <v>Middle</v>
          </cell>
          <cell r="C3558" t="str">
            <v>2015 - 2023</v>
          </cell>
          <cell r="D3558" t="str">
            <v>avg_1_99_imp</v>
          </cell>
          <cell r="E3558" t="str">
            <v>prod_for_agri</v>
          </cell>
          <cell r="F3558">
            <v>-1.129761338233948</v>
          </cell>
        </row>
        <row r="3559">
          <cell r="A3559" t="str">
            <v>SLV</v>
          </cell>
          <cell r="B3559" t="str">
            <v>Middle</v>
          </cell>
          <cell r="C3559" t="str">
            <v>2015 - 2023</v>
          </cell>
          <cell r="D3559" t="str">
            <v>avg_1_99_imp</v>
          </cell>
          <cell r="E3559" t="str">
            <v>prod_for_ind</v>
          </cell>
          <cell r="F3559">
            <v>-1.8007286787033081</v>
          </cell>
        </row>
        <row r="3560">
          <cell r="A3560" t="str">
            <v>SLV</v>
          </cell>
          <cell r="B3560" t="str">
            <v>Middle</v>
          </cell>
          <cell r="C3560" t="str">
            <v>2015 - 2023</v>
          </cell>
          <cell r="D3560" t="str">
            <v>avg_1_99_imp</v>
          </cell>
          <cell r="E3560" t="str">
            <v>prod_for_serv</v>
          </cell>
          <cell r="F3560">
            <v>-0.5219954252243042</v>
          </cell>
        </row>
        <row r="3561">
          <cell r="A3561" t="str">
            <v>SLV</v>
          </cell>
          <cell r="B3561" t="str">
            <v>Middle</v>
          </cell>
          <cell r="C3561" t="str">
            <v>2015 - 2023</v>
          </cell>
          <cell r="D3561" t="str">
            <v>avg_1_99_imp</v>
          </cell>
          <cell r="E3561" t="str">
            <v>prod_inf_agri</v>
          </cell>
          <cell r="F3561">
            <v>1.102245092391968</v>
          </cell>
        </row>
        <row r="3562">
          <cell r="A3562" t="str">
            <v>SLV</v>
          </cell>
          <cell r="B3562" t="str">
            <v>Middle</v>
          </cell>
          <cell r="C3562" t="str">
            <v>2015 - 2023</v>
          </cell>
          <cell r="D3562" t="str">
            <v>avg_1_99_imp</v>
          </cell>
          <cell r="E3562" t="str">
            <v>prod_inf_ind</v>
          </cell>
          <cell r="F3562">
            <v>-1.3681632280349729</v>
          </cell>
        </row>
        <row r="3563">
          <cell r="A3563" t="str">
            <v>SLV</v>
          </cell>
          <cell r="B3563" t="str">
            <v>Middle</v>
          </cell>
          <cell r="C3563" t="str">
            <v>2015 - 2023</v>
          </cell>
          <cell r="D3563" t="str">
            <v>avg_1_99_imp</v>
          </cell>
          <cell r="E3563" t="str">
            <v>prod_inf_serv</v>
          </cell>
          <cell r="F3563">
            <v>-1.7851675748825071</v>
          </cell>
        </row>
        <row r="3564">
          <cell r="A3564" t="str">
            <v>SLV</v>
          </cell>
          <cell r="B3564" t="str">
            <v>Middle</v>
          </cell>
          <cell r="C3564" t="str">
            <v>2015 - 2023</v>
          </cell>
          <cell r="D3564" t="str">
            <v>reg</v>
          </cell>
          <cell r="E3564" t="str">
            <v>gdp_activity</v>
          </cell>
          <cell r="F3564">
            <v>0.31251278519630432</v>
          </cell>
        </row>
        <row r="3565">
          <cell r="A3565" t="str">
            <v>SLV</v>
          </cell>
          <cell r="B3565" t="str">
            <v>Middle</v>
          </cell>
          <cell r="C3565" t="str">
            <v>2015 - 2023</v>
          </cell>
          <cell r="D3565" t="str">
            <v>reg</v>
          </cell>
          <cell r="E3565" t="str">
            <v>gdp_for_agri</v>
          </cell>
          <cell r="F3565">
            <v>2.1907145977020259</v>
          </cell>
        </row>
        <row r="3566">
          <cell r="A3566" t="str">
            <v>SLV</v>
          </cell>
          <cell r="B3566" t="str">
            <v>Middle</v>
          </cell>
          <cell r="C3566" t="str">
            <v>2015 - 2023</v>
          </cell>
          <cell r="D3566" t="str">
            <v>reg</v>
          </cell>
          <cell r="E3566" t="str">
            <v>gdp_for_ind</v>
          </cell>
          <cell r="F3566">
            <v>0.13368481397628779</v>
          </cell>
        </row>
        <row r="3567">
          <cell r="A3567" t="str">
            <v>SLV</v>
          </cell>
          <cell r="B3567" t="str">
            <v>Middle</v>
          </cell>
          <cell r="C3567" t="str">
            <v>2015 - 2023</v>
          </cell>
          <cell r="D3567" t="str">
            <v>reg</v>
          </cell>
          <cell r="E3567" t="str">
            <v>gdp_for_serv</v>
          </cell>
          <cell r="F3567">
            <v>0.97035765647888184</v>
          </cell>
        </row>
        <row r="3568">
          <cell r="A3568" t="str">
            <v>SLV</v>
          </cell>
          <cell r="B3568" t="str">
            <v>Middle</v>
          </cell>
          <cell r="C3568" t="str">
            <v>2015 - 2023</v>
          </cell>
          <cell r="D3568" t="str">
            <v>reg</v>
          </cell>
          <cell r="E3568" t="str">
            <v>gdp_inf_agri</v>
          </cell>
          <cell r="F3568">
            <v>0.28320586681365972</v>
          </cell>
        </row>
        <row r="3569">
          <cell r="A3569" t="str">
            <v>SLV</v>
          </cell>
          <cell r="B3569" t="str">
            <v>Middle</v>
          </cell>
          <cell r="C3569" t="str">
            <v>2015 - 2023</v>
          </cell>
          <cell r="D3569" t="str">
            <v>reg</v>
          </cell>
          <cell r="E3569" t="str">
            <v>gdp_inf_ind</v>
          </cell>
          <cell r="F3569">
            <v>1.8231580257415769</v>
          </cell>
        </row>
        <row r="3570">
          <cell r="A3570" t="str">
            <v>SLV</v>
          </cell>
          <cell r="B3570" t="str">
            <v>Middle</v>
          </cell>
          <cell r="C3570" t="str">
            <v>2015 - 2023</v>
          </cell>
          <cell r="D3570" t="str">
            <v>reg</v>
          </cell>
          <cell r="E3570" t="str">
            <v>gdp_inf_serv</v>
          </cell>
          <cell r="F3570">
            <v>0.41301324963569641</v>
          </cell>
        </row>
        <row r="3571">
          <cell r="A3571" t="str">
            <v>SLV</v>
          </cell>
          <cell r="B3571" t="str">
            <v>Middle</v>
          </cell>
          <cell r="C3571" t="str">
            <v>2015 - 2023</v>
          </cell>
          <cell r="D3571" t="str">
            <v>reg</v>
          </cell>
          <cell r="E3571" t="str">
            <v>prod_for_agri</v>
          </cell>
          <cell r="F3571">
            <v>0.28735345602035522</v>
          </cell>
        </row>
        <row r="3572">
          <cell r="A3572" t="str">
            <v>SLV</v>
          </cell>
          <cell r="B3572" t="str">
            <v>Middle</v>
          </cell>
          <cell r="C3572" t="str">
            <v>2015 - 2023</v>
          </cell>
          <cell r="D3572" t="str">
            <v>reg</v>
          </cell>
          <cell r="E3572" t="str">
            <v>prod_for_ind</v>
          </cell>
          <cell r="F3572">
            <v>-2.3240294456481929</v>
          </cell>
        </row>
        <row r="3573">
          <cell r="A3573" t="str">
            <v>SLV</v>
          </cell>
          <cell r="B3573" t="str">
            <v>Middle</v>
          </cell>
          <cell r="C3573" t="str">
            <v>2015 - 2023</v>
          </cell>
          <cell r="D3573" t="str">
            <v>reg</v>
          </cell>
          <cell r="E3573" t="str">
            <v>prod_for_serv</v>
          </cell>
          <cell r="F3573">
            <v>0.55910968780517578</v>
          </cell>
        </row>
        <row r="3574">
          <cell r="A3574" t="str">
            <v>SLV</v>
          </cell>
          <cell r="B3574" t="str">
            <v>Middle</v>
          </cell>
          <cell r="C3574" t="str">
            <v>2015 - 2023</v>
          </cell>
          <cell r="D3574" t="str">
            <v>reg</v>
          </cell>
          <cell r="E3574" t="str">
            <v>prod_inf_agri</v>
          </cell>
          <cell r="F3574">
            <v>0.79945683479309082</v>
          </cell>
        </row>
        <row r="3575">
          <cell r="A3575" t="str">
            <v>SLV</v>
          </cell>
          <cell r="B3575" t="str">
            <v>Middle</v>
          </cell>
          <cell r="C3575" t="str">
            <v>2015 - 2023</v>
          </cell>
          <cell r="D3575" t="str">
            <v>reg</v>
          </cell>
          <cell r="E3575" t="str">
            <v>prod_inf_ind</v>
          </cell>
          <cell r="F3575">
            <v>-3.6098587512969971</v>
          </cell>
        </row>
        <row r="3576">
          <cell r="A3576" t="str">
            <v>SLV</v>
          </cell>
          <cell r="B3576" t="str">
            <v>Middle</v>
          </cell>
          <cell r="C3576" t="str">
            <v>2015 - 2023</v>
          </cell>
          <cell r="D3576" t="str">
            <v>reg</v>
          </cell>
          <cell r="E3576" t="str">
            <v>prod_inf_serv</v>
          </cell>
          <cell r="F3576">
            <v>1.4041774272918699</v>
          </cell>
        </row>
        <row r="3577">
          <cell r="A3577" t="str">
            <v>SLV</v>
          </cell>
          <cell r="B3577" t="str">
            <v>Middle</v>
          </cell>
          <cell r="C3577" t="str">
            <v>2015 - 2023</v>
          </cell>
          <cell r="D3577" t="str">
            <v>reg_gdp</v>
          </cell>
          <cell r="E3577" t="str">
            <v>gdp_activity</v>
          </cell>
          <cell r="F3577">
            <v>0.31251278519630432</v>
          </cell>
        </row>
        <row r="3578">
          <cell r="A3578" t="str">
            <v>SLV</v>
          </cell>
          <cell r="B3578" t="str">
            <v>Middle</v>
          </cell>
          <cell r="C3578" t="str">
            <v>2015 - 2023</v>
          </cell>
          <cell r="D3578" t="str">
            <v>reg_gdp</v>
          </cell>
          <cell r="E3578" t="str">
            <v>gdp_for_agri</v>
          </cell>
          <cell r="F3578">
            <v>2.7213976383209229</v>
          </cell>
        </row>
        <row r="3579">
          <cell r="A3579" t="str">
            <v>SLV</v>
          </cell>
          <cell r="B3579" t="str">
            <v>Middle</v>
          </cell>
          <cell r="C3579" t="str">
            <v>2015 - 2023</v>
          </cell>
          <cell r="D3579" t="str">
            <v>reg_gdp</v>
          </cell>
          <cell r="E3579" t="str">
            <v>gdp_for_ind</v>
          </cell>
          <cell r="F3579">
            <v>1.083704829216003</v>
          </cell>
        </row>
        <row r="3580">
          <cell r="A3580" t="str">
            <v>SLV</v>
          </cell>
          <cell r="B3580" t="str">
            <v>Middle</v>
          </cell>
          <cell r="C3580" t="str">
            <v>2015 - 2023</v>
          </cell>
          <cell r="D3580" t="str">
            <v>reg_gdp</v>
          </cell>
          <cell r="E3580" t="str">
            <v>gdp_for_serv</v>
          </cell>
          <cell r="F3580">
            <v>5.3233604431152344</v>
          </cell>
        </row>
        <row r="3581">
          <cell r="A3581" t="str">
            <v>SLV</v>
          </cell>
          <cell r="B3581" t="str">
            <v>Middle</v>
          </cell>
          <cell r="C3581" t="str">
            <v>2015 - 2023</v>
          </cell>
          <cell r="D3581" t="str">
            <v>reg_gdp</v>
          </cell>
          <cell r="E3581" t="str">
            <v>gdp_inf_agri</v>
          </cell>
          <cell r="F3581">
            <v>1.358298778533936</v>
          </cell>
        </row>
        <row r="3582">
          <cell r="A3582" t="str">
            <v>SLV</v>
          </cell>
          <cell r="B3582" t="str">
            <v>Middle</v>
          </cell>
          <cell r="C3582" t="str">
            <v>2015 - 2023</v>
          </cell>
          <cell r="D3582" t="str">
            <v>reg_gdp</v>
          </cell>
          <cell r="E3582" t="str">
            <v>gdp_inf_ind</v>
          </cell>
          <cell r="F3582">
            <v>1.040879487991333</v>
          </cell>
        </row>
        <row r="3583">
          <cell r="A3583" t="str">
            <v>SLV</v>
          </cell>
          <cell r="B3583" t="str">
            <v>Middle</v>
          </cell>
          <cell r="C3583" t="str">
            <v>2015 - 2023</v>
          </cell>
          <cell r="D3583" t="str">
            <v>reg_gdp</v>
          </cell>
          <cell r="E3583" t="str">
            <v>gdp_inf_serv</v>
          </cell>
          <cell r="F3583">
            <v>-2.637494564056396</v>
          </cell>
        </row>
        <row r="3584">
          <cell r="A3584" t="str">
            <v>SLV</v>
          </cell>
          <cell r="B3584" t="str">
            <v>Middle</v>
          </cell>
          <cell r="C3584" t="str">
            <v>2015 - 2023</v>
          </cell>
          <cell r="D3584" t="str">
            <v>reg_gdp</v>
          </cell>
          <cell r="E3584" t="str">
            <v>prod_for_agri</v>
          </cell>
          <cell r="F3584">
            <v>-0.38404476642608643</v>
          </cell>
        </row>
        <row r="3585">
          <cell r="A3585" t="str">
            <v>SLV</v>
          </cell>
          <cell r="B3585" t="str">
            <v>Middle</v>
          </cell>
          <cell r="C3585" t="str">
            <v>2015 - 2023</v>
          </cell>
          <cell r="D3585" t="str">
            <v>reg_gdp</v>
          </cell>
          <cell r="E3585" t="str">
            <v>prod_for_ind</v>
          </cell>
          <cell r="F3585">
            <v>-1.7194346189498899</v>
          </cell>
        </row>
        <row r="3586">
          <cell r="A3586" t="str">
            <v>SLV</v>
          </cell>
          <cell r="B3586" t="str">
            <v>Middle</v>
          </cell>
          <cell r="C3586" t="str">
            <v>2015 - 2023</v>
          </cell>
          <cell r="D3586" t="str">
            <v>reg_gdp</v>
          </cell>
          <cell r="E3586" t="str">
            <v>prod_for_serv</v>
          </cell>
          <cell r="F3586">
            <v>-0.40585169196128851</v>
          </cell>
        </row>
        <row r="3587">
          <cell r="A3587" t="str">
            <v>SLV</v>
          </cell>
          <cell r="B3587" t="str">
            <v>Middle</v>
          </cell>
          <cell r="C3587" t="str">
            <v>2015 - 2023</v>
          </cell>
          <cell r="D3587" t="str">
            <v>reg_gdp</v>
          </cell>
          <cell r="E3587" t="str">
            <v>prod_inf_agri</v>
          </cell>
          <cell r="F3587">
            <v>0.36745905876159668</v>
          </cell>
        </row>
        <row r="3588">
          <cell r="A3588" t="str">
            <v>SLV</v>
          </cell>
          <cell r="B3588" t="str">
            <v>Middle</v>
          </cell>
          <cell r="C3588" t="str">
            <v>2015 - 2023</v>
          </cell>
          <cell r="D3588" t="str">
            <v>reg_gdp</v>
          </cell>
          <cell r="E3588" t="str">
            <v>prod_inf_ind</v>
          </cell>
          <cell r="F3588">
            <v>-0.92254531383514404</v>
          </cell>
        </row>
        <row r="3589">
          <cell r="A3589" t="str">
            <v>SLV</v>
          </cell>
          <cell r="B3589" t="str">
            <v>Middle</v>
          </cell>
          <cell r="C3589" t="str">
            <v>2015 - 2023</v>
          </cell>
          <cell r="D3589" t="str">
            <v>reg_gdp</v>
          </cell>
          <cell r="E3589" t="str">
            <v>prod_inf_serv</v>
          </cell>
          <cell r="F3589">
            <v>-0.1592054218053818</v>
          </cell>
        </row>
        <row r="3590">
          <cell r="A3590" t="str">
            <v>SLV</v>
          </cell>
          <cell r="B3590" t="str">
            <v>Middle</v>
          </cell>
          <cell r="C3590" t="str">
            <v>2015 - 2023</v>
          </cell>
          <cell r="D3590" t="str">
            <v>reg_iter</v>
          </cell>
          <cell r="E3590" t="str">
            <v>gdp_activity</v>
          </cell>
          <cell r="F3590">
            <v>0.35328295826911932</v>
          </cell>
        </row>
        <row r="3591">
          <cell r="A3591" t="str">
            <v>SLV</v>
          </cell>
          <cell r="B3591" t="str">
            <v>Middle</v>
          </cell>
          <cell r="C3591" t="str">
            <v>2015 - 2023</v>
          </cell>
          <cell r="D3591" t="str">
            <v>reg_iter</v>
          </cell>
          <cell r="E3591" t="str">
            <v>gdp_for_agri</v>
          </cell>
          <cell r="F3591">
            <v>2.635823249816895</v>
          </cell>
        </row>
        <row r="3592">
          <cell r="A3592" t="str">
            <v>SLV</v>
          </cell>
          <cell r="B3592" t="str">
            <v>Middle</v>
          </cell>
          <cell r="C3592" t="str">
            <v>2015 - 2023</v>
          </cell>
          <cell r="D3592" t="str">
            <v>reg_iter</v>
          </cell>
          <cell r="E3592" t="str">
            <v>gdp_for_ind</v>
          </cell>
          <cell r="F3592">
            <v>0.16362899541854861</v>
          </cell>
        </row>
        <row r="3593">
          <cell r="A3593" t="str">
            <v>SLV</v>
          </cell>
          <cell r="B3593" t="str">
            <v>Middle</v>
          </cell>
          <cell r="C3593" t="str">
            <v>2015 - 2023</v>
          </cell>
          <cell r="D3593" t="str">
            <v>reg_iter</v>
          </cell>
          <cell r="E3593" t="str">
            <v>gdp_for_serv</v>
          </cell>
          <cell r="F3593">
            <v>0.74260234832763672</v>
          </cell>
        </row>
        <row r="3594">
          <cell r="A3594" t="str">
            <v>SLV</v>
          </cell>
          <cell r="B3594" t="str">
            <v>Middle</v>
          </cell>
          <cell r="C3594" t="str">
            <v>2015 - 2023</v>
          </cell>
          <cell r="D3594" t="str">
            <v>reg_iter</v>
          </cell>
          <cell r="E3594" t="str">
            <v>gdp_inf_agri</v>
          </cell>
          <cell r="F3594">
            <v>-0.74419230222702026</v>
          </cell>
        </row>
        <row r="3595">
          <cell r="A3595" t="str">
            <v>SLV</v>
          </cell>
          <cell r="B3595" t="str">
            <v>Middle</v>
          </cell>
          <cell r="C3595" t="str">
            <v>2015 - 2023</v>
          </cell>
          <cell r="D3595" t="str">
            <v>reg_iter</v>
          </cell>
          <cell r="E3595" t="str">
            <v>gdp_inf_ind</v>
          </cell>
          <cell r="F3595">
            <v>1.864193320274353</v>
          </cell>
        </row>
        <row r="3596">
          <cell r="A3596" t="str">
            <v>SLV</v>
          </cell>
          <cell r="B3596" t="str">
            <v>Middle</v>
          </cell>
          <cell r="C3596" t="str">
            <v>2015 - 2023</v>
          </cell>
          <cell r="D3596" t="str">
            <v>reg_iter</v>
          </cell>
          <cell r="E3596" t="str">
            <v>gdp_inf_serv</v>
          </cell>
          <cell r="F3596">
            <v>0.51301771402359009</v>
          </cell>
        </row>
        <row r="3597">
          <cell r="A3597" t="str">
            <v>SLV</v>
          </cell>
          <cell r="B3597" t="str">
            <v>Middle</v>
          </cell>
          <cell r="C3597" t="str">
            <v>2015 - 2023</v>
          </cell>
          <cell r="D3597" t="str">
            <v>reg_iter</v>
          </cell>
          <cell r="E3597" t="str">
            <v>prod_for_agri</v>
          </cell>
          <cell r="F3597">
            <v>0.26454934477806091</v>
          </cell>
        </row>
        <row r="3598">
          <cell r="A3598" t="str">
            <v>SLV</v>
          </cell>
          <cell r="B3598" t="str">
            <v>Middle</v>
          </cell>
          <cell r="C3598" t="str">
            <v>2015 - 2023</v>
          </cell>
          <cell r="D3598" t="str">
            <v>reg_iter</v>
          </cell>
          <cell r="E3598" t="str">
            <v>prod_for_ind</v>
          </cell>
          <cell r="F3598">
            <v>-2.2360000610351558</v>
          </cell>
        </row>
        <row r="3599">
          <cell r="A3599" t="str">
            <v>SLV</v>
          </cell>
          <cell r="B3599" t="str">
            <v>Middle</v>
          </cell>
          <cell r="C3599" t="str">
            <v>2015 - 2023</v>
          </cell>
          <cell r="D3599" t="str">
            <v>reg_iter</v>
          </cell>
          <cell r="E3599" t="str">
            <v>prod_for_serv</v>
          </cell>
          <cell r="F3599">
            <v>0.68805104494094849</v>
          </cell>
        </row>
        <row r="3600">
          <cell r="A3600" t="str">
            <v>SLV</v>
          </cell>
          <cell r="B3600" t="str">
            <v>Middle</v>
          </cell>
          <cell r="C3600" t="str">
            <v>2015 - 2023</v>
          </cell>
          <cell r="D3600" t="str">
            <v>reg_iter</v>
          </cell>
          <cell r="E3600" t="str">
            <v>prod_inf_agri</v>
          </cell>
          <cell r="F3600">
            <v>0.76052212715148926</v>
          </cell>
        </row>
        <row r="3601">
          <cell r="A3601" t="str">
            <v>SLV</v>
          </cell>
          <cell r="B3601" t="str">
            <v>Middle</v>
          </cell>
          <cell r="C3601" t="str">
            <v>2015 - 2023</v>
          </cell>
          <cell r="D3601" t="str">
            <v>reg_iter</v>
          </cell>
          <cell r="E3601" t="str">
            <v>prod_inf_ind</v>
          </cell>
          <cell r="F3601">
            <v>-3.3231668472290039</v>
          </cell>
        </row>
        <row r="3602">
          <cell r="A3602" t="str">
            <v>SLV</v>
          </cell>
          <cell r="B3602" t="str">
            <v>Middle</v>
          </cell>
          <cell r="C3602" t="str">
            <v>2015 - 2023</v>
          </cell>
          <cell r="D3602" t="str">
            <v>reg_iter</v>
          </cell>
          <cell r="E3602" t="str">
            <v>prod_inf_serv</v>
          </cell>
          <cell r="F3602">
            <v>1.2116430997848511</v>
          </cell>
        </row>
        <row r="3603">
          <cell r="A3603" t="str">
            <v>SLV</v>
          </cell>
          <cell r="B3603" t="str">
            <v>Short</v>
          </cell>
          <cell r="C3603" t="str">
            <v>2018 - 2023</v>
          </cell>
          <cell r="D3603" t="str">
            <v>avg</v>
          </cell>
          <cell r="E3603" t="str">
            <v>gdp_activity</v>
          </cell>
          <cell r="F3603">
            <v>0.27830323576927191</v>
          </cell>
        </row>
        <row r="3604">
          <cell r="A3604" t="str">
            <v>SLV</v>
          </cell>
          <cell r="B3604" t="str">
            <v>Short</v>
          </cell>
          <cell r="C3604" t="str">
            <v>2018 - 2023</v>
          </cell>
          <cell r="D3604" t="str">
            <v>avg</v>
          </cell>
          <cell r="E3604" t="str">
            <v>gdp_for_agri</v>
          </cell>
          <cell r="F3604">
            <v>30.350896835327148</v>
          </cell>
        </row>
        <row r="3605">
          <cell r="A3605" t="str">
            <v>SLV</v>
          </cell>
          <cell r="B3605" t="str">
            <v>Short</v>
          </cell>
          <cell r="C3605" t="str">
            <v>2018 - 2023</v>
          </cell>
          <cell r="D3605" t="str">
            <v>avg</v>
          </cell>
          <cell r="E3605" t="str">
            <v>gdp_for_ind</v>
          </cell>
          <cell r="F3605">
            <v>0.1782689094543457</v>
          </cell>
        </row>
        <row r="3606">
          <cell r="A3606" t="str">
            <v>SLV</v>
          </cell>
          <cell r="B3606" t="str">
            <v>Short</v>
          </cell>
          <cell r="C3606" t="str">
            <v>2018 - 2023</v>
          </cell>
          <cell r="D3606" t="str">
            <v>avg</v>
          </cell>
          <cell r="E3606" t="str">
            <v>gdp_for_serv</v>
          </cell>
          <cell r="F3606">
            <v>1.4982783794403081</v>
          </cell>
        </row>
        <row r="3607">
          <cell r="A3607" t="str">
            <v>SLV</v>
          </cell>
          <cell r="B3607" t="str">
            <v>Short</v>
          </cell>
          <cell r="C3607" t="str">
            <v>2018 - 2023</v>
          </cell>
          <cell r="D3607" t="str">
            <v>avg</v>
          </cell>
          <cell r="E3607" t="str">
            <v>gdp_inf_agri</v>
          </cell>
          <cell r="F3607">
            <v>7.3294329643249512</v>
          </cell>
        </row>
        <row r="3608">
          <cell r="A3608" t="str">
            <v>SLV</v>
          </cell>
          <cell r="B3608" t="str">
            <v>Short</v>
          </cell>
          <cell r="C3608" t="str">
            <v>2018 - 2023</v>
          </cell>
          <cell r="D3608" t="str">
            <v>avg</v>
          </cell>
          <cell r="E3608" t="str">
            <v>gdp_inf_ind</v>
          </cell>
          <cell r="F3608">
            <v>1.2271215915679929</v>
          </cell>
        </row>
        <row r="3609">
          <cell r="A3609" t="str">
            <v>SLV</v>
          </cell>
          <cell r="B3609" t="str">
            <v>Short</v>
          </cell>
          <cell r="C3609" t="str">
            <v>2018 - 2023</v>
          </cell>
          <cell r="D3609" t="str">
            <v>avg</v>
          </cell>
          <cell r="E3609" t="str">
            <v>gdp_inf_serv</v>
          </cell>
          <cell r="F3609">
            <v>0.40937897562980652</v>
          </cell>
        </row>
        <row r="3610">
          <cell r="A3610" t="str">
            <v>SLV</v>
          </cell>
          <cell r="B3610" t="str">
            <v>Short</v>
          </cell>
          <cell r="C3610" t="str">
            <v>2018 - 2023</v>
          </cell>
          <cell r="D3610" t="str">
            <v>avg</v>
          </cell>
          <cell r="E3610" t="str">
            <v>prod_for_agri</v>
          </cell>
          <cell r="F3610">
            <v>2.94828200340271</v>
          </cell>
        </row>
        <row r="3611">
          <cell r="A3611" t="str">
            <v>SLV</v>
          </cell>
          <cell r="B3611" t="str">
            <v>Short</v>
          </cell>
          <cell r="C3611" t="str">
            <v>2018 - 2023</v>
          </cell>
          <cell r="D3611" t="str">
            <v>avg</v>
          </cell>
          <cell r="E3611" t="str">
            <v>prod_for_ind</v>
          </cell>
          <cell r="F3611">
            <v>-0.72082227468490601</v>
          </cell>
        </row>
        <row r="3612">
          <cell r="A3612" t="str">
            <v>SLV</v>
          </cell>
          <cell r="B3612" t="str">
            <v>Short</v>
          </cell>
          <cell r="C3612" t="str">
            <v>2018 - 2023</v>
          </cell>
          <cell r="D3612" t="str">
            <v>avg</v>
          </cell>
          <cell r="E3612" t="str">
            <v>prod_for_serv</v>
          </cell>
          <cell r="F3612">
            <v>-1.020702123641968</v>
          </cell>
        </row>
        <row r="3613">
          <cell r="A3613" t="str">
            <v>SLV</v>
          </cell>
          <cell r="B3613" t="str">
            <v>Short</v>
          </cell>
          <cell r="C3613" t="str">
            <v>2018 - 2023</v>
          </cell>
          <cell r="D3613" t="str">
            <v>avg</v>
          </cell>
          <cell r="E3613" t="str">
            <v>prod_inf_agri</v>
          </cell>
          <cell r="F3613">
            <v>1.711951375007629</v>
          </cell>
        </row>
        <row r="3614">
          <cell r="A3614" t="str">
            <v>SLV</v>
          </cell>
          <cell r="B3614" t="str">
            <v>Short</v>
          </cell>
          <cell r="C3614" t="str">
            <v>2018 - 2023</v>
          </cell>
          <cell r="D3614" t="str">
            <v>avg</v>
          </cell>
          <cell r="E3614" t="str">
            <v>prod_inf_ind</v>
          </cell>
          <cell r="F3614">
            <v>-13.060811996459959</v>
          </cell>
        </row>
        <row r="3615">
          <cell r="A3615" t="str">
            <v>SLV</v>
          </cell>
          <cell r="B3615" t="str">
            <v>Short</v>
          </cell>
          <cell r="C3615" t="str">
            <v>2018 - 2023</v>
          </cell>
          <cell r="D3615" t="str">
            <v>avg</v>
          </cell>
          <cell r="E3615" t="str">
            <v>prod_inf_serv</v>
          </cell>
          <cell r="F3615">
            <v>-2.273412704467773</v>
          </cell>
        </row>
        <row r="3616">
          <cell r="A3616" t="str">
            <v>SLV</v>
          </cell>
          <cell r="B3616" t="str">
            <v>Short</v>
          </cell>
          <cell r="C3616" t="str">
            <v>2018 - 2023</v>
          </cell>
          <cell r="D3616" t="str">
            <v>avg_1_99</v>
          </cell>
          <cell r="E3616" t="str">
            <v>gdp_activity</v>
          </cell>
          <cell r="F3616">
            <v>0.90389341115951538</v>
          </cell>
        </row>
        <row r="3617">
          <cell r="A3617" t="str">
            <v>SLV</v>
          </cell>
          <cell r="B3617" t="str">
            <v>Short</v>
          </cell>
          <cell r="C3617" t="str">
            <v>2018 - 2023</v>
          </cell>
          <cell r="D3617" t="str">
            <v>avg_1_99</v>
          </cell>
          <cell r="E3617" t="str">
            <v>gdp_for_agri</v>
          </cell>
          <cell r="F3617">
            <v>15.957582473754879</v>
          </cell>
        </row>
        <row r="3618">
          <cell r="A3618" t="str">
            <v>SLV</v>
          </cell>
          <cell r="B3618" t="str">
            <v>Short</v>
          </cell>
          <cell r="C3618" t="str">
            <v>2018 - 2023</v>
          </cell>
          <cell r="D3618" t="str">
            <v>avg_1_99</v>
          </cell>
          <cell r="E3618" t="str">
            <v>gdp_for_ind</v>
          </cell>
          <cell r="F3618">
            <v>0.88000971078872681</v>
          </cell>
        </row>
        <row r="3619">
          <cell r="A3619" t="str">
            <v>SLV</v>
          </cell>
          <cell r="B3619" t="str">
            <v>Short</v>
          </cell>
          <cell r="C3619" t="str">
            <v>2018 - 2023</v>
          </cell>
          <cell r="D3619" t="str">
            <v>avg_1_99</v>
          </cell>
          <cell r="E3619" t="str">
            <v>gdp_for_serv</v>
          </cell>
          <cell r="F3619">
            <v>1.4982783794403081</v>
          </cell>
        </row>
        <row r="3620">
          <cell r="A3620" t="str">
            <v>SLV</v>
          </cell>
          <cell r="B3620" t="str">
            <v>Short</v>
          </cell>
          <cell r="C3620" t="str">
            <v>2018 - 2023</v>
          </cell>
          <cell r="D3620" t="str">
            <v>avg_1_99</v>
          </cell>
          <cell r="E3620" t="str">
            <v>gdp_inf_agri</v>
          </cell>
          <cell r="F3620">
            <v>2.4630527496337891</v>
          </cell>
        </row>
        <row r="3621">
          <cell r="A3621" t="str">
            <v>SLV</v>
          </cell>
          <cell r="B3621" t="str">
            <v>Short</v>
          </cell>
          <cell r="C3621" t="str">
            <v>2018 - 2023</v>
          </cell>
          <cell r="D3621" t="str">
            <v>avg_1_99</v>
          </cell>
          <cell r="E3621" t="str">
            <v>gdp_inf_ind</v>
          </cell>
          <cell r="F3621">
            <v>1.2271215915679929</v>
          </cell>
        </row>
        <row r="3622">
          <cell r="A3622" t="str">
            <v>SLV</v>
          </cell>
          <cell r="B3622" t="str">
            <v>Short</v>
          </cell>
          <cell r="C3622" t="str">
            <v>2018 - 2023</v>
          </cell>
          <cell r="D3622" t="str">
            <v>avg_1_99</v>
          </cell>
          <cell r="E3622" t="str">
            <v>gdp_inf_serv</v>
          </cell>
          <cell r="F3622">
            <v>-9.0938135981559753E-3</v>
          </cell>
        </row>
        <row r="3623">
          <cell r="A3623" t="str">
            <v>SLV</v>
          </cell>
          <cell r="B3623" t="str">
            <v>Short</v>
          </cell>
          <cell r="C3623" t="str">
            <v>2018 - 2023</v>
          </cell>
          <cell r="D3623" t="str">
            <v>avg_1_99</v>
          </cell>
          <cell r="E3623" t="str">
            <v>prod_for_agri</v>
          </cell>
          <cell r="F3623">
            <v>-1.149550318717957</v>
          </cell>
        </row>
        <row r="3624">
          <cell r="A3624" t="str">
            <v>SLV</v>
          </cell>
          <cell r="B3624" t="str">
            <v>Short</v>
          </cell>
          <cell r="C3624" t="str">
            <v>2018 - 2023</v>
          </cell>
          <cell r="D3624" t="str">
            <v>avg_1_99</v>
          </cell>
          <cell r="E3624" t="str">
            <v>prod_for_ind</v>
          </cell>
          <cell r="F3624">
            <v>2.8803963661193852</v>
          </cell>
        </row>
        <row r="3625">
          <cell r="A3625" t="str">
            <v>SLV</v>
          </cell>
          <cell r="B3625" t="str">
            <v>Short</v>
          </cell>
          <cell r="C3625" t="str">
            <v>2018 - 2023</v>
          </cell>
          <cell r="D3625" t="str">
            <v>avg_1_99</v>
          </cell>
          <cell r="E3625" t="str">
            <v>prod_for_serv</v>
          </cell>
          <cell r="F3625">
            <v>-2.1624915599822998</v>
          </cell>
        </row>
        <row r="3626">
          <cell r="A3626" t="str">
            <v>SLV</v>
          </cell>
          <cell r="B3626" t="str">
            <v>Short</v>
          </cell>
          <cell r="C3626" t="str">
            <v>2018 - 2023</v>
          </cell>
          <cell r="D3626" t="str">
            <v>avg_1_99</v>
          </cell>
          <cell r="E3626" t="str">
            <v>prod_inf_agri</v>
          </cell>
          <cell r="F3626">
            <v>1.711951375007629</v>
          </cell>
        </row>
        <row r="3627">
          <cell r="A3627" t="str">
            <v>SLV</v>
          </cell>
          <cell r="B3627" t="str">
            <v>Short</v>
          </cell>
          <cell r="C3627" t="str">
            <v>2018 - 2023</v>
          </cell>
          <cell r="D3627" t="str">
            <v>avg_1_99</v>
          </cell>
          <cell r="E3627" t="str">
            <v>prod_inf_ind</v>
          </cell>
          <cell r="F3627">
            <v>-3.574854850769043</v>
          </cell>
        </row>
        <row r="3628">
          <cell r="A3628" t="str">
            <v>SLV</v>
          </cell>
          <cell r="B3628" t="str">
            <v>Short</v>
          </cell>
          <cell r="C3628" t="str">
            <v>2018 - 2023</v>
          </cell>
          <cell r="D3628" t="str">
            <v>avg_1_99</v>
          </cell>
          <cell r="E3628" t="str">
            <v>prod_inf_serv</v>
          </cell>
          <cell r="F3628">
            <v>-2.273412704467773</v>
          </cell>
        </row>
        <row r="3629">
          <cell r="A3629" t="str">
            <v>SLV</v>
          </cell>
          <cell r="B3629" t="str">
            <v>Short</v>
          </cell>
          <cell r="C3629" t="str">
            <v>2018 - 2023</v>
          </cell>
          <cell r="D3629" t="str">
            <v>avg_1_99_imp</v>
          </cell>
          <cell r="E3629" t="str">
            <v>gdp_activity</v>
          </cell>
          <cell r="F3629">
            <v>0.8876035213470459</v>
          </cell>
        </row>
        <row r="3630">
          <cell r="A3630" t="str">
            <v>SLV</v>
          </cell>
          <cell r="B3630" t="str">
            <v>Short</v>
          </cell>
          <cell r="C3630" t="str">
            <v>2018 - 2023</v>
          </cell>
          <cell r="D3630" t="str">
            <v>avg_1_99_imp</v>
          </cell>
          <cell r="E3630" t="str">
            <v>gdp_for_agri</v>
          </cell>
          <cell r="F3630">
            <v>13.731722831726071</v>
          </cell>
        </row>
        <row r="3631">
          <cell r="A3631" t="str">
            <v>SLV</v>
          </cell>
          <cell r="B3631" t="str">
            <v>Short</v>
          </cell>
          <cell r="C3631" t="str">
            <v>2018 - 2023</v>
          </cell>
          <cell r="D3631" t="str">
            <v>avg_1_99_imp</v>
          </cell>
          <cell r="E3631" t="str">
            <v>gdp_for_ind</v>
          </cell>
          <cell r="F3631">
            <v>0.91893118619918823</v>
          </cell>
        </row>
        <row r="3632">
          <cell r="A3632" t="str">
            <v>SLV</v>
          </cell>
          <cell r="B3632" t="str">
            <v>Short</v>
          </cell>
          <cell r="C3632" t="str">
            <v>2018 - 2023</v>
          </cell>
          <cell r="D3632" t="str">
            <v>avg_1_99_imp</v>
          </cell>
          <cell r="E3632" t="str">
            <v>gdp_for_serv</v>
          </cell>
          <cell r="F3632">
            <v>1.4982783794403081</v>
          </cell>
        </row>
        <row r="3633">
          <cell r="A3633" t="str">
            <v>SLV</v>
          </cell>
          <cell r="B3633" t="str">
            <v>Short</v>
          </cell>
          <cell r="C3633" t="str">
            <v>2018 - 2023</v>
          </cell>
          <cell r="D3633" t="str">
            <v>avg_1_99_imp</v>
          </cell>
          <cell r="E3633" t="str">
            <v>gdp_inf_agri</v>
          </cell>
          <cell r="F3633">
            <v>2.5190138816833501</v>
          </cell>
        </row>
        <row r="3634">
          <cell r="A3634" t="str">
            <v>SLV</v>
          </cell>
          <cell r="B3634" t="str">
            <v>Short</v>
          </cell>
          <cell r="C3634" t="str">
            <v>2018 - 2023</v>
          </cell>
          <cell r="D3634" t="str">
            <v>avg_1_99_imp</v>
          </cell>
          <cell r="E3634" t="str">
            <v>gdp_inf_ind</v>
          </cell>
          <cell r="F3634">
            <v>1.2271215915679929</v>
          </cell>
        </row>
        <row r="3635">
          <cell r="A3635" t="str">
            <v>SLV</v>
          </cell>
          <cell r="B3635" t="str">
            <v>Short</v>
          </cell>
          <cell r="C3635" t="str">
            <v>2018 - 2023</v>
          </cell>
          <cell r="D3635" t="str">
            <v>avg_1_99_imp</v>
          </cell>
          <cell r="E3635" t="str">
            <v>gdp_inf_serv</v>
          </cell>
          <cell r="F3635">
            <v>0.1014550998806953</v>
          </cell>
        </row>
        <row r="3636">
          <cell r="A3636" t="str">
            <v>SLV</v>
          </cell>
          <cell r="B3636" t="str">
            <v>Short</v>
          </cell>
          <cell r="C3636" t="str">
            <v>2018 - 2023</v>
          </cell>
          <cell r="D3636" t="str">
            <v>avg_1_99_imp</v>
          </cell>
          <cell r="E3636" t="str">
            <v>prod_for_agri</v>
          </cell>
          <cell r="F3636">
            <v>-1.129761338233948</v>
          </cell>
        </row>
        <row r="3637">
          <cell r="A3637" t="str">
            <v>SLV</v>
          </cell>
          <cell r="B3637" t="str">
            <v>Short</v>
          </cell>
          <cell r="C3637" t="str">
            <v>2018 - 2023</v>
          </cell>
          <cell r="D3637" t="str">
            <v>avg_1_99_imp</v>
          </cell>
          <cell r="E3637" t="str">
            <v>prod_for_ind</v>
          </cell>
          <cell r="F3637">
            <v>0.47061079740524292</v>
          </cell>
        </row>
        <row r="3638">
          <cell r="A3638" t="str">
            <v>SLV</v>
          </cell>
          <cell r="B3638" t="str">
            <v>Short</v>
          </cell>
          <cell r="C3638" t="str">
            <v>2018 - 2023</v>
          </cell>
          <cell r="D3638" t="str">
            <v>avg_1_99_imp</v>
          </cell>
          <cell r="E3638" t="str">
            <v>prod_for_serv</v>
          </cell>
          <cell r="F3638">
            <v>-2.336246252059937</v>
          </cell>
        </row>
        <row r="3639">
          <cell r="A3639" t="str">
            <v>SLV</v>
          </cell>
          <cell r="B3639" t="str">
            <v>Short</v>
          </cell>
          <cell r="C3639" t="str">
            <v>2018 - 2023</v>
          </cell>
          <cell r="D3639" t="str">
            <v>avg_1_99_imp</v>
          </cell>
          <cell r="E3639" t="str">
            <v>prod_inf_agri</v>
          </cell>
          <cell r="F3639">
            <v>1.711951375007629</v>
          </cell>
        </row>
        <row r="3640">
          <cell r="A3640" t="str">
            <v>SLV</v>
          </cell>
          <cell r="B3640" t="str">
            <v>Short</v>
          </cell>
          <cell r="C3640" t="str">
            <v>2018 - 2023</v>
          </cell>
          <cell r="D3640" t="str">
            <v>avg_1_99_imp</v>
          </cell>
          <cell r="E3640" t="str">
            <v>prod_inf_ind</v>
          </cell>
          <cell r="F3640">
            <v>-3.6322634220123291</v>
          </cell>
        </row>
        <row r="3641">
          <cell r="A3641" t="str">
            <v>SLV</v>
          </cell>
          <cell r="B3641" t="str">
            <v>Short</v>
          </cell>
          <cell r="C3641" t="str">
            <v>2018 - 2023</v>
          </cell>
          <cell r="D3641" t="str">
            <v>avg_1_99_imp</v>
          </cell>
          <cell r="E3641" t="str">
            <v>prod_inf_serv</v>
          </cell>
          <cell r="F3641">
            <v>-2.273412704467773</v>
          </cell>
        </row>
        <row r="3642">
          <cell r="A3642" t="str">
            <v>SLV</v>
          </cell>
          <cell r="B3642" t="str">
            <v>Short</v>
          </cell>
          <cell r="C3642" t="str">
            <v>2018 - 2023</v>
          </cell>
          <cell r="D3642" t="str">
            <v>reg</v>
          </cell>
          <cell r="E3642" t="str">
            <v>gdp_activity</v>
          </cell>
          <cell r="F3642">
            <v>4.3310854583978653E-2</v>
          </cell>
        </row>
        <row r="3643">
          <cell r="A3643" t="str">
            <v>SLV</v>
          </cell>
          <cell r="B3643" t="str">
            <v>Short</v>
          </cell>
          <cell r="C3643" t="str">
            <v>2018 - 2023</v>
          </cell>
          <cell r="D3643" t="str">
            <v>reg</v>
          </cell>
          <cell r="E3643" t="str">
            <v>gdp_for_agri</v>
          </cell>
          <cell r="F3643">
            <v>-1.3465673923492429</v>
          </cell>
        </row>
        <row r="3644">
          <cell r="A3644" t="str">
            <v>SLV</v>
          </cell>
          <cell r="B3644" t="str">
            <v>Short</v>
          </cell>
          <cell r="C3644" t="str">
            <v>2018 - 2023</v>
          </cell>
          <cell r="D3644" t="str">
            <v>reg</v>
          </cell>
          <cell r="E3644" t="str">
            <v>gdp_for_ind</v>
          </cell>
          <cell r="F3644">
            <v>0.23853704333305359</v>
          </cell>
        </row>
        <row r="3645">
          <cell r="A3645" t="str">
            <v>SLV</v>
          </cell>
          <cell r="B3645" t="str">
            <v>Short</v>
          </cell>
          <cell r="C3645" t="str">
            <v>2018 - 2023</v>
          </cell>
          <cell r="D3645" t="str">
            <v>reg</v>
          </cell>
          <cell r="E3645" t="str">
            <v>gdp_for_serv</v>
          </cell>
          <cell r="F3645">
            <v>0.99213892221450806</v>
          </cell>
        </row>
        <row r="3646">
          <cell r="A3646" t="str">
            <v>SLV</v>
          </cell>
          <cell r="B3646" t="str">
            <v>Short</v>
          </cell>
          <cell r="C3646" t="str">
            <v>2018 - 2023</v>
          </cell>
          <cell r="D3646" t="str">
            <v>reg</v>
          </cell>
          <cell r="E3646" t="str">
            <v>gdp_inf_agri</v>
          </cell>
          <cell r="F3646">
            <v>3.1203782558441162</v>
          </cell>
        </row>
        <row r="3647">
          <cell r="A3647" t="str">
            <v>SLV</v>
          </cell>
          <cell r="B3647" t="str">
            <v>Short</v>
          </cell>
          <cell r="C3647" t="str">
            <v>2018 - 2023</v>
          </cell>
          <cell r="D3647" t="str">
            <v>reg</v>
          </cell>
          <cell r="E3647" t="str">
            <v>gdp_inf_ind</v>
          </cell>
          <cell r="F3647">
            <v>1.302867531776428</v>
          </cell>
        </row>
        <row r="3648">
          <cell r="A3648" t="str">
            <v>SLV</v>
          </cell>
          <cell r="B3648" t="str">
            <v>Short</v>
          </cell>
          <cell r="C3648" t="str">
            <v>2018 - 2023</v>
          </cell>
          <cell r="D3648" t="str">
            <v>reg</v>
          </cell>
          <cell r="E3648" t="str">
            <v>gdp_inf_serv</v>
          </cell>
          <cell r="F3648">
            <v>3.3930528908967972E-2</v>
          </cell>
        </row>
        <row r="3649">
          <cell r="A3649" t="str">
            <v>SLV</v>
          </cell>
          <cell r="B3649" t="str">
            <v>Short</v>
          </cell>
          <cell r="C3649" t="str">
            <v>2018 - 2023</v>
          </cell>
          <cell r="D3649" t="str">
            <v>reg</v>
          </cell>
          <cell r="E3649" t="str">
            <v>prod_for_agri</v>
          </cell>
          <cell r="F3649">
            <v>0.13671426475048071</v>
          </cell>
        </row>
        <row r="3650">
          <cell r="A3650" t="str">
            <v>SLV</v>
          </cell>
          <cell r="B3650" t="str">
            <v>Short</v>
          </cell>
          <cell r="C3650" t="str">
            <v>2018 - 2023</v>
          </cell>
          <cell r="D3650" t="str">
            <v>reg</v>
          </cell>
          <cell r="E3650" t="str">
            <v>prod_for_ind</v>
          </cell>
          <cell r="F3650">
            <v>1.6914665699005129</v>
          </cell>
        </row>
        <row r="3651">
          <cell r="A3651" t="str">
            <v>SLV</v>
          </cell>
          <cell r="B3651" t="str">
            <v>Short</v>
          </cell>
          <cell r="C3651" t="str">
            <v>2018 - 2023</v>
          </cell>
          <cell r="D3651" t="str">
            <v>reg</v>
          </cell>
          <cell r="E3651" t="str">
            <v>prod_for_serv</v>
          </cell>
          <cell r="F3651">
            <v>-1.0016040876507761E-2</v>
          </cell>
        </row>
        <row r="3652">
          <cell r="A3652" t="str">
            <v>SLV</v>
          </cell>
          <cell r="B3652" t="str">
            <v>Short</v>
          </cell>
          <cell r="C3652" t="str">
            <v>2018 - 2023</v>
          </cell>
          <cell r="D3652" t="str">
            <v>reg</v>
          </cell>
          <cell r="E3652" t="str">
            <v>prod_inf_agri</v>
          </cell>
          <cell r="F3652">
            <v>0.39717727899551392</v>
          </cell>
        </row>
        <row r="3653">
          <cell r="A3653" t="str">
            <v>SLV</v>
          </cell>
          <cell r="B3653" t="str">
            <v>Short</v>
          </cell>
          <cell r="C3653" t="str">
            <v>2018 - 2023</v>
          </cell>
          <cell r="D3653" t="str">
            <v>reg</v>
          </cell>
          <cell r="E3653" t="str">
            <v>prod_inf_ind</v>
          </cell>
          <cell r="F3653">
            <v>-1.1241002082824709</v>
          </cell>
        </row>
        <row r="3654">
          <cell r="A3654" t="str">
            <v>SLV</v>
          </cell>
          <cell r="B3654" t="str">
            <v>Short</v>
          </cell>
          <cell r="C3654" t="str">
            <v>2018 - 2023</v>
          </cell>
          <cell r="D3654" t="str">
            <v>reg</v>
          </cell>
          <cell r="E3654" t="str">
            <v>prod_inf_serv</v>
          </cell>
          <cell r="F3654">
            <v>0.69716644287109375</v>
          </cell>
        </row>
        <row r="3655">
          <cell r="A3655" t="str">
            <v>SLV</v>
          </cell>
          <cell r="B3655" t="str">
            <v>Short</v>
          </cell>
          <cell r="C3655" t="str">
            <v>2018 - 2023</v>
          </cell>
          <cell r="D3655" t="str">
            <v>reg_gdp</v>
          </cell>
          <cell r="E3655" t="str">
            <v>gdp_activity</v>
          </cell>
          <cell r="F3655">
            <v>4.3310854583978653E-2</v>
          </cell>
        </row>
        <row r="3656">
          <cell r="A3656" t="str">
            <v>SLV</v>
          </cell>
          <cell r="B3656" t="str">
            <v>Short</v>
          </cell>
          <cell r="C3656" t="str">
            <v>2018 - 2023</v>
          </cell>
          <cell r="D3656" t="str">
            <v>reg_gdp</v>
          </cell>
          <cell r="E3656" t="str">
            <v>gdp_for_agri</v>
          </cell>
          <cell r="F3656">
            <v>-0.9002566933631897</v>
          </cell>
        </row>
        <row r="3657">
          <cell r="A3657" t="str">
            <v>SLV</v>
          </cell>
          <cell r="B3657" t="str">
            <v>Short</v>
          </cell>
          <cell r="C3657" t="str">
            <v>2018 - 2023</v>
          </cell>
          <cell r="D3657" t="str">
            <v>reg_gdp</v>
          </cell>
          <cell r="E3657" t="str">
            <v>gdp_for_ind</v>
          </cell>
          <cell r="F3657">
            <v>1.214317679405212</v>
          </cell>
        </row>
        <row r="3658">
          <cell r="A3658" t="str">
            <v>SLV</v>
          </cell>
          <cell r="B3658" t="str">
            <v>Short</v>
          </cell>
          <cell r="C3658" t="str">
            <v>2018 - 2023</v>
          </cell>
          <cell r="D3658" t="str">
            <v>reg_gdp</v>
          </cell>
          <cell r="E3658" t="str">
            <v>gdp_for_serv</v>
          </cell>
          <cell r="F3658">
            <v>4.1857609748840332</v>
          </cell>
        </row>
        <row r="3659">
          <cell r="A3659" t="str">
            <v>SLV</v>
          </cell>
          <cell r="B3659" t="str">
            <v>Short</v>
          </cell>
          <cell r="C3659" t="str">
            <v>2018 - 2023</v>
          </cell>
          <cell r="D3659" t="str">
            <v>reg_gdp</v>
          </cell>
          <cell r="E3659" t="str">
            <v>gdp_inf_agri</v>
          </cell>
          <cell r="F3659">
            <v>0.17699553072452551</v>
          </cell>
        </row>
        <row r="3660">
          <cell r="A3660" t="str">
            <v>SLV</v>
          </cell>
          <cell r="B3660" t="str">
            <v>Short</v>
          </cell>
          <cell r="C3660" t="str">
            <v>2018 - 2023</v>
          </cell>
          <cell r="D3660" t="str">
            <v>reg_gdp</v>
          </cell>
          <cell r="E3660" t="str">
            <v>gdp_inf_ind</v>
          </cell>
          <cell r="F3660">
            <v>0.25631797313690191</v>
          </cell>
        </row>
        <row r="3661">
          <cell r="A3661" t="str">
            <v>SLV</v>
          </cell>
          <cell r="B3661" t="str">
            <v>Short</v>
          </cell>
          <cell r="C3661" t="str">
            <v>2018 - 2023</v>
          </cell>
          <cell r="D3661" t="str">
            <v>reg_gdp</v>
          </cell>
          <cell r="E3661" t="str">
            <v>gdp_inf_serv</v>
          </cell>
          <cell r="F3661">
            <v>-1.0738728046417241</v>
          </cell>
        </row>
        <row r="3662">
          <cell r="A3662" t="str">
            <v>SLV</v>
          </cell>
          <cell r="B3662" t="str">
            <v>Short</v>
          </cell>
          <cell r="C3662" t="str">
            <v>2018 - 2023</v>
          </cell>
          <cell r="D3662" t="str">
            <v>reg_gdp</v>
          </cell>
          <cell r="E3662" t="str">
            <v>prod_for_agri</v>
          </cell>
          <cell r="F3662">
            <v>-0.79943561553955078</v>
          </cell>
        </row>
        <row r="3663">
          <cell r="A3663" t="str">
            <v>SLV</v>
          </cell>
          <cell r="B3663" t="str">
            <v>Short</v>
          </cell>
          <cell r="C3663" t="str">
            <v>2018 - 2023</v>
          </cell>
          <cell r="D3663" t="str">
            <v>reg_gdp</v>
          </cell>
          <cell r="E3663" t="str">
            <v>prod_for_ind</v>
          </cell>
          <cell r="F3663">
            <v>1.701741576194763</v>
          </cell>
        </row>
        <row r="3664">
          <cell r="A3664" t="str">
            <v>SLV</v>
          </cell>
          <cell r="B3664" t="str">
            <v>Short</v>
          </cell>
          <cell r="C3664" t="str">
            <v>2018 - 2023</v>
          </cell>
          <cell r="D3664" t="str">
            <v>reg_gdp</v>
          </cell>
          <cell r="E3664" t="str">
            <v>prod_for_serv</v>
          </cell>
          <cell r="F3664">
            <v>-0.2191254198551178</v>
          </cell>
        </row>
        <row r="3665">
          <cell r="A3665" t="str">
            <v>SLV</v>
          </cell>
          <cell r="B3665" t="str">
            <v>Short</v>
          </cell>
          <cell r="C3665" t="str">
            <v>2018 - 2023</v>
          </cell>
          <cell r="D3665" t="str">
            <v>reg_gdp</v>
          </cell>
          <cell r="E3665" t="str">
            <v>prod_inf_agri</v>
          </cell>
          <cell r="F3665">
            <v>5.5263280868530273E-2</v>
          </cell>
        </row>
        <row r="3666">
          <cell r="A3666" t="str">
            <v>SLV</v>
          </cell>
          <cell r="B3666" t="str">
            <v>Short</v>
          </cell>
          <cell r="C3666" t="str">
            <v>2018 - 2023</v>
          </cell>
          <cell r="D3666" t="str">
            <v>reg_gdp</v>
          </cell>
          <cell r="E3666" t="str">
            <v>prod_inf_ind</v>
          </cell>
          <cell r="F3666">
            <v>-1.5117466449737551</v>
          </cell>
        </row>
        <row r="3667">
          <cell r="A3667" t="str">
            <v>SLV</v>
          </cell>
          <cell r="B3667" t="str">
            <v>Short</v>
          </cell>
          <cell r="C3667" t="str">
            <v>2018 - 2023</v>
          </cell>
          <cell r="D3667" t="str">
            <v>reg_gdp</v>
          </cell>
          <cell r="E3667" t="str">
            <v>prod_inf_serv</v>
          </cell>
          <cell r="F3667">
            <v>0.16543057560920721</v>
          </cell>
        </row>
        <row r="3668">
          <cell r="A3668" t="str">
            <v>SLV</v>
          </cell>
          <cell r="B3668" t="str">
            <v>Short</v>
          </cell>
          <cell r="C3668" t="str">
            <v>2018 - 2023</v>
          </cell>
          <cell r="D3668" t="str">
            <v>reg_iter</v>
          </cell>
          <cell r="E3668" t="str">
            <v>gdp_activity</v>
          </cell>
          <cell r="F3668">
            <v>-0.17838335037231451</v>
          </cell>
        </row>
        <row r="3669">
          <cell r="A3669" t="str">
            <v>SLV</v>
          </cell>
          <cell r="B3669" t="str">
            <v>Short</v>
          </cell>
          <cell r="C3669" t="str">
            <v>2018 - 2023</v>
          </cell>
          <cell r="D3669" t="str">
            <v>reg_iter</v>
          </cell>
          <cell r="E3669" t="str">
            <v>gdp_for_agri</v>
          </cell>
          <cell r="F3669">
            <v>7.608952522277832</v>
          </cell>
        </row>
        <row r="3670">
          <cell r="A3670" t="str">
            <v>SLV</v>
          </cell>
          <cell r="B3670" t="str">
            <v>Short</v>
          </cell>
          <cell r="C3670" t="str">
            <v>2018 - 2023</v>
          </cell>
          <cell r="D3670" t="str">
            <v>reg_iter</v>
          </cell>
          <cell r="E3670" t="str">
            <v>gdp_for_ind</v>
          </cell>
          <cell r="F3670">
            <v>-6.7225947976112366E-2</v>
          </cell>
        </row>
        <row r="3671">
          <cell r="A3671" t="str">
            <v>SLV</v>
          </cell>
          <cell r="B3671" t="str">
            <v>Short</v>
          </cell>
          <cell r="C3671" t="str">
            <v>2018 - 2023</v>
          </cell>
          <cell r="D3671" t="str">
            <v>reg_iter</v>
          </cell>
          <cell r="E3671" t="str">
            <v>gdp_for_serv</v>
          </cell>
          <cell r="F3671">
            <v>0.25979882478713989</v>
          </cell>
        </row>
        <row r="3672">
          <cell r="A3672" t="str">
            <v>SLV</v>
          </cell>
          <cell r="B3672" t="str">
            <v>Short</v>
          </cell>
          <cell r="C3672" t="str">
            <v>2018 - 2023</v>
          </cell>
          <cell r="D3672" t="str">
            <v>reg_iter</v>
          </cell>
          <cell r="E3672" t="str">
            <v>gdp_inf_agri</v>
          </cell>
          <cell r="F3672">
            <v>0.71399176120758057</v>
          </cell>
        </row>
        <row r="3673">
          <cell r="A3673" t="str">
            <v>SLV</v>
          </cell>
          <cell r="B3673" t="str">
            <v>Short</v>
          </cell>
          <cell r="C3673" t="str">
            <v>2018 - 2023</v>
          </cell>
          <cell r="D3673" t="str">
            <v>reg_iter</v>
          </cell>
          <cell r="E3673" t="str">
            <v>gdp_inf_ind</v>
          </cell>
          <cell r="F3673">
            <v>1.753762483596802</v>
          </cell>
        </row>
        <row r="3674">
          <cell r="A3674" t="str">
            <v>SLV</v>
          </cell>
          <cell r="B3674" t="str">
            <v>Short</v>
          </cell>
          <cell r="C3674" t="str">
            <v>2018 - 2023</v>
          </cell>
          <cell r="D3674" t="str">
            <v>reg_iter</v>
          </cell>
          <cell r="E3674" t="str">
            <v>gdp_inf_serv</v>
          </cell>
          <cell r="F3674">
            <v>-0.15837545692920679</v>
          </cell>
        </row>
        <row r="3675">
          <cell r="A3675" t="str">
            <v>SLV</v>
          </cell>
          <cell r="B3675" t="str">
            <v>Short</v>
          </cell>
          <cell r="C3675" t="str">
            <v>2018 - 2023</v>
          </cell>
          <cell r="D3675" t="str">
            <v>reg_iter</v>
          </cell>
          <cell r="E3675" t="str">
            <v>prod_for_agri</v>
          </cell>
          <cell r="F3675">
            <v>0.1539987176656723</v>
          </cell>
        </row>
        <row r="3676">
          <cell r="A3676" t="str">
            <v>SLV</v>
          </cell>
          <cell r="B3676" t="str">
            <v>Short</v>
          </cell>
          <cell r="C3676" t="str">
            <v>2018 - 2023</v>
          </cell>
          <cell r="D3676" t="str">
            <v>reg_iter</v>
          </cell>
          <cell r="E3676" t="str">
            <v>prod_for_ind</v>
          </cell>
          <cell r="F3676">
            <v>2.0992667675018311</v>
          </cell>
        </row>
        <row r="3677">
          <cell r="A3677" t="str">
            <v>SLV</v>
          </cell>
          <cell r="B3677" t="str">
            <v>Short</v>
          </cell>
          <cell r="C3677" t="str">
            <v>2018 - 2023</v>
          </cell>
          <cell r="D3677" t="str">
            <v>reg_iter</v>
          </cell>
          <cell r="E3677" t="str">
            <v>prod_for_serv</v>
          </cell>
          <cell r="F3677">
            <v>0.13362255692481989</v>
          </cell>
        </row>
        <row r="3678">
          <cell r="A3678" t="str">
            <v>SLV</v>
          </cell>
          <cell r="B3678" t="str">
            <v>Short</v>
          </cell>
          <cell r="C3678" t="str">
            <v>2018 - 2023</v>
          </cell>
          <cell r="D3678" t="str">
            <v>reg_iter</v>
          </cell>
          <cell r="E3678" t="str">
            <v>prod_inf_agri</v>
          </cell>
          <cell r="F3678">
            <v>0.33921882510185242</v>
          </cell>
        </row>
        <row r="3679">
          <cell r="A3679" t="str">
            <v>SLV</v>
          </cell>
          <cell r="B3679" t="str">
            <v>Short</v>
          </cell>
          <cell r="C3679" t="str">
            <v>2018 - 2023</v>
          </cell>
          <cell r="D3679" t="str">
            <v>reg_iter</v>
          </cell>
          <cell r="E3679" t="str">
            <v>prod_inf_ind</v>
          </cell>
          <cell r="F3679">
            <v>-6.2066688537597656</v>
          </cell>
        </row>
        <row r="3680">
          <cell r="A3680" t="str">
            <v>SLV</v>
          </cell>
          <cell r="B3680" t="str">
            <v>Short</v>
          </cell>
          <cell r="C3680" t="str">
            <v>2018 - 2023</v>
          </cell>
          <cell r="D3680" t="str">
            <v>reg_iter</v>
          </cell>
          <cell r="E3680" t="str">
            <v>prod_inf_serv</v>
          </cell>
          <cell r="F3680">
            <v>0.68731033802032471</v>
          </cell>
        </row>
        <row r="3681">
          <cell r="A3681" t="str">
            <v>URY</v>
          </cell>
          <cell r="B3681" t="str">
            <v>Long</v>
          </cell>
          <cell r="C3681" t="str">
            <v>2006 - 2022</v>
          </cell>
          <cell r="D3681" t="str">
            <v>avg</v>
          </cell>
          <cell r="E3681" t="str">
            <v>gdp_activity</v>
          </cell>
          <cell r="F3681">
            <v>0.38399481773376459</v>
          </cell>
        </row>
        <row r="3682">
          <cell r="A3682" t="str">
            <v>URY</v>
          </cell>
          <cell r="B3682" t="str">
            <v>Long</v>
          </cell>
          <cell r="C3682" t="str">
            <v>2006 - 2022</v>
          </cell>
          <cell r="D3682" t="str">
            <v>avg</v>
          </cell>
          <cell r="E3682" t="str">
            <v>gdp_for_agri</v>
          </cell>
          <cell r="F3682">
            <v>1.797252416610718</v>
          </cell>
        </row>
        <row r="3683">
          <cell r="A3683" t="str">
            <v>URY</v>
          </cell>
          <cell r="B3683" t="str">
            <v>Long</v>
          </cell>
          <cell r="C3683" t="str">
            <v>2006 - 2022</v>
          </cell>
          <cell r="D3683" t="str">
            <v>avg</v>
          </cell>
          <cell r="E3683" t="str">
            <v>gdp_for_ind</v>
          </cell>
          <cell r="F3683">
            <v>-0.50440388917922974</v>
          </cell>
        </row>
        <row r="3684">
          <cell r="A3684" t="str">
            <v>URY</v>
          </cell>
          <cell r="B3684" t="str">
            <v>Long</v>
          </cell>
          <cell r="C3684" t="str">
            <v>2006 - 2022</v>
          </cell>
          <cell r="D3684" t="str">
            <v>avg</v>
          </cell>
          <cell r="E3684" t="str">
            <v>gdp_for_serv</v>
          </cell>
          <cell r="F3684">
            <v>0.44602054357528692</v>
          </cell>
        </row>
        <row r="3685">
          <cell r="A3685" t="str">
            <v>URY</v>
          </cell>
          <cell r="B3685" t="str">
            <v>Long</v>
          </cell>
          <cell r="C3685" t="str">
            <v>2006 - 2022</v>
          </cell>
          <cell r="D3685" t="str">
            <v>avg</v>
          </cell>
          <cell r="E3685" t="str">
            <v>gdp_inf_agri</v>
          </cell>
          <cell r="F3685">
            <v>2.1409873962402339</v>
          </cell>
        </row>
        <row r="3686">
          <cell r="A3686" t="str">
            <v>URY</v>
          </cell>
          <cell r="B3686" t="str">
            <v>Long</v>
          </cell>
          <cell r="C3686" t="str">
            <v>2006 - 2022</v>
          </cell>
          <cell r="D3686" t="str">
            <v>avg</v>
          </cell>
          <cell r="E3686" t="str">
            <v>gdp_inf_ind</v>
          </cell>
          <cell r="F3686">
            <v>3.2307529449462891</v>
          </cell>
        </row>
        <row r="3687">
          <cell r="A3687" t="str">
            <v>URY</v>
          </cell>
          <cell r="B3687" t="str">
            <v>Long</v>
          </cell>
          <cell r="C3687" t="str">
            <v>2006 - 2022</v>
          </cell>
          <cell r="D3687" t="str">
            <v>avg</v>
          </cell>
          <cell r="E3687" t="str">
            <v>gdp_inf_serv</v>
          </cell>
          <cell r="F3687">
            <v>0.33038255572319031</v>
          </cell>
        </row>
        <row r="3688">
          <cell r="A3688" t="str">
            <v>URY</v>
          </cell>
          <cell r="B3688" t="str">
            <v>Long</v>
          </cell>
          <cell r="C3688" t="str">
            <v>2006 - 2022</v>
          </cell>
          <cell r="D3688" t="str">
            <v>avg</v>
          </cell>
          <cell r="E3688" t="str">
            <v>prod_for_agri</v>
          </cell>
          <cell r="F3688">
            <v>1.9278465509414671</v>
          </cell>
        </row>
        <row r="3689">
          <cell r="A3689" t="str">
            <v>URY</v>
          </cell>
          <cell r="B3689" t="str">
            <v>Long</v>
          </cell>
          <cell r="C3689" t="str">
            <v>2006 - 2022</v>
          </cell>
          <cell r="D3689" t="str">
            <v>avg</v>
          </cell>
          <cell r="E3689" t="str">
            <v>prod_for_ind</v>
          </cell>
          <cell r="F3689">
            <v>-0.50957220792770386</v>
          </cell>
        </row>
        <row r="3690">
          <cell r="A3690" t="str">
            <v>URY</v>
          </cell>
          <cell r="B3690" t="str">
            <v>Long</v>
          </cell>
          <cell r="C3690" t="str">
            <v>2006 - 2022</v>
          </cell>
          <cell r="D3690" t="str">
            <v>avg</v>
          </cell>
          <cell r="E3690" t="str">
            <v>prod_for_serv</v>
          </cell>
          <cell r="F3690">
            <v>2.6728289127349849</v>
          </cell>
        </row>
        <row r="3691">
          <cell r="A3691" t="str">
            <v>URY</v>
          </cell>
          <cell r="B3691" t="str">
            <v>Long</v>
          </cell>
          <cell r="C3691" t="str">
            <v>2006 - 2022</v>
          </cell>
          <cell r="D3691" t="str">
            <v>avg</v>
          </cell>
          <cell r="E3691" t="str">
            <v>prod_inf_agri</v>
          </cell>
          <cell r="F3691">
            <v>2.6016654968261719</v>
          </cell>
        </row>
        <row r="3692">
          <cell r="A3692" t="str">
            <v>URY</v>
          </cell>
          <cell r="B3692" t="str">
            <v>Long</v>
          </cell>
          <cell r="C3692" t="str">
            <v>2006 - 2022</v>
          </cell>
          <cell r="D3692" t="str">
            <v>avg</v>
          </cell>
          <cell r="E3692" t="str">
            <v>prod_inf_ind</v>
          </cell>
          <cell r="F3692">
            <v>-0.48001733422279358</v>
          </cell>
        </row>
        <row r="3693">
          <cell r="A3693" t="str">
            <v>URY</v>
          </cell>
          <cell r="B3693" t="str">
            <v>Long</v>
          </cell>
          <cell r="C3693" t="str">
            <v>2006 - 2022</v>
          </cell>
          <cell r="D3693" t="str">
            <v>avg</v>
          </cell>
          <cell r="E3693" t="str">
            <v>prod_inf_serv</v>
          </cell>
          <cell r="F3693">
            <v>0.57767975330352783</v>
          </cell>
        </row>
        <row r="3694">
          <cell r="A3694" t="str">
            <v>URY</v>
          </cell>
          <cell r="B3694" t="str">
            <v>Long</v>
          </cell>
          <cell r="C3694" t="str">
            <v>2006 - 2022</v>
          </cell>
          <cell r="D3694" t="str">
            <v>avg_1_99</v>
          </cell>
          <cell r="E3694" t="str">
            <v>gdp_activity</v>
          </cell>
          <cell r="F3694">
            <v>0.4030059278011322</v>
          </cell>
        </row>
        <row r="3695">
          <cell r="A3695" t="str">
            <v>URY</v>
          </cell>
          <cell r="B3695" t="str">
            <v>Long</v>
          </cell>
          <cell r="C3695" t="str">
            <v>2006 - 2022</v>
          </cell>
          <cell r="D3695" t="str">
            <v>avg_1_99</v>
          </cell>
          <cell r="E3695" t="str">
            <v>gdp_for_agri</v>
          </cell>
          <cell r="F3695">
            <v>0.96115338802337646</v>
          </cell>
        </row>
        <row r="3696">
          <cell r="A3696" t="str">
            <v>URY</v>
          </cell>
          <cell r="B3696" t="str">
            <v>Long</v>
          </cell>
          <cell r="C3696" t="str">
            <v>2006 - 2022</v>
          </cell>
          <cell r="D3696" t="str">
            <v>avg_1_99</v>
          </cell>
          <cell r="E3696" t="str">
            <v>gdp_for_ind</v>
          </cell>
          <cell r="F3696">
            <v>-0.65471392869949341</v>
          </cell>
        </row>
        <row r="3697">
          <cell r="A3697" t="str">
            <v>URY</v>
          </cell>
          <cell r="B3697" t="str">
            <v>Long</v>
          </cell>
          <cell r="C3697" t="str">
            <v>2006 - 2022</v>
          </cell>
          <cell r="D3697" t="str">
            <v>avg_1_99</v>
          </cell>
          <cell r="E3697" t="str">
            <v>gdp_for_serv</v>
          </cell>
          <cell r="F3697">
            <v>0.50085461139678955</v>
          </cell>
        </row>
        <row r="3698">
          <cell r="A3698" t="str">
            <v>URY</v>
          </cell>
          <cell r="B3698" t="str">
            <v>Long</v>
          </cell>
          <cell r="C3698" t="str">
            <v>2006 - 2022</v>
          </cell>
          <cell r="D3698" t="str">
            <v>avg_1_99</v>
          </cell>
          <cell r="E3698" t="str">
            <v>gdp_inf_agri</v>
          </cell>
          <cell r="F3698">
            <v>0.84194129705429077</v>
          </cell>
        </row>
        <row r="3699">
          <cell r="A3699" t="str">
            <v>URY</v>
          </cell>
          <cell r="B3699" t="str">
            <v>Long</v>
          </cell>
          <cell r="C3699" t="str">
            <v>2006 - 2022</v>
          </cell>
          <cell r="D3699" t="str">
            <v>avg_1_99</v>
          </cell>
          <cell r="E3699" t="str">
            <v>gdp_inf_ind</v>
          </cell>
          <cell r="F3699">
            <v>1.456616997718811</v>
          </cell>
        </row>
        <row r="3700">
          <cell r="A3700" t="str">
            <v>URY</v>
          </cell>
          <cell r="B3700" t="str">
            <v>Long</v>
          </cell>
          <cell r="C3700" t="str">
            <v>2006 - 2022</v>
          </cell>
          <cell r="D3700" t="str">
            <v>avg_1_99</v>
          </cell>
          <cell r="E3700" t="str">
            <v>gdp_inf_serv</v>
          </cell>
          <cell r="F3700">
            <v>0.16852609813213351</v>
          </cell>
        </row>
        <row r="3701">
          <cell r="A3701" t="str">
            <v>URY</v>
          </cell>
          <cell r="B3701" t="str">
            <v>Long</v>
          </cell>
          <cell r="C3701" t="str">
            <v>2006 - 2022</v>
          </cell>
          <cell r="D3701" t="str">
            <v>avg_1_99</v>
          </cell>
          <cell r="E3701" t="str">
            <v>prod_for_agri</v>
          </cell>
          <cell r="F3701">
            <v>0.60123038291931152</v>
          </cell>
        </row>
        <row r="3702">
          <cell r="A3702" t="str">
            <v>URY</v>
          </cell>
          <cell r="B3702" t="str">
            <v>Long</v>
          </cell>
          <cell r="C3702" t="str">
            <v>2006 - 2022</v>
          </cell>
          <cell r="D3702" t="str">
            <v>avg_1_99</v>
          </cell>
          <cell r="E3702" t="str">
            <v>prod_for_ind</v>
          </cell>
          <cell r="F3702">
            <v>-0.26863712072372442</v>
          </cell>
        </row>
        <row r="3703">
          <cell r="A3703" t="str">
            <v>URY</v>
          </cell>
          <cell r="B3703" t="str">
            <v>Long</v>
          </cell>
          <cell r="C3703" t="str">
            <v>2006 - 2022</v>
          </cell>
          <cell r="D3703" t="str">
            <v>avg_1_99</v>
          </cell>
          <cell r="E3703" t="str">
            <v>prod_for_serv</v>
          </cell>
          <cell r="F3703">
            <v>1.584813714027405</v>
          </cell>
        </row>
        <row r="3704">
          <cell r="A3704" t="str">
            <v>URY</v>
          </cell>
          <cell r="B3704" t="str">
            <v>Long</v>
          </cell>
          <cell r="C3704" t="str">
            <v>2006 - 2022</v>
          </cell>
          <cell r="D3704" t="str">
            <v>avg_1_99</v>
          </cell>
          <cell r="E3704" t="str">
            <v>prod_inf_agri</v>
          </cell>
          <cell r="F3704">
            <v>1.0676265954971309</v>
          </cell>
        </row>
        <row r="3705">
          <cell r="A3705" t="str">
            <v>URY</v>
          </cell>
          <cell r="B3705" t="str">
            <v>Long</v>
          </cell>
          <cell r="C3705" t="str">
            <v>2006 - 2022</v>
          </cell>
          <cell r="D3705" t="str">
            <v>avg_1_99</v>
          </cell>
          <cell r="E3705" t="str">
            <v>prod_inf_ind</v>
          </cell>
          <cell r="F3705">
            <v>-0.74964481592178345</v>
          </cell>
        </row>
        <row r="3706">
          <cell r="A3706" t="str">
            <v>URY</v>
          </cell>
          <cell r="B3706" t="str">
            <v>Long</v>
          </cell>
          <cell r="C3706" t="str">
            <v>2006 - 2022</v>
          </cell>
          <cell r="D3706" t="str">
            <v>avg_1_99</v>
          </cell>
          <cell r="E3706" t="str">
            <v>prod_inf_serv</v>
          </cell>
          <cell r="F3706">
            <v>1.274658799171448</v>
          </cell>
        </row>
        <row r="3707">
          <cell r="A3707" t="str">
            <v>URY</v>
          </cell>
          <cell r="B3707" t="str">
            <v>Long</v>
          </cell>
          <cell r="C3707" t="str">
            <v>2006 - 2022</v>
          </cell>
          <cell r="D3707" t="str">
            <v>avg_1_99_imp</v>
          </cell>
          <cell r="E3707" t="str">
            <v>gdp_activity</v>
          </cell>
          <cell r="F3707">
            <v>0.37891319394111628</v>
          </cell>
        </row>
        <row r="3708">
          <cell r="A3708" t="str">
            <v>URY</v>
          </cell>
          <cell r="B3708" t="str">
            <v>Long</v>
          </cell>
          <cell r="C3708" t="str">
            <v>2006 - 2022</v>
          </cell>
          <cell r="D3708" t="str">
            <v>avg_1_99_imp</v>
          </cell>
          <cell r="E3708" t="str">
            <v>gdp_for_agri</v>
          </cell>
          <cell r="F3708">
            <v>0.87418395280838013</v>
          </cell>
        </row>
        <row r="3709">
          <cell r="A3709" t="str">
            <v>URY</v>
          </cell>
          <cell r="B3709" t="str">
            <v>Long</v>
          </cell>
          <cell r="C3709" t="str">
            <v>2006 - 2022</v>
          </cell>
          <cell r="D3709" t="str">
            <v>avg_1_99_imp</v>
          </cell>
          <cell r="E3709" t="str">
            <v>gdp_for_ind</v>
          </cell>
          <cell r="F3709">
            <v>-0.54286396503448486</v>
          </cell>
        </row>
        <row r="3710">
          <cell r="A3710" t="str">
            <v>URY</v>
          </cell>
          <cell r="B3710" t="str">
            <v>Long</v>
          </cell>
          <cell r="C3710" t="str">
            <v>2006 - 2022</v>
          </cell>
          <cell r="D3710" t="str">
            <v>avg_1_99_imp</v>
          </cell>
          <cell r="E3710" t="str">
            <v>gdp_for_serv</v>
          </cell>
          <cell r="F3710">
            <v>0.48661413788795471</v>
          </cell>
        </row>
        <row r="3711">
          <cell r="A3711" t="str">
            <v>URY</v>
          </cell>
          <cell r="B3711" t="str">
            <v>Long</v>
          </cell>
          <cell r="C3711" t="str">
            <v>2006 - 2022</v>
          </cell>
          <cell r="D3711" t="str">
            <v>avg_1_99_imp</v>
          </cell>
          <cell r="E3711" t="str">
            <v>gdp_inf_agri</v>
          </cell>
          <cell r="F3711">
            <v>0.71611487865447998</v>
          </cell>
        </row>
        <row r="3712">
          <cell r="A3712" t="str">
            <v>URY</v>
          </cell>
          <cell r="B3712" t="str">
            <v>Long</v>
          </cell>
          <cell r="C3712" t="str">
            <v>2006 - 2022</v>
          </cell>
          <cell r="D3712" t="str">
            <v>avg_1_99_imp</v>
          </cell>
          <cell r="E3712" t="str">
            <v>gdp_inf_ind</v>
          </cell>
          <cell r="F3712">
            <v>1.404547810554504</v>
          </cell>
        </row>
        <row r="3713">
          <cell r="A3713" t="str">
            <v>URY</v>
          </cell>
          <cell r="B3713" t="str">
            <v>Long</v>
          </cell>
          <cell r="C3713" t="str">
            <v>2006 - 2022</v>
          </cell>
          <cell r="D3713" t="str">
            <v>avg_1_99_imp</v>
          </cell>
          <cell r="E3713" t="str">
            <v>gdp_inf_serv</v>
          </cell>
          <cell r="F3713">
            <v>0.1155299618840218</v>
          </cell>
        </row>
        <row r="3714">
          <cell r="A3714" t="str">
            <v>URY</v>
          </cell>
          <cell r="B3714" t="str">
            <v>Long</v>
          </cell>
          <cell r="C3714" t="str">
            <v>2006 - 2022</v>
          </cell>
          <cell r="D3714" t="str">
            <v>avg_1_99_imp</v>
          </cell>
          <cell r="E3714" t="str">
            <v>prod_for_agri</v>
          </cell>
          <cell r="F3714">
            <v>-0.14092239737510681</v>
          </cell>
        </row>
        <row r="3715">
          <cell r="A3715" t="str">
            <v>URY</v>
          </cell>
          <cell r="B3715" t="str">
            <v>Long</v>
          </cell>
          <cell r="C3715" t="str">
            <v>2006 - 2022</v>
          </cell>
          <cell r="D3715" t="str">
            <v>avg_1_99_imp</v>
          </cell>
          <cell r="E3715" t="str">
            <v>prod_for_ind</v>
          </cell>
          <cell r="F3715">
            <v>0.1095171496272087</v>
          </cell>
        </row>
        <row r="3716">
          <cell r="A3716" t="str">
            <v>URY</v>
          </cell>
          <cell r="B3716" t="str">
            <v>Long</v>
          </cell>
          <cell r="C3716" t="str">
            <v>2006 - 2022</v>
          </cell>
          <cell r="D3716" t="str">
            <v>avg_1_99_imp</v>
          </cell>
          <cell r="E3716" t="str">
            <v>prod_for_serv</v>
          </cell>
          <cell r="F3716">
            <v>0.89368009567260742</v>
          </cell>
        </row>
        <row r="3717">
          <cell r="A3717" t="str">
            <v>URY</v>
          </cell>
          <cell r="B3717" t="str">
            <v>Long</v>
          </cell>
          <cell r="C3717" t="str">
            <v>2006 - 2022</v>
          </cell>
          <cell r="D3717" t="str">
            <v>avg_1_99_imp</v>
          </cell>
          <cell r="E3717" t="str">
            <v>prod_inf_agri</v>
          </cell>
          <cell r="F3717">
            <v>0.89528483152389526</v>
          </cell>
        </row>
        <row r="3718">
          <cell r="A3718" t="str">
            <v>URY</v>
          </cell>
          <cell r="B3718" t="str">
            <v>Long</v>
          </cell>
          <cell r="C3718" t="str">
            <v>2006 - 2022</v>
          </cell>
          <cell r="D3718" t="str">
            <v>avg_1_99_imp</v>
          </cell>
          <cell r="E3718" t="str">
            <v>prod_inf_ind</v>
          </cell>
          <cell r="F3718">
            <v>-0.67378127574920654</v>
          </cell>
        </row>
        <row r="3719">
          <cell r="A3719" t="str">
            <v>URY</v>
          </cell>
          <cell r="B3719" t="str">
            <v>Long</v>
          </cell>
          <cell r="C3719" t="str">
            <v>2006 - 2022</v>
          </cell>
          <cell r="D3719" t="str">
            <v>avg_1_99_imp</v>
          </cell>
          <cell r="E3719" t="str">
            <v>prod_inf_serv</v>
          </cell>
          <cell r="F3719">
            <v>1.2435001134872441</v>
          </cell>
        </row>
        <row r="3720">
          <cell r="A3720" t="str">
            <v>URY</v>
          </cell>
          <cell r="B3720" t="str">
            <v>Long</v>
          </cell>
          <cell r="C3720" t="str">
            <v>2006 - 2022</v>
          </cell>
          <cell r="D3720" t="str">
            <v>med_reg</v>
          </cell>
          <cell r="E3720" t="str">
            <v>gdp_activity</v>
          </cell>
          <cell r="F3720">
            <v>0.53882759809494019</v>
          </cell>
        </row>
        <row r="3721">
          <cell r="A3721" t="str">
            <v>URY</v>
          </cell>
          <cell r="B3721" t="str">
            <v>Long</v>
          </cell>
          <cell r="C3721" t="str">
            <v>2006 - 2022</v>
          </cell>
          <cell r="D3721" t="str">
            <v>med_reg</v>
          </cell>
          <cell r="E3721" t="str">
            <v>gdp_for_agri</v>
          </cell>
          <cell r="F3721">
            <v>0.56696224212646484</v>
          </cell>
        </row>
        <row r="3722">
          <cell r="A3722" t="str">
            <v>URY</v>
          </cell>
          <cell r="B3722" t="str">
            <v>Long</v>
          </cell>
          <cell r="C3722" t="str">
            <v>2006 - 2022</v>
          </cell>
          <cell r="D3722" t="str">
            <v>med_reg</v>
          </cell>
          <cell r="E3722" t="str">
            <v>gdp_for_ind</v>
          </cell>
          <cell r="F3722">
            <v>0.66083383560180664</v>
          </cell>
        </row>
        <row r="3723">
          <cell r="A3723" t="str">
            <v>URY</v>
          </cell>
          <cell r="B3723" t="str">
            <v>Long</v>
          </cell>
          <cell r="C3723" t="str">
            <v>2006 - 2022</v>
          </cell>
          <cell r="D3723" t="str">
            <v>med_reg</v>
          </cell>
          <cell r="E3723" t="str">
            <v>gdp_for_serv</v>
          </cell>
          <cell r="F3723">
            <v>0.90749043226242065</v>
          </cell>
        </row>
        <row r="3724">
          <cell r="A3724" t="str">
            <v>URY</v>
          </cell>
          <cell r="B3724" t="str">
            <v>Long</v>
          </cell>
          <cell r="C3724" t="str">
            <v>2006 - 2022</v>
          </cell>
          <cell r="D3724" t="str">
            <v>med_reg</v>
          </cell>
          <cell r="E3724" t="str">
            <v>gdp_inf_agri</v>
          </cell>
          <cell r="F3724">
            <v>-1.230129480361938</v>
          </cell>
        </row>
        <row r="3725">
          <cell r="A3725" t="str">
            <v>URY</v>
          </cell>
          <cell r="B3725" t="str">
            <v>Long</v>
          </cell>
          <cell r="C3725" t="str">
            <v>2006 - 2022</v>
          </cell>
          <cell r="D3725" t="str">
            <v>med_reg</v>
          </cell>
          <cell r="E3725" t="str">
            <v>gdp_inf_ind</v>
          </cell>
          <cell r="F3725">
            <v>-1.053293824195862</v>
          </cell>
        </row>
        <row r="3726">
          <cell r="A3726" t="str">
            <v>URY</v>
          </cell>
          <cell r="B3726" t="str">
            <v>Long</v>
          </cell>
          <cell r="C3726" t="str">
            <v>2006 - 2022</v>
          </cell>
          <cell r="D3726" t="str">
            <v>med_reg</v>
          </cell>
          <cell r="E3726" t="str">
            <v>gdp_inf_serv</v>
          </cell>
          <cell r="F3726">
            <v>-0.35605984926223749</v>
          </cell>
        </row>
        <row r="3727">
          <cell r="A3727" t="str">
            <v>URY</v>
          </cell>
          <cell r="B3727" t="str">
            <v>Long</v>
          </cell>
          <cell r="C3727" t="str">
            <v>2006 - 2022</v>
          </cell>
          <cell r="D3727" t="str">
            <v>med_reg</v>
          </cell>
          <cell r="E3727" t="str">
            <v>prod_for_agri</v>
          </cell>
          <cell r="F3727">
            <v>1.735010743141174E-2</v>
          </cell>
        </row>
        <row r="3728">
          <cell r="A3728" t="str">
            <v>URY</v>
          </cell>
          <cell r="B3728" t="str">
            <v>Long</v>
          </cell>
          <cell r="C3728" t="str">
            <v>2006 - 2022</v>
          </cell>
          <cell r="D3728" t="str">
            <v>med_reg</v>
          </cell>
          <cell r="E3728" t="str">
            <v>prod_for_ind</v>
          </cell>
          <cell r="F3728">
            <v>0.81281298398971558</v>
          </cell>
        </row>
        <row r="3729">
          <cell r="A3729" t="str">
            <v>URY</v>
          </cell>
          <cell r="B3729" t="str">
            <v>Long</v>
          </cell>
          <cell r="C3729" t="str">
            <v>2006 - 2022</v>
          </cell>
          <cell r="D3729" t="str">
            <v>med_reg</v>
          </cell>
          <cell r="E3729" t="str">
            <v>prod_for_serv</v>
          </cell>
          <cell r="F3729">
            <v>1.0710480213165281</v>
          </cell>
        </row>
        <row r="3730">
          <cell r="A3730" t="str">
            <v>URY</v>
          </cell>
          <cell r="B3730" t="str">
            <v>Long</v>
          </cell>
          <cell r="C3730" t="str">
            <v>2006 - 2022</v>
          </cell>
          <cell r="D3730" t="str">
            <v>med_reg</v>
          </cell>
          <cell r="E3730" t="str">
            <v>prod_inf_agri</v>
          </cell>
          <cell r="F3730">
            <v>0.15184254944324491</v>
          </cell>
        </row>
        <row r="3731">
          <cell r="A3731" t="str">
            <v>URY</v>
          </cell>
          <cell r="B3731" t="str">
            <v>Long</v>
          </cell>
          <cell r="C3731" t="str">
            <v>2006 - 2022</v>
          </cell>
          <cell r="D3731" t="str">
            <v>med_reg</v>
          </cell>
          <cell r="E3731" t="str">
            <v>prod_inf_ind</v>
          </cell>
          <cell r="F3731">
            <v>0.30324593186378479</v>
          </cell>
        </row>
        <row r="3732">
          <cell r="A3732" t="str">
            <v>URY</v>
          </cell>
          <cell r="B3732" t="str">
            <v>Long</v>
          </cell>
          <cell r="C3732" t="str">
            <v>2006 - 2022</v>
          </cell>
          <cell r="D3732" t="str">
            <v>med_reg</v>
          </cell>
          <cell r="E3732" t="str">
            <v>prod_inf_serv</v>
          </cell>
          <cell r="F3732">
            <v>1.1691974401473999</v>
          </cell>
        </row>
        <row r="3733">
          <cell r="A3733" t="str">
            <v>URY</v>
          </cell>
          <cell r="B3733" t="str">
            <v>Long</v>
          </cell>
          <cell r="C3733" t="str">
            <v>2006 - 2022</v>
          </cell>
          <cell r="D3733" t="str">
            <v>reg</v>
          </cell>
          <cell r="E3733" t="str">
            <v>gdp_activity</v>
          </cell>
          <cell r="F3733">
            <v>0.55138629674911499</v>
          </cell>
        </row>
        <row r="3734">
          <cell r="A3734" t="str">
            <v>URY</v>
          </cell>
          <cell r="B3734" t="str">
            <v>Long</v>
          </cell>
          <cell r="C3734" t="str">
            <v>2006 - 2022</v>
          </cell>
          <cell r="D3734" t="str">
            <v>reg</v>
          </cell>
          <cell r="E3734" t="str">
            <v>gdp_for_agri</v>
          </cell>
          <cell r="F3734">
            <v>4.6554874628782272E-2</v>
          </cell>
        </row>
        <row r="3735">
          <cell r="A3735" t="str">
            <v>URY</v>
          </cell>
          <cell r="B3735" t="str">
            <v>Long</v>
          </cell>
          <cell r="C3735" t="str">
            <v>2006 - 2022</v>
          </cell>
          <cell r="D3735" t="str">
            <v>reg</v>
          </cell>
          <cell r="E3735" t="str">
            <v>gdp_for_ind</v>
          </cell>
          <cell r="F3735">
            <v>0.5638461709022522</v>
          </cell>
        </row>
        <row r="3736">
          <cell r="A3736" t="str">
            <v>URY</v>
          </cell>
          <cell r="B3736" t="str">
            <v>Long</v>
          </cell>
          <cell r="C3736" t="str">
            <v>2006 - 2022</v>
          </cell>
          <cell r="D3736" t="str">
            <v>reg</v>
          </cell>
          <cell r="E3736" t="str">
            <v>gdp_for_serv</v>
          </cell>
          <cell r="F3736">
            <v>0.9429660439491272</v>
          </cell>
        </row>
        <row r="3737">
          <cell r="A3737" t="str">
            <v>URY</v>
          </cell>
          <cell r="B3737" t="str">
            <v>Long</v>
          </cell>
          <cell r="C3737" t="str">
            <v>2006 - 2022</v>
          </cell>
          <cell r="D3737" t="str">
            <v>reg</v>
          </cell>
          <cell r="E3737" t="str">
            <v>gdp_inf_agri</v>
          </cell>
          <cell r="F3737">
            <v>-1.0096384286880491</v>
          </cell>
        </row>
        <row r="3738">
          <cell r="A3738" t="str">
            <v>URY</v>
          </cell>
          <cell r="B3738" t="str">
            <v>Long</v>
          </cell>
          <cell r="C3738" t="str">
            <v>2006 - 2022</v>
          </cell>
          <cell r="D3738" t="str">
            <v>reg</v>
          </cell>
          <cell r="E3738" t="str">
            <v>gdp_inf_ind</v>
          </cell>
          <cell r="F3738">
            <v>-1.120372891426086</v>
          </cell>
        </row>
        <row r="3739">
          <cell r="A3739" t="str">
            <v>URY</v>
          </cell>
          <cell r="B3739" t="str">
            <v>Long</v>
          </cell>
          <cell r="C3739" t="str">
            <v>2006 - 2022</v>
          </cell>
          <cell r="D3739" t="str">
            <v>reg</v>
          </cell>
          <cell r="E3739" t="str">
            <v>gdp_inf_serv</v>
          </cell>
          <cell r="F3739">
            <v>-0.41476806998252869</v>
          </cell>
        </row>
        <row r="3740">
          <cell r="A3740" t="str">
            <v>URY</v>
          </cell>
          <cell r="B3740" t="str">
            <v>Long</v>
          </cell>
          <cell r="C3740" t="str">
            <v>2006 - 2022</v>
          </cell>
          <cell r="D3740" t="str">
            <v>reg</v>
          </cell>
          <cell r="E3740" t="str">
            <v>prod_for_agri</v>
          </cell>
          <cell r="F3740">
            <v>-2.7277708053588871E-2</v>
          </cell>
        </row>
        <row r="3741">
          <cell r="A3741" t="str">
            <v>URY</v>
          </cell>
          <cell r="B3741" t="str">
            <v>Long</v>
          </cell>
          <cell r="C3741" t="str">
            <v>2006 - 2022</v>
          </cell>
          <cell r="D3741" t="str">
            <v>reg</v>
          </cell>
          <cell r="E3741" t="str">
            <v>prod_for_ind</v>
          </cell>
          <cell r="F3741">
            <v>0.7753632664680481</v>
          </cell>
        </row>
        <row r="3742">
          <cell r="A3742" t="str">
            <v>URY</v>
          </cell>
          <cell r="B3742" t="str">
            <v>Long</v>
          </cell>
          <cell r="C3742" t="str">
            <v>2006 - 2022</v>
          </cell>
          <cell r="D3742" t="str">
            <v>reg</v>
          </cell>
          <cell r="E3742" t="str">
            <v>prod_for_serv</v>
          </cell>
          <cell r="F3742">
            <v>0.8680761456489563</v>
          </cell>
        </row>
        <row r="3743">
          <cell r="A3743" t="str">
            <v>URY</v>
          </cell>
          <cell r="B3743" t="str">
            <v>Long</v>
          </cell>
          <cell r="C3743" t="str">
            <v>2006 - 2022</v>
          </cell>
          <cell r="D3743" t="str">
            <v>reg</v>
          </cell>
          <cell r="E3743" t="str">
            <v>prod_inf_agri</v>
          </cell>
          <cell r="F3743">
            <v>0.10599860548973079</v>
          </cell>
        </row>
        <row r="3744">
          <cell r="A3744" t="str">
            <v>URY</v>
          </cell>
          <cell r="B3744" t="str">
            <v>Long</v>
          </cell>
          <cell r="C3744" t="str">
            <v>2006 - 2022</v>
          </cell>
          <cell r="D3744" t="str">
            <v>reg</v>
          </cell>
          <cell r="E3744" t="str">
            <v>prod_inf_ind</v>
          </cell>
          <cell r="F3744">
            <v>0.5320935845375061</v>
          </cell>
        </row>
        <row r="3745">
          <cell r="A3745" t="str">
            <v>URY</v>
          </cell>
          <cell r="B3745" t="str">
            <v>Long</v>
          </cell>
          <cell r="C3745" t="str">
            <v>2006 - 2022</v>
          </cell>
          <cell r="D3745" t="str">
            <v>reg</v>
          </cell>
          <cell r="E3745" t="str">
            <v>prod_inf_serv</v>
          </cell>
          <cell r="F3745">
            <v>0.59730720520019531</v>
          </cell>
        </row>
        <row r="3746">
          <cell r="A3746" t="str">
            <v>URY</v>
          </cell>
          <cell r="B3746" t="str">
            <v>Long</v>
          </cell>
          <cell r="C3746" t="str">
            <v>2006 - 2022</v>
          </cell>
          <cell r="D3746" t="str">
            <v>reg_gdp</v>
          </cell>
          <cell r="E3746" t="str">
            <v>gdp_activity</v>
          </cell>
          <cell r="F3746">
            <v>0.55138629674911499</v>
          </cell>
        </row>
        <row r="3747">
          <cell r="A3747" t="str">
            <v>URY</v>
          </cell>
          <cell r="B3747" t="str">
            <v>Long</v>
          </cell>
          <cell r="C3747" t="str">
            <v>2006 - 2022</v>
          </cell>
          <cell r="D3747" t="str">
            <v>reg_gdp</v>
          </cell>
          <cell r="E3747" t="str">
            <v>gdp_for_agri</v>
          </cell>
          <cell r="F3747">
            <v>0.15107929706573489</v>
          </cell>
        </row>
        <row r="3748">
          <cell r="A3748" t="str">
            <v>URY</v>
          </cell>
          <cell r="B3748" t="str">
            <v>Long</v>
          </cell>
          <cell r="C3748" t="str">
            <v>2006 - 2022</v>
          </cell>
          <cell r="D3748" t="str">
            <v>reg_gdp</v>
          </cell>
          <cell r="E3748" t="str">
            <v>gdp_for_ind</v>
          </cell>
          <cell r="F3748">
            <v>1.8500229120254521</v>
          </cell>
        </row>
        <row r="3749">
          <cell r="A3749" t="str">
            <v>URY</v>
          </cell>
          <cell r="B3749" t="str">
            <v>Long</v>
          </cell>
          <cell r="C3749" t="str">
            <v>2006 - 2022</v>
          </cell>
          <cell r="D3749" t="str">
            <v>reg_gdp</v>
          </cell>
          <cell r="E3749" t="str">
            <v>gdp_for_serv</v>
          </cell>
          <cell r="F3749">
            <v>0.48775783181190491</v>
          </cell>
        </row>
        <row r="3750">
          <cell r="A3750" t="str">
            <v>URY</v>
          </cell>
          <cell r="B3750" t="str">
            <v>Long</v>
          </cell>
          <cell r="C3750" t="str">
            <v>2006 - 2022</v>
          </cell>
          <cell r="D3750" t="str">
            <v>reg_gdp</v>
          </cell>
          <cell r="E3750" t="str">
            <v>gdp_inf_agri</v>
          </cell>
          <cell r="F3750">
            <v>0.49747338891029358</v>
          </cell>
        </row>
        <row r="3751">
          <cell r="A3751" t="str">
            <v>URY</v>
          </cell>
          <cell r="B3751" t="str">
            <v>Long</v>
          </cell>
          <cell r="C3751" t="str">
            <v>2006 - 2022</v>
          </cell>
          <cell r="D3751" t="str">
            <v>reg_gdp</v>
          </cell>
          <cell r="E3751" t="str">
            <v>gdp_inf_ind</v>
          </cell>
          <cell r="F3751">
            <v>1.735454678535461</v>
          </cell>
        </row>
        <row r="3752">
          <cell r="A3752" t="str">
            <v>URY</v>
          </cell>
          <cell r="B3752" t="str">
            <v>Long</v>
          </cell>
          <cell r="C3752" t="str">
            <v>2006 - 2022</v>
          </cell>
          <cell r="D3752" t="str">
            <v>reg_gdp</v>
          </cell>
          <cell r="E3752" t="str">
            <v>gdp_inf_serv</v>
          </cell>
          <cell r="F3752">
            <v>-4.2047042846679688</v>
          </cell>
        </row>
        <row r="3753">
          <cell r="A3753" t="str">
            <v>URY</v>
          </cell>
          <cell r="B3753" t="str">
            <v>Long</v>
          </cell>
          <cell r="C3753" t="str">
            <v>2006 - 2022</v>
          </cell>
          <cell r="D3753" t="str">
            <v>reg_gdp</v>
          </cell>
          <cell r="E3753" t="str">
            <v>prod_for_agri</v>
          </cell>
          <cell r="F3753">
            <v>-0.26462358236312872</v>
          </cell>
        </row>
        <row r="3754">
          <cell r="A3754" t="str">
            <v>URY</v>
          </cell>
          <cell r="B3754" t="str">
            <v>Long</v>
          </cell>
          <cell r="C3754" t="str">
            <v>2006 - 2022</v>
          </cell>
          <cell r="D3754" t="str">
            <v>reg_gdp</v>
          </cell>
          <cell r="E3754" t="str">
            <v>prod_for_ind</v>
          </cell>
          <cell r="F3754">
            <v>0.2084570229053497</v>
          </cell>
        </row>
        <row r="3755">
          <cell r="A3755" t="str">
            <v>URY</v>
          </cell>
          <cell r="B3755" t="str">
            <v>Long</v>
          </cell>
          <cell r="C3755" t="str">
            <v>2006 - 2022</v>
          </cell>
          <cell r="D3755" t="str">
            <v>reg_gdp</v>
          </cell>
          <cell r="E3755" t="str">
            <v>prod_for_serv</v>
          </cell>
          <cell r="F3755">
            <v>0.39262956380844122</v>
          </cell>
        </row>
        <row r="3756">
          <cell r="A3756" t="str">
            <v>URY</v>
          </cell>
          <cell r="B3756" t="str">
            <v>Long</v>
          </cell>
          <cell r="C3756" t="str">
            <v>2006 - 2022</v>
          </cell>
          <cell r="D3756" t="str">
            <v>reg_gdp</v>
          </cell>
          <cell r="E3756" t="str">
            <v>prod_inf_agri</v>
          </cell>
          <cell r="F3756">
            <v>-0.35069906711578369</v>
          </cell>
        </row>
        <row r="3757">
          <cell r="A3757" t="str">
            <v>URY</v>
          </cell>
          <cell r="B3757" t="str">
            <v>Long</v>
          </cell>
          <cell r="C3757" t="str">
            <v>2006 - 2022</v>
          </cell>
          <cell r="D3757" t="str">
            <v>reg_gdp</v>
          </cell>
          <cell r="E3757" t="str">
            <v>prod_inf_ind</v>
          </cell>
          <cell r="F3757">
            <v>-0.73440974950790405</v>
          </cell>
        </row>
        <row r="3758">
          <cell r="A3758" t="str">
            <v>URY</v>
          </cell>
          <cell r="B3758" t="str">
            <v>Long</v>
          </cell>
          <cell r="C3758" t="str">
            <v>2006 - 2022</v>
          </cell>
          <cell r="D3758" t="str">
            <v>reg_gdp</v>
          </cell>
          <cell r="E3758" t="str">
            <v>prod_inf_serv</v>
          </cell>
          <cell r="F3758">
            <v>-0.32596459984779358</v>
          </cell>
        </row>
        <row r="3759">
          <cell r="A3759" t="str">
            <v>URY</v>
          </cell>
          <cell r="B3759" t="str">
            <v>Long</v>
          </cell>
          <cell r="C3759" t="str">
            <v>2006 - 2022</v>
          </cell>
          <cell r="D3759" t="str">
            <v>reg_iter</v>
          </cell>
          <cell r="E3759" t="str">
            <v>gdp_activity</v>
          </cell>
          <cell r="F3759">
            <v>0.54482764005661011</v>
          </cell>
        </row>
        <row r="3760">
          <cell r="A3760" t="str">
            <v>URY</v>
          </cell>
          <cell r="B3760" t="str">
            <v>Long</v>
          </cell>
          <cell r="C3760" t="str">
            <v>2006 - 2022</v>
          </cell>
          <cell r="D3760" t="str">
            <v>reg_iter</v>
          </cell>
          <cell r="E3760" t="str">
            <v>gdp_for_agri</v>
          </cell>
          <cell r="F3760">
            <v>0.35206115245819092</v>
          </cell>
        </row>
        <row r="3761">
          <cell r="A3761" t="str">
            <v>URY</v>
          </cell>
          <cell r="B3761" t="str">
            <v>Long</v>
          </cell>
          <cell r="C3761" t="str">
            <v>2006 - 2022</v>
          </cell>
          <cell r="D3761" t="str">
            <v>reg_iter</v>
          </cell>
          <cell r="E3761" t="str">
            <v>gdp_for_ind</v>
          </cell>
          <cell r="F3761">
            <v>1.0140060186386111</v>
          </cell>
        </row>
        <row r="3762">
          <cell r="A3762" t="str">
            <v>URY</v>
          </cell>
          <cell r="B3762" t="str">
            <v>Long</v>
          </cell>
          <cell r="C3762" t="str">
            <v>2006 - 2022</v>
          </cell>
          <cell r="D3762" t="str">
            <v>reg_iter</v>
          </cell>
          <cell r="E3762" t="str">
            <v>gdp_for_serv</v>
          </cell>
          <cell r="F3762">
            <v>0.57335978746414185</v>
          </cell>
        </row>
        <row r="3763">
          <cell r="A3763" t="str">
            <v>URY</v>
          </cell>
          <cell r="B3763" t="str">
            <v>Long</v>
          </cell>
          <cell r="C3763" t="str">
            <v>2006 - 2022</v>
          </cell>
          <cell r="D3763" t="str">
            <v>reg_iter</v>
          </cell>
          <cell r="E3763" t="str">
            <v>gdp_inf_agri</v>
          </cell>
          <cell r="F3763">
            <v>0.61464685201644897</v>
          </cell>
        </row>
        <row r="3764">
          <cell r="A3764" t="str">
            <v>URY</v>
          </cell>
          <cell r="B3764" t="str">
            <v>Long</v>
          </cell>
          <cell r="C3764" t="str">
            <v>2006 - 2022</v>
          </cell>
          <cell r="D3764" t="str">
            <v>reg_iter</v>
          </cell>
          <cell r="E3764" t="str">
            <v>gdp_inf_ind</v>
          </cell>
          <cell r="F3764">
            <v>0.65133625268936157</v>
          </cell>
        </row>
        <row r="3765">
          <cell r="A3765" t="str">
            <v>URY</v>
          </cell>
          <cell r="B3765" t="str">
            <v>Long</v>
          </cell>
          <cell r="C3765" t="str">
            <v>2006 - 2022</v>
          </cell>
          <cell r="D3765" t="str">
            <v>reg_iter</v>
          </cell>
          <cell r="E3765" t="str">
            <v>gdp_inf_serv</v>
          </cell>
          <cell r="F3765">
            <v>0.50173765420913696</v>
          </cell>
        </row>
        <row r="3766">
          <cell r="A3766" t="str">
            <v>URY</v>
          </cell>
          <cell r="B3766" t="str">
            <v>Long</v>
          </cell>
          <cell r="C3766" t="str">
            <v>2006 - 2022</v>
          </cell>
          <cell r="D3766" t="str">
            <v>reg_iter</v>
          </cell>
          <cell r="E3766" t="str">
            <v>prod_for_agri</v>
          </cell>
          <cell r="F3766">
            <v>-0.28076872229576111</v>
          </cell>
        </row>
        <row r="3767">
          <cell r="A3767" t="str">
            <v>URY</v>
          </cell>
          <cell r="B3767" t="str">
            <v>Long</v>
          </cell>
          <cell r="C3767" t="str">
            <v>2006 - 2022</v>
          </cell>
          <cell r="D3767" t="str">
            <v>reg_iter</v>
          </cell>
          <cell r="E3767" t="str">
            <v>prod_for_ind</v>
          </cell>
          <cell r="F3767">
            <v>0.34562250971794128</v>
          </cell>
        </row>
        <row r="3768">
          <cell r="A3768" t="str">
            <v>URY</v>
          </cell>
          <cell r="B3768" t="str">
            <v>Long</v>
          </cell>
          <cell r="C3768" t="str">
            <v>2006 - 2022</v>
          </cell>
          <cell r="D3768" t="str">
            <v>reg_iter</v>
          </cell>
          <cell r="E3768" t="str">
            <v>prod_for_serv</v>
          </cell>
          <cell r="F3768">
            <v>0.80192422866821289</v>
          </cell>
        </row>
        <row r="3769">
          <cell r="A3769" t="str">
            <v>URY</v>
          </cell>
          <cell r="B3769" t="str">
            <v>Long</v>
          </cell>
          <cell r="C3769" t="str">
            <v>2006 - 2022</v>
          </cell>
          <cell r="D3769" t="str">
            <v>reg_iter</v>
          </cell>
          <cell r="E3769" t="str">
            <v>prod_inf_agri</v>
          </cell>
          <cell r="F3769">
            <v>-0.35764843225479132</v>
          </cell>
        </row>
        <row r="3770">
          <cell r="A3770" t="str">
            <v>URY</v>
          </cell>
          <cell r="B3770" t="str">
            <v>Long</v>
          </cell>
          <cell r="C3770" t="str">
            <v>2006 - 2022</v>
          </cell>
          <cell r="D3770" t="str">
            <v>reg_iter</v>
          </cell>
          <cell r="E3770" t="str">
            <v>prod_inf_ind</v>
          </cell>
          <cell r="F3770">
            <v>-0.49446254968643188</v>
          </cell>
        </row>
        <row r="3771">
          <cell r="A3771" t="str">
            <v>URY</v>
          </cell>
          <cell r="B3771" t="str">
            <v>Long</v>
          </cell>
          <cell r="C3771" t="str">
            <v>2006 - 2022</v>
          </cell>
          <cell r="D3771" t="str">
            <v>reg_iter</v>
          </cell>
          <cell r="E3771" t="str">
            <v>prod_inf_serv</v>
          </cell>
          <cell r="F3771">
            <v>0.51628220081329346</v>
          </cell>
        </row>
        <row r="3772">
          <cell r="A3772" t="str">
            <v>URY</v>
          </cell>
          <cell r="B3772" t="str">
            <v>Middle</v>
          </cell>
          <cell r="C3772" t="str">
            <v>2015 - 2022</v>
          </cell>
          <cell r="D3772" t="str">
            <v>avg</v>
          </cell>
          <cell r="E3772" t="str">
            <v>gdp_activity</v>
          </cell>
          <cell r="F3772">
            <v>0.31721243262290949</v>
          </cell>
        </row>
        <row r="3773">
          <cell r="A3773" t="str">
            <v>URY</v>
          </cell>
          <cell r="B3773" t="str">
            <v>Middle</v>
          </cell>
          <cell r="C3773" t="str">
            <v>2015 - 2022</v>
          </cell>
          <cell r="D3773" t="str">
            <v>avg</v>
          </cell>
          <cell r="E3773" t="str">
            <v>gdp_for_agri</v>
          </cell>
          <cell r="F3773">
            <v>-0.55155289173126221</v>
          </cell>
        </row>
        <row r="3774">
          <cell r="A3774" t="str">
            <v>URY</v>
          </cell>
          <cell r="B3774" t="str">
            <v>Middle</v>
          </cell>
          <cell r="C3774" t="str">
            <v>2015 - 2022</v>
          </cell>
          <cell r="D3774" t="str">
            <v>avg</v>
          </cell>
          <cell r="E3774" t="str">
            <v>gdp_for_ind</v>
          </cell>
          <cell r="F3774">
            <v>-1.17970860004425</v>
          </cell>
        </row>
        <row r="3775">
          <cell r="A3775" t="str">
            <v>URY</v>
          </cell>
          <cell r="B3775" t="str">
            <v>Middle</v>
          </cell>
          <cell r="C3775" t="str">
            <v>2015 - 2022</v>
          </cell>
          <cell r="D3775" t="str">
            <v>avg</v>
          </cell>
          <cell r="E3775" t="str">
            <v>gdp_for_serv</v>
          </cell>
          <cell r="F3775">
            <v>-2.434346824884415E-2</v>
          </cell>
        </row>
        <row r="3776">
          <cell r="A3776" t="str">
            <v>URY</v>
          </cell>
          <cell r="B3776" t="str">
            <v>Middle</v>
          </cell>
          <cell r="C3776" t="str">
            <v>2015 - 2022</v>
          </cell>
          <cell r="D3776" t="str">
            <v>avg</v>
          </cell>
          <cell r="E3776" t="str">
            <v>gdp_inf_agri</v>
          </cell>
          <cell r="F3776">
            <v>1.316959500312805</v>
          </cell>
        </row>
        <row r="3777">
          <cell r="A3777" t="str">
            <v>URY</v>
          </cell>
          <cell r="B3777" t="str">
            <v>Middle</v>
          </cell>
          <cell r="C3777" t="str">
            <v>2015 - 2022</v>
          </cell>
          <cell r="D3777" t="str">
            <v>avg</v>
          </cell>
          <cell r="E3777" t="str">
            <v>gdp_inf_ind</v>
          </cell>
          <cell r="F3777">
            <v>1.0720081329345701</v>
          </cell>
        </row>
        <row r="3778">
          <cell r="A3778" t="str">
            <v>URY</v>
          </cell>
          <cell r="B3778" t="str">
            <v>Middle</v>
          </cell>
          <cell r="C3778" t="str">
            <v>2015 - 2022</v>
          </cell>
          <cell r="D3778" t="str">
            <v>avg</v>
          </cell>
          <cell r="E3778" t="str">
            <v>gdp_inf_serv</v>
          </cell>
          <cell r="F3778">
            <v>0.98606324195861816</v>
          </cell>
        </row>
        <row r="3779">
          <cell r="A3779" t="str">
            <v>URY</v>
          </cell>
          <cell r="B3779" t="str">
            <v>Middle</v>
          </cell>
          <cell r="C3779" t="str">
            <v>2015 - 2022</v>
          </cell>
          <cell r="D3779" t="str">
            <v>avg</v>
          </cell>
          <cell r="E3779" t="str">
            <v>prod_for_agri</v>
          </cell>
          <cell r="F3779">
            <v>0.97164684534072876</v>
          </cell>
        </row>
        <row r="3780">
          <cell r="A3780" t="str">
            <v>URY</v>
          </cell>
          <cell r="B3780" t="str">
            <v>Middle</v>
          </cell>
          <cell r="C3780" t="str">
            <v>2015 - 2022</v>
          </cell>
          <cell r="D3780" t="str">
            <v>avg</v>
          </cell>
          <cell r="E3780" t="str">
            <v>prod_for_ind</v>
          </cell>
          <cell r="F3780">
            <v>-0.45856872200965881</v>
          </cell>
        </row>
        <row r="3781">
          <cell r="A3781" t="str">
            <v>URY</v>
          </cell>
          <cell r="B3781" t="str">
            <v>Middle</v>
          </cell>
          <cell r="C3781" t="str">
            <v>2015 - 2022</v>
          </cell>
          <cell r="D3781" t="str">
            <v>avg</v>
          </cell>
          <cell r="E3781" t="str">
            <v>prod_for_serv</v>
          </cell>
          <cell r="F3781">
            <v>1.7890937328338621</v>
          </cell>
        </row>
        <row r="3782">
          <cell r="A3782" t="str">
            <v>URY</v>
          </cell>
          <cell r="B3782" t="str">
            <v>Middle</v>
          </cell>
          <cell r="C3782" t="str">
            <v>2015 - 2022</v>
          </cell>
          <cell r="D3782" t="str">
            <v>avg</v>
          </cell>
          <cell r="E3782" t="str">
            <v>prod_inf_agri</v>
          </cell>
          <cell r="F3782">
            <v>1.674813866615295</v>
          </cell>
        </row>
        <row r="3783">
          <cell r="A3783" t="str">
            <v>URY</v>
          </cell>
          <cell r="B3783" t="str">
            <v>Middle</v>
          </cell>
          <cell r="C3783" t="str">
            <v>2015 - 2022</v>
          </cell>
          <cell r="D3783" t="str">
            <v>avg</v>
          </cell>
          <cell r="E3783" t="str">
            <v>prod_inf_ind</v>
          </cell>
          <cell r="F3783">
            <v>0.2554643452167511</v>
          </cell>
        </row>
        <row r="3784">
          <cell r="A3784" t="str">
            <v>URY</v>
          </cell>
          <cell r="B3784" t="str">
            <v>Middle</v>
          </cell>
          <cell r="C3784" t="str">
            <v>2015 - 2022</v>
          </cell>
          <cell r="D3784" t="str">
            <v>avg</v>
          </cell>
          <cell r="E3784" t="str">
            <v>prod_inf_serv</v>
          </cell>
          <cell r="F3784">
            <v>2.072602510452271</v>
          </cell>
        </row>
        <row r="3785">
          <cell r="A3785" t="str">
            <v>URY</v>
          </cell>
          <cell r="B3785" t="str">
            <v>Middle</v>
          </cell>
          <cell r="C3785" t="str">
            <v>2015 - 2022</v>
          </cell>
          <cell r="D3785" t="str">
            <v>avg_1_99</v>
          </cell>
          <cell r="E3785" t="str">
            <v>gdp_activity</v>
          </cell>
          <cell r="F3785">
            <v>0.10544142872095109</v>
          </cell>
        </row>
        <row r="3786">
          <cell r="A3786" t="str">
            <v>URY</v>
          </cell>
          <cell r="B3786" t="str">
            <v>Middle</v>
          </cell>
          <cell r="C3786" t="str">
            <v>2015 - 2022</v>
          </cell>
          <cell r="D3786" t="str">
            <v>avg_1_99</v>
          </cell>
          <cell r="E3786" t="str">
            <v>gdp_for_agri</v>
          </cell>
          <cell r="F3786">
            <v>-0.55155289173126221</v>
          </cell>
        </row>
        <row r="3787">
          <cell r="A3787" t="str">
            <v>URY</v>
          </cell>
          <cell r="B3787" t="str">
            <v>Middle</v>
          </cell>
          <cell r="C3787" t="str">
            <v>2015 - 2022</v>
          </cell>
          <cell r="D3787" t="str">
            <v>avg_1_99</v>
          </cell>
          <cell r="E3787" t="str">
            <v>gdp_for_ind</v>
          </cell>
          <cell r="F3787">
            <v>0.42360666394233698</v>
          </cell>
        </row>
        <row r="3788">
          <cell r="A3788" t="str">
            <v>URY</v>
          </cell>
          <cell r="B3788" t="str">
            <v>Middle</v>
          </cell>
          <cell r="C3788" t="str">
            <v>2015 - 2022</v>
          </cell>
          <cell r="D3788" t="str">
            <v>avg_1_99</v>
          </cell>
          <cell r="E3788" t="str">
            <v>gdp_for_serv</v>
          </cell>
          <cell r="F3788">
            <v>0.21133626997470861</v>
          </cell>
        </row>
        <row r="3789">
          <cell r="A3789" t="str">
            <v>URY</v>
          </cell>
          <cell r="B3789" t="str">
            <v>Middle</v>
          </cell>
          <cell r="C3789" t="str">
            <v>2015 - 2022</v>
          </cell>
          <cell r="D3789" t="str">
            <v>avg_1_99</v>
          </cell>
          <cell r="E3789" t="str">
            <v>gdp_inf_agri</v>
          </cell>
          <cell r="F3789">
            <v>1.316959500312805</v>
          </cell>
        </row>
        <row r="3790">
          <cell r="A3790" t="str">
            <v>URY</v>
          </cell>
          <cell r="B3790" t="str">
            <v>Middle</v>
          </cell>
          <cell r="C3790" t="str">
            <v>2015 - 2022</v>
          </cell>
          <cell r="D3790" t="str">
            <v>avg_1_99</v>
          </cell>
          <cell r="E3790" t="str">
            <v>gdp_inf_ind</v>
          </cell>
          <cell r="F3790">
            <v>1.2960177659988401</v>
          </cell>
        </row>
        <row r="3791">
          <cell r="A3791" t="str">
            <v>URY</v>
          </cell>
          <cell r="B3791" t="str">
            <v>Middle</v>
          </cell>
          <cell r="C3791" t="str">
            <v>2015 - 2022</v>
          </cell>
          <cell r="D3791" t="str">
            <v>avg_1_99</v>
          </cell>
          <cell r="E3791" t="str">
            <v>gdp_inf_serv</v>
          </cell>
          <cell r="F3791">
            <v>0.85393446683883667</v>
          </cell>
        </row>
        <row r="3792">
          <cell r="A3792" t="str">
            <v>URY</v>
          </cell>
          <cell r="B3792" t="str">
            <v>Middle</v>
          </cell>
          <cell r="C3792" t="str">
            <v>2015 - 2022</v>
          </cell>
          <cell r="D3792" t="str">
            <v>avg_1_99</v>
          </cell>
          <cell r="E3792" t="str">
            <v>prod_for_agri</v>
          </cell>
          <cell r="F3792">
            <v>0.97164684534072876</v>
          </cell>
        </row>
        <row r="3793">
          <cell r="A3793" t="str">
            <v>URY</v>
          </cell>
          <cell r="B3793" t="str">
            <v>Middle</v>
          </cell>
          <cell r="C3793" t="str">
            <v>2015 - 2022</v>
          </cell>
          <cell r="D3793" t="str">
            <v>avg_1_99</v>
          </cell>
          <cell r="E3793" t="str">
            <v>prod_for_ind</v>
          </cell>
          <cell r="F3793">
            <v>8.0458439886569977E-2</v>
          </cell>
        </row>
        <row r="3794">
          <cell r="A3794" t="str">
            <v>URY</v>
          </cell>
          <cell r="B3794" t="str">
            <v>Middle</v>
          </cell>
          <cell r="C3794" t="str">
            <v>2015 - 2022</v>
          </cell>
          <cell r="D3794" t="str">
            <v>avg_1_99</v>
          </cell>
          <cell r="E3794" t="str">
            <v>prod_for_serv</v>
          </cell>
          <cell r="F3794">
            <v>1.7890937328338621</v>
          </cell>
        </row>
        <row r="3795">
          <cell r="A3795" t="str">
            <v>URY</v>
          </cell>
          <cell r="B3795" t="str">
            <v>Middle</v>
          </cell>
          <cell r="C3795" t="str">
            <v>2015 - 2022</v>
          </cell>
          <cell r="D3795" t="str">
            <v>avg_1_99</v>
          </cell>
          <cell r="E3795" t="str">
            <v>prod_inf_agri</v>
          </cell>
          <cell r="F3795">
            <v>1.674813866615295</v>
          </cell>
        </row>
        <row r="3796">
          <cell r="A3796" t="str">
            <v>URY</v>
          </cell>
          <cell r="B3796" t="str">
            <v>Middle</v>
          </cell>
          <cell r="C3796" t="str">
            <v>2015 - 2022</v>
          </cell>
          <cell r="D3796" t="str">
            <v>avg_1_99</v>
          </cell>
          <cell r="E3796" t="str">
            <v>prod_inf_ind</v>
          </cell>
          <cell r="F3796">
            <v>-0.83479851484298706</v>
          </cell>
        </row>
        <row r="3797">
          <cell r="A3797" t="str">
            <v>URY</v>
          </cell>
          <cell r="B3797" t="str">
            <v>Middle</v>
          </cell>
          <cell r="C3797" t="str">
            <v>2015 - 2022</v>
          </cell>
          <cell r="D3797" t="str">
            <v>avg_1_99</v>
          </cell>
          <cell r="E3797" t="str">
            <v>prod_inf_serv</v>
          </cell>
          <cell r="F3797">
            <v>2.072602510452271</v>
          </cell>
        </row>
        <row r="3798">
          <cell r="A3798" t="str">
            <v>URY</v>
          </cell>
          <cell r="B3798" t="str">
            <v>Middle</v>
          </cell>
          <cell r="C3798" t="str">
            <v>2015 - 2022</v>
          </cell>
          <cell r="D3798" t="str">
            <v>avg_1_99_imp</v>
          </cell>
          <cell r="E3798" t="str">
            <v>gdp_activity</v>
          </cell>
          <cell r="F3798">
            <v>0.11246774345636371</v>
          </cell>
        </row>
        <row r="3799">
          <cell r="A3799" t="str">
            <v>URY</v>
          </cell>
          <cell r="B3799" t="str">
            <v>Middle</v>
          </cell>
          <cell r="C3799" t="str">
            <v>2015 - 2022</v>
          </cell>
          <cell r="D3799" t="str">
            <v>avg_1_99_imp</v>
          </cell>
          <cell r="E3799" t="str">
            <v>gdp_for_agri</v>
          </cell>
          <cell r="F3799">
            <v>-0.55155289173126221</v>
          </cell>
        </row>
        <row r="3800">
          <cell r="A3800" t="str">
            <v>URY</v>
          </cell>
          <cell r="B3800" t="str">
            <v>Middle</v>
          </cell>
          <cell r="C3800" t="str">
            <v>2015 - 2022</v>
          </cell>
          <cell r="D3800" t="str">
            <v>avg_1_99_imp</v>
          </cell>
          <cell r="E3800" t="str">
            <v>gdp_for_ind</v>
          </cell>
          <cell r="F3800">
            <v>0.44587928056716919</v>
          </cell>
        </row>
        <row r="3801">
          <cell r="A3801" t="str">
            <v>URY</v>
          </cell>
          <cell r="B3801" t="str">
            <v>Middle</v>
          </cell>
          <cell r="C3801" t="str">
            <v>2015 - 2022</v>
          </cell>
          <cell r="D3801" t="str">
            <v>avg_1_99_imp</v>
          </cell>
          <cell r="E3801" t="str">
            <v>gdp_for_serv</v>
          </cell>
          <cell r="F3801">
            <v>0.21107776463031769</v>
          </cell>
        </row>
        <row r="3802">
          <cell r="A3802" t="str">
            <v>URY</v>
          </cell>
          <cell r="B3802" t="str">
            <v>Middle</v>
          </cell>
          <cell r="C3802" t="str">
            <v>2015 - 2022</v>
          </cell>
          <cell r="D3802" t="str">
            <v>avg_1_99_imp</v>
          </cell>
          <cell r="E3802" t="str">
            <v>gdp_inf_agri</v>
          </cell>
          <cell r="F3802">
            <v>1.316959500312805</v>
          </cell>
        </row>
        <row r="3803">
          <cell r="A3803" t="str">
            <v>URY</v>
          </cell>
          <cell r="B3803" t="str">
            <v>Middle</v>
          </cell>
          <cell r="C3803" t="str">
            <v>2015 - 2022</v>
          </cell>
          <cell r="D3803" t="str">
            <v>avg_1_99_imp</v>
          </cell>
          <cell r="E3803" t="str">
            <v>gdp_inf_ind</v>
          </cell>
          <cell r="F3803">
            <v>1.267277836799622</v>
          </cell>
        </row>
        <row r="3804">
          <cell r="A3804" t="str">
            <v>URY</v>
          </cell>
          <cell r="B3804" t="str">
            <v>Middle</v>
          </cell>
          <cell r="C3804" t="str">
            <v>2015 - 2022</v>
          </cell>
          <cell r="D3804" t="str">
            <v>avg_1_99_imp</v>
          </cell>
          <cell r="E3804" t="str">
            <v>gdp_inf_serv</v>
          </cell>
          <cell r="F3804">
            <v>0.89180237054824829</v>
          </cell>
        </row>
        <row r="3805">
          <cell r="A3805" t="str">
            <v>URY</v>
          </cell>
          <cell r="B3805" t="str">
            <v>Middle</v>
          </cell>
          <cell r="C3805" t="str">
            <v>2015 - 2022</v>
          </cell>
          <cell r="D3805" t="str">
            <v>avg_1_99_imp</v>
          </cell>
          <cell r="E3805" t="str">
            <v>prod_for_agri</v>
          </cell>
          <cell r="F3805">
            <v>-8.6446277797222137E-2</v>
          </cell>
        </row>
        <row r="3806">
          <cell r="A3806" t="str">
            <v>URY</v>
          </cell>
          <cell r="B3806" t="str">
            <v>Middle</v>
          </cell>
          <cell r="C3806" t="str">
            <v>2015 - 2022</v>
          </cell>
          <cell r="D3806" t="str">
            <v>avg_1_99_imp</v>
          </cell>
          <cell r="E3806" t="str">
            <v>prod_for_ind</v>
          </cell>
          <cell r="F3806">
            <v>-2.5546371936798099E-2</v>
          </cell>
        </row>
        <row r="3807">
          <cell r="A3807" t="str">
            <v>URY</v>
          </cell>
          <cell r="B3807" t="str">
            <v>Middle</v>
          </cell>
          <cell r="C3807" t="str">
            <v>2015 - 2022</v>
          </cell>
          <cell r="D3807" t="str">
            <v>avg_1_99_imp</v>
          </cell>
          <cell r="E3807" t="str">
            <v>prod_for_serv</v>
          </cell>
          <cell r="F3807">
            <v>0.89227712154388428</v>
          </cell>
        </row>
        <row r="3808">
          <cell r="A3808" t="str">
            <v>URY</v>
          </cell>
          <cell r="B3808" t="str">
            <v>Middle</v>
          </cell>
          <cell r="C3808" t="str">
            <v>2015 - 2022</v>
          </cell>
          <cell r="D3808" t="str">
            <v>avg_1_99_imp</v>
          </cell>
          <cell r="E3808" t="str">
            <v>prod_inf_agri</v>
          </cell>
          <cell r="F3808">
            <v>1.674813866615295</v>
          </cell>
        </row>
        <row r="3809">
          <cell r="A3809" t="str">
            <v>URY</v>
          </cell>
          <cell r="B3809" t="str">
            <v>Middle</v>
          </cell>
          <cell r="C3809" t="str">
            <v>2015 - 2022</v>
          </cell>
          <cell r="D3809" t="str">
            <v>avg_1_99_imp</v>
          </cell>
          <cell r="E3809" t="str">
            <v>prod_inf_ind</v>
          </cell>
          <cell r="F3809">
            <v>-0.84190893173217773</v>
          </cell>
        </row>
        <row r="3810">
          <cell r="A3810" t="str">
            <v>URY</v>
          </cell>
          <cell r="B3810" t="str">
            <v>Middle</v>
          </cell>
          <cell r="C3810" t="str">
            <v>2015 - 2022</v>
          </cell>
          <cell r="D3810" t="str">
            <v>avg_1_99_imp</v>
          </cell>
          <cell r="E3810" t="str">
            <v>prod_inf_serv</v>
          </cell>
          <cell r="F3810">
            <v>2.072602510452271</v>
          </cell>
        </row>
        <row r="3811">
          <cell r="A3811" t="str">
            <v>URY</v>
          </cell>
          <cell r="B3811" t="str">
            <v>Middle</v>
          </cell>
          <cell r="C3811" t="str">
            <v>2015 - 2022</v>
          </cell>
          <cell r="D3811" t="str">
            <v>reg</v>
          </cell>
          <cell r="E3811" t="str">
            <v>gdp_activity</v>
          </cell>
          <cell r="F3811">
            <v>0.13784755766391751</v>
          </cell>
        </row>
        <row r="3812">
          <cell r="A3812" t="str">
            <v>URY</v>
          </cell>
          <cell r="B3812" t="str">
            <v>Middle</v>
          </cell>
          <cell r="C3812" t="str">
            <v>2015 - 2022</v>
          </cell>
          <cell r="D3812" t="str">
            <v>reg</v>
          </cell>
          <cell r="E3812" t="str">
            <v>gdp_for_agri</v>
          </cell>
          <cell r="F3812">
            <v>-0.1050352975726128</v>
          </cell>
        </row>
        <row r="3813">
          <cell r="A3813" t="str">
            <v>URY</v>
          </cell>
          <cell r="B3813" t="str">
            <v>Middle</v>
          </cell>
          <cell r="C3813" t="str">
            <v>2015 - 2022</v>
          </cell>
          <cell r="D3813" t="str">
            <v>reg</v>
          </cell>
          <cell r="E3813" t="str">
            <v>gdp_for_ind</v>
          </cell>
          <cell r="F3813">
            <v>1.3796722888946531</v>
          </cell>
        </row>
        <row r="3814">
          <cell r="A3814" t="str">
            <v>URY</v>
          </cell>
          <cell r="B3814" t="str">
            <v>Middle</v>
          </cell>
          <cell r="C3814" t="str">
            <v>2015 - 2022</v>
          </cell>
          <cell r="D3814" t="str">
            <v>reg</v>
          </cell>
          <cell r="E3814" t="str">
            <v>gdp_for_serv</v>
          </cell>
          <cell r="F3814">
            <v>0.20487858355045321</v>
          </cell>
        </row>
        <row r="3815">
          <cell r="A3815" t="str">
            <v>URY</v>
          </cell>
          <cell r="B3815" t="str">
            <v>Middle</v>
          </cell>
          <cell r="C3815" t="str">
            <v>2015 - 2022</v>
          </cell>
          <cell r="D3815" t="str">
            <v>reg</v>
          </cell>
          <cell r="E3815" t="str">
            <v>gdp_inf_agri</v>
          </cell>
          <cell r="F3815">
            <v>0.10072615742683411</v>
          </cell>
        </row>
        <row r="3816">
          <cell r="A3816" t="str">
            <v>URY</v>
          </cell>
          <cell r="B3816" t="str">
            <v>Middle</v>
          </cell>
          <cell r="C3816" t="str">
            <v>2015 - 2022</v>
          </cell>
          <cell r="D3816" t="str">
            <v>reg</v>
          </cell>
          <cell r="E3816" t="str">
            <v>gdp_inf_ind</v>
          </cell>
          <cell r="F3816">
            <v>0.97522991895675659</v>
          </cell>
        </row>
        <row r="3817">
          <cell r="A3817" t="str">
            <v>URY</v>
          </cell>
          <cell r="B3817" t="str">
            <v>Middle</v>
          </cell>
          <cell r="C3817" t="str">
            <v>2015 - 2022</v>
          </cell>
          <cell r="D3817" t="str">
            <v>reg</v>
          </cell>
          <cell r="E3817" t="str">
            <v>gdp_inf_serv</v>
          </cell>
          <cell r="F3817">
            <v>0.37805959582328802</v>
          </cell>
        </row>
        <row r="3818">
          <cell r="A3818" t="str">
            <v>URY</v>
          </cell>
          <cell r="B3818" t="str">
            <v>Middle</v>
          </cell>
          <cell r="C3818" t="str">
            <v>2015 - 2022</v>
          </cell>
          <cell r="D3818" t="str">
            <v>reg</v>
          </cell>
          <cell r="E3818" t="str">
            <v>prod_for_agri</v>
          </cell>
          <cell r="F3818">
            <v>-0.45276725292205811</v>
          </cell>
        </row>
        <row r="3819">
          <cell r="A3819" t="str">
            <v>URY</v>
          </cell>
          <cell r="B3819" t="str">
            <v>Middle</v>
          </cell>
          <cell r="C3819" t="str">
            <v>2015 - 2022</v>
          </cell>
          <cell r="D3819" t="str">
            <v>reg</v>
          </cell>
          <cell r="E3819" t="str">
            <v>prod_for_ind</v>
          </cell>
          <cell r="F3819">
            <v>-6.4303576946258545E-2</v>
          </cell>
        </row>
        <row r="3820">
          <cell r="A3820" t="str">
            <v>URY</v>
          </cell>
          <cell r="B3820" t="str">
            <v>Middle</v>
          </cell>
          <cell r="C3820" t="str">
            <v>2015 - 2022</v>
          </cell>
          <cell r="D3820" t="str">
            <v>reg</v>
          </cell>
          <cell r="E3820" t="str">
            <v>prod_for_serv</v>
          </cell>
          <cell r="F3820">
            <v>0.73845160007476807</v>
          </cell>
        </row>
        <row r="3821">
          <cell r="A3821" t="str">
            <v>URY</v>
          </cell>
          <cell r="B3821" t="str">
            <v>Middle</v>
          </cell>
          <cell r="C3821" t="str">
            <v>2015 - 2022</v>
          </cell>
          <cell r="D3821" t="str">
            <v>reg</v>
          </cell>
          <cell r="E3821" t="str">
            <v>prod_inf_agri</v>
          </cell>
          <cell r="F3821">
            <v>-0.66093939542770386</v>
          </cell>
        </row>
        <row r="3822">
          <cell r="A3822" t="str">
            <v>URY</v>
          </cell>
          <cell r="B3822" t="str">
            <v>Middle</v>
          </cell>
          <cell r="C3822" t="str">
            <v>2015 - 2022</v>
          </cell>
          <cell r="D3822" t="str">
            <v>reg</v>
          </cell>
          <cell r="E3822" t="str">
            <v>prod_inf_ind</v>
          </cell>
          <cell r="F3822">
            <v>-2.0072131156921391</v>
          </cell>
        </row>
        <row r="3823">
          <cell r="A3823" t="str">
            <v>URY</v>
          </cell>
          <cell r="B3823" t="str">
            <v>Middle</v>
          </cell>
          <cell r="C3823" t="str">
            <v>2015 - 2022</v>
          </cell>
          <cell r="D3823" t="str">
            <v>reg</v>
          </cell>
          <cell r="E3823" t="str">
            <v>prod_inf_serv</v>
          </cell>
          <cell r="F3823">
            <v>0.97396707534790039</v>
          </cell>
        </row>
        <row r="3824">
          <cell r="A3824" t="str">
            <v>URY</v>
          </cell>
          <cell r="B3824" t="str">
            <v>Middle</v>
          </cell>
          <cell r="C3824" t="str">
            <v>2015 - 2022</v>
          </cell>
          <cell r="D3824" t="str">
            <v>reg_gdp</v>
          </cell>
          <cell r="E3824" t="str">
            <v>gdp_activity</v>
          </cell>
          <cell r="F3824">
            <v>0.13784755766391751</v>
          </cell>
        </row>
        <row r="3825">
          <cell r="A3825" t="str">
            <v>URY</v>
          </cell>
          <cell r="B3825" t="str">
            <v>Middle</v>
          </cell>
          <cell r="C3825" t="str">
            <v>2015 - 2022</v>
          </cell>
          <cell r="D3825" t="str">
            <v>reg_gdp</v>
          </cell>
          <cell r="E3825" t="str">
            <v>gdp_for_agri</v>
          </cell>
          <cell r="F3825">
            <v>-0.1209875866770744</v>
          </cell>
        </row>
        <row r="3826">
          <cell r="A3826" t="str">
            <v>URY</v>
          </cell>
          <cell r="B3826" t="str">
            <v>Middle</v>
          </cell>
          <cell r="C3826" t="str">
            <v>2015 - 2022</v>
          </cell>
          <cell r="D3826" t="str">
            <v>reg_gdp</v>
          </cell>
          <cell r="E3826" t="str">
            <v>gdp_for_ind</v>
          </cell>
          <cell r="F3826">
            <v>1.9772623777389531</v>
          </cell>
        </row>
        <row r="3827">
          <cell r="A3827" t="str">
            <v>URY</v>
          </cell>
          <cell r="B3827" t="str">
            <v>Middle</v>
          </cell>
          <cell r="C3827" t="str">
            <v>2015 - 2022</v>
          </cell>
          <cell r="D3827" t="str">
            <v>reg_gdp</v>
          </cell>
          <cell r="E3827" t="str">
            <v>gdp_for_serv</v>
          </cell>
          <cell r="F3827">
            <v>1.2129890918731689</v>
          </cell>
        </row>
        <row r="3828">
          <cell r="A3828" t="str">
            <v>URY</v>
          </cell>
          <cell r="B3828" t="str">
            <v>Middle</v>
          </cell>
          <cell r="C3828" t="str">
            <v>2015 - 2022</v>
          </cell>
          <cell r="D3828" t="str">
            <v>reg_gdp</v>
          </cell>
          <cell r="E3828" t="str">
            <v>gdp_inf_agri</v>
          </cell>
          <cell r="F3828">
            <v>8.9973308145999908E-2</v>
          </cell>
        </row>
        <row r="3829">
          <cell r="A3829" t="str">
            <v>URY</v>
          </cell>
          <cell r="B3829" t="str">
            <v>Middle</v>
          </cell>
          <cell r="C3829" t="str">
            <v>2015 - 2022</v>
          </cell>
          <cell r="D3829" t="str">
            <v>reg_gdp</v>
          </cell>
          <cell r="E3829" t="str">
            <v>gdp_inf_ind</v>
          </cell>
          <cell r="F3829">
            <v>1.241236090660095</v>
          </cell>
        </row>
        <row r="3830">
          <cell r="A3830" t="str">
            <v>URY</v>
          </cell>
          <cell r="B3830" t="str">
            <v>Middle</v>
          </cell>
          <cell r="C3830" t="str">
            <v>2015 - 2022</v>
          </cell>
          <cell r="D3830" t="str">
            <v>reg_gdp</v>
          </cell>
          <cell r="E3830" t="str">
            <v>gdp_inf_serv</v>
          </cell>
          <cell r="F3830">
            <v>-4.6564311981201172</v>
          </cell>
        </row>
        <row r="3831">
          <cell r="A3831" t="str">
            <v>URY</v>
          </cell>
          <cell r="B3831" t="str">
            <v>Middle</v>
          </cell>
          <cell r="C3831" t="str">
            <v>2015 - 2022</v>
          </cell>
          <cell r="D3831" t="str">
            <v>reg_gdp</v>
          </cell>
          <cell r="E3831" t="str">
            <v>prod_for_agri</v>
          </cell>
          <cell r="F3831">
            <v>-0.46896013617515558</v>
          </cell>
        </row>
        <row r="3832">
          <cell r="A3832" t="str">
            <v>URY</v>
          </cell>
          <cell r="B3832" t="str">
            <v>Middle</v>
          </cell>
          <cell r="C3832" t="str">
            <v>2015 - 2022</v>
          </cell>
          <cell r="D3832" t="str">
            <v>reg_gdp</v>
          </cell>
          <cell r="E3832" t="str">
            <v>prod_for_ind</v>
          </cell>
          <cell r="F3832">
            <v>-0.40310809016227722</v>
          </cell>
        </row>
        <row r="3833">
          <cell r="A3833" t="str">
            <v>URY</v>
          </cell>
          <cell r="B3833" t="str">
            <v>Middle</v>
          </cell>
          <cell r="C3833" t="str">
            <v>2015 - 2022</v>
          </cell>
          <cell r="D3833" t="str">
            <v>reg_gdp</v>
          </cell>
          <cell r="E3833" t="str">
            <v>prod_for_serv</v>
          </cell>
          <cell r="F3833">
            <v>1.0359352827072139</v>
          </cell>
        </row>
        <row r="3834">
          <cell r="A3834" t="str">
            <v>URY</v>
          </cell>
          <cell r="B3834" t="str">
            <v>Middle</v>
          </cell>
          <cell r="C3834" t="str">
            <v>2015 - 2022</v>
          </cell>
          <cell r="D3834" t="str">
            <v>reg_gdp</v>
          </cell>
          <cell r="E3834" t="str">
            <v>prod_inf_agri</v>
          </cell>
          <cell r="F3834">
            <v>-0.58284300565719604</v>
          </cell>
        </row>
        <row r="3835">
          <cell r="A3835" t="str">
            <v>URY</v>
          </cell>
          <cell r="B3835" t="str">
            <v>Middle</v>
          </cell>
          <cell r="C3835" t="str">
            <v>2015 - 2022</v>
          </cell>
          <cell r="D3835" t="str">
            <v>reg_gdp</v>
          </cell>
          <cell r="E3835" t="str">
            <v>prod_inf_ind</v>
          </cell>
          <cell r="F3835">
            <v>-2.628513097763062</v>
          </cell>
        </row>
        <row r="3836">
          <cell r="A3836" t="str">
            <v>URY</v>
          </cell>
          <cell r="B3836" t="str">
            <v>Middle</v>
          </cell>
          <cell r="C3836" t="str">
            <v>2015 - 2022</v>
          </cell>
          <cell r="D3836" t="str">
            <v>reg_gdp</v>
          </cell>
          <cell r="E3836" t="str">
            <v>prod_inf_serv</v>
          </cell>
          <cell r="F3836">
            <v>0.6553681492805481</v>
          </cell>
        </row>
        <row r="3837">
          <cell r="A3837" t="str">
            <v>URY</v>
          </cell>
          <cell r="B3837" t="str">
            <v>Middle</v>
          </cell>
          <cell r="C3837" t="str">
            <v>2015 - 2022</v>
          </cell>
          <cell r="D3837" t="str">
            <v>reg_iter</v>
          </cell>
          <cell r="E3837" t="str">
            <v>gdp_activity</v>
          </cell>
          <cell r="F3837">
            <v>0.1156140491366386</v>
          </cell>
        </row>
        <row r="3838">
          <cell r="A3838" t="str">
            <v>URY</v>
          </cell>
          <cell r="B3838" t="str">
            <v>Middle</v>
          </cell>
          <cell r="C3838" t="str">
            <v>2015 - 2022</v>
          </cell>
          <cell r="D3838" t="str">
            <v>reg_iter</v>
          </cell>
          <cell r="E3838" t="str">
            <v>gdp_for_agri</v>
          </cell>
          <cell r="F3838">
            <v>-0.53935337066650391</v>
          </cell>
        </row>
        <row r="3839">
          <cell r="A3839" t="str">
            <v>URY</v>
          </cell>
          <cell r="B3839" t="str">
            <v>Middle</v>
          </cell>
          <cell r="C3839" t="str">
            <v>2015 - 2022</v>
          </cell>
          <cell r="D3839" t="str">
            <v>reg_iter</v>
          </cell>
          <cell r="E3839" t="str">
            <v>gdp_for_ind</v>
          </cell>
          <cell r="F3839">
            <v>1.7891496419906621</v>
          </cell>
        </row>
        <row r="3840">
          <cell r="A3840" t="str">
            <v>URY</v>
          </cell>
          <cell r="B3840" t="str">
            <v>Middle</v>
          </cell>
          <cell r="C3840" t="str">
            <v>2015 - 2022</v>
          </cell>
          <cell r="D3840" t="str">
            <v>reg_iter</v>
          </cell>
          <cell r="E3840" t="str">
            <v>gdp_for_serv</v>
          </cell>
          <cell r="F3840">
            <v>0.24013406038284299</v>
          </cell>
        </row>
        <row r="3841">
          <cell r="A3841" t="str">
            <v>URY</v>
          </cell>
          <cell r="B3841" t="str">
            <v>Middle</v>
          </cell>
          <cell r="C3841" t="str">
            <v>2015 - 2022</v>
          </cell>
          <cell r="D3841" t="str">
            <v>reg_iter</v>
          </cell>
          <cell r="E3841" t="str">
            <v>gdp_inf_agri</v>
          </cell>
          <cell r="F3841">
            <v>-1.227834939956665</v>
          </cell>
        </row>
        <row r="3842">
          <cell r="A3842" t="str">
            <v>URY</v>
          </cell>
          <cell r="B3842" t="str">
            <v>Middle</v>
          </cell>
          <cell r="C3842" t="str">
            <v>2015 - 2022</v>
          </cell>
          <cell r="D3842" t="str">
            <v>reg_iter</v>
          </cell>
          <cell r="E3842" t="str">
            <v>gdp_inf_ind</v>
          </cell>
          <cell r="F3842">
            <v>0.55258095264434814</v>
          </cell>
        </row>
        <row r="3843">
          <cell r="A3843" t="str">
            <v>URY</v>
          </cell>
          <cell r="B3843" t="str">
            <v>Middle</v>
          </cell>
          <cell r="C3843" t="str">
            <v>2015 - 2022</v>
          </cell>
          <cell r="D3843" t="str">
            <v>reg_iter</v>
          </cell>
          <cell r="E3843" t="str">
            <v>gdp_inf_serv</v>
          </cell>
          <cell r="F3843">
            <v>0.18887683749198911</v>
          </cell>
        </row>
        <row r="3844">
          <cell r="A3844" t="str">
            <v>URY</v>
          </cell>
          <cell r="B3844" t="str">
            <v>Middle</v>
          </cell>
          <cell r="C3844" t="str">
            <v>2015 - 2022</v>
          </cell>
          <cell r="D3844" t="str">
            <v>reg_iter</v>
          </cell>
          <cell r="E3844" t="str">
            <v>prod_for_agri</v>
          </cell>
          <cell r="F3844">
            <v>-0.61309456825256348</v>
          </cell>
        </row>
        <row r="3845">
          <cell r="A3845" t="str">
            <v>URY</v>
          </cell>
          <cell r="B3845" t="str">
            <v>Middle</v>
          </cell>
          <cell r="C3845" t="str">
            <v>2015 - 2022</v>
          </cell>
          <cell r="D3845" t="str">
            <v>reg_iter</v>
          </cell>
          <cell r="E3845" t="str">
            <v>prod_for_ind</v>
          </cell>
          <cell r="F3845">
            <v>-3.2858546823263168E-2</v>
          </cell>
        </row>
        <row r="3846">
          <cell r="A3846" t="str">
            <v>URY</v>
          </cell>
          <cell r="B3846" t="str">
            <v>Middle</v>
          </cell>
          <cell r="C3846" t="str">
            <v>2015 - 2022</v>
          </cell>
          <cell r="D3846" t="str">
            <v>reg_iter</v>
          </cell>
          <cell r="E3846" t="str">
            <v>prod_for_serv</v>
          </cell>
          <cell r="F3846">
            <v>0.72145169973373413</v>
          </cell>
        </row>
        <row r="3847">
          <cell r="A3847" t="str">
            <v>URY</v>
          </cell>
          <cell r="B3847" t="str">
            <v>Middle</v>
          </cell>
          <cell r="C3847" t="str">
            <v>2015 - 2022</v>
          </cell>
          <cell r="D3847" t="str">
            <v>reg_iter</v>
          </cell>
          <cell r="E3847" t="str">
            <v>prod_inf_agri</v>
          </cell>
          <cell r="F3847">
            <v>-0.93567031621932983</v>
          </cell>
        </row>
        <row r="3848">
          <cell r="A3848" t="str">
            <v>URY</v>
          </cell>
          <cell r="B3848" t="str">
            <v>Middle</v>
          </cell>
          <cell r="C3848" t="str">
            <v>2015 - 2022</v>
          </cell>
          <cell r="D3848" t="str">
            <v>reg_iter</v>
          </cell>
          <cell r="E3848" t="str">
            <v>prod_inf_ind</v>
          </cell>
          <cell r="F3848">
            <v>-1.9239740371704099</v>
          </cell>
        </row>
        <row r="3849">
          <cell r="A3849" t="str">
            <v>URY</v>
          </cell>
          <cell r="B3849" t="str">
            <v>Middle</v>
          </cell>
          <cell r="C3849" t="str">
            <v>2015 - 2022</v>
          </cell>
          <cell r="D3849" t="str">
            <v>reg_iter</v>
          </cell>
          <cell r="E3849" t="str">
            <v>prod_inf_serv</v>
          </cell>
          <cell r="F3849">
            <v>0.92290514707565308</v>
          </cell>
        </row>
        <row r="3850">
          <cell r="A3850" t="str">
            <v>URY</v>
          </cell>
          <cell r="B3850" t="str">
            <v>Short</v>
          </cell>
          <cell r="C3850" t="str">
            <v>2018 - 2022</v>
          </cell>
          <cell r="D3850" t="str">
            <v>avg</v>
          </cell>
          <cell r="E3850" t="str">
            <v>gdp_activity</v>
          </cell>
          <cell r="F3850">
            <v>9.9897302687168121E-2</v>
          </cell>
        </row>
        <row r="3851">
          <cell r="A3851" t="str">
            <v>URY</v>
          </cell>
          <cell r="B3851" t="str">
            <v>Short</v>
          </cell>
          <cell r="C3851" t="str">
            <v>2018 - 2022</v>
          </cell>
          <cell r="D3851" t="str">
            <v>avg</v>
          </cell>
          <cell r="E3851" t="str">
            <v>gdp_for_agri</v>
          </cell>
          <cell r="F3851">
            <v>-0.1243943125009537</v>
          </cell>
        </row>
        <row r="3852">
          <cell r="A3852" t="str">
            <v>URY</v>
          </cell>
          <cell r="B3852" t="str">
            <v>Short</v>
          </cell>
          <cell r="C3852" t="str">
            <v>2018 - 2022</v>
          </cell>
          <cell r="D3852" t="str">
            <v>avg</v>
          </cell>
          <cell r="E3852" t="str">
            <v>gdp_for_ind</v>
          </cell>
          <cell r="F3852">
            <v>0.92991292476654053</v>
          </cell>
        </row>
        <row r="3853">
          <cell r="A3853" t="str">
            <v>URY</v>
          </cell>
          <cell r="B3853" t="str">
            <v>Short</v>
          </cell>
          <cell r="C3853" t="str">
            <v>2018 - 2022</v>
          </cell>
          <cell r="D3853" t="str">
            <v>avg</v>
          </cell>
          <cell r="E3853" t="str">
            <v>gdp_for_serv</v>
          </cell>
          <cell r="F3853">
            <v>-0.38914230465888983</v>
          </cell>
        </row>
        <row r="3854">
          <cell r="A3854" t="str">
            <v>URY</v>
          </cell>
          <cell r="B3854" t="str">
            <v>Short</v>
          </cell>
          <cell r="C3854" t="str">
            <v>2018 - 2022</v>
          </cell>
          <cell r="D3854" t="str">
            <v>avg</v>
          </cell>
          <cell r="E3854" t="str">
            <v>gdp_inf_agri</v>
          </cell>
          <cell r="F3854">
            <v>-0.27096083760261541</v>
          </cell>
        </row>
        <row r="3855">
          <cell r="A3855" t="str">
            <v>URY</v>
          </cell>
          <cell r="B3855" t="str">
            <v>Short</v>
          </cell>
          <cell r="C3855" t="str">
            <v>2018 - 2022</v>
          </cell>
          <cell r="D3855" t="str">
            <v>avg</v>
          </cell>
          <cell r="E3855" t="str">
            <v>gdp_inf_ind</v>
          </cell>
          <cell r="F3855">
            <v>0.71671754121780396</v>
          </cell>
        </row>
        <row r="3856">
          <cell r="A3856" t="str">
            <v>URY</v>
          </cell>
          <cell r="B3856" t="str">
            <v>Short</v>
          </cell>
          <cell r="C3856" t="str">
            <v>2018 - 2022</v>
          </cell>
          <cell r="D3856" t="str">
            <v>avg</v>
          </cell>
          <cell r="E3856" t="str">
            <v>gdp_inf_serv</v>
          </cell>
          <cell r="F3856">
            <v>1.448810815811157</v>
          </cell>
        </row>
        <row r="3857">
          <cell r="A3857" t="str">
            <v>URY</v>
          </cell>
          <cell r="B3857" t="str">
            <v>Short</v>
          </cell>
          <cell r="C3857" t="str">
            <v>2018 - 2022</v>
          </cell>
          <cell r="D3857" t="str">
            <v>avg</v>
          </cell>
          <cell r="E3857" t="str">
            <v>prod_for_agri</v>
          </cell>
          <cell r="F3857">
            <v>1.479662418365479</v>
          </cell>
        </row>
        <row r="3858">
          <cell r="A3858" t="str">
            <v>URY</v>
          </cell>
          <cell r="B3858" t="str">
            <v>Short</v>
          </cell>
          <cell r="C3858" t="str">
            <v>2018 - 2022</v>
          </cell>
          <cell r="D3858" t="str">
            <v>avg</v>
          </cell>
          <cell r="E3858" t="str">
            <v>prod_for_ind</v>
          </cell>
          <cell r="F3858">
            <v>1.0451158285140989</v>
          </cell>
        </row>
        <row r="3859">
          <cell r="A3859" t="str">
            <v>URY</v>
          </cell>
          <cell r="B3859" t="str">
            <v>Short</v>
          </cell>
          <cell r="C3859" t="str">
            <v>2018 - 2022</v>
          </cell>
          <cell r="D3859" t="str">
            <v>avg</v>
          </cell>
          <cell r="E3859" t="str">
            <v>prod_for_serv</v>
          </cell>
          <cell r="F3859">
            <v>0.41337350010871893</v>
          </cell>
        </row>
        <row r="3860">
          <cell r="A3860" t="str">
            <v>URY</v>
          </cell>
          <cell r="B3860" t="str">
            <v>Short</v>
          </cell>
          <cell r="C3860" t="str">
            <v>2018 - 2022</v>
          </cell>
          <cell r="D3860" t="str">
            <v>avg</v>
          </cell>
          <cell r="E3860" t="str">
            <v>prod_inf_agri</v>
          </cell>
          <cell r="F3860">
            <v>2.5042762756347661</v>
          </cell>
        </row>
        <row r="3861">
          <cell r="A3861" t="str">
            <v>URY</v>
          </cell>
          <cell r="B3861" t="str">
            <v>Short</v>
          </cell>
          <cell r="C3861" t="str">
            <v>2018 - 2022</v>
          </cell>
          <cell r="D3861" t="str">
            <v>avg</v>
          </cell>
          <cell r="E3861" t="str">
            <v>prod_inf_ind</v>
          </cell>
          <cell r="F3861">
            <v>1.0247958898544309</v>
          </cell>
        </row>
        <row r="3862">
          <cell r="A3862" t="str">
            <v>URY</v>
          </cell>
          <cell r="B3862" t="str">
            <v>Short</v>
          </cell>
          <cell r="C3862" t="str">
            <v>2018 - 2022</v>
          </cell>
          <cell r="D3862" t="str">
            <v>avg</v>
          </cell>
          <cell r="E3862" t="str">
            <v>prod_inf_serv</v>
          </cell>
          <cell r="F3862">
            <v>0.79867374897003174</v>
          </cell>
        </row>
        <row r="3863">
          <cell r="A3863" t="str">
            <v>URY</v>
          </cell>
          <cell r="B3863" t="str">
            <v>Short</v>
          </cell>
          <cell r="C3863" t="str">
            <v>2018 - 2022</v>
          </cell>
          <cell r="D3863" t="str">
            <v>avg_1_99</v>
          </cell>
          <cell r="E3863" t="str">
            <v>gdp_activity</v>
          </cell>
          <cell r="F3863">
            <v>9.9897302687168121E-2</v>
          </cell>
        </row>
        <row r="3864">
          <cell r="A3864" t="str">
            <v>URY</v>
          </cell>
          <cell r="B3864" t="str">
            <v>Short</v>
          </cell>
          <cell r="C3864" t="str">
            <v>2018 - 2022</v>
          </cell>
          <cell r="D3864" t="str">
            <v>avg_1_99</v>
          </cell>
          <cell r="E3864" t="str">
            <v>gdp_for_agri</v>
          </cell>
          <cell r="F3864">
            <v>-0.1243943125009537</v>
          </cell>
        </row>
        <row r="3865">
          <cell r="A3865" t="str">
            <v>URY</v>
          </cell>
          <cell r="B3865" t="str">
            <v>Short</v>
          </cell>
          <cell r="C3865" t="str">
            <v>2018 - 2022</v>
          </cell>
          <cell r="D3865" t="str">
            <v>avg_1_99</v>
          </cell>
          <cell r="E3865" t="str">
            <v>gdp_for_ind</v>
          </cell>
          <cell r="F3865">
            <v>0.92991292476654053</v>
          </cell>
        </row>
        <row r="3866">
          <cell r="A3866" t="str">
            <v>URY</v>
          </cell>
          <cell r="B3866" t="str">
            <v>Short</v>
          </cell>
          <cell r="C3866" t="str">
            <v>2018 - 2022</v>
          </cell>
          <cell r="D3866" t="str">
            <v>avg_1_99</v>
          </cell>
          <cell r="E3866" t="str">
            <v>gdp_for_serv</v>
          </cell>
          <cell r="F3866">
            <v>-6.7902468144893646E-2</v>
          </cell>
        </row>
        <row r="3867">
          <cell r="A3867" t="str">
            <v>URY</v>
          </cell>
          <cell r="B3867" t="str">
            <v>Short</v>
          </cell>
          <cell r="C3867" t="str">
            <v>2018 - 2022</v>
          </cell>
          <cell r="D3867" t="str">
            <v>avg_1_99</v>
          </cell>
          <cell r="E3867" t="str">
            <v>gdp_inf_agri</v>
          </cell>
          <cell r="F3867">
            <v>-0.27096083760261541</v>
          </cell>
        </row>
        <row r="3868">
          <cell r="A3868" t="str">
            <v>URY</v>
          </cell>
          <cell r="B3868" t="str">
            <v>Short</v>
          </cell>
          <cell r="C3868" t="str">
            <v>2018 - 2022</v>
          </cell>
          <cell r="D3868" t="str">
            <v>avg_1_99</v>
          </cell>
          <cell r="E3868" t="str">
            <v>gdp_inf_ind</v>
          </cell>
          <cell r="F3868">
            <v>1.0199118852615361</v>
          </cell>
        </row>
        <row r="3869">
          <cell r="A3869" t="str">
            <v>URY</v>
          </cell>
          <cell r="B3869" t="str">
            <v>Short</v>
          </cell>
          <cell r="C3869" t="str">
            <v>2018 - 2022</v>
          </cell>
          <cell r="D3869" t="str">
            <v>avg_1_99</v>
          </cell>
          <cell r="E3869" t="str">
            <v>gdp_inf_serv</v>
          </cell>
          <cell r="F3869">
            <v>1.4930516481399541</v>
          </cell>
        </row>
        <row r="3870">
          <cell r="A3870" t="str">
            <v>URY</v>
          </cell>
          <cell r="B3870" t="str">
            <v>Short</v>
          </cell>
          <cell r="C3870" t="str">
            <v>2018 - 2022</v>
          </cell>
          <cell r="D3870" t="str">
            <v>avg_1_99</v>
          </cell>
          <cell r="E3870" t="str">
            <v>prod_for_agri</v>
          </cell>
          <cell r="F3870">
            <v>1.479662418365479</v>
          </cell>
        </row>
        <row r="3871">
          <cell r="A3871" t="str">
            <v>URY</v>
          </cell>
          <cell r="B3871" t="str">
            <v>Short</v>
          </cell>
          <cell r="C3871" t="str">
            <v>2018 - 2022</v>
          </cell>
          <cell r="D3871" t="str">
            <v>avg_1_99</v>
          </cell>
          <cell r="E3871" t="str">
            <v>prod_for_ind</v>
          </cell>
          <cell r="F3871">
            <v>0.24100969731807709</v>
          </cell>
        </row>
        <row r="3872">
          <cell r="A3872" t="str">
            <v>URY</v>
          </cell>
          <cell r="B3872" t="str">
            <v>Short</v>
          </cell>
          <cell r="C3872" t="str">
            <v>2018 - 2022</v>
          </cell>
          <cell r="D3872" t="str">
            <v>avg_1_99</v>
          </cell>
          <cell r="E3872" t="str">
            <v>prod_for_serv</v>
          </cell>
          <cell r="F3872">
            <v>0.41337350010871893</v>
          </cell>
        </row>
        <row r="3873">
          <cell r="A3873" t="str">
            <v>URY</v>
          </cell>
          <cell r="B3873" t="str">
            <v>Short</v>
          </cell>
          <cell r="C3873" t="str">
            <v>2018 - 2022</v>
          </cell>
          <cell r="D3873" t="str">
            <v>avg_1_99</v>
          </cell>
          <cell r="E3873" t="str">
            <v>prod_inf_agri</v>
          </cell>
          <cell r="F3873">
            <v>2.5042762756347661</v>
          </cell>
        </row>
        <row r="3874">
          <cell r="A3874" t="str">
            <v>URY</v>
          </cell>
          <cell r="B3874" t="str">
            <v>Short</v>
          </cell>
          <cell r="C3874" t="str">
            <v>2018 - 2022</v>
          </cell>
          <cell r="D3874" t="str">
            <v>avg_1_99</v>
          </cell>
          <cell r="E3874" t="str">
            <v>prod_inf_ind</v>
          </cell>
          <cell r="F3874">
            <v>-0.69083118438720703</v>
          </cell>
        </row>
        <row r="3875">
          <cell r="A3875" t="str">
            <v>URY</v>
          </cell>
          <cell r="B3875" t="str">
            <v>Short</v>
          </cell>
          <cell r="C3875" t="str">
            <v>2018 - 2022</v>
          </cell>
          <cell r="D3875" t="str">
            <v>avg_1_99</v>
          </cell>
          <cell r="E3875" t="str">
            <v>prod_inf_serv</v>
          </cell>
          <cell r="F3875">
            <v>0.79867374897003174</v>
          </cell>
        </row>
        <row r="3876">
          <cell r="A3876" t="str">
            <v>URY</v>
          </cell>
          <cell r="B3876" t="str">
            <v>Short</v>
          </cell>
          <cell r="C3876" t="str">
            <v>2018 - 2022</v>
          </cell>
          <cell r="D3876" t="str">
            <v>avg_1_99_imp</v>
          </cell>
          <cell r="E3876" t="str">
            <v>gdp_activity</v>
          </cell>
          <cell r="F3876">
            <v>9.9897302687168121E-2</v>
          </cell>
        </row>
        <row r="3877">
          <cell r="A3877" t="str">
            <v>URY</v>
          </cell>
          <cell r="B3877" t="str">
            <v>Short</v>
          </cell>
          <cell r="C3877" t="str">
            <v>2018 - 2022</v>
          </cell>
          <cell r="D3877" t="str">
            <v>avg_1_99_imp</v>
          </cell>
          <cell r="E3877" t="str">
            <v>gdp_for_agri</v>
          </cell>
          <cell r="F3877">
            <v>-0.1243943125009537</v>
          </cell>
        </row>
        <row r="3878">
          <cell r="A3878" t="str">
            <v>URY</v>
          </cell>
          <cell r="B3878" t="str">
            <v>Short</v>
          </cell>
          <cell r="C3878" t="str">
            <v>2018 - 2022</v>
          </cell>
          <cell r="D3878" t="str">
            <v>avg_1_99_imp</v>
          </cell>
          <cell r="E3878" t="str">
            <v>gdp_for_ind</v>
          </cell>
          <cell r="F3878">
            <v>0.92991292476654053</v>
          </cell>
        </row>
        <row r="3879">
          <cell r="A3879" t="str">
            <v>URY</v>
          </cell>
          <cell r="B3879" t="str">
            <v>Short</v>
          </cell>
          <cell r="C3879" t="str">
            <v>2018 - 2022</v>
          </cell>
          <cell r="D3879" t="str">
            <v>avg_1_99_imp</v>
          </cell>
          <cell r="E3879" t="str">
            <v>gdp_for_serv</v>
          </cell>
          <cell r="F3879">
            <v>-8.1875719130039215E-2</v>
          </cell>
        </row>
        <row r="3880">
          <cell r="A3880" t="str">
            <v>URY</v>
          </cell>
          <cell r="B3880" t="str">
            <v>Short</v>
          </cell>
          <cell r="C3880" t="str">
            <v>2018 - 2022</v>
          </cell>
          <cell r="D3880" t="str">
            <v>avg_1_99_imp</v>
          </cell>
          <cell r="E3880" t="str">
            <v>gdp_inf_agri</v>
          </cell>
          <cell r="F3880">
            <v>-0.27096083760261541</v>
          </cell>
        </row>
        <row r="3881">
          <cell r="A3881" t="str">
            <v>URY</v>
          </cell>
          <cell r="B3881" t="str">
            <v>Short</v>
          </cell>
          <cell r="C3881" t="str">
            <v>2018 - 2022</v>
          </cell>
          <cell r="D3881" t="str">
            <v>avg_1_99_imp</v>
          </cell>
          <cell r="E3881" t="str">
            <v>gdp_inf_ind</v>
          </cell>
          <cell r="F3881">
            <v>1.0168348550796511</v>
          </cell>
        </row>
        <row r="3882">
          <cell r="A3882" t="str">
            <v>URY</v>
          </cell>
          <cell r="B3882" t="str">
            <v>Short</v>
          </cell>
          <cell r="C3882" t="str">
            <v>2018 - 2022</v>
          </cell>
          <cell r="D3882" t="str">
            <v>avg_1_99_imp</v>
          </cell>
          <cell r="E3882" t="str">
            <v>gdp_inf_serv</v>
          </cell>
          <cell r="F3882">
            <v>1.710903525352478</v>
          </cell>
        </row>
        <row r="3883">
          <cell r="A3883" t="str">
            <v>URY</v>
          </cell>
          <cell r="B3883" t="str">
            <v>Short</v>
          </cell>
          <cell r="C3883" t="str">
            <v>2018 - 2022</v>
          </cell>
          <cell r="D3883" t="str">
            <v>avg_1_99_imp</v>
          </cell>
          <cell r="E3883" t="str">
            <v>prod_for_agri</v>
          </cell>
          <cell r="F3883">
            <v>-0.30884939432144171</v>
          </cell>
        </row>
        <row r="3884">
          <cell r="A3884" t="str">
            <v>URY</v>
          </cell>
          <cell r="B3884" t="str">
            <v>Short</v>
          </cell>
          <cell r="C3884" t="str">
            <v>2018 - 2022</v>
          </cell>
          <cell r="D3884" t="str">
            <v>avg_1_99_imp</v>
          </cell>
          <cell r="E3884" t="str">
            <v>prod_for_ind</v>
          </cell>
          <cell r="F3884">
            <v>-2.5546371936798099E-2</v>
          </cell>
        </row>
        <row r="3885">
          <cell r="A3885" t="str">
            <v>URY</v>
          </cell>
          <cell r="B3885" t="str">
            <v>Short</v>
          </cell>
          <cell r="C3885" t="str">
            <v>2018 - 2022</v>
          </cell>
          <cell r="D3885" t="str">
            <v>avg_1_99_imp</v>
          </cell>
          <cell r="E3885" t="str">
            <v>prod_for_serv</v>
          </cell>
          <cell r="F3885">
            <v>0.65715533494949341</v>
          </cell>
        </row>
        <row r="3886">
          <cell r="A3886" t="str">
            <v>URY</v>
          </cell>
          <cell r="B3886" t="str">
            <v>Short</v>
          </cell>
          <cell r="C3886" t="str">
            <v>2018 - 2022</v>
          </cell>
          <cell r="D3886" t="str">
            <v>avg_1_99_imp</v>
          </cell>
          <cell r="E3886" t="str">
            <v>prod_inf_agri</v>
          </cell>
          <cell r="F3886">
            <v>2.5042762756347661</v>
          </cell>
        </row>
        <row r="3887">
          <cell r="A3887" t="str">
            <v>URY</v>
          </cell>
          <cell r="B3887" t="str">
            <v>Short</v>
          </cell>
          <cell r="C3887" t="str">
            <v>2018 - 2022</v>
          </cell>
          <cell r="D3887" t="str">
            <v>avg_1_99_imp</v>
          </cell>
          <cell r="E3887" t="str">
            <v>prod_inf_ind</v>
          </cell>
          <cell r="F3887">
            <v>-0.62585407495498657</v>
          </cell>
        </row>
        <row r="3888">
          <cell r="A3888" t="str">
            <v>URY</v>
          </cell>
          <cell r="B3888" t="str">
            <v>Short</v>
          </cell>
          <cell r="C3888" t="str">
            <v>2018 - 2022</v>
          </cell>
          <cell r="D3888" t="str">
            <v>avg_1_99_imp</v>
          </cell>
          <cell r="E3888" t="str">
            <v>prod_inf_serv</v>
          </cell>
          <cell r="F3888">
            <v>0.79867374897003174</v>
          </cell>
        </row>
        <row r="3889">
          <cell r="A3889" t="str">
            <v>URY</v>
          </cell>
          <cell r="B3889" t="str">
            <v>Short</v>
          </cell>
          <cell r="C3889" t="str">
            <v>2018 - 2022</v>
          </cell>
          <cell r="D3889" t="str">
            <v>reg</v>
          </cell>
          <cell r="E3889" t="str">
            <v>gdp_activity</v>
          </cell>
          <cell r="F3889">
            <v>0.1486600935459137</v>
          </cell>
        </row>
        <row r="3890">
          <cell r="A3890" t="str">
            <v>URY</v>
          </cell>
          <cell r="B3890" t="str">
            <v>Short</v>
          </cell>
          <cell r="C3890" t="str">
            <v>2018 - 2022</v>
          </cell>
          <cell r="D3890" t="str">
            <v>reg</v>
          </cell>
          <cell r="E3890" t="str">
            <v>gdp_for_agri</v>
          </cell>
          <cell r="F3890">
            <v>5.7691030204296112E-2</v>
          </cell>
        </row>
        <row r="3891">
          <cell r="A3891" t="str">
            <v>URY</v>
          </cell>
          <cell r="B3891" t="str">
            <v>Short</v>
          </cell>
          <cell r="C3891" t="str">
            <v>2018 - 2022</v>
          </cell>
          <cell r="D3891" t="str">
            <v>reg</v>
          </cell>
          <cell r="E3891" t="str">
            <v>gdp_for_ind</v>
          </cell>
          <cell r="F3891">
            <v>0.89129054546356201</v>
          </cell>
        </row>
        <row r="3892">
          <cell r="A3892" t="str">
            <v>URY</v>
          </cell>
          <cell r="B3892" t="str">
            <v>Short</v>
          </cell>
          <cell r="C3892" t="str">
            <v>2018 - 2022</v>
          </cell>
          <cell r="D3892" t="str">
            <v>reg</v>
          </cell>
          <cell r="E3892" t="str">
            <v>gdp_for_serv</v>
          </cell>
          <cell r="F3892">
            <v>6.2873080372810364E-2</v>
          </cell>
        </row>
        <row r="3893">
          <cell r="A3893" t="str">
            <v>URY</v>
          </cell>
          <cell r="B3893" t="str">
            <v>Short</v>
          </cell>
          <cell r="C3893" t="str">
            <v>2018 - 2022</v>
          </cell>
          <cell r="D3893" t="str">
            <v>reg</v>
          </cell>
          <cell r="E3893" t="str">
            <v>gdp_inf_agri</v>
          </cell>
          <cell r="F3893">
            <v>0.1104764491319656</v>
          </cell>
        </row>
        <row r="3894">
          <cell r="A3894" t="str">
            <v>URY</v>
          </cell>
          <cell r="B3894" t="str">
            <v>Short</v>
          </cell>
          <cell r="C3894" t="str">
            <v>2018 - 2022</v>
          </cell>
          <cell r="D3894" t="str">
            <v>reg</v>
          </cell>
          <cell r="E3894" t="str">
            <v>gdp_inf_ind</v>
          </cell>
          <cell r="F3894">
            <v>0.88175976276397705</v>
          </cell>
        </row>
        <row r="3895">
          <cell r="A3895" t="str">
            <v>URY</v>
          </cell>
          <cell r="B3895" t="str">
            <v>Short</v>
          </cell>
          <cell r="C3895" t="str">
            <v>2018 - 2022</v>
          </cell>
          <cell r="D3895" t="str">
            <v>reg</v>
          </cell>
          <cell r="E3895" t="str">
            <v>gdp_inf_serv</v>
          </cell>
          <cell r="F3895">
            <v>0.79386323690414429</v>
          </cell>
        </row>
        <row r="3896">
          <cell r="A3896" t="str">
            <v>URY</v>
          </cell>
          <cell r="B3896" t="str">
            <v>Short</v>
          </cell>
          <cell r="C3896" t="str">
            <v>2018 - 2022</v>
          </cell>
          <cell r="D3896" t="str">
            <v>reg</v>
          </cell>
          <cell r="E3896" t="str">
            <v>prod_for_agri</v>
          </cell>
          <cell r="F3896">
            <v>-0.43356162309646612</v>
          </cell>
        </row>
        <row r="3897">
          <cell r="A3897" t="str">
            <v>URY</v>
          </cell>
          <cell r="B3897" t="str">
            <v>Short</v>
          </cell>
          <cell r="C3897" t="str">
            <v>2018 - 2022</v>
          </cell>
          <cell r="D3897" t="str">
            <v>reg</v>
          </cell>
          <cell r="E3897" t="str">
            <v>prod_for_ind</v>
          </cell>
          <cell r="F3897">
            <v>1.1093804836273189</v>
          </cell>
        </row>
        <row r="3898">
          <cell r="A3898" t="str">
            <v>URY</v>
          </cell>
          <cell r="B3898" t="str">
            <v>Short</v>
          </cell>
          <cell r="C3898" t="str">
            <v>2018 - 2022</v>
          </cell>
          <cell r="D3898" t="str">
            <v>reg</v>
          </cell>
          <cell r="E3898" t="str">
            <v>prod_for_serv</v>
          </cell>
          <cell r="F3898">
            <v>0.84082943201065063</v>
          </cell>
        </row>
        <row r="3899">
          <cell r="A3899" t="str">
            <v>URY</v>
          </cell>
          <cell r="B3899" t="str">
            <v>Short</v>
          </cell>
          <cell r="C3899" t="str">
            <v>2018 - 2022</v>
          </cell>
          <cell r="D3899" t="str">
            <v>reg</v>
          </cell>
          <cell r="E3899" t="str">
            <v>prod_inf_agri</v>
          </cell>
          <cell r="F3899">
            <v>-0.53406411409378052</v>
          </cell>
        </row>
        <row r="3900">
          <cell r="A3900" t="str">
            <v>URY</v>
          </cell>
          <cell r="B3900" t="str">
            <v>Short</v>
          </cell>
          <cell r="C3900" t="str">
            <v>2018 - 2022</v>
          </cell>
          <cell r="D3900" t="str">
            <v>reg</v>
          </cell>
          <cell r="E3900" t="str">
            <v>prod_inf_ind</v>
          </cell>
          <cell r="F3900">
            <v>0.15770092606544489</v>
          </cell>
        </row>
        <row r="3901">
          <cell r="A3901" t="str">
            <v>URY</v>
          </cell>
          <cell r="B3901" t="str">
            <v>Short</v>
          </cell>
          <cell r="C3901" t="str">
            <v>2018 - 2022</v>
          </cell>
          <cell r="D3901" t="str">
            <v>reg</v>
          </cell>
          <cell r="E3901" t="str">
            <v>prod_inf_serv</v>
          </cell>
          <cell r="F3901">
            <v>1.5381612777709961</v>
          </cell>
        </row>
        <row r="3902">
          <cell r="A3902" t="str">
            <v>URY</v>
          </cell>
          <cell r="B3902" t="str">
            <v>Short</v>
          </cell>
          <cell r="C3902" t="str">
            <v>2018 - 2022</v>
          </cell>
          <cell r="D3902" t="str">
            <v>reg_gdp</v>
          </cell>
          <cell r="E3902" t="str">
            <v>gdp_activity</v>
          </cell>
          <cell r="F3902">
            <v>0.1486600935459137</v>
          </cell>
        </row>
        <row r="3903">
          <cell r="A3903" t="str">
            <v>URY</v>
          </cell>
          <cell r="B3903" t="str">
            <v>Short</v>
          </cell>
          <cell r="C3903" t="str">
            <v>2018 - 2022</v>
          </cell>
          <cell r="D3903" t="str">
            <v>reg_gdp</v>
          </cell>
          <cell r="E3903" t="str">
            <v>gdp_for_agri</v>
          </cell>
          <cell r="F3903">
            <v>-0.17047129571437841</v>
          </cell>
        </row>
        <row r="3904">
          <cell r="A3904" t="str">
            <v>URY</v>
          </cell>
          <cell r="B3904" t="str">
            <v>Short</v>
          </cell>
          <cell r="C3904" t="str">
            <v>2018 - 2022</v>
          </cell>
          <cell r="D3904" t="str">
            <v>reg_gdp</v>
          </cell>
          <cell r="E3904" t="str">
            <v>gdp_for_ind</v>
          </cell>
          <cell r="F3904">
            <v>0.60417318344116211</v>
          </cell>
        </row>
        <row r="3905">
          <cell r="A3905" t="str">
            <v>URY</v>
          </cell>
          <cell r="B3905" t="str">
            <v>Short</v>
          </cell>
          <cell r="C3905" t="str">
            <v>2018 - 2022</v>
          </cell>
          <cell r="D3905" t="str">
            <v>reg_gdp</v>
          </cell>
          <cell r="E3905" t="str">
            <v>gdp_for_serv</v>
          </cell>
          <cell r="F3905">
            <v>0.93708336353302002</v>
          </cell>
        </row>
        <row r="3906">
          <cell r="A3906" t="str">
            <v>URY</v>
          </cell>
          <cell r="B3906" t="str">
            <v>Short</v>
          </cell>
          <cell r="C3906" t="str">
            <v>2018 - 2022</v>
          </cell>
          <cell r="D3906" t="str">
            <v>reg_gdp</v>
          </cell>
          <cell r="E3906" t="str">
            <v>gdp_inf_agri</v>
          </cell>
          <cell r="F3906">
            <v>-6.0756709426641457E-2</v>
          </cell>
        </row>
        <row r="3907">
          <cell r="A3907" t="str">
            <v>URY</v>
          </cell>
          <cell r="B3907" t="str">
            <v>Short</v>
          </cell>
          <cell r="C3907" t="str">
            <v>2018 - 2022</v>
          </cell>
          <cell r="D3907" t="str">
            <v>reg_gdp</v>
          </cell>
          <cell r="E3907" t="str">
            <v>gdp_inf_ind</v>
          </cell>
          <cell r="F3907">
            <v>2.3350522518157959</v>
          </cell>
        </row>
        <row r="3908">
          <cell r="A3908" t="str">
            <v>URY</v>
          </cell>
          <cell r="B3908" t="str">
            <v>Short</v>
          </cell>
          <cell r="C3908" t="str">
            <v>2018 - 2022</v>
          </cell>
          <cell r="D3908" t="str">
            <v>reg_gdp</v>
          </cell>
          <cell r="E3908" t="str">
            <v>gdp_inf_serv</v>
          </cell>
          <cell r="F3908">
            <v>-8.7133111953735352</v>
          </cell>
        </row>
        <row r="3909">
          <cell r="A3909" t="str">
            <v>URY</v>
          </cell>
          <cell r="B3909" t="str">
            <v>Short</v>
          </cell>
          <cell r="C3909" t="str">
            <v>2018 - 2022</v>
          </cell>
          <cell r="D3909" t="str">
            <v>reg_gdp</v>
          </cell>
          <cell r="E3909" t="str">
            <v>prod_for_agri</v>
          </cell>
          <cell r="F3909">
            <v>-0.36788609623909002</v>
          </cell>
        </row>
        <row r="3910">
          <cell r="A3910" t="str">
            <v>URY</v>
          </cell>
          <cell r="B3910" t="str">
            <v>Short</v>
          </cell>
          <cell r="C3910" t="str">
            <v>2018 - 2022</v>
          </cell>
          <cell r="D3910" t="str">
            <v>reg_gdp</v>
          </cell>
          <cell r="E3910" t="str">
            <v>prod_for_ind</v>
          </cell>
          <cell r="F3910">
            <v>0.27671316266059881</v>
          </cell>
        </row>
        <row r="3911">
          <cell r="A3911" t="str">
            <v>URY</v>
          </cell>
          <cell r="B3911" t="str">
            <v>Short</v>
          </cell>
          <cell r="C3911" t="str">
            <v>2018 - 2022</v>
          </cell>
          <cell r="D3911" t="str">
            <v>reg_gdp</v>
          </cell>
          <cell r="E3911" t="str">
            <v>prod_for_serv</v>
          </cell>
          <cell r="F3911">
            <v>1.041298985481262</v>
          </cell>
        </row>
        <row r="3912">
          <cell r="A3912" t="str">
            <v>URY</v>
          </cell>
          <cell r="B3912" t="str">
            <v>Short</v>
          </cell>
          <cell r="C3912" t="str">
            <v>2018 - 2022</v>
          </cell>
          <cell r="D3912" t="str">
            <v>reg_gdp</v>
          </cell>
          <cell r="E3912" t="str">
            <v>prod_inf_agri</v>
          </cell>
          <cell r="F3912">
            <v>-0.15228922665119171</v>
          </cell>
        </row>
        <row r="3913">
          <cell r="A3913" t="str">
            <v>URY</v>
          </cell>
          <cell r="B3913" t="str">
            <v>Short</v>
          </cell>
          <cell r="C3913" t="str">
            <v>2018 - 2022</v>
          </cell>
          <cell r="D3913" t="str">
            <v>reg_gdp</v>
          </cell>
          <cell r="E3913" t="str">
            <v>prod_inf_ind</v>
          </cell>
          <cell r="F3913">
            <v>-1.55818784236908</v>
          </cell>
        </row>
        <row r="3914">
          <cell r="A3914" t="str">
            <v>URY</v>
          </cell>
          <cell r="B3914" t="str">
            <v>Short</v>
          </cell>
          <cell r="C3914" t="str">
            <v>2018 - 2022</v>
          </cell>
          <cell r="D3914" t="str">
            <v>reg_gdp</v>
          </cell>
          <cell r="E3914" t="str">
            <v>prod_inf_serv</v>
          </cell>
          <cell r="F3914">
            <v>0.71622908115386963</v>
          </cell>
        </row>
        <row r="3915">
          <cell r="A3915" t="str">
            <v>URY</v>
          </cell>
          <cell r="B3915" t="str">
            <v>Short</v>
          </cell>
          <cell r="C3915" t="str">
            <v>2018 - 2022</v>
          </cell>
          <cell r="D3915" t="str">
            <v>reg_iter</v>
          </cell>
          <cell r="E3915" t="str">
            <v>gdp_activity</v>
          </cell>
          <cell r="F3915">
            <v>0.119936041533947</v>
          </cell>
        </row>
        <row r="3916">
          <cell r="A3916" t="str">
            <v>URY</v>
          </cell>
          <cell r="B3916" t="str">
            <v>Short</v>
          </cell>
          <cell r="C3916" t="str">
            <v>2018 - 2022</v>
          </cell>
          <cell r="D3916" t="str">
            <v>reg_iter</v>
          </cell>
          <cell r="E3916" t="str">
            <v>gdp_for_agri</v>
          </cell>
          <cell r="F3916">
            <v>-0.38506463170051569</v>
          </cell>
        </row>
        <row r="3917">
          <cell r="A3917" t="str">
            <v>URY</v>
          </cell>
          <cell r="B3917" t="str">
            <v>Short</v>
          </cell>
          <cell r="C3917" t="str">
            <v>2018 - 2022</v>
          </cell>
          <cell r="D3917" t="str">
            <v>reg_iter</v>
          </cell>
          <cell r="E3917" t="str">
            <v>gdp_for_ind</v>
          </cell>
          <cell r="F3917">
            <v>1.3374395370483401</v>
          </cell>
        </row>
        <row r="3918">
          <cell r="A3918" t="str">
            <v>URY</v>
          </cell>
          <cell r="B3918" t="str">
            <v>Short</v>
          </cell>
          <cell r="C3918" t="str">
            <v>2018 - 2022</v>
          </cell>
          <cell r="D3918" t="str">
            <v>reg_iter</v>
          </cell>
          <cell r="E3918" t="str">
            <v>gdp_for_serv</v>
          </cell>
          <cell r="F3918">
            <v>0.1359846293926239</v>
          </cell>
        </row>
        <row r="3919">
          <cell r="A3919" t="str">
            <v>URY</v>
          </cell>
          <cell r="B3919" t="str">
            <v>Short</v>
          </cell>
          <cell r="C3919" t="str">
            <v>2018 - 2022</v>
          </cell>
          <cell r="D3919" t="str">
            <v>reg_iter</v>
          </cell>
          <cell r="E3919" t="str">
            <v>gdp_inf_agri</v>
          </cell>
          <cell r="F3919">
            <v>-3.025452613830566</v>
          </cell>
        </row>
        <row r="3920">
          <cell r="A3920" t="str">
            <v>URY</v>
          </cell>
          <cell r="B3920" t="str">
            <v>Short</v>
          </cell>
          <cell r="C3920" t="str">
            <v>2018 - 2022</v>
          </cell>
          <cell r="D3920" t="str">
            <v>reg_iter</v>
          </cell>
          <cell r="E3920" t="str">
            <v>gdp_inf_ind</v>
          </cell>
          <cell r="F3920">
            <v>0.50221121311187744</v>
          </cell>
        </row>
        <row r="3921">
          <cell r="A3921" t="str">
            <v>URY</v>
          </cell>
          <cell r="B3921" t="str">
            <v>Short</v>
          </cell>
          <cell r="C3921" t="str">
            <v>2018 - 2022</v>
          </cell>
          <cell r="D3921" t="str">
            <v>reg_iter</v>
          </cell>
          <cell r="E3921" t="str">
            <v>gdp_inf_serv</v>
          </cell>
          <cell r="F3921">
            <v>0.25753337144851679</v>
          </cell>
        </row>
        <row r="3922">
          <cell r="A3922" t="str">
            <v>URY</v>
          </cell>
          <cell r="B3922" t="str">
            <v>Short</v>
          </cell>
          <cell r="C3922" t="str">
            <v>2018 - 2022</v>
          </cell>
          <cell r="D3922" t="str">
            <v>reg_iter</v>
          </cell>
          <cell r="E3922" t="str">
            <v>prod_for_agri</v>
          </cell>
          <cell r="F3922">
            <v>-0.83302390575408936</v>
          </cell>
        </row>
        <row r="3923">
          <cell r="A3923" t="str">
            <v>URY</v>
          </cell>
          <cell r="B3923" t="str">
            <v>Short</v>
          </cell>
          <cell r="C3923" t="str">
            <v>2018 - 2022</v>
          </cell>
          <cell r="D3923" t="str">
            <v>reg_iter</v>
          </cell>
          <cell r="E3923" t="str">
            <v>prod_for_ind</v>
          </cell>
          <cell r="F3923">
            <v>-0.73740875720977783</v>
          </cell>
        </row>
        <row r="3924">
          <cell r="A3924" t="str">
            <v>URY</v>
          </cell>
          <cell r="B3924" t="str">
            <v>Short</v>
          </cell>
          <cell r="C3924" t="str">
            <v>2018 - 2022</v>
          </cell>
          <cell r="D3924" t="str">
            <v>reg_iter</v>
          </cell>
          <cell r="E3924" t="str">
            <v>prod_for_serv</v>
          </cell>
          <cell r="F3924">
            <v>0.77511894702911377</v>
          </cell>
        </row>
        <row r="3925">
          <cell r="A3925" t="str">
            <v>URY</v>
          </cell>
          <cell r="B3925" t="str">
            <v>Short</v>
          </cell>
          <cell r="C3925" t="str">
            <v>2018 - 2022</v>
          </cell>
          <cell r="D3925" t="str">
            <v>reg_iter</v>
          </cell>
          <cell r="E3925" t="str">
            <v>prod_inf_agri</v>
          </cell>
          <cell r="F3925">
            <v>-1.3559714555740361</v>
          </cell>
        </row>
        <row r="3926">
          <cell r="A3926" t="str">
            <v>URY</v>
          </cell>
          <cell r="B3926" t="str">
            <v>Short</v>
          </cell>
          <cell r="C3926" t="str">
            <v>2018 - 2022</v>
          </cell>
          <cell r="D3926" t="str">
            <v>reg_iter</v>
          </cell>
          <cell r="E3926" t="str">
            <v>prod_inf_ind</v>
          </cell>
          <cell r="F3926">
            <v>-4.8118863105773926</v>
          </cell>
        </row>
        <row r="3927">
          <cell r="A3927" t="str">
            <v>URY</v>
          </cell>
          <cell r="B3927" t="str">
            <v>Short</v>
          </cell>
          <cell r="C3927" t="str">
            <v>2018 - 2022</v>
          </cell>
          <cell r="D3927" t="str">
            <v>reg_iter</v>
          </cell>
          <cell r="E3927" t="str">
            <v>prod_inf_serv</v>
          </cell>
          <cell r="F3927">
            <v>1.4047626256942749</v>
          </cell>
        </row>
      </sheetData>
      <sheetData sheetId="4">
        <row r="1">
          <cell r="A1" t="str">
            <v>country</v>
          </cell>
          <cell r="B1" t="str">
            <v>year</v>
          </cell>
          <cell r="C1" t="str">
            <v>indicator</v>
          </cell>
          <cell r="D1" t="str">
            <v>value</v>
          </cell>
        </row>
        <row r="2">
          <cell r="A2" t="str">
            <v>AFG</v>
          </cell>
          <cell r="B2">
            <v>2007</v>
          </cell>
          <cell r="C2" t="str">
            <v>pvgdp</v>
          </cell>
          <cell r="D2">
            <v>611527.1875</v>
          </cell>
          <cell r="E2" t="str">
            <v>GDP, constant</v>
          </cell>
        </row>
        <row r="3">
          <cell r="A3" t="str">
            <v>AFG</v>
          </cell>
          <cell r="B3">
            <v>2007</v>
          </cell>
          <cell r="C3" t="str">
            <v>pvgdp_agriculture</v>
          </cell>
          <cell r="D3">
            <v>250504.5625</v>
          </cell>
        </row>
        <row r="4">
          <cell r="A4" t="str">
            <v>AFG</v>
          </cell>
          <cell r="B4">
            <v>2007</v>
          </cell>
          <cell r="C4" t="str">
            <v>pvgdp_industry</v>
          </cell>
          <cell r="D4">
            <v>82330.0390625</v>
          </cell>
        </row>
        <row r="5">
          <cell r="A5" t="str">
            <v>AFG</v>
          </cell>
          <cell r="B5">
            <v>2007</v>
          </cell>
          <cell r="C5" t="str">
            <v>pvgdp_services</v>
          </cell>
          <cell r="D5">
            <v>256696.03125</v>
          </cell>
        </row>
        <row r="6">
          <cell r="A6" t="str">
            <v>AFG</v>
          </cell>
          <cell r="B6">
            <v>2007</v>
          </cell>
          <cell r="C6" t="str">
            <v>pvgdppc</v>
          </cell>
          <cell r="D6">
            <v>23608.07921188679</v>
          </cell>
        </row>
        <row r="7">
          <cell r="A7" t="str">
            <v>AFG</v>
          </cell>
          <cell r="B7">
            <v>2007</v>
          </cell>
          <cell r="C7" t="str">
            <v>pvpop_total</v>
          </cell>
          <cell r="D7">
            <v>25903301.239013672</v>
          </cell>
        </row>
        <row r="8">
          <cell r="A8" t="str">
            <v>AFG</v>
          </cell>
          <cell r="B8">
            <v>2007</v>
          </cell>
          <cell r="C8" t="str">
            <v>pvpop_1564</v>
          </cell>
          <cell r="D8">
            <v>12469261.612262113</v>
          </cell>
        </row>
        <row r="9">
          <cell r="A9" t="str">
            <v>AFG</v>
          </cell>
          <cell r="B9">
            <v>2007</v>
          </cell>
          <cell r="C9" t="str">
            <v>pvprivpc</v>
          </cell>
          <cell r="D9">
            <v>26146.22818731458</v>
          </cell>
        </row>
        <row r="10">
          <cell r="A10" t="str">
            <v>AFG</v>
          </cell>
          <cell r="B10">
            <v>2008</v>
          </cell>
          <cell r="C10" t="str">
            <v>pvgdp</v>
          </cell>
          <cell r="D10">
            <v>627902.6875</v>
          </cell>
        </row>
        <row r="11">
          <cell r="A11" t="str">
            <v>AFG</v>
          </cell>
          <cell r="B11">
            <v>2008</v>
          </cell>
          <cell r="C11" t="str">
            <v>pvgdp_agriculture</v>
          </cell>
          <cell r="D11">
            <v>213138.484375</v>
          </cell>
        </row>
        <row r="12">
          <cell r="A12" t="str">
            <v>AFG</v>
          </cell>
          <cell r="B12">
            <v>2008</v>
          </cell>
          <cell r="C12" t="str">
            <v>pvgdp_industry</v>
          </cell>
          <cell r="D12">
            <v>87057.28125</v>
          </cell>
        </row>
        <row r="13">
          <cell r="A13" t="str">
            <v>AFG</v>
          </cell>
          <cell r="B13">
            <v>2008</v>
          </cell>
          <cell r="C13" t="str">
            <v>pvgdp_services</v>
          </cell>
          <cell r="D13">
            <v>307216.75</v>
          </cell>
        </row>
        <row r="14">
          <cell r="A14" t="str">
            <v>AFG</v>
          </cell>
          <cell r="B14">
            <v>2008</v>
          </cell>
          <cell r="C14" t="str">
            <v>pvgdppc</v>
          </cell>
          <cell r="D14">
            <v>23759.714433505396</v>
          </cell>
        </row>
        <row r="15">
          <cell r="A15" t="str">
            <v>AFG</v>
          </cell>
          <cell r="B15">
            <v>2008</v>
          </cell>
          <cell r="C15" t="str">
            <v>pvpop_total</v>
          </cell>
          <cell r="D15">
            <v>26427198.41003418</v>
          </cell>
        </row>
        <row r="16">
          <cell r="A16" t="str">
            <v>AFG</v>
          </cell>
          <cell r="B16">
            <v>2008</v>
          </cell>
          <cell r="C16" t="str">
            <v>pvpop_1564</v>
          </cell>
          <cell r="D16">
            <v>12807947.445094114</v>
          </cell>
        </row>
        <row r="17">
          <cell r="A17" t="str">
            <v>AFG</v>
          </cell>
          <cell r="B17">
            <v>2008</v>
          </cell>
          <cell r="C17" t="str">
            <v>pvprivpc</v>
          </cell>
          <cell r="D17">
            <v>23608.239334333324</v>
          </cell>
        </row>
        <row r="18">
          <cell r="A18" t="str">
            <v>AFG</v>
          </cell>
          <cell r="B18">
            <v>2009</v>
          </cell>
          <cell r="C18" t="str">
            <v>pvgdp</v>
          </cell>
          <cell r="D18">
            <v>774565.25</v>
          </cell>
        </row>
        <row r="19">
          <cell r="A19" t="str">
            <v>AFG</v>
          </cell>
          <cell r="B19">
            <v>2009</v>
          </cell>
          <cell r="C19" t="str">
            <v>pvgdp_agriculture</v>
          </cell>
          <cell r="D19">
            <v>308119.28125</v>
          </cell>
        </row>
        <row r="20">
          <cell r="A20" t="str">
            <v>AFG</v>
          </cell>
          <cell r="B20">
            <v>2009</v>
          </cell>
          <cell r="C20" t="str">
            <v>pvgdp_industry</v>
          </cell>
          <cell r="D20">
            <v>92373.9921875</v>
          </cell>
        </row>
        <row r="21">
          <cell r="A21" t="str">
            <v>AFG</v>
          </cell>
          <cell r="B21">
            <v>2009</v>
          </cell>
          <cell r="C21" t="str">
            <v>pvgdp_services</v>
          </cell>
          <cell r="D21">
            <v>352852.125</v>
          </cell>
        </row>
        <row r="22">
          <cell r="A22" t="str">
            <v>AFG</v>
          </cell>
          <cell r="B22">
            <v>2009</v>
          </cell>
          <cell r="C22" t="str">
            <v>pvgdppc</v>
          </cell>
          <cell r="D22">
            <v>28283.971444069241</v>
          </cell>
        </row>
        <row r="23">
          <cell r="A23" t="str">
            <v>AFG</v>
          </cell>
          <cell r="B23">
            <v>2009</v>
          </cell>
          <cell r="C23" t="str">
            <v>pvpop_total</v>
          </cell>
          <cell r="D23">
            <v>27385307.312011719</v>
          </cell>
        </row>
        <row r="24">
          <cell r="A24" t="str">
            <v>AFG</v>
          </cell>
          <cell r="B24">
            <v>2009</v>
          </cell>
          <cell r="C24" t="str">
            <v>pvpop_1564</v>
          </cell>
          <cell r="D24">
            <v>13371766.599354802</v>
          </cell>
        </row>
        <row r="25">
          <cell r="A25" t="str">
            <v>AFG</v>
          </cell>
          <cell r="B25">
            <v>2009</v>
          </cell>
          <cell r="C25" t="str">
            <v>pvprivpc</v>
          </cell>
          <cell r="D25">
            <v>24911.446756004476</v>
          </cell>
        </row>
        <row r="26">
          <cell r="A26" t="str">
            <v>AFG</v>
          </cell>
          <cell r="B26">
            <v>2010</v>
          </cell>
          <cell r="C26" t="str">
            <v>pvgdp</v>
          </cell>
          <cell r="D26">
            <v>836729.875</v>
          </cell>
        </row>
        <row r="27">
          <cell r="A27" t="str">
            <v>AFG</v>
          </cell>
          <cell r="B27">
            <v>2010</v>
          </cell>
          <cell r="C27" t="str">
            <v>pvgdp_agriculture</v>
          </cell>
          <cell r="D27">
            <v>288476.28125</v>
          </cell>
        </row>
        <row r="28">
          <cell r="A28" t="str">
            <v>AFG</v>
          </cell>
          <cell r="B28">
            <v>2010</v>
          </cell>
          <cell r="C28" t="str">
            <v>pvgdp_industry</v>
          </cell>
          <cell r="D28">
            <v>98166.3984375</v>
          </cell>
        </row>
        <row r="29">
          <cell r="A29" t="str">
            <v>AFG</v>
          </cell>
          <cell r="B29">
            <v>2010</v>
          </cell>
          <cell r="C29" t="str">
            <v>pvgdp_services</v>
          </cell>
          <cell r="D29">
            <v>416306.84375</v>
          </cell>
        </row>
        <row r="30">
          <cell r="A30" t="str">
            <v>AFG</v>
          </cell>
          <cell r="B30">
            <v>2010</v>
          </cell>
          <cell r="C30" t="str">
            <v>pvgdppc</v>
          </cell>
          <cell r="D30">
            <v>29682.142489867896</v>
          </cell>
        </row>
        <row r="31">
          <cell r="A31" t="str">
            <v>AFG</v>
          </cell>
          <cell r="B31">
            <v>2010</v>
          </cell>
          <cell r="C31" t="str">
            <v>pvpop_total</v>
          </cell>
          <cell r="D31">
            <v>28189672.470092773</v>
          </cell>
        </row>
        <row r="32">
          <cell r="A32" t="str">
            <v>AFG</v>
          </cell>
          <cell r="B32">
            <v>2010</v>
          </cell>
          <cell r="C32" t="str">
            <v>pvpop_1564</v>
          </cell>
          <cell r="D32">
            <v>13876663.713059727</v>
          </cell>
        </row>
        <row r="33">
          <cell r="A33" t="str">
            <v>AFG</v>
          </cell>
          <cell r="B33">
            <v>2010</v>
          </cell>
          <cell r="C33" t="str">
            <v>pvprivpc</v>
          </cell>
          <cell r="D33">
            <v>25100.739490701551</v>
          </cell>
        </row>
        <row r="34">
          <cell r="A34" t="str">
            <v>AFG</v>
          </cell>
          <cell r="B34">
            <v>2011</v>
          </cell>
          <cell r="C34" t="str">
            <v>pvgdp</v>
          </cell>
          <cell r="D34">
            <v>904302.8125</v>
          </cell>
        </row>
        <row r="35">
          <cell r="A35" t="str">
            <v>AFG</v>
          </cell>
          <cell r="B35">
            <v>2011</v>
          </cell>
          <cell r="C35" t="str">
            <v>pvgdp_agriculture</v>
          </cell>
          <cell r="D35">
            <v>266574.21875</v>
          </cell>
        </row>
        <row r="36">
          <cell r="A36" t="str">
            <v>AFG</v>
          </cell>
          <cell r="B36">
            <v>2011</v>
          </cell>
          <cell r="C36" t="str">
            <v>pvgdp_industry</v>
          </cell>
          <cell r="D36">
            <v>107794.234375</v>
          </cell>
        </row>
        <row r="37">
          <cell r="A37" t="str">
            <v>AFG</v>
          </cell>
          <cell r="B37">
            <v>2011</v>
          </cell>
          <cell r="C37" t="str">
            <v>pvgdp_services</v>
          </cell>
          <cell r="D37">
            <v>492721.65625</v>
          </cell>
        </row>
        <row r="38">
          <cell r="A38" t="str">
            <v>AFG</v>
          </cell>
          <cell r="B38">
            <v>2011</v>
          </cell>
          <cell r="C38" t="str">
            <v>pvgdppc</v>
          </cell>
          <cell r="D38">
            <v>30917.22657124736</v>
          </cell>
        </row>
        <row r="39">
          <cell r="A39" t="str">
            <v>AFG</v>
          </cell>
          <cell r="B39">
            <v>2011</v>
          </cell>
          <cell r="C39" t="str">
            <v>pvpop_total</v>
          </cell>
          <cell r="D39">
            <v>29249156.951904297</v>
          </cell>
        </row>
        <row r="40">
          <cell r="A40" t="str">
            <v>AFG</v>
          </cell>
          <cell r="B40">
            <v>2011</v>
          </cell>
          <cell r="C40" t="str">
            <v>pvpop_1564</v>
          </cell>
          <cell r="D40">
            <v>14518714.669619819</v>
          </cell>
        </row>
        <row r="41">
          <cell r="A41" t="str">
            <v>AFG</v>
          </cell>
          <cell r="B41">
            <v>2011</v>
          </cell>
          <cell r="C41" t="str">
            <v>pvprivpc</v>
          </cell>
          <cell r="D41">
            <v>25393.148551983955</v>
          </cell>
        </row>
        <row r="42">
          <cell r="A42" t="str">
            <v>AFG</v>
          </cell>
          <cell r="B42">
            <v>2012</v>
          </cell>
          <cell r="C42" t="str">
            <v>pvgdp</v>
          </cell>
          <cell r="D42">
            <v>1092200.25</v>
          </cell>
        </row>
        <row r="43">
          <cell r="A43" t="str">
            <v>AFG</v>
          </cell>
          <cell r="B43">
            <v>2012</v>
          </cell>
          <cell r="C43" t="str">
            <v>pvgdp_agriculture</v>
          </cell>
          <cell r="D43">
            <v>315156.8125</v>
          </cell>
        </row>
        <row r="44">
          <cell r="A44" t="str">
            <v>AFG</v>
          </cell>
          <cell r="B44">
            <v>2012</v>
          </cell>
          <cell r="C44" t="str">
            <v>pvgdp_industry</v>
          </cell>
          <cell r="D44">
            <v>114686.671875</v>
          </cell>
        </row>
        <row r="45">
          <cell r="A45" t="str">
            <v>AFG</v>
          </cell>
          <cell r="B45">
            <v>2012</v>
          </cell>
          <cell r="C45" t="str">
            <v>pvgdp_services</v>
          </cell>
          <cell r="D45">
            <v>614843.5625</v>
          </cell>
        </row>
        <row r="46">
          <cell r="A46" t="str">
            <v>AFG</v>
          </cell>
          <cell r="B46">
            <v>2012</v>
          </cell>
          <cell r="C46" t="str">
            <v>pvgdppc</v>
          </cell>
          <cell r="D46">
            <v>35849.245112362834</v>
          </cell>
        </row>
        <row r="47">
          <cell r="A47" t="str">
            <v>AFG</v>
          </cell>
          <cell r="B47">
            <v>2012</v>
          </cell>
          <cell r="C47" t="str">
            <v>pvpop_total</v>
          </cell>
          <cell r="D47">
            <v>30466478.34777832</v>
          </cell>
        </row>
        <row r="48">
          <cell r="A48" t="str">
            <v>AFG</v>
          </cell>
          <cell r="B48">
            <v>2012</v>
          </cell>
          <cell r="C48" t="str">
            <v>pvpop_1564</v>
          </cell>
          <cell r="D48">
            <v>15250539.049889592</v>
          </cell>
        </row>
        <row r="49">
          <cell r="A49" t="str">
            <v>AFG</v>
          </cell>
          <cell r="B49">
            <v>2012</v>
          </cell>
          <cell r="C49" t="str">
            <v>pvprivpc</v>
          </cell>
          <cell r="D49">
            <v>29642.94854465374</v>
          </cell>
        </row>
        <row r="50">
          <cell r="A50" t="str">
            <v>AFG</v>
          </cell>
          <cell r="B50">
            <v>2013</v>
          </cell>
          <cell r="C50" t="str">
            <v>pvgdp</v>
          </cell>
          <cell r="D50">
            <v>1150839.5</v>
          </cell>
        </row>
        <row r="51">
          <cell r="A51" t="str">
            <v>AFG</v>
          </cell>
          <cell r="B51">
            <v>2013</v>
          </cell>
          <cell r="C51" t="str">
            <v>pvgdp_agriculture</v>
          </cell>
          <cell r="D51">
            <v>315173.40625</v>
          </cell>
        </row>
        <row r="52">
          <cell r="A52" t="str">
            <v>AFG</v>
          </cell>
          <cell r="B52">
            <v>2013</v>
          </cell>
          <cell r="C52" t="str">
            <v>pvgdp_industry</v>
          </cell>
          <cell r="D52">
            <v>120490.953125</v>
          </cell>
        </row>
        <row r="53">
          <cell r="A53" t="str">
            <v>AFG</v>
          </cell>
          <cell r="B53">
            <v>2013</v>
          </cell>
          <cell r="C53" t="str">
            <v>pvgdp_services</v>
          </cell>
          <cell r="D53">
            <v>662964.625</v>
          </cell>
        </row>
        <row r="54">
          <cell r="A54" t="str">
            <v>AFG</v>
          </cell>
          <cell r="B54">
            <v>2013</v>
          </cell>
          <cell r="C54" t="str">
            <v>pvgdppc</v>
          </cell>
          <cell r="D54">
            <v>36486.855235547024</v>
          </cell>
        </row>
        <row r="55">
          <cell r="A55" t="str">
            <v>AFG</v>
          </cell>
          <cell r="B55">
            <v>2013</v>
          </cell>
          <cell r="C55" t="str">
            <v>pvpop_total</v>
          </cell>
          <cell r="D55">
            <v>31541208.267211914</v>
          </cell>
        </row>
        <row r="56">
          <cell r="A56" t="str">
            <v>AFG</v>
          </cell>
          <cell r="B56">
            <v>2013</v>
          </cell>
          <cell r="C56" t="str">
            <v>pvpop_1564</v>
          </cell>
          <cell r="D56">
            <v>15924791.74581</v>
          </cell>
        </row>
        <row r="57">
          <cell r="A57" t="str">
            <v>AFG</v>
          </cell>
          <cell r="B57">
            <v>2013</v>
          </cell>
          <cell r="C57" t="str">
            <v>pvprivpc</v>
          </cell>
          <cell r="D57">
            <v>33060.89065027998</v>
          </cell>
        </row>
        <row r="58">
          <cell r="A58" t="str">
            <v>AFG</v>
          </cell>
          <cell r="B58">
            <v>2014</v>
          </cell>
          <cell r="C58" t="str">
            <v>pvgdp</v>
          </cell>
          <cell r="D58">
            <v>1179889.375</v>
          </cell>
        </row>
        <row r="59">
          <cell r="A59" t="str">
            <v>AFG</v>
          </cell>
          <cell r="B59">
            <v>2014</v>
          </cell>
          <cell r="C59" t="str">
            <v>pvgdp_agriculture</v>
          </cell>
          <cell r="D59">
            <v>314856</v>
          </cell>
        </row>
        <row r="60">
          <cell r="A60" t="str">
            <v>AFG</v>
          </cell>
          <cell r="B60">
            <v>2014</v>
          </cell>
          <cell r="C60" t="str">
            <v>pvgdp_industry</v>
          </cell>
          <cell r="D60">
            <v>123823.46875</v>
          </cell>
        </row>
        <row r="61">
          <cell r="A61" t="str">
            <v>AFG</v>
          </cell>
          <cell r="B61">
            <v>2014</v>
          </cell>
          <cell r="C61" t="str">
            <v>pvgdp_services</v>
          </cell>
          <cell r="D61">
            <v>692997.9375</v>
          </cell>
        </row>
        <row r="62">
          <cell r="A62" t="str">
            <v>AFG</v>
          </cell>
          <cell r="B62">
            <v>2014</v>
          </cell>
          <cell r="C62" t="str">
            <v>pvgdppc</v>
          </cell>
          <cell r="D62">
            <v>36064.366753346818</v>
          </cell>
        </row>
        <row r="63">
          <cell r="A63" t="str">
            <v>AFG</v>
          </cell>
          <cell r="B63">
            <v>2014</v>
          </cell>
          <cell r="C63" t="str">
            <v>pvpop_total</v>
          </cell>
          <cell r="D63">
            <v>32716209.411621094</v>
          </cell>
        </row>
        <row r="64">
          <cell r="A64" t="str">
            <v>AFG</v>
          </cell>
          <cell r="B64">
            <v>2014</v>
          </cell>
          <cell r="C64" t="str">
            <v>pvpop_1564</v>
          </cell>
          <cell r="D64">
            <v>16662495.685659675</v>
          </cell>
        </row>
        <row r="65">
          <cell r="A65" t="str">
            <v>AFG</v>
          </cell>
          <cell r="B65">
            <v>2014</v>
          </cell>
          <cell r="C65" t="str">
            <v>pvprivpc</v>
          </cell>
          <cell r="D65">
            <v>34350.445702942903</v>
          </cell>
        </row>
        <row r="66">
          <cell r="A66" t="str">
            <v>AFG</v>
          </cell>
          <cell r="B66">
            <v>2015</v>
          </cell>
          <cell r="C66" t="str">
            <v>pvgdp</v>
          </cell>
          <cell r="D66">
            <v>1187297.5</v>
          </cell>
        </row>
        <row r="67">
          <cell r="A67" t="str">
            <v>AFG</v>
          </cell>
          <cell r="B67">
            <v>2015</v>
          </cell>
          <cell r="C67" t="str">
            <v>pvgdp_agriculture</v>
          </cell>
          <cell r="D67">
            <v>297043.90625</v>
          </cell>
        </row>
        <row r="68">
          <cell r="A68" t="str">
            <v>AFG</v>
          </cell>
          <cell r="B68">
            <v>2015</v>
          </cell>
          <cell r="C68" t="str">
            <v>pvgdp_industry</v>
          </cell>
          <cell r="D68">
            <v>128988.296875</v>
          </cell>
        </row>
        <row r="69">
          <cell r="A69" t="str">
            <v>AFG</v>
          </cell>
          <cell r="B69">
            <v>2015</v>
          </cell>
          <cell r="C69" t="str">
            <v>pvgdp_services</v>
          </cell>
          <cell r="D69">
            <v>707794.1875</v>
          </cell>
        </row>
        <row r="70">
          <cell r="A70" t="str">
            <v>AFG</v>
          </cell>
          <cell r="B70">
            <v>2015</v>
          </cell>
          <cell r="C70" t="str">
            <v>pvgdppc</v>
          </cell>
          <cell r="D70">
            <v>35175.539355289169</v>
          </cell>
        </row>
        <row r="71">
          <cell r="A71" t="str">
            <v>AFG</v>
          </cell>
          <cell r="B71">
            <v>2015</v>
          </cell>
          <cell r="C71" t="str">
            <v>pvpop_total</v>
          </cell>
          <cell r="D71">
            <v>33753498.077392578</v>
          </cell>
        </row>
        <row r="72">
          <cell r="A72" t="str">
            <v>AFG</v>
          </cell>
          <cell r="B72">
            <v>2015</v>
          </cell>
          <cell r="C72" t="str">
            <v>pvpop_1564</v>
          </cell>
          <cell r="D72">
            <v>17343886.620363299</v>
          </cell>
        </row>
        <row r="73">
          <cell r="A73" t="str">
            <v>AFG</v>
          </cell>
          <cell r="B73">
            <v>2015</v>
          </cell>
          <cell r="C73" t="str">
            <v>pvprivpc</v>
          </cell>
          <cell r="D73">
            <v>36052.178124170387</v>
          </cell>
        </row>
        <row r="74">
          <cell r="A74" t="str">
            <v>AFG</v>
          </cell>
          <cell r="B74">
            <v>2016</v>
          </cell>
          <cell r="C74" t="str">
            <v>pvgdp</v>
          </cell>
          <cell r="D74">
            <v>1222916.875</v>
          </cell>
        </row>
        <row r="75">
          <cell r="A75" t="str">
            <v>AFG</v>
          </cell>
          <cell r="B75">
            <v>2016</v>
          </cell>
          <cell r="C75" t="str">
            <v>pvgdp_agriculture</v>
          </cell>
          <cell r="D75">
            <v>314782.65625</v>
          </cell>
        </row>
        <row r="76">
          <cell r="A76" t="str">
            <v>AFG</v>
          </cell>
          <cell r="B76">
            <v>2016</v>
          </cell>
          <cell r="C76" t="str">
            <v>pvgdp_industry</v>
          </cell>
          <cell r="D76">
            <v>128000.359375</v>
          </cell>
        </row>
        <row r="77">
          <cell r="A77" t="str">
            <v>AFG</v>
          </cell>
          <cell r="B77">
            <v>2016</v>
          </cell>
          <cell r="C77" t="str">
            <v>pvgdp_services</v>
          </cell>
          <cell r="D77">
            <v>721804.875</v>
          </cell>
        </row>
        <row r="78">
          <cell r="A78" t="str">
            <v>AFG</v>
          </cell>
          <cell r="B78">
            <v>2016</v>
          </cell>
          <cell r="C78" t="str">
            <v>pvgdppc</v>
          </cell>
          <cell r="D78">
            <v>35307.470431207112</v>
          </cell>
        </row>
        <row r="79">
          <cell r="A79" t="str">
            <v>AFG</v>
          </cell>
          <cell r="B79">
            <v>2016</v>
          </cell>
          <cell r="C79" t="str">
            <v>pvpop_total</v>
          </cell>
          <cell r="D79">
            <v>34636207.580566406</v>
          </cell>
        </row>
        <row r="80">
          <cell r="A80" t="str">
            <v>AFG</v>
          </cell>
          <cell r="B80">
            <v>2016</v>
          </cell>
          <cell r="C80" t="str">
            <v>pvpop_1564</v>
          </cell>
          <cell r="D80">
            <v>17956467.782087121</v>
          </cell>
        </row>
        <row r="81">
          <cell r="A81" t="str">
            <v>AFG</v>
          </cell>
          <cell r="B81">
            <v>2016</v>
          </cell>
          <cell r="C81" t="str">
            <v>pvprivpc</v>
          </cell>
          <cell r="D81">
            <v>33797.767763027616</v>
          </cell>
        </row>
        <row r="82">
          <cell r="A82" t="str">
            <v>AFG</v>
          </cell>
          <cell r="B82">
            <v>2017</v>
          </cell>
          <cell r="C82" t="str">
            <v>pvgdp</v>
          </cell>
          <cell r="D82">
            <v>1255287.5</v>
          </cell>
        </row>
        <row r="83">
          <cell r="A83" t="str">
            <v>AFG</v>
          </cell>
          <cell r="B83">
            <v>2017</v>
          </cell>
          <cell r="C83" t="str">
            <v>pvgdp_agriculture</v>
          </cell>
          <cell r="D83">
            <v>334963.53125</v>
          </cell>
        </row>
        <row r="84">
          <cell r="A84" t="str">
            <v>AFG</v>
          </cell>
          <cell r="B84">
            <v>2017</v>
          </cell>
          <cell r="C84" t="str">
            <v>pvgdp_industry</v>
          </cell>
          <cell r="D84">
            <v>139785.078125</v>
          </cell>
        </row>
        <row r="85">
          <cell r="A85" t="str">
            <v>AFG</v>
          </cell>
          <cell r="B85">
            <v>2017</v>
          </cell>
          <cell r="C85" t="str">
            <v>pvgdp_services</v>
          </cell>
          <cell r="D85">
            <v>716878.25</v>
          </cell>
        </row>
        <row r="86">
          <cell r="A86" t="str">
            <v>AFG</v>
          </cell>
          <cell r="B86">
            <v>2017</v>
          </cell>
          <cell r="C86" t="str">
            <v>pvgdppc</v>
          </cell>
          <cell r="D86">
            <v>35217.93343713224</v>
          </cell>
        </row>
        <row r="87">
          <cell r="A87" t="str">
            <v>AFG</v>
          </cell>
          <cell r="B87">
            <v>2017</v>
          </cell>
          <cell r="C87" t="str">
            <v>pvpop_total</v>
          </cell>
          <cell r="D87">
            <v>35643417.358398438</v>
          </cell>
        </row>
        <row r="88">
          <cell r="A88" t="str">
            <v>AFG</v>
          </cell>
          <cell r="B88">
            <v>2017</v>
          </cell>
          <cell r="C88" t="str">
            <v>pvpop_1564</v>
          </cell>
          <cell r="D88">
            <v>18632831.114524838</v>
          </cell>
        </row>
        <row r="89">
          <cell r="A89" t="str">
            <v>AFG</v>
          </cell>
          <cell r="B89">
            <v>2017</v>
          </cell>
          <cell r="C89" t="str">
            <v>pvprivpc</v>
          </cell>
          <cell r="D89">
            <v>33992.142583222849</v>
          </cell>
        </row>
        <row r="90">
          <cell r="A90" t="str">
            <v>AFG</v>
          </cell>
          <cell r="B90">
            <v>2018</v>
          </cell>
          <cell r="C90" t="str">
            <v>pvgdp</v>
          </cell>
          <cell r="D90">
            <v>1270215.75</v>
          </cell>
        </row>
        <row r="91">
          <cell r="A91" t="str">
            <v>AFG</v>
          </cell>
          <cell r="B91">
            <v>2018</v>
          </cell>
          <cell r="C91" t="str">
            <v>pvgdp_agriculture</v>
          </cell>
          <cell r="D91">
            <v>320173.875</v>
          </cell>
        </row>
        <row r="92">
          <cell r="A92" t="str">
            <v>AFG</v>
          </cell>
          <cell r="B92">
            <v>2018</v>
          </cell>
          <cell r="C92" t="str">
            <v>pvgdp_industry</v>
          </cell>
          <cell r="D92">
            <v>155265.78125</v>
          </cell>
        </row>
        <row r="93">
          <cell r="A93" t="str">
            <v>AFG</v>
          </cell>
          <cell r="B93">
            <v>2018</v>
          </cell>
          <cell r="C93" t="str">
            <v>pvgdp_services</v>
          </cell>
          <cell r="D93">
            <v>730772.5625</v>
          </cell>
        </row>
        <row r="94">
          <cell r="A94" t="str">
            <v>AFG</v>
          </cell>
          <cell r="B94">
            <v>2018</v>
          </cell>
          <cell r="C94" t="str">
            <v>pvgdppc</v>
          </cell>
          <cell r="D94">
            <v>34623.252620611776</v>
          </cell>
        </row>
        <row r="95">
          <cell r="A95" t="str">
            <v>AFG</v>
          </cell>
          <cell r="B95">
            <v>2018</v>
          </cell>
          <cell r="C95" t="str">
            <v>pvpop_total</v>
          </cell>
          <cell r="D95">
            <v>36686782.836914063</v>
          </cell>
        </row>
        <row r="96">
          <cell r="A96" t="str">
            <v>AFG</v>
          </cell>
          <cell r="B96">
            <v>2018</v>
          </cell>
          <cell r="C96" t="str">
            <v>pvpop_1564</v>
          </cell>
          <cell r="D96">
            <v>19324129.038007356</v>
          </cell>
        </row>
        <row r="97">
          <cell r="A97" t="str">
            <v>AFG</v>
          </cell>
          <cell r="B97">
            <v>2018</v>
          </cell>
          <cell r="C97" t="str">
            <v>pvprivpc</v>
          </cell>
          <cell r="D97">
            <v>36319.578795535512</v>
          </cell>
        </row>
        <row r="98">
          <cell r="A98" t="str">
            <v>AFG</v>
          </cell>
          <cell r="B98">
            <v>2019</v>
          </cell>
          <cell r="C98" t="str">
            <v>pvgdp</v>
          </cell>
          <cell r="D98">
            <v>1319901.625</v>
          </cell>
        </row>
        <row r="99">
          <cell r="A99" t="str">
            <v>AFG</v>
          </cell>
          <cell r="B99">
            <v>2019</v>
          </cell>
          <cell r="C99" t="str">
            <v>pvgdp_agriculture</v>
          </cell>
          <cell r="D99">
            <v>376075.65625</v>
          </cell>
        </row>
        <row r="100">
          <cell r="A100" t="str">
            <v>AFG</v>
          </cell>
          <cell r="B100">
            <v>2019</v>
          </cell>
          <cell r="C100" t="str">
            <v>pvgdp_industry</v>
          </cell>
          <cell r="D100">
            <v>162794.421875</v>
          </cell>
        </row>
        <row r="101">
          <cell r="A101" t="str">
            <v>AFG</v>
          </cell>
          <cell r="B101">
            <v>2019</v>
          </cell>
          <cell r="C101" t="str">
            <v>pvgdp_services</v>
          </cell>
          <cell r="D101">
            <v>720646</v>
          </cell>
        </row>
        <row r="102">
          <cell r="A102" t="str">
            <v>AFG</v>
          </cell>
          <cell r="B102">
            <v>2019</v>
          </cell>
          <cell r="C102" t="str">
            <v>pvgdppc</v>
          </cell>
          <cell r="D102">
            <v>34946.229084436316</v>
          </cell>
        </row>
        <row r="103">
          <cell r="A103" t="str">
            <v>AFG</v>
          </cell>
          <cell r="B103">
            <v>2019</v>
          </cell>
          <cell r="C103" t="str">
            <v>pvpop_total</v>
          </cell>
          <cell r="D103">
            <v>37769500.732421875</v>
          </cell>
        </row>
        <row r="104">
          <cell r="A104" t="str">
            <v>AFG</v>
          </cell>
          <cell r="B104">
            <v>2019</v>
          </cell>
          <cell r="C104" t="str">
            <v>pvpop_1564</v>
          </cell>
          <cell r="D104">
            <v>20035592.534088761</v>
          </cell>
        </row>
        <row r="105">
          <cell r="A105" t="str">
            <v>AFG</v>
          </cell>
          <cell r="B105">
            <v>2019</v>
          </cell>
          <cell r="C105" t="str">
            <v>pvprivpc</v>
          </cell>
          <cell r="D105">
            <v>34572.855734867662</v>
          </cell>
        </row>
        <row r="106">
          <cell r="A106" t="str">
            <v>AFG</v>
          </cell>
          <cell r="B106">
            <v>2020</v>
          </cell>
          <cell r="C106" t="str">
            <v>pvgdp</v>
          </cell>
          <cell r="D106">
            <v>1294955.375</v>
          </cell>
        </row>
        <row r="107">
          <cell r="A107" t="str">
            <v>AFG</v>
          </cell>
          <cell r="B107">
            <v>2020</v>
          </cell>
          <cell r="C107" t="str">
            <v>pvgdp_agriculture</v>
          </cell>
          <cell r="D107">
            <v>395443.5625</v>
          </cell>
        </row>
        <row r="108">
          <cell r="A108" t="str">
            <v>AFG</v>
          </cell>
          <cell r="B108">
            <v>2020</v>
          </cell>
          <cell r="C108" t="str">
            <v>pvgdp_industry</v>
          </cell>
          <cell r="D108">
            <v>155566.34375</v>
          </cell>
        </row>
        <row r="109">
          <cell r="A109" t="str">
            <v>AFG</v>
          </cell>
          <cell r="B109">
            <v>2020</v>
          </cell>
          <cell r="C109" t="str">
            <v>pvgdp_services</v>
          </cell>
          <cell r="D109">
            <v>685154.5625</v>
          </cell>
        </row>
        <row r="110">
          <cell r="A110" t="str">
            <v>AFG</v>
          </cell>
          <cell r="B110">
            <v>2020</v>
          </cell>
          <cell r="C110" t="str">
            <v>pvgdppc</v>
          </cell>
          <cell r="D110">
            <v>33227.644609965842</v>
          </cell>
        </row>
        <row r="111">
          <cell r="A111" t="str">
            <v>AFG</v>
          </cell>
          <cell r="B111">
            <v>2020</v>
          </cell>
          <cell r="C111" t="str">
            <v>pvpop_total</v>
          </cell>
          <cell r="D111">
            <v>38972229.00390625</v>
          </cell>
        </row>
        <row r="112">
          <cell r="A112" t="str">
            <v>AFG</v>
          </cell>
          <cell r="B112">
            <v>2020</v>
          </cell>
          <cell r="C112" t="str">
            <v>pvpop_1564</v>
          </cell>
          <cell r="D112">
            <v>20813182.007917248</v>
          </cell>
        </row>
        <row r="113">
          <cell r="A113" t="str">
            <v>AFG</v>
          </cell>
          <cell r="B113">
            <v>2020</v>
          </cell>
          <cell r="C113" t="str">
            <v>pvprivpc</v>
          </cell>
          <cell r="D113">
            <v>32266.177920538245</v>
          </cell>
        </row>
        <row r="114">
          <cell r="A114" t="str">
            <v>AFG</v>
          </cell>
          <cell r="B114">
            <v>2021</v>
          </cell>
          <cell r="C114" t="str">
            <v>pvgdp</v>
          </cell>
          <cell r="D114">
            <v>1308034.5</v>
          </cell>
        </row>
        <row r="115">
          <cell r="A115" t="str">
            <v>AFG</v>
          </cell>
          <cell r="B115">
            <v>2021</v>
          </cell>
          <cell r="C115" t="str">
            <v>pvgdp_agriculture</v>
          </cell>
          <cell r="D115">
            <v>389353.71875</v>
          </cell>
        </row>
        <row r="116">
          <cell r="A116" t="str">
            <v>AFG</v>
          </cell>
          <cell r="B116">
            <v>2021</v>
          </cell>
          <cell r="C116" t="str">
            <v>pvgdp_industry</v>
          </cell>
          <cell r="D116">
            <v>158599.890625</v>
          </cell>
        </row>
        <row r="117">
          <cell r="A117" t="str">
            <v>AFG</v>
          </cell>
          <cell r="B117">
            <v>2021</v>
          </cell>
          <cell r="C117" t="str">
            <v>pvgdp_services</v>
          </cell>
          <cell r="D117">
            <v>700696.125</v>
          </cell>
        </row>
        <row r="118">
          <cell r="A118" t="str">
            <v>AFG</v>
          </cell>
          <cell r="B118">
            <v>2021</v>
          </cell>
          <cell r="C118" t="str">
            <v>pvgdppc</v>
          </cell>
          <cell r="D118">
            <v>32619.752993412279</v>
          </cell>
        </row>
        <row r="119">
          <cell r="A119" t="str">
            <v>AFG</v>
          </cell>
          <cell r="B119">
            <v>2021</v>
          </cell>
          <cell r="C119" t="str">
            <v>pvpop_total</v>
          </cell>
          <cell r="D119">
            <v>40099460.601806641</v>
          </cell>
        </row>
        <row r="120">
          <cell r="A120" t="str">
            <v>AFG</v>
          </cell>
          <cell r="B120">
            <v>2021</v>
          </cell>
          <cell r="C120" t="str">
            <v>pvpop_1564</v>
          </cell>
          <cell r="D120">
            <v>21549179.550265539</v>
          </cell>
        </row>
        <row r="121">
          <cell r="A121" t="str">
            <v>AFG</v>
          </cell>
          <cell r="B121">
            <v>2021</v>
          </cell>
          <cell r="C121" t="str">
            <v>pvprivpc</v>
          </cell>
          <cell r="D121">
            <v>31829.533511044174</v>
          </cell>
        </row>
        <row r="122">
          <cell r="A122" t="str">
            <v>AFG</v>
          </cell>
          <cell r="B122">
            <v>2022</v>
          </cell>
          <cell r="C122" t="str">
            <v>pvgdp</v>
          </cell>
          <cell r="D122">
            <v>1342305</v>
          </cell>
        </row>
        <row r="123">
          <cell r="A123" t="str">
            <v>AFG</v>
          </cell>
          <cell r="B123">
            <v>2022</v>
          </cell>
          <cell r="C123" t="str">
            <v>pvgdp_agriculture</v>
          </cell>
          <cell r="D123">
            <v>404733.1875</v>
          </cell>
        </row>
        <row r="124">
          <cell r="A124" t="str">
            <v>AFG</v>
          </cell>
          <cell r="B124">
            <v>2022</v>
          </cell>
          <cell r="C124" t="str">
            <v>pvgdp_industry</v>
          </cell>
          <cell r="D124">
            <v>161771.890625</v>
          </cell>
        </row>
        <row r="125">
          <cell r="A125" t="str">
            <v>AFG</v>
          </cell>
          <cell r="B125">
            <v>2022</v>
          </cell>
          <cell r="C125" t="str">
            <v>pvgdp_services</v>
          </cell>
          <cell r="D125">
            <v>714859.25</v>
          </cell>
        </row>
        <row r="126">
          <cell r="A126" t="str">
            <v>AFG</v>
          </cell>
          <cell r="B126">
            <v>2022</v>
          </cell>
          <cell r="C126" t="str">
            <v>pvgdppc</v>
          </cell>
          <cell r="D126">
            <v>32636.641229955199</v>
          </cell>
        </row>
        <row r="127">
          <cell r="A127" t="str">
            <v>AFG</v>
          </cell>
          <cell r="B127">
            <v>2022</v>
          </cell>
          <cell r="C127" t="str">
            <v>pvpop_total</v>
          </cell>
          <cell r="D127">
            <v>41128772.735595703</v>
          </cell>
        </row>
        <row r="128">
          <cell r="A128" t="str">
            <v>AFG</v>
          </cell>
          <cell r="B128">
            <v>2022</v>
          </cell>
          <cell r="C128" t="str">
            <v>pvpop_1564</v>
          </cell>
          <cell r="D128">
            <v>22236277.641274061</v>
          </cell>
        </row>
        <row r="129">
          <cell r="A129" t="str">
            <v>AFG</v>
          </cell>
          <cell r="B129">
            <v>2022</v>
          </cell>
          <cell r="C129" t="str">
            <v>pvprivpc</v>
          </cell>
          <cell r="D129">
            <v>31963.940024454489</v>
          </cell>
        </row>
        <row r="130">
          <cell r="A130" t="str">
            <v>AFG</v>
          </cell>
          <cell r="B130">
            <v>2023</v>
          </cell>
          <cell r="C130" t="str">
            <v>pvgdp</v>
          </cell>
          <cell r="D130">
            <v>1383111</v>
          </cell>
        </row>
        <row r="131">
          <cell r="A131" t="str">
            <v>AFG</v>
          </cell>
          <cell r="B131">
            <v>2023</v>
          </cell>
          <cell r="C131" t="str">
            <v>pvgdp_agriculture</v>
          </cell>
          <cell r="D131">
            <v>422743.8125</v>
          </cell>
        </row>
        <row r="132">
          <cell r="A132" t="str">
            <v>AFG</v>
          </cell>
          <cell r="B132">
            <v>2023</v>
          </cell>
          <cell r="C132" t="str">
            <v>pvgdp_industry</v>
          </cell>
          <cell r="D132">
            <v>164926.4375</v>
          </cell>
        </row>
        <row r="133">
          <cell r="A133" t="str">
            <v>AFG</v>
          </cell>
          <cell r="B133">
            <v>2023</v>
          </cell>
          <cell r="C133" t="str">
            <v>pvgdp_services</v>
          </cell>
          <cell r="D133">
            <v>732647.5625</v>
          </cell>
        </row>
        <row r="134">
          <cell r="A134" t="str">
            <v>AFG</v>
          </cell>
          <cell r="B134">
            <v>2023</v>
          </cell>
          <cell r="C134" t="str">
            <v>pvgdppc</v>
          </cell>
          <cell r="D134">
            <v>32744.219140671426</v>
          </cell>
        </row>
        <row r="135">
          <cell r="A135" t="str">
            <v>AFG</v>
          </cell>
          <cell r="B135">
            <v>2023</v>
          </cell>
          <cell r="C135" t="str">
            <v>pvpop_total</v>
          </cell>
          <cell r="D135">
            <v>42239852.905273438</v>
          </cell>
        </row>
        <row r="136">
          <cell r="A136" t="str">
            <v>AFG</v>
          </cell>
          <cell r="B136">
            <v>2023</v>
          </cell>
          <cell r="C136" t="str">
            <v>pvpop_1564</v>
          </cell>
          <cell r="D136">
            <v>22976899.62312407</v>
          </cell>
        </row>
        <row r="137">
          <cell r="A137" t="str">
            <v>AFG</v>
          </cell>
          <cell r="B137">
            <v>2023</v>
          </cell>
          <cell r="C137" t="str">
            <v>pvprivpc</v>
          </cell>
          <cell r="D137">
            <v>32212.467170550433</v>
          </cell>
        </row>
        <row r="138">
          <cell r="A138" t="str">
            <v>AFG</v>
          </cell>
          <cell r="B138">
            <v>2024</v>
          </cell>
          <cell r="C138" t="str">
            <v>pvgdp</v>
          </cell>
          <cell r="D138">
            <v>1425157.625</v>
          </cell>
        </row>
        <row r="139">
          <cell r="A139" t="str">
            <v>AFG</v>
          </cell>
          <cell r="B139">
            <v>2024</v>
          </cell>
          <cell r="C139" t="str">
            <v>pvgdp_agriculture</v>
          </cell>
          <cell r="D139">
            <v>441555.9375</v>
          </cell>
        </row>
        <row r="140">
          <cell r="A140" t="str">
            <v>AFG</v>
          </cell>
          <cell r="B140">
            <v>2024</v>
          </cell>
          <cell r="C140" t="str">
            <v>pvgdp_industry</v>
          </cell>
          <cell r="D140">
            <v>168142.5</v>
          </cell>
        </row>
        <row r="141">
          <cell r="A141" t="str">
            <v>AFG</v>
          </cell>
          <cell r="B141">
            <v>2024</v>
          </cell>
          <cell r="C141" t="str">
            <v>pvgdp_services</v>
          </cell>
          <cell r="D141">
            <v>750757.0625</v>
          </cell>
        </row>
        <row r="142">
          <cell r="A142" t="str">
            <v>AFG</v>
          </cell>
          <cell r="B142">
            <v>2024</v>
          </cell>
          <cell r="C142" t="str">
            <v>pvgdppc</v>
          </cell>
          <cell r="D142">
            <v>32858.211753270174</v>
          </cell>
        </row>
        <row r="143">
          <cell r="A143" t="str">
            <v>AFG</v>
          </cell>
          <cell r="B143">
            <v>2024</v>
          </cell>
          <cell r="C143" t="str">
            <v>pvpop_total</v>
          </cell>
          <cell r="D143">
            <v>43372951.507568359</v>
          </cell>
        </row>
        <row r="144">
          <cell r="A144" t="str">
            <v>AFG</v>
          </cell>
          <cell r="B144">
            <v>2024</v>
          </cell>
          <cell r="C144" t="str">
            <v>pvpop_1564</v>
          </cell>
          <cell r="D144">
            <v>23730002.955638818</v>
          </cell>
        </row>
        <row r="145">
          <cell r="A145" t="str">
            <v>AFG</v>
          </cell>
          <cell r="B145">
            <v>2024</v>
          </cell>
          <cell r="C145" t="str">
            <v>pvprivpc</v>
          </cell>
          <cell r="D145">
            <v>32468.913828800967</v>
          </cell>
        </row>
        <row r="146">
          <cell r="A146" t="str">
            <v>AFG</v>
          </cell>
          <cell r="B146">
            <v>2025</v>
          </cell>
          <cell r="C146" t="str">
            <v>pvgdp</v>
          </cell>
          <cell r="D146">
            <v>1468482.375</v>
          </cell>
        </row>
        <row r="147">
          <cell r="A147" t="str">
            <v>AFG</v>
          </cell>
          <cell r="B147">
            <v>2025</v>
          </cell>
          <cell r="C147" t="str">
            <v>pvgdp_agriculture</v>
          </cell>
          <cell r="D147">
            <v>461205.15625</v>
          </cell>
        </row>
        <row r="148">
          <cell r="A148" t="str">
            <v>AFG</v>
          </cell>
          <cell r="B148">
            <v>2025</v>
          </cell>
          <cell r="C148" t="str">
            <v>pvgdp_industry</v>
          </cell>
          <cell r="D148">
            <v>171421.28125</v>
          </cell>
        </row>
        <row r="149">
          <cell r="A149" t="str">
            <v>AFG</v>
          </cell>
          <cell r="B149">
            <v>2025</v>
          </cell>
          <cell r="C149" t="str">
            <v>pvgdp_services</v>
          </cell>
          <cell r="D149">
            <v>769186.875</v>
          </cell>
        </row>
        <row r="150">
          <cell r="A150" t="str">
            <v>AFG</v>
          </cell>
          <cell r="B150">
            <v>2025</v>
          </cell>
          <cell r="C150" t="str">
            <v>pvgdppc</v>
          </cell>
          <cell r="D150">
            <v>32987.89667877453</v>
          </cell>
        </row>
        <row r="151">
          <cell r="A151" t="str">
            <v>AFG</v>
          </cell>
          <cell r="B151">
            <v>2025</v>
          </cell>
          <cell r="C151" t="str">
            <v>pvpop_total</v>
          </cell>
          <cell r="D151">
            <v>44515792.846679688</v>
          </cell>
        </row>
        <row r="152">
          <cell r="A152" t="str">
            <v>AFG</v>
          </cell>
          <cell r="B152">
            <v>2025</v>
          </cell>
          <cell r="C152" t="str">
            <v>pvpop_1564</v>
          </cell>
          <cell r="D152">
            <v>24489694.398045532</v>
          </cell>
        </row>
        <row r="153">
          <cell r="A153" t="str">
            <v>AFG</v>
          </cell>
          <cell r="B153">
            <v>2025</v>
          </cell>
          <cell r="C153" t="str">
            <v>pvprivpc</v>
          </cell>
          <cell r="D153">
            <v>32742.587670405057</v>
          </cell>
        </row>
        <row r="154">
          <cell r="A154" t="str">
            <v>AFG</v>
          </cell>
          <cell r="B154">
            <v>2026</v>
          </cell>
          <cell r="C154" t="str">
            <v>pvgdp</v>
          </cell>
          <cell r="D154">
            <v>1513124.25</v>
          </cell>
        </row>
        <row r="155">
          <cell r="A155" t="str">
            <v>AFG</v>
          </cell>
          <cell r="B155">
            <v>2026</v>
          </cell>
          <cell r="C155" t="str">
            <v>pvgdp_agriculture</v>
          </cell>
          <cell r="D155">
            <v>481728.78125</v>
          </cell>
        </row>
        <row r="156">
          <cell r="A156" t="str">
            <v>AFG</v>
          </cell>
          <cell r="B156">
            <v>2026</v>
          </cell>
          <cell r="C156" t="str">
            <v>pvgdp_industry</v>
          </cell>
          <cell r="D156">
            <v>174764</v>
          </cell>
        </row>
        <row r="157">
          <cell r="A157" t="str">
            <v>AFG</v>
          </cell>
          <cell r="B157">
            <v>2026</v>
          </cell>
          <cell r="C157" t="str">
            <v>pvgdp_services</v>
          </cell>
          <cell r="D157">
            <v>787935.625</v>
          </cell>
        </row>
        <row r="158">
          <cell r="A158" t="str">
            <v>AFG</v>
          </cell>
          <cell r="B158">
            <v>2026</v>
          </cell>
          <cell r="C158" t="str">
            <v>pvgdppc</v>
          </cell>
          <cell r="D158">
            <v>33133.467390231148</v>
          </cell>
        </row>
        <row r="159">
          <cell r="A159" t="str">
            <v>AFG</v>
          </cell>
          <cell r="B159">
            <v>2026</v>
          </cell>
          <cell r="C159" t="str">
            <v>pvpop_total</v>
          </cell>
          <cell r="D159">
            <v>45667549.133300781</v>
          </cell>
        </row>
        <row r="160">
          <cell r="A160" t="str">
            <v>AFG</v>
          </cell>
          <cell r="B160">
            <v>2026</v>
          </cell>
          <cell r="C160" t="str">
            <v>pvpop_1564</v>
          </cell>
          <cell r="D160">
            <v>25268253.854480054</v>
          </cell>
        </row>
        <row r="161">
          <cell r="A161" t="str">
            <v>AFG</v>
          </cell>
          <cell r="B161">
            <v>2026</v>
          </cell>
          <cell r="C161" t="str">
            <v>pvprivpc</v>
          </cell>
          <cell r="D161">
            <v>33033.891759694758</v>
          </cell>
        </row>
        <row r="162">
          <cell r="A162" t="str">
            <v>BGD</v>
          </cell>
          <cell r="B162">
            <v>2007</v>
          </cell>
          <cell r="C162" t="str">
            <v>pvgdp</v>
          </cell>
          <cell r="D162">
            <v>12132113</v>
          </cell>
        </row>
        <row r="163">
          <cell r="A163" t="str">
            <v>BGD</v>
          </cell>
          <cell r="B163">
            <v>2007</v>
          </cell>
          <cell r="C163" t="str">
            <v>pvgdp_agriculture</v>
          </cell>
          <cell r="D163">
            <v>2174364.75</v>
          </cell>
        </row>
        <row r="164">
          <cell r="A164" t="str">
            <v>BGD</v>
          </cell>
          <cell r="B164">
            <v>2007</v>
          </cell>
          <cell r="C164" t="str">
            <v>pvgdp_industry</v>
          </cell>
          <cell r="D164">
            <v>2968767.25</v>
          </cell>
        </row>
        <row r="165">
          <cell r="A165" t="str">
            <v>BGD</v>
          </cell>
          <cell r="B165">
            <v>2007</v>
          </cell>
          <cell r="C165" t="str">
            <v>pvgdp_services</v>
          </cell>
          <cell r="D165">
            <v>6347065</v>
          </cell>
        </row>
        <row r="166">
          <cell r="A166" t="str">
            <v>BGD</v>
          </cell>
          <cell r="B166">
            <v>2007</v>
          </cell>
          <cell r="C166" t="str">
            <v>pvgdppc</v>
          </cell>
          <cell r="D166">
            <v>84171.324331445809</v>
          </cell>
        </row>
        <row r="167">
          <cell r="A167" t="str">
            <v>BGD</v>
          </cell>
          <cell r="B167">
            <v>2007</v>
          </cell>
          <cell r="C167" t="str">
            <v>pvpop_total</v>
          </cell>
          <cell r="D167">
            <v>144135940.55175781</v>
          </cell>
        </row>
        <row r="168">
          <cell r="A168" t="str">
            <v>BGD</v>
          </cell>
          <cell r="B168">
            <v>2007</v>
          </cell>
          <cell r="C168" t="str">
            <v>pvpop_1564</v>
          </cell>
          <cell r="D168">
            <v>87934801.125852808</v>
          </cell>
        </row>
        <row r="169">
          <cell r="A169" t="str">
            <v>BGD</v>
          </cell>
          <cell r="B169">
            <v>2007</v>
          </cell>
          <cell r="C169" t="str">
            <v>pvprivpc</v>
          </cell>
          <cell r="D169">
            <v>65504.571336318622</v>
          </cell>
        </row>
        <row r="170">
          <cell r="A170" t="str">
            <v>BGD</v>
          </cell>
          <cell r="B170">
            <v>2008</v>
          </cell>
          <cell r="C170" t="str">
            <v>pvgdp</v>
          </cell>
          <cell r="D170">
            <v>12861713</v>
          </cell>
        </row>
        <row r="171">
          <cell r="A171" t="str">
            <v>BGD</v>
          </cell>
          <cell r="B171">
            <v>2008</v>
          </cell>
          <cell r="C171" t="str">
            <v>pvgdp_agriculture</v>
          </cell>
          <cell r="D171">
            <v>2272078</v>
          </cell>
        </row>
        <row r="172">
          <cell r="A172" t="str">
            <v>BGD</v>
          </cell>
          <cell r="B172">
            <v>2008</v>
          </cell>
          <cell r="C172" t="str">
            <v>pvgdp_industry</v>
          </cell>
          <cell r="D172">
            <v>3177576.5</v>
          </cell>
        </row>
        <row r="173">
          <cell r="A173" t="str">
            <v>BGD</v>
          </cell>
          <cell r="B173">
            <v>2008</v>
          </cell>
          <cell r="C173" t="str">
            <v>pvgdp_services</v>
          </cell>
          <cell r="D173">
            <v>6712807.5</v>
          </cell>
        </row>
        <row r="174">
          <cell r="A174" t="str">
            <v>BGD</v>
          </cell>
          <cell r="B174">
            <v>2008</v>
          </cell>
          <cell r="C174" t="str">
            <v>pvgdppc</v>
          </cell>
          <cell r="D174">
            <v>88444.485628883194</v>
          </cell>
        </row>
        <row r="175">
          <cell r="A175" t="str">
            <v>BGD</v>
          </cell>
          <cell r="B175">
            <v>2008</v>
          </cell>
          <cell r="C175" t="str">
            <v>pvpop_total</v>
          </cell>
          <cell r="D175">
            <v>145421310.42480469</v>
          </cell>
        </row>
        <row r="176">
          <cell r="A176" t="str">
            <v>BGD</v>
          </cell>
          <cell r="B176">
            <v>2008</v>
          </cell>
          <cell r="C176" t="str">
            <v>pvpop_1564</v>
          </cell>
          <cell r="D176">
            <v>89032171.927895412</v>
          </cell>
        </row>
        <row r="177">
          <cell r="A177" t="str">
            <v>BGD</v>
          </cell>
          <cell r="B177">
            <v>2008</v>
          </cell>
          <cell r="C177" t="str">
            <v>pvprivpc</v>
          </cell>
          <cell r="D177">
            <v>67509.809747426407</v>
          </cell>
        </row>
        <row r="178">
          <cell r="A178" t="str">
            <v>BGD</v>
          </cell>
          <cell r="B178">
            <v>2009</v>
          </cell>
          <cell r="C178" t="str">
            <v>pvgdp</v>
          </cell>
          <cell r="D178">
            <v>13510602</v>
          </cell>
        </row>
        <row r="179">
          <cell r="A179" t="str">
            <v>BGD</v>
          </cell>
          <cell r="B179">
            <v>2009</v>
          </cell>
          <cell r="C179" t="str">
            <v>pvgdp_agriculture</v>
          </cell>
          <cell r="D179">
            <v>2350830.25</v>
          </cell>
        </row>
        <row r="180">
          <cell r="A180" t="str">
            <v>BGD</v>
          </cell>
          <cell r="B180">
            <v>2009</v>
          </cell>
          <cell r="C180" t="str">
            <v>pvgdp_industry</v>
          </cell>
          <cell r="D180">
            <v>3397247.75</v>
          </cell>
        </row>
        <row r="181">
          <cell r="A181" t="str">
            <v>BGD</v>
          </cell>
          <cell r="B181">
            <v>2009</v>
          </cell>
          <cell r="C181" t="str">
            <v>pvgdp_services</v>
          </cell>
          <cell r="D181">
            <v>7053816</v>
          </cell>
        </row>
        <row r="182">
          <cell r="A182" t="str">
            <v>BGD</v>
          </cell>
          <cell r="B182">
            <v>2009</v>
          </cell>
          <cell r="C182" t="str">
            <v>pvgdppc</v>
          </cell>
          <cell r="D182">
            <v>92092.529976042628</v>
          </cell>
        </row>
        <row r="183">
          <cell r="A183" t="str">
            <v>BGD</v>
          </cell>
          <cell r="B183">
            <v>2009</v>
          </cell>
          <cell r="C183" t="str">
            <v>pvpop_total</v>
          </cell>
          <cell r="D183">
            <v>146706817.62695313</v>
          </cell>
        </row>
        <row r="184">
          <cell r="A184" t="str">
            <v>BGD</v>
          </cell>
          <cell r="B184">
            <v>2009</v>
          </cell>
          <cell r="C184" t="str">
            <v>pvpop_1564</v>
          </cell>
          <cell r="D184">
            <v>90168370.448801965</v>
          </cell>
        </row>
        <row r="185">
          <cell r="A185" t="str">
            <v>BGD</v>
          </cell>
          <cell r="B185">
            <v>2009</v>
          </cell>
          <cell r="C185" t="str">
            <v>pvprivpc</v>
          </cell>
          <cell r="D185">
            <v>68451.84949438239</v>
          </cell>
        </row>
        <row r="186">
          <cell r="A186" t="str">
            <v>BGD</v>
          </cell>
          <cell r="B186">
            <v>2010</v>
          </cell>
          <cell r="C186" t="str">
            <v>pvgdp</v>
          </cell>
          <cell r="D186">
            <v>14263386</v>
          </cell>
        </row>
        <row r="187">
          <cell r="A187" t="str">
            <v>BGD</v>
          </cell>
          <cell r="B187">
            <v>2010</v>
          </cell>
          <cell r="C187" t="str">
            <v>pvgdp_agriculture</v>
          </cell>
          <cell r="D187">
            <v>2495452</v>
          </cell>
        </row>
        <row r="188">
          <cell r="A188" t="str">
            <v>BGD</v>
          </cell>
          <cell r="B188">
            <v>2010</v>
          </cell>
          <cell r="C188" t="str">
            <v>pvgdp_industry</v>
          </cell>
          <cell r="D188">
            <v>3636149.25</v>
          </cell>
        </row>
        <row r="189">
          <cell r="A189" t="str">
            <v>BGD</v>
          </cell>
          <cell r="B189">
            <v>2010</v>
          </cell>
          <cell r="C189" t="str">
            <v>pvgdp_services</v>
          </cell>
          <cell r="D189">
            <v>7443809.5</v>
          </cell>
        </row>
        <row r="190">
          <cell r="A190" t="str">
            <v>BGD</v>
          </cell>
          <cell r="B190">
            <v>2010</v>
          </cell>
          <cell r="C190" t="str">
            <v>pvgdppc</v>
          </cell>
          <cell r="D190">
            <v>96120.197168482511</v>
          </cell>
        </row>
        <row r="191">
          <cell r="A191" t="str">
            <v>BGD</v>
          </cell>
          <cell r="B191">
            <v>2010</v>
          </cell>
          <cell r="C191" t="str">
            <v>pvpop_total</v>
          </cell>
          <cell r="D191">
            <v>148391143.79882813</v>
          </cell>
        </row>
        <row r="192">
          <cell r="A192" t="str">
            <v>BGD</v>
          </cell>
          <cell r="B192">
            <v>2010</v>
          </cell>
          <cell r="C192" t="str">
            <v>pvpop_1564</v>
          </cell>
          <cell r="D192">
            <v>91617182.706115514</v>
          </cell>
        </row>
        <row r="193">
          <cell r="A193" t="str">
            <v>BGD</v>
          </cell>
          <cell r="B193">
            <v>2010</v>
          </cell>
          <cell r="C193" t="str">
            <v>pvprivpc</v>
          </cell>
          <cell r="D193">
            <v>70790.653209339012</v>
          </cell>
        </row>
        <row r="194">
          <cell r="A194" t="str">
            <v>BGD</v>
          </cell>
          <cell r="B194">
            <v>2011</v>
          </cell>
          <cell r="C194" t="str">
            <v>pvgdp</v>
          </cell>
          <cell r="D194">
            <v>15185426</v>
          </cell>
        </row>
        <row r="195">
          <cell r="A195" t="str">
            <v>BGD</v>
          </cell>
          <cell r="B195">
            <v>2011</v>
          </cell>
          <cell r="C195" t="str">
            <v>pvgdp_agriculture</v>
          </cell>
          <cell r="D195">
            <v>2606658.5</v>
          </cell>
        </row>
        <row r="196">
          <cell r="A196" t="str">
            <v>BGD</v>
          </cell>
          <cell r="B196">
            <v>2011</v>
          </cell>
          <cell r="C196" t="str">
            <v>pvgdp_industry</v>
          </cell>
          <cell r="D196">
            <v>3964098.25</v>
          </cell>
        </row>
        <row r="197">
          <cell r="A197" t="str">
            <v>BGD</v>
          </cell>
          <cell r="B197">
            <v>2011</v>
          </cell>
          <cell r="C197" t="str">
            <v>pvgdp_services</v>
          </cell>
          <cell r="D197">
            <v>7906563</v>
          </cell>
        </row>
        <row r="198">
          <cell r="A198" t="str">
            <v>BGD</v>
          </cell>
          <cell r="B198">
            <v>2011</v>
          </cell>
          <cell r="C198" t="str">
            <v>pvgdppc</v>
          </cell>
          <cell r="D198">
            <v>101093.96880446085</v>
          </cell>
        </row>
        <row r="199">
          <cell r="A199" t="str">
            <v>BGD</v>
          </cell>
          <cell r="B199">
            <v>2011</v>
          </cell>
          <cell r="C199" t="str">
            <v>pvpop_total</v>
          </cell>
          <cell r="D199">
            <v>150210998.53515625</v>
          </cell>
        </row>
        <row r="200">
          <cell r="A200" t="str">
            <v>BGD</v>
          </cell>
          <cell r="B200">
            <v>2011</v>
          </cell>
          <cell r="C200" t="str">
            <v>pvpop_1564</v>
          </cell>
          <cell r="D200">
            <v>93242027.351999596</v>
          </cell>
        </row>
        <row r="201">
          <cell r="A201" t="str">
            <v>BGD</v>
          </cell>
          <cell r="B201">
            <v>2011</v>
          </cell>
          <cell r="C201" t="str">
            <v>pvprivpc</v>
          </cell>
          <cell r="D201">
            <v>74472.828947887028</v>
          </cell>
        </row>
        <row r="202">
          <cell r="A202" t="str">
            <v>BGD</v>
          </cell>
          <cell r="B202">
            <v>2012</v>
          </cell>
          <cell r="C202" t="str">
            <v>pvgdp</v>
          </cell>
          <cell r="D202">
            <v>16175734</v>
          </cell>
        </row>
        <row r="203">
          <cell r="A203" t="str">
            <v>BGD</v>
          </cell>
          <cell r="B203">
            <v>2012</v>
          </cell>
          <cell r="C203" t="str">
            <v>pvgdp_agriculture</v>
          </cell>
          <cell r="D203">
            <v>2685230.25</v>
          </cell>
        </row>
        <row r="204">
          <cell r="A204" t="str">
            <v>BGD</v>
          </cell>
          <cell r="B204">
            <v>2012</v>
          </cell>
          <cell r="C204" t="str">
            <v>pvgdp_industry</v>
          </cell>
          <cell r="D204">
            <v>4338134.5</v>
          </cell>
        </row>
        <row r="205">
          <cell r="A205" t="str">
            <v>BGD</v>
          </cell>
          <cell r="B205">
            <v>2012</v>
          </cell>
          <cell r="C205" t="str">
            <v>pvgdp_services</v>
          </cell>
          <cell r="D205">
            <v>8426503</v>
          </cell>
        </row>
        <row r="206">
          <cell r="A206" t="str">
            <v>BGD</v>
          </cell>
          <cell r="B206">
            <v>2012</v>
          </cell>
          <cell r="C206" t="str">
            <v>pvgdppc</v>
          </cell>
          <cell r="D206">
            <v>106355.87222321378</v>
          </cell>
        </row>
        <row r="207">
          <cell r="A207" t="str">
            <v>BGD</v>
          </cell>
          <cell r="B207">
            <v>2012</v>
          </cell>
          <cell r="C207" t="str">
            <v>pvpop_total</v>
          </cell>
          <cell r="D207">
            <v>152090652.46582031</v>
          </cell>
        </row>
        <row r="208">
          <cell r="A208" t="str">
            <v>BGD</v>
          </cell>
          <cell r="B208">
            <v>2012</v>
          </cell>
          <cell r="C208" t="str">
            <v>pvpop_1564</v>
          </cell>
          <cell r="D208">
            <v>95032996.379623935</v>
          </cell>
        </row>
        <row r="209">
          <cell r="A209" t="str">
            <v>BGD</v>
          </cell>
          <cell r="B209">
            <v>2012</v>
          </cell>
          <cell r="C209" t="str">
            <v>pvprivpc</v>
          </cell>
          <cell r="D209">
            <v>76578.572128996762</v>
          </cell>
        </row>
        <row r="210">
          <cell r="A210" t="str">
            <v>BGD</v>
          </cell>
          <cell r="B210">
            <v>2013</v>
          </cell>
          <cell r="C210" t="str">
            <v>pvgdp</v>
          </cell>
          <cell r="D210">
            <v>17148478</v>
          </cell>
        </row>
        <row r="211">
          <cell r="A211" t="str">
            <v>BGD</v>
          </cell>
          <cell r="B211">
            <v>2013</v>
          </cell>
          <cell r="C211" t="str">
            <v>pvgdp_agriculture</v>
          </cell>
          <cell r="D211">
            <v>2751418.25</v>
          </cell>
        </row>
        <row r="212">
          <cell r="A212" t="str">
            <v>BGD</v>
          </cell>
          <cell r="B212">
            <v>2013</v>
          </cell>
          <cell r="C212" t="str">
            <v>pvgdp_industry</v>
          </cell>
          <cell r="D212">
            <v>4756303</v>
          </cell>
        </row>
        <row r="213">
          <cell r="A213" t="str">
            <v>BGD</v>
          </cell>
          <cell r="B213">
            <v>2013</v>
          </cell>
          <cell r="C213" t="str">
            <v>pvgdp_services</v>
          </cell>
          <cell r="D213">
            <v>8891154</v>
          </cell>
        </row>
        <row r="214">
          <cell r="A214" t="str">
            <v>BGD</v>
          </cell>
          <cell r="B214">
            <v>2013</v>
          </cell>
          <cell r="C214" t="str">
            <v>pvgdppc</v>
          </cell>
          <cell r="D214">
            <v>111331.96680376747</v>
          </cell>
        </row>
        <row r="215">
          <cell r="A215" t="str">
            <v>BGD</v>
          </cell>
          <cell r="B215">
            <v>2013</v>
          </cell>
          <cell r="C215" t="str">
            <v>pvpop_total</v>
          </cell>
          <cell r="D215">
            <v>154030136.10839844</v>
          </cell>
        </row>
        <row r="216">
          <cell r="A216" t="str">
            <v>BGD</v>
          </cell>
          <cell r="B216">
            <v>2013</v>
          </cell>
          <cell r="C216" t="str">
            <v>pvpop_1564</v>
          </cell>
          <cell r="D216">
            <v>96961134.320974708</v>
          </cell>
        </row>
        <row r="217">
          <cell r="A217" t="str">
            <v>BGD</v>
          </cell>
          <cell r="B217">
            <v>2013</v>
          </cell>
          <cell r="C217" t="str">
            <v>pvprivpc</v>
          </cell>
          <cell r="D217">
            <v>79491.385967374968</v>
          </cell>
        </row>
        <row r="218">
          <cell r="A218" t="str">
            <v>BGD</v>
          </cell>
          <cell r="B218">
            <v>2014</v>
          </cell>
          <cell r="C218" t="str">
            <v>pvgdp</v>
          </cell>
          <cell r="D218">
            <v>18187862</v>
          </cell>
        </row>
        <row r="219">
          <cell r="A219" t="str">
            <v>BGD</v>
          </cell>
          <cell r="B219">
            <v>2014</v>
          </cell>
          <cell r="C219" t="str">
            <v>pvgdp_agriculture</v>
          </cell>
          <cell r="D219">
            <v>2871706.5</v>
          </cell>
        </row>
        <row r="220">
          <cell r="A220" t="str">
            <v>BGD</v>
          </cell>
          <cell r="B220">
            <v>2014</v>
          </cell>
          <cell r="C220" t="str">
            <v>pvgdp_industry</v>
          </cell>
          <cell r="D220">
            <v>5144418</v>
          </cell>
        </row>
        <row r="221">
          <cell r="A221" t="str">
            <v>BGD</v>
          </cell>
          <cell r="B221">
            <v>2014</v>
          </cell>
          <cell r="C221" t="str">
            <v>pvgdp_services</v>
          </cell>
          <cell r="D221">
            <v>9391224</v>
          </cell>
        </row>
        <row r="222">
          <cell r="A222" t="str">
            <v>BGD</v>
          </cell>
          <cell r="B222">
            <v>2014</v>
          </cell>
          <cell r="C222" t="str">
            <v>pvgdppc</v>
          </cell>
          <cell r="D222">
            <v>116617.78638186962</v>
          </cell>
        </row>
        <row r="223">
          <cell r="A223" t="str">
            <v>BGD</v>
          </cell>
          <cell r="B223">
            <v>2014</v>
          </cell>
          <cell r="C223" t="str">
            <v>pvpop_total</v>
          </cell>
          <cell r="D223">
            <v>155961303.7109375</v>
          </cell>
        </row>
        <row r="224">
          <cell r="A224" t="str">
            <v>BGD</v>
          </cell>
          <cell r="B224">
            <v>2014</v>
          </cell>
          <cell r="C224" t="str">
            <v>pvpop_1564</v>
          </cell>
          <cell r="D224">
            <v>98937367.533575624</v>
          </cell>
        </row>
        <row r="225">
          <cell r="A225" t="str">
            <v>BGD</v>
          </cell>
          <cell r="B225">
            <v>2014</v>
          </cell>
          <cell r="C225" t="str">
            <v>pvprivpc</v>
          </cell>
          <cell r="D225">
            <v>81651.76679724647</v>
          </cell>
        </row>
        <row r="226">
          <cell r="A226" t="str">
            <v>BGD</v>
          </cell>
          <cell r="B226">
            <v>2015</v>
          </cell>
          <cell r="C226" t="str">
            <v>pvgdp</v>
          </cell>
          <cell r="D226">
            <v>19379648</v>
          </cell>
        </row>
        <row r="227">
          <cell r="A227" t="str">
            <v>BGD</v>
          </cell>
          <cell r="B227">
            <v>2015</v>
          </cell>
          <cell r="C227" t="str">
            <v>pvgdp_agriculture</v>
          </cell>
          <cell r="D227">
            <v>2967288</v>
          </cell>
        </row>
        <row r="228">
          <cell r="A228" t="str">
            <v>BGD</v>
          </cell>
          <cell r="B228">
            <v>2015</v>
          </cell>
          <cell r="C228" t="str">
            <v>pvgdp_industry</v>
          </cell>
          <cell r="D228">
            <v>5641724</v>
          </cell>
        </row>
        <row r="229">
          <cell r="A229" t="str">
            <v>BGD</v>
          </cell>
          <cell r="B229">
            <v>2015</v>
          </cell>
          <cell r="C229" t="str">
            <v>pvgdp_services</v>
          </cell>
          <cell r="D229">
            <v>9936015</v>
          </cell>
        </row>
        <row r="230">
          <cell r="A230" t="str">
            <v>BGD</v>
          </cell>
          <cell r="B230">
            <v>2015</v>
          </cell>
          <cell r="C230" t="str">
            <v>pvgdppc</v>
          </cell>
          <cell r="D230">
            <v>122788.11236880347</v>
          </cell>
        </row>
        <row r="231">
          <cell r="A231" t="str">
            <v>BGD</v>
          </cell>
          <cell r="B231">
            <v>2015</v>
          </cell>
          <cell r="C231" t="str">
            <v>pvpop_total</v>
          </cell>
          <cell r="D231">
            <v>157830001.83105469</v>
          </cell>
        </row>
        <row r="232">
          <cell r="A232" t="str">
            <v>BGD</v>
          </cell>
          <cell r="B232">
            <v>2015</v>
          </cell>
          <cell r="C232" t="str">
            <v>pvpop_1564</v>
          </cell>
          <cell r="D232">
            <v>100877136.91455023</v>
          </cell>
        </row>
        <row r="233">
          <cell r="A233" t="str">
            <v>BGD</v>
          </cell>
          <cell r="B233">
            <v>2015</v>
          </cell>
          <cell r="C233" t="str">
            <v>pvprivpc</v>
          </cell>
          <cell r="D233">
            <v>85378.564554692886</v>
          </cell>
        </row>
        <row r="234">
          <cell r="A234" t="str">
            <v>BGD</v>
          </cell>
          <cell r="B234">
            <v>2016</v>
          </cell>
          <cell r="C234" t="str">
            <v>pvgdp</v>
          </cell>
          <cell r="D234">
            <v>20758214</v>
          </cell>
        </row>
        <row r="235">
          <cell r="A235" t="str">
            <v>BGD</v>
          </cell>
          <cell r="B235">
            <v>2016</v>
          </cell>
          <cell r="C235" t="str">
            <v>pvgdp_agriculture</v>
          </cell>
          <cell r="D235">
            <v>2795050</v>
          </cell>
        </row>
        <row r="236">
          <cell r="A236" t="str">
            <v>BGD</v>
          </cell>
          <cell r="B236">
            <v>2016</v>
          </cell>
          <cell r="C236" t="str">
            <v>pvgdp_industry</v>
          </cell>
          <cell r="D236">
            <v>6449400</v>
          </cell>
        </row>
        <row r="237">
          <cell r="A237" t="str">
            <v>BGD</v>
          </cell>
          <cell r="B237">
            <v>2016</v>
          </cell>
          <cell r="C237" t="str">
            <v>pvgdp_services</v>
          </cell>
          <cell r="D237">
            <v>10629824</v>
          </cell>
        </row>
        <row r="238">
          <cell r="A238" t="str">
            <v>BGD</v>
          </cell>
          <cell r="B238">
            <v>2016</v>
          </cell>
          <cell r="C238" t="str">
            <v>pvgdppc</v>
          </cell>
          <cell r="D238">
            <v>129913.75303930367</v>
          </cell>
        </row>
        <row r="239">
          <cell r="A239" t="str">
            <v>BGD</v>
          </cell>
          <cell r="B239">
            <v>2016</v>
          </cell>
          <cell r="C239" t="str">
            <v>pvpop_total</v>
          </cell>
          <cell r="D239">
            <v>159784576.41601563</v>
          </cell>
        </row>
        <row r="240">
          <cell r="A240" t="str">
            <v>BGD</v>
          </cell>
          <cell r="B240">
            <v>2016</v>
          </cell>
          <cell r="C240" t="str">
            <v>pvpop_1564</v>
          </cell>
          <cell r="D240">
            <v>102840088.53829403</v>
          </cell>
        </row>
        <row r="241">
          <cell r="A241" t="str">
            <v>BGD</v>
          </cell>
          <cell r="B241">
            <v>2016</v>
          </cell>
          <cell r="C241" t="str">
            <v>pvprivpc</v>
          </cell>
          <cell r="D241">
            <v>86866.09378280885</v>
          </cell>
        </row>
        <row r="242">
          <cell r="A242" t="str">
            <v>BGD</v>
          </cell>
          <cell r="B242">
            <v>2017</v>
          </cell>
          <cell r="C242" t="str">
            <v>pvgdp</v>
          </cell>
          <cell r="D242">
            <v>22126230</v>
          </cell>
        </row>
        <row r="243">
          <cell r="A243" t="str">
            <v>BGD</v>
          </cell>
          <cell r="B243">
            <v>2017</v>
          </cell>
          <cell r="C243" t="str">
            <v>pvgdp_agriculture</v>
          </cell>
          <cell r="D243">
            <v>2884380</v>
          </cell>
        </row>
        <row r="244">
          <cell r="A244" t="str">
            <v>BGD</v>
          </cell>
          <cell r="B244">
            <v>2017</v>
          </cell>
          <cell r="C244" t="str">
            <v>pvgdp_industry</v>
          </cell>
          <cell r="D244">
            <v>6982905</v>
          </cell>
        </row>
        <row r="245">
          <cell r="A245" t="str">
            <v>BGD</v>
          </cell>
          <cell r="B245">
            <v>2017</v>
          </cell>
          <cell r="C245" t="str">
            <v>pvgdp_services</v>
          </cell>
          <cell r="D245">
            <v>11307474</v>
          </cell>
        </row>
        <row r="246">
          <cell r="A246" t="str">
            <v>BGD</v>
          </cell>
          <cell r="B246">
            <v>2017</v>
          </cell>
          <cell r="C246" t="str">
            <v>pvgdppc</v>
          </cell>
          <cell r="D246">
            <v>136755.59904629953</v>
          </cell>
        </row>
        <row r="247">
          <cell r="A247" t="str">
            <v>BGD</v>
          </cell>
          <cell r="B247">
            <v>2017</v>
          </cell>
          <cell r="C247" t="str">
            <v>pvpop_total</v>
          </cell>
          <cell r="D247">
            <v>161793960.57128906</v>
          </cell>
        </row>
        <row r="248">
          <cell r="A248" t="str">
            <v>BGD</v>
          </cell>
          <cell r="B248">
            <v>2017</v>
          </cell>
          <cell r="C248" t="str">
            <v>pvpop_1564</v>
          </cell>
          <cell r="D248">
            <v>104623741.25299525</v>
          </cell>
        </row>
        <row r="249">
          <cell r="A249" t="str">
            <v>BGD</v>
          </cell>
          <cell r="B249">
            <v>2017</v>
          </cell>
          <cell r="C249" t="str">
            <v>pvprivpc</v>
          </cell>
          <cell r="D249">
            <v>91165.392996859766</v>
          </cell>
        </row>
        <row r="250">
          <cell r="A250" t="str">
            <v>BGD</v>
          </cell>
          <cell r="B250">
            <v>2018</v>
          </cell>
          <cell r="C250" t="str">
            <v>pvgdp</v>
          </cell>
          <cell r="D250">
            <v>23745740</v>
          </cell>
        </row>
        <row r="251">
          <cell r="A251" t="str">
            <v>BGD</v>
          </cell>
          <cell r="B251">
            <v>2018</v>
          </cell>
          <cell r="C251" t="str">
            <v>pvgdp_agriculture</v>
          </cell>
          <cell r="D251">
            <v>2986618</v>
          </cell>
        </row>
        <row r="252">
          <cell r="A252" t="str">
            <v>BGD</v>
          </cell>
          <cell r="B252">
            <v>2018</v>
          </cell>
          <cell r="C252" t="str">
            <v>pvgdp_industry</v>
          </cell>
          <cell r="D252">
            <v>7694869</v>
          </cell>
        </row>
        <row r="253">
          <cell r="A253" t="str">
            <v>BGD</v>
          </cell>
          <cell r="B253">
            <v>2018</v>
          </cell>
          <cell r="C253" t="str">
            <v>pvgdp_services</v>
          </cell>
          <cell r="D253">
            <v>12048523</v>
          </cell>
        </row>
        <row r="254">
          <cell r="A254" t="str">
            <v>BGD</v>
          </cell>
          <cell r="B254">
            <v>2018</v>
          </cell>
          <cell r="C254" t="str">
            <v>pvgdppc</v>
          </cell>
          <cell r="D254">
            <v>145070.65937106375</v>
          </cell>
        </row>
        <row r="255">
          <cell r="A255" t="str">
            <v>BGD</v>
          </cell>
          <cell r="B255">
            <v>2018</v>
          </cell>
          <cell r="C255" t="str">
            <v>pvpop_total</v>
          </cell>
          <cell r="D255">
            <v>163683959.9609375</v>
          </cell>
        </row>
        <row r="256">
          <cell r="A256" t="str">
            <v>BGD</v>
          </cell>
          <cell r="B256">
            <v>2018</v>
          </cell>
          <cell r="C256" t="str">
            <v>pvpop_1564</v>
          </cell>
          <cell r="D256">
            <v>106062815.67214502</v>
          </cell>
        </row>
        <row r="257">
          <cell r="A257" t="str">
            <v>BGD</v>
          </cell>
          <cell r="B257">
            <v>2018</v>
          </cell>
          <cell r="C257" t="str">
            <v>pvprivpc</v>
          </cell>
          <cell r="D257">
            <v>98595.250285069938</v>
          </cell>
        </row>
        <row r="258">
          <cell r="A258" t="str">
            <v>BGD</v>
          </cell>
          <cell r="B258">
            <v>2019</v>
          </cell>
          <cell r="C258" t="str">
            <v>pvgdp</v>
          </cell>
          <cell r="D258">
            <v>25617356</v>
          </cell>
        </row>
        <row r="259">
          <cell r="A259" t="str">
            <v>BGD</v>
          </cell>
          <cell r="B259">
            <v>2019</v>
          </cell>
          <cell r="C259" t="str">
            <v>pvgdp_agriculture</v>
          </cell>
          <cell r="D259">
            <v>3083999</v>
          </cell>
        </row>
        <row r="260">
          <cell r="A260" t="str">
            <v>BGD</v>
          </cell>
          <cell r="B260">
            <v>2019</v>
          </cell>
          <cell r="C260" t="str">
            <v>pvgdp_industry</v>
          </cell>
          <cell r="D260">
            <v>8590038</v>
          </cell>
        </row>
        <row r="261">
          <cell r="A261" t="str">
            <v>BGD</v>
          </cell>
          <cell r="B261">
            <v>2019</v>
          </cell>
          <cell r="C261" t="str">
            <v>pvgdp_services</v>
          </cell>
          <cell r="D261">
            <v>12877439</v>
          </cell>
        </row>
        <row r="262">
          <cell r="A262" t="str">
            <v>BGD</v>
          </cell>
          <cell r="B262">
            <v>2019</v>
          </cell>
          <cell r="C262" t="str">
            <v>pvgdppc</v>
          </cell>
          <cell r="D262">
            <v>154772.48082176613</v>
          </cell>
        </row>
        <row r="263">
          <cell r="A263" t="str">
            <v>BGD</v>
          </cell>
          <cell r="B263">
            <v>2019</v>
          </cell>
          <cell r="C263" t="str">
            <v>pvpop_total</v>
          </cell>
          <cell r="D263">
            <v>165516220.09277344</v>
          </cell>
        </row>
        <row r="264">
          <cell r="A264" t="str">
            <v>BGD</v>
          </cell>
          <cell r="B264">
            <v>2019</v>
          </cell>
          <cell r="C264" t="str">
            <v>pvpop_1564</v>
          </cell>
          <cell r="D264">
            <v>107355938.59836897</v>
          </cell>
        </row>
        <row r="265">
          <cell r="A265" t="str">
            <v>BGD</v>
          </cell>
          <cell r="B265">
            <v>2019</v>
          </cell>
          <cell r="C265" t="str">
            <v>pvprivpc</v>
          </cell>
          <cell r="D265">
            <v>102238.02833652815</v>
          </cell>
        </row>
        <row r="266">
          <cell r="A266" t="str">
            <v>BGD</v>
          </cell>
          <cell r="B266">
            <v>2020</v>
          </cell>
          <cell r="C266" t="str">
            <v>pvgdp</v>
          </cell>
          <cell r="D266">
            <v>26500650</v>
          </cell>
        </row>
        <row r="267">
          <cell r="A267" t="str">
            <v>BGD</v>
          </cell>
          <cell r="B267">
            <v>2020</v>
          </cell>
          <cell r="C267" t="str">
            <v>pvgdp_agriculture</v>
          </cell>
          <cell r="D267">
            <v>3189501</v>
          </cell>
        </row>
        <row r="268">
          <cell r="A268" t="str">
            <v>BGD</v>
          </cell>
          <cell r="B268">
            <v>2020</v>
          </cell>
          <cell r="C268" t="str">
            <v>pvgdp_industry</v>
          </cell>
          <cell r="D268">
            <v>8900232</v>
          </cell>
        </row>
        <row r="269">
          <cell r="A269" t="str">
            <v>BGD</v>
          </cell>
          <cell r="B269">
            <v>2020</v>
          </cell>
          <cell r="C269" t="str">
            <v>pvgdp_services</v>
          </cell>
          <cell r="D269">
            <v>13383891</v>
          </cell>
        </row>
        <row r="270">
          <cell r="A270" t="str">
            <v>BGD</v>
          </cell>
          <cell r="B270">
            <v>2020</v>
          </cell>
          <cell r="C270" t="str">
            <v>pvgdppc</v>
          </cell>
          <cell r="D270">
            <v>158287.54355934996</v>
          </cell>
        </row>
        <row r="271">
          <cell r="A271" t="str">
            <v>BGD</v>
          </cell>
          <cell r="B271">
            <v>2020</v>
          </cell>
          <cell r="C271" t="str">
            <v>pvpop_total</v>
          </cell>
          <cell r="D271">
            <v>167420944.21386719</v>
          </cell>
        </row>
        <row r="272">
          <cell r="A272" t="str">
            <v>BGD</v>
          </cell>
          <cell r="B272">
            <v>2020</v>
          </cell>
          <cell r="C272" t="str">
            <v>pvpop_1564</v>
          </cell>
          <cell r="D272">
            <v>108666923.69272308</v>
          </cell>
        </row>
        <row r="273">
          <cell r="A273" t="str">
            <v>BGD</v>
          </cell>
          <cell r="B273">
            <v>2020</v>
          </cell>
          <cell r="C273" t="str">
            <v>pvprivpc</v>
          </cell>
          <cell r="D273">
            <v>104103.88068135368</v>
          </cell>
        </row>
        <row r="274">
          <cell r="A274" t="str">
            <v>BGD</v>
          </cell>
          <cell r="B274">
            <v>2021</v>
          </cell>
          <cell r="C274" t="str">
            <v>pvgdp</v>
          </cell>
          <cell r="D274">
            <v>28339444</v>
          </cell>
        </row>
        <row r="275">
          <cell r="A275" t="str">
            <v>BGD</v>
          </cell>
          <cell r="B275">
            <v>2021</v>
          </cell>
          <cell r="C275" t="str">
            <v>pvgdp_agriculture</v>
          </cell>
          <cell r="D275">
            <v>3290753</v>
          </cell>
        </row>
        <row r="276">
          <cell r="A276" t="str">
            <v>BGD</v>
          </cell>
          <cell r="B276">
            <v>2021</v>
          </cell>
          <cell r="C276" t="str">
            <v>pvgdp_industry</v>
          </cell>
          <cell r="D276">
            <v>9815808</v>
          </cell>
        </row>
        <row r="277">
          <cell r="A277" t="str">
            <v>BGD</v>
          </cell>
          <cell r="B277">
            <v>2021</v>
          </cell>
          <cell r="C277" t="str">
            <v>pvgdp_services</v>
          </cell>
          <cell r="D277">
            <v>14151078</v>
          </cell>
        </row>
        <row r="278">
          <cell r="A278" t="str">
            <v>BGD</v>
          </cell>
          <cell r="B278">
            <v>2021</v>
          </cell>
          <cell r="C278" t="str">
            <v>pvgdppc</v>
          </cell>
          <cell r="D278">
            <v>167336.27787973455</v>
          </cell>
        </row>
        <row r="279">
          <cell r="A279" t="str">
            <v>BGD</v>
          </cell>
          <cell r="B279">
            <v>2021</v>
          </cell>
          <cell r="C279" t="str">
            <v>pvpop_total</v>
          </cell>
          <cell r="D279">
            <v>169356246.94824219</v>
          </cell>
        </row>
        <row r="280">
          <cell r="A280" t="str">
            <v>BGD</v>
          </cell>
          <cell r="B280">
            <v>2021</v>
          </cell>
          <cell r="C280" t="str">
            <v>pvpop_1564</v>
          </cell>
          <cell r="D280">
            <v>109999737.51088156</v>
          </cell>
        </row>
        <row r="281">
          <cell r="A281" t="str">
            <v>BGD</v>
          </cell>
          <cell r="B281">
            <v>2021</v>
          </cell>
          <cell r="C281" t="str">
            <v>pvprivpc</v>
          </cell>
          <cell r="D281">
            <v>111163.30421371211</v>
          </cell>
        </row>
        <row r="282">
          <cell r="A282" t="str">
            <v>BGD</v>
          </cell>
          <cell r="B282">
            <v>2022</v>
          </cell>
          <cell r="C282" t="str">
            <v>pvgdp</v>
          </cell>
          <cell r="D282">
            <v>30351496</v>
          </cell>
        </row>
        <row r="283">
          <cell r="A283" t="str">
            <v>BGD</v>
          </cell>
          <cell r="B283">
            <v>2022</v>
          </cell>
          <cell r="C283" t="str">
            <v>pvgdp_agriculture</v>
          </cell>
          <cell r="D283">
            <v>3391252</v>
          </cell>
        </row>
        <row r="284">
          <cell r="A284" t="str">
            <v>BGD</v>
          </cell>
          <cell r="B284">
            <v>2022</v>
          </cell>
          <cell r="C284" t="str">
            <v>pvgdp_industry</v>
          </cell>
          <cell r="D284">
            <v>10783223</v>
          </cell>
        </row>
        <row r="285">
          <cell r="A285" t="str">
            <v>BGD</v>
          </cell>
          <cell r="B285">
            <v>2022</v>
          </cell>
          <cell r="C285" t="str">
            <v>pvgdp_services</v>
          </cell>
          <cell r="D285">
            <v>15036465</v>
          </cell>
        </row>
        <row r="286">
          <cell r="A286" t="str">
            <v>BGD</v>
          </cell>
          <cell r="B286">
            <v>2022</v>
          </cell>
          <cell r="C286" t="str">
            <v>pvgdppc</v>
          </cell>
          <cell r="D286">
            <v>177300.89054031289</v>
          </cell>
        </row>
        <row r="287">
          <cell r="A287" t="str">
            <v>BGD</v>
          </cell>
          <cell r="B287">
            <v>2022</v>
          </cell>
          <cell r="C287" t="str">
            <v>pvpop_total</v>
          </cell>
          <cell r="D287">
            <v>171186370.84960938</v>
          </cell>
        </row>
        <row r="288">
          <cell r="A288" t="str">
            <v>BGD</v>
          </cell>
          <cell r="B288">
            <v>2022</v>
          </cell>
          <cell r="C288" t="str">
            <v>pvpop_1564</v>
          </cell>
          <cell r="D288">
            <v>111433344.11509103</v>
          </cell>
        </row>
        <row r="289">
          <cell r="A289" t="str">
            <v>BGD</v>
          </cell>
          <cell r="B289">
            <v>2022</v>
          </cell>
          <cell r="C289" t="str">
            <v>pvprivpc</v>
          </cell>
          <cell r="D289">
            <v>118197.16662943772</v>
          </cell>
        </row>
        <row r="290">
          <cell r="A290" t="str">
            <v>BGD</v>
          </cell>
          <cell r="B290">
            <v>2023</v>
          </cell>
          <cell r="C290" t="str">
            <v>pvgdp</v>
          </cell>
          <cell r="D290">
            <v>32104328</v>
          </cell>
        </row>
        <row r="291">
          <cell r="A291" t="str">
            <v>BGD</v>
          </cell>
          <cell r="B291">
            <v>2023</v>
          </cell>
          <cell r="C291" t="str">
            <v>pvgdp_agriculture</v>
          </cell>
          <cell r="D291">
            <v>3505586</v>
          </cell>
        </row>
        <row r="292">
          <cell r="A292" t="str">
            <v>BGD</v>
          </cell>
          <cell r="B292">
            <v>2023</v>
          </cell>
          <cell r="C292" t="str">
            <v>pvgdp_industry</v>
          </cell>
          <cell r="D292">
            <v>11685491</v>
          </cell>
        </row>
        <row r="293">
          <cell r="A293" t="str">
            <v>BGD</v>
          </cell>
          <cell r="B293">
            <v>2023</v>
          </cell>
          <cell r="C293" t="str">
            <v>pvgdp_services</v>
          </cell>
          <cell r="D293">
            <v>15844110</v>
          </cell>
        </row>
        <row r="294">
          <cell r="A294" t="str">
            <v>BGD</v>
          </cell>
          <cell r="B294">
            <v>2023</v>
          </cell>
          <cell r="C294" t="str">
            <v>pvgdppc</v>
          </cell>
          <cell r="D294">
            <v>185623.16855499212</v>
          </cell>
        </row>
        <row r="295">
          <cell r="A295" t="str">
            <v>BGD</v>
          </cell>
          <cell r="B295">
            <v>2023</v>
          </cell>
          <cell r="C295" t="str">
            <v>pvpop_total</v>
          </cell>
          <cell r="D295">
            <v>172954315.18554688</v>
          </cell>
        </row>
        <row r="296">
          <cell r="A296" t="str">
            <v>BGD</v>
          </cell>
          <cell r="B296">
            <v>2023</v>
          </cell>
          <cell r="C296" t="str">
            <v>pvpop_1564</v>
          </cell>
          <cell r="D296">
            <v>112971285.03906578</v>
          </cell>
        </row>
        <row r="297">
          <cell r="A297" t="str">
            <v>BGD</v>
          </cell>
          <cell r="B297">
            <v>2023</v>
          </cell>
          <cell r="C297" t="str">
            <v>pvprivpc</v>
          </cell>
          <cell r="D297">
            <v>119311.13703559342</v>
          </cell>
        </row>
        <row r="298">
          <cell r="A298" t="str">
            <v>BGD</v>
          </cell>
          <cell r="B298">
            <v>2024</v>
          </cell>
          <cell r="C298" t="str">
            <v>pvgdp</v>
          </cell>
          <cell r="D298">
            <v>33915984</v>
          </cell>
        </row>
        <row r="299">
          <cell r="A299" t="str">
            <v>BGD</v>
          </cell>
          <cell r="B299">
            <v>2024</v>
          </cell>
          <cell r="C299" t="str">
            <v>pvgdp_agriculture</v>
          </cell>
          <cell r="D299">
            <v>3614259.25</v>
          </cell>
        </row>
        <row r="300">
          <cell r="A300" t="str">
            <v>BGD</v>
          </cell>
          <cell r="B300">
            <v>2024</v>
          </cell>
          <cell r="C300" t="str">
            <v>pvgdp_industry</v>
          </cell>
          <cell r="D300">
            <v>12456733</v>
          </cell>
        </row>
        <row r="301">
          <cell r="A301" t="str">
            <v>BGD</v>
          </cell>
          <cell r="B301">
            <v>2024</v>
          </cell>
          <cell r="C301" t="str">
            <v>pvgdp_services</v>
          </cell>
          <cell r="D301">
            <v>16737511</v>
          </cell>
        </row>
        <row r="302">
          <cell r="A302" t="str">
            <v>BGD</v>
          </cell>
          <cell r="B302">
            <v>2024</v>
          </cell>
          <cell r="C302" t="str">
            <v>pvgdppc</v>
          </cell>
          <cell r="D302">
            <v>194137.07847006858</v>
          </cell>
        </row>
        <row r="303">
          <cell r="A303" t="str">
            <v>BGD</v>
          </cell>
          <cell r="B303">
            <v>2024</v>
          </cell>
          <cell r="C303" t="str">
            <v>pvpop_total</v>
          </cell>
          <cell r="D303">
            <v>174701217.65136719</v>
          </cell>
        </row>
        <row r="304">
          <cell r="A304" t="str">
            <v>BGD</v>
          </cell>
          <cell r="B304">
            <v>2024</v>
          </cell>
          <cell r="C304" t="str">
            <v>pvpop_1564</v>
          </cell>
          <cell r="D304">
            <v>114451321.21084119</v>
          </cell>
        </row>
        <row r="305">
          <cell r="A305" t="str">
            <v>BGD</v>
          </cell>
          <cell r="B305">
            <v>2024</v>
          </cell>
          <cell r="C305" t="str">
            <v>pvprivpc</v>
          </cell>
          <cell r="D305">
            <v>119771.75821267809</v>
          </cell>
        </row>
        <row r="306">
          <cell r="A306" t="str">
            <v>BGD</v>
          </cell>
          <cell r="B306">
            <v>2025</v>
          </cell>
          <cell r="C306" t="str">
            <v>pvgdp</v>
          </cell>
          <cell r="D306">
            <v>35843096</v>
          </cell>
        </row>
        <row r="307">
          <cell r="A307" t="str">
            <v>BGD</v>
          </cell>
          <cell r="B307">
            <v>2025</v>
          </cell>
          <cell r="C307" t="str">
            <v>pvgdp_agriculture</v>
          </cell>
          <cell r="D307">
            <v>3726301.25</v>
          </cell>
        </row>
        <row r="308">
          <cell r="A308" t="str">
            <v>BGD</v>
          </cell>
          <cell r="B308">
            <v>2025</v>
          </cell>
          <cell r="C308" t="str">
            <v>pvgdp_industry</v>
          </cell>
          <cell r="D308">
            <v>13353618</v>
          </cell>
        </row>
        <row r="309">
          <cell r="A309" t="str">
            <v>BGD</v>
          </cell>
          <cell r="B309">
            <v>2025</v>
          </cell>
          <cell r="C309" t="str">
            <v>pvgdp_services</v>
          </cell>
          <cell r="D309">
            <v>17592770</v>
          </cell>
        </row>
        <row r="310">
          <cell r="A310" t="str">
            <v>BGD</v>
          </cell>
          <cell r="B310">
            <v>2025</v>
          </cell>
          <cell r="C310" t="str">
            <v>pvgdppc</v>
          </cell>
          <cell r="D310">
            <v>203167.38160796266</v>
          </cell>
        </row>
        <row r="311">
          <cell r="A311" t="str">
            <v>BGD</v>
          </cell>
          <cell r="B311">
            <v>2025</v>
          </cell>
          <cell r="C311" t="str">
            <v>pvpop_total</v>
          </cell>
          <cell r="D311">
            <v>176421508.7890625</v>
          </cell>
        </row>
        <row r="312">
          <cell r="A312" t="str">
            <v>BGD</v>
          </cell>
          <cell r="B312">
            <v>2025</v>
          </cell>
          <cell r="C312" t="str">
            <v>pvpop_1564</v>
          </cell>
          <cell r="D312">
            <v>115883938.23328955</v>
          </cell>
        </row>
        <row r="313">
          <cell r="A313" t="str">
            <v>BGD</v>
          </cell>
          <cell r="B313">
            <v>2025</v>
          </cell>
          <cell r="C313" t="str">
            <v>pvprivpc</v>
          </cell>
          <cell r="D313">
            <v>124462.89656355843</v>
          </cell>
        </row>
        <row r="314">
          <cell r="A314" t="str">
            <v>BGD</v>
          </cell>
          <cell r="B314">
            <v>2026</v>
          </cell>
          <cell r="C314" t="str">
            <v>pvgdp</v>
          </cell>
          <cell r="D314">
            <v>37965692</v>
          </cell>
        </row>
        <row r="315">
          <cell r="A315" t="str">
            <v>BGD</v>
          </cell>
          <cell r="B315">
            <v>2026</v>
          </cell>
          <cell r="C315" t="str">
            <v>pvgdp_agriculture</v>
          </cell>
          <cell r="D315">
            <v>3845542.75</v>
          </cell>
        </row>
        <row r="316">
          <cell r="A316" t="str">
            <v>BGD</v>
          </cell>
          <cell r="B316">
            <v>2026</v>
          </cell>
          <cell r="C316" t="str">
            <v>pvgdp_industry</v>
          </cell>
          <cell r="D316">
            <v>14261664</v>
          </cell>
        </row>
        <row r="317">
          <cell r="A317" t="str">
            <v>BGD</v>
          </cell>
          <cell r="B317">
            <v>2026</v>
          </cell>
          <cell r="C317" t="str">
            <v>pvgdp_services</v>
          </cell>
          <cell r="D317">
            <v>18616922</v>
          </cell>
        </row>
        <row r="318">
          <cell r="A318" t="str">
            <v>BGD</v>
          </cell>
          <cell r="B318">
            <v>2026</v>
          </cell>
          <cell r="C318" t="str">
            <v>pvgdppc</v>
          </cell>
          <cell r="D318">
            <v>213163.29673337808</v>
          </cell>
        </row>
        <row r="319">
          <cell r="A319" t="str">
            <v>BGD</v>
          </cell>
          <cell r="B319">
            <v>2026</v>
          </cell>
          <cell r="C319" t="str">
            <v>pvpop_total</v>
          </cell>
          <cell r="D319">
            <v>178106140.13671875</v>
          </cell>
        </row>
        <row r="320">
          <cell r="A320" t="str">
            <v>BGD</v>
          </cell>
          <cell r="B320">
            <v>2026</v>
          </cell>
          <cell r="C320" t="str">
            <v>pvpop_1564</v>
          </cell>
          <cell r="D320">
            <v>117250973.34467895</v>
          </cell>
        </row>
        <row r="321">
          <cell r="A321" t="str">
            <v>BGD</v>
          </cell>
          <cell r="B321">
            <v>2026</v>
          </cell>
          <cell r="C321" t="str">
            <v>pvprivpc</v>
          </cell>
          <cell r="D321">
            <v>129819.79162678614</v>
          </cell>
        </row>
        <row r="322">
          <cell r="A322" t="str">
            <v>BTN</v>
          </cell>
          <cell r="B322">
            <v>2007</v>
          </cell>
          <cell r="C322" t="str">
            <v>pvgdp</v>
          </cell>
          <cell r="D322">
            <v>85230</v>
          </cell>
        </row>
        <row r="323">
          <cell r="A323" t="str">
            <v>BTN</v>
          </cell>
          <cell r="B323">
            <v>2007</v>
          </cell>
          <cell r="C323" t="str">
            <v>pvgdp_agriculture</v>
          </cell>
          <cell r="D323">
            <v>16707</v>
          </cell>
        </row>
        <row r="324">
          <cell r="A324" t="str">
            <v>BTN</v>
          </cell>
          <cell r="B324">
            <v>2007</v>
          </cell>
          <cell r="C324" t="str">
            <v>pvgdp_industry</v>
          </cell>
          <cell r="D324">
            <v>31466</v>
          </cell>
        </row>
        <row r="325">
          <cell r="A325" t="str">
            <v>BTN</v>
          </cell>
          <cell r="B325">
            <v>2007</v>
          </cell>
          <cell r="C325" t="str">
            <v>pvgdp_services</v>
          </cell>
          <cell r="D325">
            <v>33419</v>
          </cell>
        </row>
        <row r="326">
          <cell r="A326" t="str">
            <v>BTN</v>
          </cell>
          <cell r="B326">
            <v>2007</v>
          </cell>
          <cell r="C326" t="str">
            <v>pvgdppc</v>
          </cell>
          <cell r="D326">
            <v>125041.44909770685</v>
          </cell>
        </row>
        <row r="327">
          <cell r="A327" t="str">
            <v>BTN</v>
          </cell>
          <cell r="B327">
            <v>2007</v>
          </cell>
          <cell r="C327" t="str">
            <v>pvpop_total</v>
          </cell>
          <cell r="D327">
            <v>681613.9817237854</v>
          </cell>
        </row>
        <row r="328">
          <cell r="A328" t="str">
            <v>BTN</v>
          </cell>
          <cell r="B328">
            <v>2007</v>
          </cell>
          <cell r="C328" t="str">
            <v>pvpop_1564</v>
          </cell>
          <cell r="D328">
            <v>433255.72259893292</v>
          </cell>
        </row>
        <row r="329">
          <cell r="A329" t="str">
            <v>BTN</v>
          </cell>
          <cell r="B329">
            <v>2007</v>
          </cell>
          <cell r="C329" t="str">
            <v>pvprivpc</v>
          </cell>
          <cell r="D329">
            <v>44770.208385141646</v>
          </cell>
        </row>
        <row r="330">
          <cell r="A330" t="str">
            <v>BTN</v>
          </cell>
          <cell r="B330">
            <v>2008</v>
          </cell>
          <cell r="C330" t="str">
            <v>pvgdp</v>
          </cell>
          <cell r="D330">
            <v>93656</v>
          </cell>
        </row>
        <row r="331">
          <cell r="A331" t="str">
            <v>BTN</v>
          </cell>
          <cell r="B331">
            <v>2008</v>
          </cell>
          <cell r="C331" t="str">
            <v>pvgdp_agriculture</v>
          </cell>
          <cell r="D331">
            <v>16832</v>
          </cell>
        </row>
        <row r="332">
          <cell r="A332" t="str">
            <v>BTN</v>
          </cell>
          <cell r="B332">
            <v>2008</v>
          </cell>
          <cell r="C332" t="str">
            <v>pvgdp_industry</v>
          </cell>
          <cell r="D332">
            <v>37569</v>
          </cell>
        </row>
        <row r="333">
          <cell r="A333" t="str">
            <v>BTN</v>
          </cell>
          <cell r="B333">
            <v>2008</v>
          </cell>
          <cell r="C333" t="str">
            <v>pvgdp_services</v>
          </cell>
          <cell r="D333">
            <v>35416</v>
          </cell>
        </row>
        <row r="334">
          <cell r="A334" t="str">
            <v>BTN</v>
          </cell>
          <cell r="B334">
            <v>2008</v>
          </cell>
          <cell r="C334" t="str">
            <v>pvgdppc</v>
          </cell>
          <cell r="D334">
            <v>135785.08478329383</v>
          </cell>
        </row>
        <row r="335">
          <cell r="A335" t="str">
            <v>BTN</v>
          </cell>
          <cell r="B335">
            <v>2008</v>
          </cell>
          <cell r="C335" t="str">
            <v>pvpop_total</v>
          </cell>
          <cell r="D335">
            <v>689737.02192306519</v>
          </cell>
        </row>
        <row r="336">
          <cell r="A336" t="str">
            <v>BTN</v>
          </cell>
          <cell r="B336">
            <v>2008</v>
          </cell>
          <cell r="C336" t="str">
            <v>pvpop_1564</v>
          </cell>
          <cell r="D336">
            <v>443180.31701421406</v>
          </cell>
        </row>
        <row r="337">
          <cell r="A337" t="str">
            <v>BTN</v>
          </cell>
          <cell r="B337">
            <v>2008</v>
          </cell>
          <cell r="C337" t="str">
            <v>pvprivpc</v>
          </cell>
          <cell r="D337">
            <v>56321.465667726741</v>
          </cell>
        </row>
        <row r="338">
          <cell r="A338" t="str">
            <v>BTN</v>
          </cell>
          <cell r="B338">
            <v>2009</v>
          </cell>
          <cell r="C338" t="str">
            <v>pvgdp</v>
          </cell>
          <cell r="D338">
            <v>99400</v>
          </cell>
        </row>
        <row r="339">
          <cell r="A339" t="str">
            <v>BTN</v>
          </cell>
          <cell r="B339">
            <v>2009</v>
          </cell>
          <cell r="C339" t="str">
            <v>pvgdp_agriculture</v>
          </cell>
          <cell r="D339">
            <v>17158</v>
          </cell>
        </row>
        <row r="340">
          <cell r="A340" t="str">
            <v>BTN</v>
          </cell>
          <cell r="B340">
            <v>2009</v>
          </cell>
          <cell r="C340" t="str">
            <v>pvgdp_industry</v>
          </cell>
          <cell r="D340">
            <v>39320</v>
          </cell>
        </row>
        <row r="341">
          <cell r="A341" t="str">
            <v>BTN</v>
          </cell>
          <cell r="B341">
            <v>2009</v>
          </cell>
          <cell r="C341" t="str">
            <v>pvgdp_services</v>
          </cell>
          <cell r="D341">
            <v>38975</v>
          </cell>
        </row>
        <row r="342">
          <cell r="A342" t="str">
            <v>BTN</v>
          </cell>
          <cell r="B342">
            <v>2009</v>
          </cell>
          <cell r="C342" t="str">
            <v>pvgdppc</v>
          </cell>
          <cell r="D342">
            <v>142472.5959421944</v>
          </cell>
        </row>
        <row r="343">
          <cell r="A343" t="str">
            <v>BTN</v>
          </cell>
          <cell r="B343">
            <v>2009</v>
          </cell>
          <cell r="C343" t="str">
            <v>pvpop_total</v>
          </cell>
          <cell r="D343">
            <v>697678.02953720093</v>
          </cell>
        </row>
        <row r="344">
          <cell r="A344" t="str">
            <v>BTN</v>
          </cell>
          <cell r="B344">
            <v>2009</v>
          </cell>
          <cell r="C344" t="str">
            <v>pvpop_1564</v>
          </cell>
          <cell r="D344">
            <v>452729.49306275527</v>
          </cell>
        </row>
        <row r="345">
          <cell r="A345" t="str">
            <v>BTN</v>
          </cell>
          <cell r="B345">
            <v>2009</v>
          </cell>
          <cell r="C345" t="str">
            <v>pvprivpc</v>
          </cell>
          <cell r="D345">
            <v>57185.404027220626</v>
          </cell>
        </row>
        <row r="346">
          <cell r="A346" t="str">
            <v>BTN</v>
          </cell>
          <cell r="B346">
            <v>2010</v>
          </cell>
          <cell r="C346" t="str">
            <v>pvgdp</v>
          </cell>
          <cell r="D346">
            <v>109219</v>
          </cell>
        </row>
        <row r="347">
          <cell r="A347" t="str">
            <v>BTN</v>
          </cell>
          <cell r="B347">
            <v>2010</v>
          </cell>
          <cell r="C347" t="str">
            <v>pvgdp_agriculture</v>
          </cell>
          <cell r="D347">
            <v>17514</v>
          </cell>
        </row>
        <row r="348">
          <cell r="A348" t="str">
            <v>BTN</v>
          </cell>
          <cell r="B348">
            <v>2010</v>
          </cell>
          <cell r="C348" t="str">
            <v>pvgdp_industry</v>
          </cell>
          <cell r="D348">
            <v>42617</v>
          </cell>
        </row>
        <row r="349">
          <cell r="A349" t="str">
            <v>BTN</v>
          </cell>
          <cell r="B349">
            <v>2010</v>
          </cell>
          <cell r="C349" t="str">
            <v>pvgdp_services</v>
          </cell>
          <cell r="D349">
            <v>44033</v>
          </cell>
        </row>
        <row r="350">
          <cell r="A350" t="str">
            <v>BTN</v>
          </cell>
          <cell r="B350">
            <v>2010</v>
          </cell>
          <cell r="C350" t="str">
            <v>pvgdppc</v>
          </cell>
          <cell r="D350">
            <v>154807.26586583944</v>
          </cell>
        </row>
        <row r="351">
          <cell r="A351" t="str">
            <v>BTN</v>
          </cell>
          <cell r="B351">
            <v>2010</v>
          </cell>
          <cell r="C351" t="str">
            <v>pvpop_total</v>
          </cell>
          <cell r="D351">
            <v>705515.98072052002</v>
          </cell>
        </row>
        <row r="352">
          <cell r="A352" t="str">
            <v>BTN</v>
          </cell>
          <cell r="B352">
            <v>2010</v>
          </cell>
          <cell r="C352" t="str">
            <v>pvpop_1564</v>
          </cell>
          <cell r="D352">
            <v>461854.58493441506</v>
          </cell>
        </row>
        <row r="353">
          <cell r="A353" t="str">
            <v>BTN</v>
          </cell>
          <cell r="B353">
            <v>2010</v>
          </cell>
          <cell r="C353" t="str">
            <v>pvprivpc</v>
          </cell>
          <cell r="D353">
            <v>57797.415103702973</v>
          </cell>
        </row>
        <row r="354">
          <cell r="A354" t="str">
            <v>BTN</v>
          </cell>
          <cell r="B354">
            <v>2011</v>
          </cell>
          <cell r="C354" t="str">
            <v>pvgdp</v>
          </cell>
          <cell r="D354">
            <v>120160</v>
          </cell>
        </row>
        <row r="355">
          <cell r="A355" t="str">
            <v>BTN</v>
          </cell>
          <cell r="B355">
            <v>2011</v>
          </cell>
          <cell r="C355" t="str">
            <v>pvgdp_agriculture</v>
          </cell>
          <cell r="D355">
            <v>17806</v>
          </cell>
        </row>
        <row r="356">
          <cell r="A356" t="str">
            <v>BTN</v>
          </cell>
          <cell r="B356">
            <v>2011</v>
          </cell>
          <cell r="C356" t="str">
            <v>pvgdp_industry</v>
          </cell>
          <cell r="D356">
            <v>46243</v>
          </cell>
        </row>
        <row r="357">
          <cell r="A357" t="str">
            <v>BTN</v>
          </cell>
          <cell r="B357">
            <v>2011</v>
          </cell>
          <cell r="C357" t="str">
            <v>pvgdp_services</v>
          </cell>
          <cell r="D357">
            <v>49316</v>
          </cell>
        </row>
        <row r="358">
          <cell r="A358" t="str">
            <v>BTN</v>
          </cell>
          <cell r="B358">
            <v>2011</v>
          </cell>
          <cell r="C358" t="str">
            <v>pvgdppc</v>
          </cell>
          <cell r="D358">
            <v>168449.15288374349</v>
          </cell>
        </row>
        <row r="359">
          <cell r="A359" t="str">
            <v>BTN</v>
          </cell>
          <cell r="B359">
            <v>2011</v>
          </cell>
          <cell r="C359" t="str">
            <v>pvpop_total</v>
          </cell>
          <cell r="D359">
            <v>713330.98411560059</v>
          </cell>
        </row>
        <row r="360">
          <cell r="A360" t="str">
            <v>BTN</v>
          </cell>
          <cell r="B360">
            <v>2011</v>
          </cell>
          <cell r="C360" t="str">
            <v>pvpop_1564</v>
          </cell>
          <cell r="D360">
            <v>470569.86246130429</v>
          </cell>
        </row>
        <row r="361">
          <cell r="A361" t="str">
            <v>BTN</v>
          </cell>
          <cell r="B361">
            <v>2011</v>
          </cell>
          <cell r="C361" t="str">
            <v>pvprivpc</v>
          </cell>
          <cell r="D361">
            <v>59578.233591929216</v>
          </cell>
        </row>
        <row r="362">
          <cell r="A362" t="str">
            <v>BTN</v>
          </cell>
          <cell r="B362">
            <v>2012</v>
          </cell>
          <cell r="C362" t="str">
            <v>pvgdp</v>
          </cell>
          <cell r="D362">
            <v>128136</v>
          </cell>
        </row>
        <row r="363">
          <cell r="A363" t="str">
            <v>BTN</v>
          </cell>
          <cell r="B363">
            <v>2012</v>
          </cell>
          <cell r="C363" t="str">
            <v>pvgdp_agriculture</v>
          </cell>
          <cell r="D363">
            <v>18232</v>
          </cell>
        </row>
        <row r="364">
          <cell r="A364" t="str">
            <v>BTN</v>
          </cell>
          <cell r="B364">
            <v>2012</v>
          </cell>
          <cell r="C364" t="str">
            <v>pvgdp_industry</v>
          </cell>
          <cell r="D364">
            <v>49009</v>
          </cell>
        </row>
        <row r="365">
          <cell r="A365" t="str">
            <v>BTN</v>
          </cell>
          <cell r="B365">
            <v>2012</v>
          </cell>
          <cell r="C365" t="str">
            <v>pvgdp_services</v>
          </cell>
          <cell r="D365">
            <v>52094</v>
          </cell>
        </row>
        <row r="366">
          <cell r="A366" t="str">
            <v>BTN</v>
          </cell>
          <cell r="B366">
            <v>2012</v>
          </cell>
          <cell r="C366" t="str">
            <v>pvgdppc</v>
          </cell>
          <cell r="D366">
            <v>177684.10594071067</v>
          </cell>
        </row>
        <row r="367">
          <cell r="A367" t="str">
            <v>BTN</v>
          </cell>
          <cell r="B367">
            <v>2012</v>
          </cell>
          <cell r="C367" t="str">
            <v>pvpop_total</v>
          </cell>
          <cell r="D367">
            <v>721144.97423171997</v>
          </cell>
        </row>
        <row r="368">
          <cell r="A368" t="str">
            <v>BTN</v>
          </cell>
          <cell r="B368">
            <v>2012</v>
          </cell>
          <cell r="C368" t="str">
            <v>pvpop_1564</v>
          </cell>
          <cell r="D368">
            <v>478774.32143110025</v>
          </cell>
        </row>
        <row r="369">
          <cell r="A369" t="str">
            <v>BTN</v>
          </cell>
          <cell r="B369">
            <v>2012</v>
          </cell>
          <cell r="C369" t="str">
            <v>pvprivpc</v>
          </cell>
          <cell r="D369">
            <v>59828.469367015998</v>
          </cell>
        </row>
        <row r="370">
          <cell r="A370" t="str">
            <v>BTN</v>
          </cell>
          <cell r="B370">
            <v>2013</v>
          </cell>
          <cell r="C370" t="str">
            <v>pvgdp</v>
          </cell>
          <cell r="D370">
            <v>132408</v>
          </cell>
        </row>
        <row r="371">
          <cell r="A371" t="str">
            <v>BTN</v>
          </cell>
          <cell r="B371">
            <v>2013</v>
          </cell>
          <cell r="C371" t="str">
            <v>pvgdp_agriculture</v>
          </cell>
          <cell r="D371">
            <v>18621</v>
          </cell>
        </row>
        <row r="372">
          <cell r="A372" t="str">
            <v>BTN</v>
          </cell>
          <cell r="B372">
            <v>2013</v>
          </cell>
          <cell r="C372" t="str">
            <v>pvgdp_industry</v>
          </cell>
          <cell r="D372">
            <v>51767</v>
          </cell>
        </row>
        <row r="373">
          <cell r="A373" t="str">
            <v>BTN</v>
          </cell>
          <cell r="B373">
            <v>2013</v>
          </cell>
          <cell r="C373" t="str">
            <v>pvgdp_services</v>
          </cell>
          <cell r="D373">
            <v>52267</v>
          </cell>
        </row>
        <row r="374">
          <cell r="A374" t="str">
            <v>BTN</v>
          </cell>
          <cell r="B374">
            <v>2013</v>
          </cell>
          <cell r="C374" t="str">
            <v>pvgdppc</v>
          </cell>
          <cell r="D374">
            <v>181657.29224887493</v>
          </cell>
        </row>
        <row r="375">
          <cell r="A375" t="str">
            <v>BTN</v>
          </cell>
          <cell r="B375">
            <v>2013</v>
          </cell>
          <cell r="C375" t="str">
            <v>pvpop_total</v>
          </cell>
          <cell r="D375">
            <v>728888.98849487305</v>
          </cell>
        </row>
        <row r="376">
          <cell r="A376" t="str">
            <v>BTN</v>
          </cell>
          <cell r="B376">
            <v>2013</v>
          </cell>
          <cell r="C376" t="str">
            <v>pvpop_1564</v>
          </cell>
          <cell r="D376">
            <v>486457.29476626363</v>
          </cell>
        </row>
        <row r="377">
          <cell r="A377" t="str">
            <v>BTN</v>
          </cell>
          <cell r="B377">
            <v>2013</v>
          </cell>
          <cell r="C377" t="str">
            <v>pvprivpc</v>
          </cell>
          <cell r="D377">
            <v>67735.966353327996</v>
          </cell>
        </row>
        <row r="378">
          <cell r="A378" t="str">
            <v>BTN</v>
          </cell>
          <cell r="B378">
            <v>2014</v>
          </cell>
          <cell r="C378" t="str">
            <v>pvgdp</v>
          </cell>
          <cell r="D378">
            <v>137314</v>
          </cell>
        </row>
        <row r="379">
          <cell r="A379" t="str">
            <v>BTN</v>
          </cell>
          <cell r="B379">
            <v>2014</v>
          </cell>
          <cell r="C379" t="str">
            <v>pvgdp_agriculture</v>
          </cell>
          <cell r="D379">
            <v>19012</v>
          </cell>
        </row>
        <row r="380">
          <cell r="A380" t="str">
            <v>BTN</v>
          </cell>
          <cell r="B380">
            <v>2014</v>
          </cell>
          <cell r="C380" t="str">
            <v>pvgdp_industry</v>
          </cell>
          <cell r="D380">
            <v>53902</v>
          </cell>
        </row>
        <row r="381">
          <cell r="A381" t="str">
            <v>BTN</v>
          </cell>
          <cell r="B381">
            <v>2014</v>
          </cell>
          <cell r="C381" t="str">
            <v>pvgdp_services</v>
          </cell>
          <cell r="D381">
            <v>54435</v>
          </cell>
        </row>
        <row r="382">
          <cell r="A382" t="str">
            <v>BTN</v>
          </cell>
          <cell r="B382">
            <v>2014</v>
          </cell>
          <cell r="C382" t="str">
            <v>pvgdppc</v>
          </cell>
          <cell r="D382">
            <v>186477.48974212442</v>
          </cell>
        </row>
        <row r="383">
          <cell r="A383" t="str">
            <v>BTN</v>
          </cell>
          <cell r="B383">
            <v>2014</v>
          </cell>
          <cell r="C383" t="str">
            <v>pvpop_total</v>
          </cell>
          <cell r="D383">
            <v>736356.97364807129</v>
          </cell>
        </row>
        <row r="384">
          <cell r="A384" t="str">
            <v>BTN</v>
          </cell>
          <cell r="B384">
            <v>2014</v>
          </cell>
          <cell r="C384" t="str">
            <v>pvpop_1564</v>
          </cell>
          <cell r="D384">
            <v>493830.76795680518</v>
          </cell>
        </row>
        <row r="385">
          <cell r="A385" t="str">
            <v>BTN</v>
          </cell>
          <cell r="B385">
            <v>2014</v>
          </cell>
          <cell r="C385" t="str">
            <v>pvprivpc</v>
          </cell>
          <cell r="D385">
            <v>87256.5919783196</v>
          </cell>
        </row>
        <row r="386">
          <cell r="A386" t="str">
            <v>BTN</v>
          </cell>
          <cell r="B386">
            <v>2015</v>
          </cell>
          <cell r="C386" t="str">
            <v>pvgdp</v>
          </cell>
          <cell r="D386">
            <v>145765</v>
          </cell>
        </row>
        <row r="387">
          <cell r="A387" t="str">
            <v>BTN</v>
          </cell>
          <cell r="B387">
            <v>2015</v>
          </cell>
          <cell r="C387" t="str">
            <v>pvgdp_agriculture</v>
          </cell>
          <cell r="D387">
            <v>19731</v>
          </cell>
        </row>
        <row r="388">
          <cell r="A388" t="str">
            <v>BTN</v>
          </cell>
          <cell r="B388">
            <v>2015</v>
          </cell>
          <cell r="C388" t="str">
            <v>pvgdp_industry</v>
          </cell>
          <cell r="D388">
            <v>57309</v>
          </cell>
        </row>
        <row r="389">
          <cell r="A389" t="str">
            <v>BTN</v>
          </cell>
          <cell r="B389">
            <v>2015</v>
          </cell>
          <cell r="C389" t="str">
            <v>pvgdp_services</v>
          </cell>
          <cell r="D389">
            <v>58909</v>
          </cell>
        </row>
        <row r="390">
          <cell r="A390" t="str">
            <v>BTN</v>
          </cell>
          <cell r="B390">
            <v>2015</v>
          </cell>
          <cell r="C390" t="str">
            <v>pvgdppc</v>
          </cell>
          <cell r="D390">
            <v>196112.07334555031</v>
          </cell>
        </row>
        <row r="391">
          <cell r="A391" t="str">
            <v>BTN</v>
          </cell>
          <cell r="B391">
            <v>2015</v>
          </cell>
          <cell r="C391" t="str">
            <v>pvpop_total</v>
          </cell>
          <cell r="D391">
            <v>743273.97346496582</v>
          </cell>
        </row>
        <row r="392">
          <cell r="A392" t="str">
            <v>BTN</v>
          </cell>
          <cell r="B392">
            <v>2015</v>
          </cell>
          <cell r="C392" t="str">
            <v>pvpop_1564</v>
          </cell>
          <cell r="D392">
            <v>501056.44696180709</v>
          </cell>
        </row>
        <row r="393">
          <cell r="A393" t="str">
            <v>BTN</v>
          </cell>
          <cell r="B393">
            <v>2015</v>
          </cell>
          <cell r="C393" t="str">
            <v>pvprivpc</v>
          </cell>
          <cell r="D393">
            <v>103782.72716909002</v>
          </cell>
        </row>
        <row r="394">
          <cell r="A394" t="str">
            <v>BTN</v>
          </cell>
          <cell r="B394">
            <v>2016</v>
          </cell>
          <cell r="C394" t="str">
            <v>pvgdp</v>
          </cell>
          <cell r="D394">
            <v>156718</v>
          </cell>
        </row>
        <row r="395">
          <cell r="A395" t="str">
            <v>BTN</v>
          </cell>
          <cell r="B395">
            <v>2016</v>
          </cell>
          <cell r="C395" t="str">
            <v>pvgdp_agriculture</v>
          </cell>
          <cell r="D395">
            <v>20693</v>
          </cell>
        </row>
        <row r="396">
          <cell r="A396" t="str">
            <v>BTN</v>
          </cell>
          <cell r="B396">
            <v>2016</v>
          </cell>
          <cell r="C396" t="str">
            <v>pvgdp_industry</v>
          </cell>
          <cell r="D396">
            <v>61865</v>
          </cell>
        </row>
        <row r="397">
          <cell r="A397" t="str">
            <v>BTN</v>
          </cell>
          <cell r="B397">
            <v>2016</v>
          </cell>
          <cell r="C397" t="str">
            <v>pvgdp_services</v>
          </cell>
          <cell r="D397">
            <v>64462</v>
          </cell>
        </row>
        <row r="398">
          <cell r="A398" t="str">
            <v>BTN</v>
          </cell>
          <cell r="B398">
            <v>2016</v>
          </cell>
          <cell r="C398" t="str">
            <v>pvgdppc</v>
          </cell>
          <cell r="D398">
            <v>209023.94637369781</v>
          </cell>
        </row>
        <row r="399">
          <cell r="A399" t="str">
            <v>BTN</v>
          </cell>
          <cell r="B399">
            <v>2016</v>
          </cell>
          <cell r="C399" t="str">
            <v>pvpop_total</v>
          </cell>
          <cell r="D399">
            <v>749760.98537445068</v>
          </cell>
        </row>
        <row r="400">
          <cell r="A400" t="str">
            <v>BTN</v>
          </cell>
          <cell r="B400">
            <v>2016</v>
          </cell>
          <cell r="C400" t="str">
            <v>pvpop_1564</v>
          </cell>
          <cell r="D400">
            <v>508144.81194142636</v>
          </cell>
        </row>
        <row r="401">
          <cell r="A401" t="str">
            <v>BTN</v>
          </cell>
          <cell r="B401">
            <v>2016</v>
          </cell>
          <cell r="C401" t="str">
            <v>pvprivpc</v>
          </cell>
          <cell r="D401">
            <v>106808.70512354735</v>
          </cell>
        </row>
        <row r="402">
          <cell r="A402" t="str">
            <v>BTN</v>
          </cell>
          <cell r="B402">
            <v>2017</v>
          </cell>
          <cell r="C402" t="str">
            <v>pvgdp</v>
          </cell>
          <cell r="D402">
            <v>165894</v>
          </cell>
        </row>
        <row r="403">
          <cell r="A403" t="str">
            <v>BTN</v>
          </cell>
          <cell r="B403">
            <v>2017</v>
          </cell>
          <cell r="C403" t="str">
            <v>pvgdp_agriculture</v>
          </cell>
          <cell r="D403">
            <v>21488</v>
          </cell>
        </row>
        <row r="404">
          <cell r="A404" t="str">
            <v>BTN</v>
          </cell>
          <cell r="B404">
            <v>2017</v>
          </cell>
          <cell r="C404" t="str">
            <v>pvgdp_industry</v>
          </cell>
          <cell r="D404">
            <v>64982</v>
          </cell>
        </row>
        <row r="405">
          <cell r="A405" t="str">
            <v>BTN</v>
          </cell>
          <cell r="B405">
            <v>2017</v>
          </cell>
          <cell r="C405" t="str">
            <v>pvgdp_services</v>
          </cell>
          <cell r="D405">
            <v>70194</v>
          </cell>
        </row>
        <row r="406">
          <cell r="A406" t="str">
            <v>BTN</v>
          </cell>
          <cell r="B406">
            <v>2017</v>
          </cell>
          <cell r="C406" t="str">
            <v>pvgdppc</v>
          </cell>
          <cell r="D406">
            <v>219401.39797069196</v>
          </cell>
        </row>
        <row r="407">
          <cell r="A407" t="str">
            <v>BTN</v>
          </cell>
          <cell r="B407">
            <v>2017</v>
          </cell>
          <cell r="C407" t="str">
            <v>pvpop_total</v>
          </cell>
          <cell r="D407">
            <v>756120.97978591919</v>
          </cell>
        </row>
        <row r="408">
          <cell r="A408" t="str">
            <v>BTN</v>
          </cell>
          <cell r="B408">
            <v>2017</v>
          </cell>
          <cell r="C408" t="str">
            <v>pvpop_1564</v>
          </cell>
          <cell r="D408">
            <v>516762.95086701238</v>
          </cell>
        </row>
        <row r="409">
          <cell r="A409" t="str">
            <v>BTN</v>
          </cell>
          <cell r="B409">
            <v>2017</v>
          </cell>
          <cell r="C409" t="str">
            <v>pvprivpc</v>
          </cell>
          <cell r="D409">
            <v>104770.27105163687</v>
          </cell>
        </row>
        <row r="410">
          <cell r="A410" t="str">
            <v>BTN</v>
          </cell>
          <cell r="B410">
            <v>2018</v>
          </cell>
          <cell r="C410" t="str">
            <v>pvgdp</v>
          </cell>
          <cell r="D410">
            <v>171708.0625</v>
          </cell>
        </row>
        <row r="411">
          <cell r="A411" t="str">
            <v>BTN</v>
          </cell>
          <cell r="B411">
            <v>2018</v>
          </cell>
          <cell r="C411" t="str">
            <v>pvgdp_agriculture</v>
          </cell>
          <cell r="D411">
            <v>22133</v>
          </cell>
        </row>
        <row r="412">
          <cell r="A412" t="str">
            <v>BTN</v>
          </cell>
          <cell r="B412">
            <v>2018</v>
          </cell>
          <cell r="C412" t="str">
            <v>pvgdp_industry</v>
          </cell>
          <cell r="D412">
            <v>64563</v>
          </cell>
        </row>
        <row r="413">
          <cell r="A413" t="str">
            <v>BTN</v>
          </cell>
          <cell r="B413">
            <v>2018</v>
          </cell>
          <cell r="C413" t="str">
            <v>pvgdp_services</v>
          </cell>
          <cell r="D413">
            <v>76201</v>
          </cell>
        </row>
        <row r="414">
          <cell r="A414" t="str">
            <v>BTN</v>
          </cell>
          <cell r="B414">
            <v>2018</v>
          </cell>
          <cell r="C414" t="str">
            <v>pvgdppc</v>
          </cell>
          <cell r="D414">
            <v>225310.2827590096</v>
          </cell>
        </row>
        <row r="415">
          <cell r="A415" t="str">
            <v>BTN</v>
          </cell>
          <cell r="B415">
            <v>2018</v>
          </cell>
          <cell r="C415" t="str">
            <v>pvpop_total</v>
          </cell>
          <cell r="D415">
            <v>762095.98779678345</v>
          </cell>
        </row>
        <row r="416">
          <cell r="A416" t="str">
            <v>BTN</v>
          </cell>
          <cell r="B416">
            <v>2018</v>
          </cell>
          <cell r="C416" t="str">
            <v>pvpop_1564</v>
          </cell>
          <cell r="D416">
            <v>526844.58305135812</v>
          </cell>
        </row>
        <row r="417">
          <cell r="A417" t="str">
            <v>BTN</v>
          </cell>
          <cell r="B417">
            <v>2018</v>
          </cell>
          <cell r="C417" t="str">
            <v>pvprivpc</v>
          </cell>
          <cell r="D417">
            <v>109436.31497603327</v>
          </cell>
        </row>
        <row r="418">
          <cell r="A418" t="str">
            <v>BTN</v>
          </cell>
          <cell r="B418">
            <v>2019</v>
          </cell>
          <cell r="C418" t="str">
            <v>pvgdp</v>
          </cell>
          <cell r="D418">
            <v>179688.875</v>
          </cell>
        </row>
        <row r="419">
          <cell r="A419" t="str">
            <v>BTN</v>
          </cell>
          <cell r="B419">
            <v>2019</v>
          </cell>
          <cell r="C419" t="str">
            <v>pvgdp_agriculture</v>
          </cell>
          <cell r="D419">
            <v>22640</v>
          </cell>
        </row>
        <row r="420">
          <cell r="A420" t="str">
            <v>BTN</v>
          </cell>
          <cell r="B420">
            <v>2019</v>
          </cell>
          <cell r="C420" t="str">
            <v>pvgdp_industry</v>
          </cell>
          <cell r="D420">
            <v>62824</v>
          </cell>
        </row>
        <row r="421">
          <cell r="A421" t="str">
            <v>BTN</v>
          </cell>
          <cell r="B421">
            <v>2019</v>
          </cell>
          <cell r="C421" t="str">
            <v>pvgdp_services</v>
          </cell>
          <cell r="D421">
            <v>85498</v>
          </cell>
        </row>
        <row r="422">
          <cell r="A422" t="str">
            <v>BTN</v>
          </cell>
          <cell r="B422">
            <v>2019</v>
          </cell>
          <cell r="C422" t="str">
            <v>pvgdppc</v>
          </cell>
          <cell r="D422">
            <v>234134.8277622599</v>
          </cell>
        </row>
        <row r="423">
          <cell r="A423" t="str">
            <v>BTN</v>
          </cell>
          <cell r="B423">
            <v>2019</v>
          </cell>
          <cell r="C423" t="str">
            <v>pvpop_total</v>
          </cell>
          <cell r="D423">
            <v>767458.97531509399</v>
          </cell>
        </row>
        <row r="424">
          <cell r="A424" t="str">
            <v>BTN</v>
          </cell>
          <cell r="B424">
            <v>2019</v>
          </cell>
          <cell r="C424" t="str">
            <v>pvpop_1564</v>
          </cell>
          <cell r="D424">
            <v>536519.07176624762</v>
          </cell>
        </row>
        <row r="425">
          <cell r="A425" t="str">
            <v>BTN</v>
          </cell>
          <cell r="B425">
            <v>2019</v>
          </cell>
          <cell r="C425" t="str">
            <v>pvprivpc</v>
          </cell>
          <cell r="D425">
            <v>111723.72433952776</v>
          </cell>
        </row>
        <row r="426">
          <cell r="A426" t="str">
            <v>BTN</v>
          </cell>
          <cell r="B426">
            <v>2020</v>
          </cell>
          <cell r="C426" t="str">
            <v>pvgdp</v>
          </cell>
          <cell r="D426">
            <v>175277.46875</v>
          </cell>
        </row>
        <row r="427">
          <cell r="A427" t="str">
            <v>BTN</v>
          </cell>
          <cell r="B427">
            <v>2020</v>
          </cell>
          <cell r="C427" t="str">
            <v>pvgdp_agriculture</v>
          </cell>
          <cell r="D427">
            <v>23290</v>
          </cell>
        </row>
        <row r="428">
          <cell r="A428" t="str">
            <v>BTN</v>
          </cell>
          <cell r="B428">
            <v>2020</v>
          </cell>
          <cell r="C428" t="str">
            <v>pvgdp_industry</v>
          </cell>
          <cell r="D428">
            <v>57910</v>
          </cell>
        </row>
        <row r="429">
          <cell r="A429" t="str">
            <v>BTN</v>
          </cell>
          <cell r="B429">
            <v>2020</v>
          </cell>
          <cell r="C429" t="str">
            <v>pvgdp_services</v>
          </cell>
          <cell r="D429">
            <v>88070</v>
          </cell>
        </row>
        <row r="430">
          <cell r="A430" t="str">
            <v>BTN</v>
          </cell>
          <cell r="B430">
            <v>2020</v>
          </cell>
          <cell r="C430" t="str">
            <v>pvgdppc</v>
          </cell>
          <cell r="D430">
            <v>226894.63779576405</v>
          </cell>
        </row>
        <row r="431">
          <cell r="A431" t="str">
            <v>BTN</v>
          </cell>
          <cell r="B431">
            <v>2020</v>
          </cell>
          <cell r="C431" t="str">
            <v>pvpop_total</v>
          </cell>
          <cell r="D431">
            <v>772505.9986114502</v>
          </cell>
        </row>
        <row r="432">
          <cell r="A432" t="str">
            <v>BTN</v>
          </cell>
          <cell r="B432">
            <v>2020</v>
          </cell>
          <cell r="C432" t="str">
            <v>pvpop_1564</v>
          </cell>
          <cell r="D432">
            <v>545455.21253738203</v>
          </cell>
        </row>
        <row r="433">
          <cell r="A433" t="str">
            <v>BTN</v>
          </cell>
          <cell r="B433">
            <v>2020</v>
          </cell>
          <cell r="C433" t="str">
            <v>pvprivpc</v>
          </cell>
          <cell r="D433">
            <v>111645.95748127002</v>
          </cell>
        </row>
        <row r="434">
          <cell r="A434" t="str">
            <v>BTN</v>
          </cell>
          <cell r="B434">
            <v>2021</v>
          </cell>
          <cell r="C434" t="str">
            <v>pvgdp</v>
          </cell>
          <cell r="D434">
            <v>169506.21875</v>
          </cell>
        </row>
        <row r="435">
          <cell r="A435" t="str">
            <v>BTN</v>
          </cell>
          <cell r="B435">
            <v>2021</v>
          </cell>
          <cell r="C435" t="str">
            <v>pvgdp_agriculture</v>
          </cell>
          <cell r="D435">
            <v>23916</v>
          </cell>
        </row>
        <row r="436">
          <cell r="A436" t="str">
            <v>BTN</v>
          </cell>
          <cell r="B436">
            <v>2021</v>
          </cell>
          <cell r="C436" t="str">
            <v>pvgdp_industry</v>
          </cell>
          <cell r="D436">
            <v>54472</v>
          </cell>
        </row>
        <row r="437">
          <cell r="A437" t="str">
            <v>BTN</v>
          </cell>
          <cell r="B437">
            <v>2021</v>
          </cell>
          <cell r="C437" t="str">
            <v>pvgdp_services</v>
          </cell>
          <cell r="D437">
            <v>87026</v>
          </cell>
        </row>
        <row r="438">
          <cell r="A438" t="str">
            <v>BTN</v>
          </cell>
          <cell r="B438">
            <v>2021</v>
          </cell>
          <cell r="C438" t="str">
            <v>pvgdppc</v>
          </cell>
          <cell r="D438">
            <v>218018.34762160928</v>
          </cell>
        </row>
        <row r="439">
          <cell r="A439" t="str">
            <v>BTN</v>
          </cell>
          <cell r="B439">
            <v>2021</v>
          </cell>
          <cell r="C439" t="str">
            <v>pvpop_total</v>
          </cell>
          <cell r="D439">
            <v>777486.02628707886</v>
          </cell>
        </row>
        <row r="440">
          <cell r="A440" t="str">
            <v>BTN</v>
          </cell>
          <cell r="B440">
            <v>2021</v>
          </cell>
          <cell r="C440" t="str">
            <v>pvpop_1564</v>
          </cell>
          <cell r="D440">
            <v>553594.266395477</v>
          </cell>
        </row>
        <row r="441">
          <cell r="A441" t="str">
            <v>BTN</v>
          </cell>
          <cell r="B441">
            <v>2021</v>
          </cell>
          <cell r="C441" t="str">
            <v>pvprivpc</v>
          </cell>
          <cell r="D441">
            <v>111287.68140142967</v>
          </cell>
        </row>
        <row r="442">
          <cell r="A442" t="str">
            <v>BTN</v>
          </cell>
          <cell r="B442">
            <v>2022</v>
          </cell>
          <cell r="C442" t="str">
            <v>pvgdp</v>
          </cell>
          <cell r="D442">
            <v>177686.90625</v>
          </cell>
        </row>
        <row r="443">
          <cell r="A443" t="str">
            <v>BTN</v>
          </cell>
          <cell r="B443">
            <v>2022</v>
          </cell>
          <cell r="C443" t="str">
            <v>pvgdp_agriculture</v>
          </cell>
          <cell r="D443">
            <v>23947.50390625</v>
          </cell>
        </row>
        <row r="444">
          <cell r="A444" t="str">
            <v>BTN</v>
          </cell>
          <cell r="B444">
            <v>2022</v>
          </cell>
          <cell r="C444" t="str">
            <v>pvgdp_industry</v>
          </cell>
          <cell r="D444">
            <v>57079.02734375</v>
          </cell>
        </row>
        <row r="445">
          <cell r="A445" t="str">
            <v>BTN</v>
          </cell>
          <cell r="B445">
            <v>2022</v>
          </cell>
          <cell r="C445" t="str">
            <v>pvgdp_services</v>
          </cell>
          <cell r="D445">
            <v>92526.7578125</v>
          </cell>
        </row>
        <row r="446">
          <cell r="A446" t="str">
            <v>BTN</v>
          </cell>
          <cell r="B446">
            <v>2022</v>
          </cell>
          <cell r="C446" t="str">
            <v>pvgdppc</v>
          </cell>
          <cell r="D446">
            <v>227088.97009426911</v>
          </cell>
        </row>
        <row r="447">
          <cell r="A447" t="str">
            <v>BTN</v>
          </cell>
          <cell r="B447">
            <v>2022</v>
          </cell>
          <cell r="C447" t="str">
            <v>pvpop_total</v>
          </cell>
          <cell r="D447">
            <v>782455.02710342407</v>
          </cell>
        </row>
        <row r="448">
          <cell r="A448" t="str">
            <v>BTN</v>
          </cell>
          <cell r="B448">
            <v>2022</v>
          </cell>
          <cell r="C448" t="str">
            <v>pvpop_1564</v>
          </cell>
          <cell r="D448">
            <v>561140.29427213816</v>
          </cell>
        </row>
        <row r="449">
          <cell r="A449" t="str">
            <v>BTN</v>
          </cell>
          <cell r="B449">
            <v>2022</v>
          </cell>
          <cell r="C449" t="str">
            <v>pvprivpc</v>
          </cell>
          <cell r="D449">
            <v>112265.60763202692</v>
          </cell>
        </row>
        <row r="450">
          <cell r="A450" t="str">
            <v>BTN</v>
          </cell>
          <cell r="B450">
            <v>2023</v>
          </cell>
          <cell r="C450" t="str">
            <v>pvgdp</v>
          </cell>
          <cell r="D450">
            <v>185825.921875</v>
          </cell>
        </row>
        <row r="451">
          <cell r="A451" t="str">
            <v>BTN</v>
          </cell>
          <cell r="B451">
            <v>2023</v>
          </cell>
          <cell r="C451" t="str">
            <v>pvgdp_agriculture</v>
          </cell>
          <cell r="D451">
            <v>24030.521484375</v>
          </cell>
        </row>
        <row r="452">
          <cell r="A452" t="str">
            <v>BTN</v>
          </cell>
          <cell r="B452">
            <v>2023</v>
          </cell>
          <cell r="C452" t="str">
            <v>pvgdp_industry</v>
          </cell>
          <cell r="D452">
            <v>60274.640625</v>
          </cell>
        </row>
        <row r="453">
          <cell r="A453" t="str">
            <v>BTN</v>
          </cell>
          <cell r="B453">
            <v>2023</v>
          </cell>
          <cell r="C453" t="str">
            <v>pvgdp_services</v>
          </cell>
          <cell r="D453">
            <v>97197.796875</v>
          </cell>
        </row>
        <row r="454">
          <cell r="A454" t="str">
            <v>BTN</v>
          </cell>
          <cell r="B454">
            <v>2023</v>
          </cell>
          <cell r="C454" t="str">
            <v>pvgdppc</v>
          </cell>
          <cell r="D454">
            <v>235993.40608710429</v>
          </cell>
        </row>
        <row r="455">
          <cell r="A455" t="str">
            <v>BTN</v>
          </cell>
          <cell r="B455">
            <v>2023</v>
          </cell>
          <cell r="C455" t="str">
            <v>pvpop_total</v>
          </cell>
          <cell r="D455">
            <v>787419.97480392456</v>
          </cell>
        </row>
        <row r="456">
          <cell r="A456" t="str">
            <v>BTN</v>
          </cell>
          <cell r="B456">
            <v>2023</v>
          </cell>
          <cell r="C456" t="str">
            <v>pvpop_1564</v>
          </cell>
          <cell r="D456">
            <v>568279.43927008822</v>
          </cell>
        </row>
        <row r="457">
          <cell r="A457" t="str">
            <v>BTN</v>
          </cell>
          <cell r="B457">
            <v>2023</v>
          </cell>
          <cell r="C457" t="str">
            <v>pvprivpc</v>
          </cell>
          <cell r="D457">
            <v>114788.38098437518</v>
          </cell>
        </row>
        <row r="458">
          <cell r="A458" t="str">
            <v>BTN</v>
          </cell>
          <cell r="B458">
            <v>2024</v>
          </cell>
          <cell r="C458" t="str">
            <v>pvgdp</v>
          </cell>
          <cell r="D458">
            <v>194858.296875</v>
          </cell>
        </row>
        <row r="459">
          <cell r="A459" t="str">
            <v>BTN</v>
          </cell>
          <cell r="B459">
            <v>2024</v>
          </cell>
          <cell r="C459" t="str">
            <v>pvgdp_agriculture</v>
          </cell>
          <cell r="D459">
            <v>24448.525390625</v>
          </cell>
        </row>
        <row r="460">
          <cell r="A460" t="str">
            <v>BTN</v>
          </cell>
          <cell r="B460">
            <v>2024</v>
          </cell>
          <cell r="C460" t="str">
            <v>pvgdp_industry</v>
          </cell>
          <cell r="D460">
            <v>63264.41796875</v>
          </cell>
        </row>
        <row r="461">
          <cell r="A461" t="str">
            <v>BTN</v>
          </cell>
          <cell r="B461">
            <v>2024</v>
          </cell>
          <cell r="C461" t="str">
            <v>pvgdp_services</v>
          </cell>
          <cell r="D461">
            <v>102612.265625</v>
          </cell>
        </row>
        <row r="462">
          <cell r="A462" t="str">
            <v>BTN</v>
          </cell>
          <cell r="B462">
            <v>2024</v>
          </cell>
          <cell r="C462" t="str">
            <v>pvgdppc</v>
          </cell>
          <cell r="D462">
            <v>245915.22116213941</v>
          </cell>
        </row>
        <row r="463">
          <cell r="A463" t="str">
            <v>BTN</v>
          </cell>
          <cell r="B463">
            <v>2024</v>
          </cell>
          <cell r="C463" t="str">
            <v>pvpop_total</v>
          </cell>
          <cell r="D463">
            <v>792379.97531890869</v>
          </cell>
        </row>
        <row r="464">
          <cell r="A464" t="str">
            <v>BTN</v>
          </cell>
          <cell r="B464">
            <v>2024</v>
          </cell>
          <cell r="C464" t="str">
            <v>pvpop_1564</v>
          </cell>
          <cell r="D464">
            <v>575239.04396869661</v>
          </cell>
        </row>
        <row r="465">
          <cell r="A465" t="str">
            <v>BTN</v>
          </cell>
          <cell r="B465">
            <v>2024</v>
          </cell>
          <cell r="C465" t="str">
            <v>pvprivpc</v>
          </cell>
          <cell r="D465">
            <v>116351.24726668488</v>
          </cell>
        </row>
        <row r="466">
          <cell r="A466" t="str">
            <v>BTN</v>
          </cell>
          <cell r="B466">
            <v>2025</v>
          </cell>
          <cell r="C466" t="str">
            <v>pvgdp</v>
          </cell>
          <cell r="D466">
            <v>206050.09375</v>
          </cell>
        </row>
        <row r="467">
          <cell r="A467" t="str">
            <v>BTN</v>
          </cell>
          <cell r="B467">
            <v>2025</v>
          </cell>
          <cell r="C467" t="str">
            <v>pvgdp_agriculture</v>
          </cell>
          <cell r="D467">
            <v>24840.646484375</v>
          </cell>
        </row>
        <row r="468">
          <cell r="A468" t="str">
            <v>BTN</v>
          </cell>
          <cell r="B468">
            <v>2025</v>
          </cell>
          <cell r="C468" t="str">
            <v>pvgdp_industry</v>
          </cell>
          <cell r="D468">
            <v>69021.484375</v>
          </cell>
        </row>
        <row r="469">
          <cell r="A469" t="str">
            <v>BTN</v>
          </cell>
          <cell r="B469">
            <v>2025</v>
          </cell>
          <cell r="C469" t="str">
            <v>pvgdp_services</v>
          </cell>
          <cell r="D469">
            <v>107394.5234375</v>
          </cell>
        </row>
        <row r="470">
          <cell r="A470" t="str">
            <v>BTN</v>
          </cell>
          <cell r="B470">
            <v>2025</v>
          </cell>
          <cell r="C470" t="str">
            <v>pvgdppc</v>
          </cell>
          <cell r="D470">
            <v>258421.87773728999</v>
          </cell>
        </row>
        <row r="471">
          <cell r="A471" t="str">
            <v>BTN</v>
          </cell>
          <cell r="B471">
            <v>2025</v>
          </cell>
          <cell r="C471" t="str">
            <v>pvpop_total</v>
          </cell>
          <cell r="D471">
            <v>797339.97583389282</v>
          </cell>
        </row>
        <row r="472">
          <cell r="A472" t="str">
            <v>BTN</v>
          </cell>
          <cell r="B472">
            <v>2025</v>
          </cell>
          <cell r="C472" t="str">
            <v>pvpop_1564</v>
          </cell>
          <cell r="D472">
            <v>582150.76381628099</v>
          </cell>
        </row>
        <row r="473">
          <cell r="A473" t="str">
            <v>BTN</v>
          </cell>
          <cell r="B473">
            <v>2025</v>
          </cell>
          <cell r="C473" t="str">
            <v>pvprivpc</v>
          </cell>
          <cell r="D473">
            <v>118113.45345692223</v>
          </cell>
        </row>
        <row r="474">
          <cell r="A474" t="str">
            <v>BTN</v>
          </cell>
          <cell r="B474">
            <v>2026</v>
          </cell>
          <cell r="C474" t="str">
            <v>pvgdp</v>
          </cell>
          <cell r="D474">
            <v>218463.78125</v>
          </cell>
        </row>
        <row r="475">
          <cell r="A475" t="str">
            <v>BTN</v>
          </cell>
          <cell r="B475">
            <v>2026</v>
          </cell>
          <cell r="C475" t="str">
            <v>pvgdp_agriculture</v>
          </cell>
          <cell r="D475">
            <v>25262.9375</v>
          </cell>
        </row>
        <row r="476">
          <cell r="A476" t="str">
            <v>BTN</v>
          </cell>
          <cell r="B476">
            <v>2026</v>
          </cell>
          <cell r="C476" t="str">
            <v>pvgdp_industry</v>
          </cell>
          <cell r="D476">
            <v>75647.546875</v>
          </cell>
        </row>
        <row r="477">
          <cell r="A477" t="str">
            <v>BTN</v>
          </cell>
          <cell r="B477">
            <v>2026</v>
          </cell>
          <cell r="C477" t="str">
            <v>pvgdp_services</v>
          </cell>
          <cell r="D477">
            <v>112471.0703125</v>
          </cell>
        </row>
        <row r="478">
          <cell r="A478" t="str">
            <v>BTN</v>
          </cell>
          <cell r="B478">
            <v>2026</v>
          </cell>
          <cell r="C478" t="str">
            <v>pvgdppc</v>
          </cell>
          <cell r="D478">
            <v>272310.45577709854</v>
          </cell>
        </row>
        <row r="479">
          <cell r="A479" t="str">
            <v>BTN</v>
          </cell>
          <cell r="B479">
            <v>2026</v>
          </cell>
          <cell r="C479" t="str">
            <v>pvpop_total</v>
          </cell>
          <cell r="D479">
            <v>802259.98163223267</v>
          </cell>
        </row>
        <row r="480">
          <cell r="A480" t="str">
            <v>BTN</v>
          </cell>
          <cell r="B480">
            <v>2026</v>
          </cell>
          <cell r="C480" t="str">
            <v>pvpop_1564</v>
          </cell>
          <cell r="D480">
            <v>589005.75893950916</v>
          </cell>
        </row>
        <row r="481">
          <cell r="A481" t="str">
            <v>BTN</v>
          </cell>
          <cell r="B481">
            <v>2026</v>
          </cell>
          <cell r="C481" t="str">
            <v>pvprivpc</v>
          </cell>
          <cell r="D481">
            <v>120030.35060914111</v>
          </cell>
        </row>
        <row r="482">
          <cell r="A482" t="str">
            <v>IND</v>
          </cell>
          <cell r="B482">
            <v>2007</v>
          </cell>
          <cell r="C482" t="str">
            <v>pvgdp</v>
          </cell>
          <cell r="D482">
            <v>68810064</v>
          </cell>
        </row>
        <row r="483">
          <cell r="A483" t="str">
            <v>IND</v>
          </cell>
          <cell r="B483">
            <v>2007</v>
          </cell>
          <cell r="C483" t="str">
            <v>pvgdp_agriculture</v>
          </cell>
          <cell r="D483">
            <v>13122832</v>
          </cell>
        </row>
        <row r="484">
          <cell r="A484" t="str">
            <v>IND</v>
          </cell>
          <cell r="B484">
            <v>2007</v>
          </cell>
          <cell r="C484" t="str">
            <v>pvgdp_industry</v>
          </cell>
          <cell r="D484">
            <v>20819376</v>
          </cell>
        </row>
        <row r="485">
          <cell r="A485" t="str">
            <v>IND</v>
          </cell>
          <cell r="B485">
            <v>2007</v>
          </cell>
          <cell r="C485" t="str">
            <v>pvgdp_services</v>
          </cell>
          <cell r="D485">
            <v>30040744</v>
          </cell>
        </row>
        <row r="486">
          <cell r="A486" t="str">
            <v>IND</v>
          </cell>
          <cell r="B486">
            <v>2007</v>
          </cell>
          <cell r="C486" t="str">
            <v>pvgdppc</v>
          </cell>
          <cell r="D486">
            <v>57838.564233879595</v>
          </cell>
        </row>
        <row r="487">
          <cell r="A487" t="str">
            <v>IND</v>
          </cell>
          <cell r="B487">
            <v>2007</v>
          </cell>
          <cell r="C487" t="str">
            <v>pvpop_total</v>
          </cell>
          <cell r="D487">
            <v>1189691772.4609375</v>
          </cell>
        </row>
        <row r="488">
          <cell r="A488" t="str">
            <v>IND</v>
          </cell>
          <cell r="B488">
            <v>2007</v>
          </cell>
          <cell r="C488" t="str">
            <v>pvpop_1564</v>
          </cell>
          <cell r="D488">
            <v>744124452.81023026</v>
          </cell>
        </row>
        <row r="489">
          <cell r="A489" t="str">
            <v>IND</v>
          </cell>
          <cell r="B489">
            <v>2007</v>
          </cell>
          <cell r="C489" t="str">
            <v>pvprivpc</v>
          </cell>
          <cell r="D489">
            <v>32827.353188476656</v>
          </cell>
        </row>
        <row r="490">
          <cell r="A490" t="str">
            <v>IND</v>
          </cell>
          <cell r="B490">
            <v>2008</v>
          </cell>
          <cell r="C490" t="str">
            <v>pvgdp</v>
          </cell>
          <cell r="D490">
            <v>70934024</v>
          </cell>
        </row>
        <row r="491">
          <cell r="A491" t="str">
            <v>IND</v>
          </cell>
          <cell r="B491">
            <v>2008</v>
          </cell>
          <cell r="C491" t="str">
            <v>pvgdp_agriculture</v>
          </cell>
          <cell r="D491">
            <v>13090787</v>
          </cell>
        </row>
        <row r="492">
          <cell r="A492" t="str">
            <v>IND</v>
          </cell>
          <cell r="B492">
            <v>2008</v>
          </cell>
          <cell r="C492" t="str">
            <v>pvgdp_industry</v>
          </cell>
          <cell r="D492">
            <v>21651988</v>
          </cell>
        </row>
        <row r="493">
          <cell r="A493" t="str">
            <v>IND</v>
          </cell>
          <cell r="B493">
            <v>2008</v>
          </cell>
          <cell r="C493" t="str">
            <v>pvgdp_services</v>
          </cell>
          <cell r="D493">
            <v>31999376</v>
          </cell>
        </row>
        <row r="494">
          <cell r="A494" t="str">
            <v>IND</v>
          </cell>
          <cell r="B494">
            <v>2008</v>
          </cell>
          <cell r="C494" t="str">
            <v>pvgdppc</v>
          </cell>
          <cell r="D494">
            <v>58781.780620079444</v>
          </cell>
        </row>
        <row r="495">
          <cell r="A495" t="str">
            <v>IND</v>
          </cell>
          <cell r="B495">
            <v>2008</v>
          </cell>
          <cell r="C495" t="str">
            <v>pvpop_total</v>
          </cell>
          <cell r="D495">
            <v>1206734863.28125</v>
          </cell>
        </row>
        <row r="496">
          <cell r="A496" t="str">
            <v>IND</v>
          </cell>
          <cell r="B496">
            <v>2008</v>
          </cell>
          <cell r="C496" t="str">
            <v>pvpop_1564</v>
          </cell>
          <cell r="D496">
            <v>759488549.62796783</v>
          </cell>
        </row>
        <row r="497">
          <cell r="A497" t="str">
            <v>IND</v>
          </cell>
          <cell r="B497">
            <v>2008</v>
          </cell>
          <cell r="C497" t="str">
            <v>pvprivpc</v>
          </cell>
          <cell r="D497">
            <v>33804.618761969461</v>
          </cell>
        </row>
        <row r="498">
          <cell r="A498" t="str">
            <v>IND</v>
          </cell>
          <cell r="B498">
            <v>2009</v>
          </cell>
          <cell r="C498" t="str">
            <v>pvgdp</v>
          </cell>
          <cell r="D498">
            <v>76510784</v>
          </cell>
        </row>
        <row r="499">
          <cell r="A499" t="str">
            <v>IND</v>
          </cell>
          <cell r="B499">
            <v>2009</v>
          </cell>
          <cell r="C499" t="str">
            <v>pvgdp_agriculture</v>
          </cell>
          <cell r="D499">
            <v>12975558</v>
          </cell>
        </row>
        <row r="500">
          <cell r="A500" t="str">
            <v>IND</v>
          </cell>
          <cell r="B500">
            <v>2009</v>
          </cell>
          <cell r="C500" t="str">
            <v>pvgdp_industry</v>
          </cell>
          <cell r="D500">
            <v>23567016</v>
          </cell>
        </row>
        <row r="501">
          <cell r="A501" t="str">
            <v>IND</v>
          </cell>
          <cell r="B501">
            <v>2009</v>
          </cell>
          <cell r="C501" t="str">
            <v>pvgdp_services</v>
          </cell>
          <cell r="D501">
            <v>34775792</v>
          </cell>
        </row>
        <row r="502">
          <cell r="A502" t="str">
            <v>IND</v>
          </cell>
          <cell r="B502">
            <v>2009</v>
          </cell>
          <cell r="C502" t="str">
            <v>pvgdppc</v>
          </cell>
          <cell r="D502">
            <v>62527.193824458351</v>
          </cell>
        </row>
        <row r="503">
          <cell r="A503" t="str">
            <v>IND</v>
          </cell>
          <cell r="B503">
            <v>2009</v>
          </cell>
          <cell r="C503" t="str">
            <v>pvpop_total</v>
          </cell>
          <cell r="D503">
            <v>1223640136.71875</v>
          </cell>
        </row>
        <row r="504">
          <cell r="A504" t="str">
            <v>IND</v>
          </cell>
          <cell r="B504">
            <v>2009</v>
          </cell>
          <cell r="C504" t="str">
            <v>pvpop_1564</v>
          </cell>
          <cell r="D504">
            <v>774865432.45425332</v>
          </cell>
        </row>
        <row r="505">
          <cell r="A505" t="str">
            <v>IND</v>
          </cell>
          <cell r="B505">
            <v>2009</v>
          </cell>
          <cell r="C505" t="str">
            <v>pvprivpc</v>
          </cell>
          <cell r="D505">
            <v>35004.726238270719</v>
          </cell>
        </row>
        <row r="506">
          <cell r="A506" t="str">
            <v>IND</v>
          </cell>
          <cell r="B506">
            <v>2010</v>
          </cell>
          <cell r="C506" t="str">
            <v>pvgdp</v>
          </cell>
          <cell r="D506">
            <v>83012352</v>
          </cell>
        </row>
        <row r="507">
          <cell r="A507" t="str">
            <v>IND</v>
          </cell>
          <cell r="B507">
            <v>2010</v>
          </cell>
          <cell r="C507" t="str">
            <v>pvgdp_agriculture</v>
          </cell>
          <cell r="D507">
            <v>14116337</v>
          </cell>
        </row>
        <row r="508">
          <cell r="A508" t="str">
            <v>IND</v>
          </cell>
          <cell r="B508">
            <v>2010</v>
          </cell>
          <cell r="C508" t="str">
            <v>pvgdp_industry</v>
          </cell>
          <cell r="D508">
            <v>25428098</v>
          </cell>
        </row>
        <row r="509">
          <cell r="A509" t="str">
            <v>IND</v>
          </cell>
          <cell r="B509">
            <v>2010</v>
          </cell>
          <cell r="C509" t="str">
            <v>pvgdp_services</v>
          </cell>
          <cell r="D509">
            <v>37500708</v>
          </cell>
        </row>
        <row r="510">
          <cell r="A510" t="str">
            <v>IND</v>
          </cell>
          <cell r="B510">
            <v>2010</v>
          </cell>
          <cell r="C510" t="str">
            <v>pvgdppc</v>
          </cell>
          <cell r="D510">
            <v>66912.331788300566</v>
          </cell>
        </row>
        <row r="511">
          <cell r="A511" t="str">
            <v>IND</v>
          </cell>
          <cell r="B511">
            <v>2010</v>
          </cell>
          <cell r="C511" t="str">
            <v>pvpop_total</v>
          </cell>
          <cell r="D511">
            <v>1240613647.4609375</v>
          </cell>
        </row>
        <row r="512">
          <cell r="A512" t="str">
            <v>IND</v>
          </cell>
          <cell r="B512">
            <v>2010</v>
          </cell>
          <cell r="C512" t="str">
            <v>pvpop_1564</v>
          </cell>
          <cell r="D512">
            <v>790484097.80180061</v>
          </cell>
        </row>
        <row r="513">
          <cell r="A513" t="str">
            <v>IND</v>
          </cell>
          <cell r="B513">
            <v>2010</v>
          </cell>
          <cell r="C513" t="str">
            <v>pvprivpc</v>
          </cell>
          <cell r="D513">
            <v>36846.08185115044</v>
          </cell>
        </row>
        <row r="514">
          <cell r="A514" t="str">
            <v>IND</v>
          </cell>
          <cell r="B514">
            <v>2011</v>
          </cell>
          <cell r="C514" t="str">
            <v>pvgdp</v>
          </cell>
          <cell r="D514">
            <v>87363288</v>
          </cell>
        </row>
        <row r="515">
          <cell r="A515" t="str">
            <v>IND</v>
          </cell>
          <cell r="B515">
            <v>2011</v>
          </cell>
          <cell r="C515" t="str">
            <v>pvgdp_agriculture</v>
          </cell>
          <cell r="D515">
            <v>15019473</v>
          </cell>
        </row>
        <row r="516">
          <cell r="A516" t="str">
            <v>IND</v>
          </cell>
          <cell r="B516">
            <v>2011</v>
          </cell>
          <cell r="C516" t="str">
            <v>pvgdp_industry</v>
          </cell>
          <cell r="D516">
            <v>26350236</v>
          </cell>
        </row>
        <row r="517">
          <cell r="A517" t="str">
            <v>IND</v>
          </cell>
          <cell r="B517">
            <v>2011</v>
          </cell>
          <cell r="C517" t="str">
            <v>pvgdp_services</v>
          </cell>
          <cell r="D517">
            <v>39699752</v>
          </cell>
        </row>
        <row r="518">
          <cell r="A518" t="str">
            <v>IND</v>
          </cell>
          <cell r="B518">
            <v>2011</v>
          </cell>
          <cell r="C518" t="str">
            <v>pvgdppc</v>
          </cell>
          <cell r="D518">
            <v>69467.091442963036</v>
          </cell>
        </row>
        <row r="519">
          <cell r="A519" t="str">
            <v>IND</v>
          </cell>
          <cell r="B519">
            <v>2011</v>
          </cell>
          <cell r="C519" t="str">
            <v>pvpop_total</v>
          </cell>
          <cell r="D519">
            <v>1257621215.8203125</v>
          </cell>
        </row>
        <row r="520">
          <cell r="A520" t="str">
            <v>IND</v>
          </cell>
          <cell r="B520">
            <v>2011</v>
          </cell>
          <cell r="C520" t="str">
            <v>pvpop_1564</v>
          </cell>
          <cell r="D520">
            <v>806231136.5962013</v>
          </cell>
        </row>
        <row r="521">
          <cell r="A521" t="str">
            <v>IND</v>
          </cell>
          <cell r="B521">
            <v>2011</v>
          </cell>
          <cell r="C521" t="str">
            <v>pvprivpc</v>
          </cell>
          <cell r="D521">
            <v>39045.518143529785</v>
          </cell>
        </row>
        <row r="522">
          <cell r="A522" t="str">
            <v>IND</v>
          </cell>
          <cell r="B522">
            <v>2012</v>
          </cell>
          <cell r="C522" t="str">
            <v>pvgdp</v>
          </cell>
          <cell r="D522">
            <v>92130168</v>
          </cell>
        </row>
        <row r="523">
          <cell r="A523" t="str">
            <v>IND</v>
          </cell>
          <cell r="B523">
            <v>2012</v>
          </cell>
          <cell r="C523" t="str">
            <v>pvgdp_agriculture</v>
          </cell>
          <cell r="D523">
            <v>15242882</v>
          </cell>
        </row>
        <row r="524">
          <cell r="A524" t="str">
            <v>IND</v>
          </cell>
          <cell r="B524">
            <v>2012</v>
          </cell>
          <cell r="C524" t="str">
            <v>pvgdp_industry</v>
          </cell>
          <cell r="D524">
            <v>27211672</v>
          </cell>
        </row>
        <row r="525">
          <cell r="A525" t="str">
            <v>IND</v>
          </cell>
          <cell r="B525">
            <v>2012</v>
          </cell>
          <cell r="C525" t="str">
            <v>pvgdp_services</v>
          </cell>
          <cell r="D525">
            <v>43008200</v>
          </cell>
        </row>
        <row r="526">
          <cell r="A526" t="str">
            <v>IND</v>
          </cell>
          <cell r="B526">
            <v>2012</v>
          </cell>
          <cell r="C526" t="str">
            <v>pvgdppc</v>
          </cell>
          <cell r="D526">
            <v>72288.030241943008</v>
          </cell>
        </row>
        <row r="527">
          <cell r="A527" t="str">
            <v>IND</v>
          </cell>
          <cell r="B527">
            <v>2012</v>
          </cell>
          <cell r="C527" t="str">
            <v>pvpop_total</v>
          </cell>
          <cell r="D527">
            <v>1274487182.6171875</v>
          </cell>
        </row>
        <row r="528">
          <cell r="A528" t="str">
            <v>IND</v>
          </cell>
          <cell r="B528">
            <v>2012</v>
          </cell>
          <cell r="C528" t="str">
            <v>pvpop_1564</v>
          </cell>
          <cell r="D528">
            <v>821931213.99813259</v>
          </cell>
        </row>
        <row r="529">
          <cell r="A529" t="str">
            <v>IND</v>
          </cell>
          <cell r="B529">
            <v>2012</v>
          </cell>
          <cell r="C529" t="str">
            <v>pvprivpc</v>
          </cell>
          <cell r="D529">
            <v>40636.66446110994</v>
          </cell>
        </row>
        <row r="530">
          <cell r="A530" t="str">
            <v>IND</v>
          </cell>
          <cell r="B530">
            <v>2013</v>
          </cell>
          <cell r="C530" t="str">
            <v>pvgdp</v>
          </cell>
          <cell r="D530">
            <v>98013696</v>
          </cell>
        </row>
        <row r="531">
          <cell r="A531" t="str">
            <v>IND</v>
          </cell>
          <cell r="B531">
            <v>2013</v>
          </cell>
          <cell r="C531" t="str">
            <v>pvgdp_agriculture</v>
          </cell>
          <cell r="D531">
            <v>16091983</v>
          </cell>
        </row>
        <row r="532">
          <cell r="A532" t="str">
            <v>IND</v>
          </cell>
          <cell r="B532">
            <v>2013</v>
          </cell>
          <cell r="C532" t="str">
            <v>pvgdp_industry</v>
          </cell>
          <cell r="D532">
            <v>28241876</v>
          </cell>
        </row>
        <row r="533">
          <cell r="A533" t="str">
            <v>IND</v>
          </cell>
          <cell r="B533">
            <v>2013</v>
          </cell>
          <cell r="C533" t="str">
            <v>pvgdp_services</v>
          </cell>
          <cell r="D533">
            <v>46302628</v>
          </cell>
        </row>
        <row r="534">
          <cell r="A534" t="str">
            <v>IND</v>
          </cell>
          <cell r="B534">
            <v>2013</v>
          </cell>
          <cell r="C534" t="str">
            <v>pvgdppc</v>
          </cell>
          <cell r="D534">
            <v>75912.989470503511</v>
          </cell>
        </row>
        <row r="535">
          <cell r="A535" t="str">
            <v>IND</v>
          </cell>
          <cell r="B535">
            <v>2013</v>
          </cell>
          <cell r="C535" t="str">
            <v>pvpop_total</v>
          </cell>
          <cell r="D535">
            <v>1291132080.078125</v>
          </cell>
        </row>
        <row r="536">
          <cell r="A536" t="str">
            <v>IND</v>
          </cell>
          <cell r="B536">
            <v>2013</v>
          </cell>
          <cell r="C536" t="str">
            <v>pvpop_1564</v>
          </cell>
          <cell r="D536">
            <v>837647718.71392488</v>
          </cell>
        </row>
        <row r="537">
          <cell r="A537" t="str">
            <v>IND</v>
          </cell>
          <cell r="B537">
            <v>2013</v>
          </cell>
          <cell r="C537" t="str">
            <v>pvprivpc</v>
          </cell>
          <cell r="D537">
            <v>43042.291999000845</v>
          </cell>
        </row>
        <row r="538">
          <cell r="A538" t="str">
            <v>IND</v>
          </cell>
          <cell r="B538">
            <v>2014</v>
          </cell>
          <cell r="C538" t="str">
            <v>pvgdp</v>
          </cell>
          <cell r="D538">
            <v>105276736</v>
          </cell>
        </row>
        <row r="539">
          <cell r="A539" t="str">
            <v>IND</v>
          </cell>
          <cell r="B539">
            <v>2014</v>
          </cell>
          <cell r="C539" t="str">
            <v>pvgdp_agriculture</v>
          </cell>
          <cell r="D539">
            <v>16057152</v>
          </cell>
        </row>
        <row r="540">
          <cell r="A540" t="str">
            <v>IND</v>
          </cell>
          <cell r="B540">
            <v>2014</v>
          </cell>
          <cell r="C540" t="str">
            <v>pvgdp_industry</v>
          </cell>
          <cell r="D540">
            <v>30218986</v>
          </cell>
        </row>
        <row r="541">
          <cell r="A541" t="str">
            <v>IND</v>
          </cell>
          <cell r="B541">
            <v>2014</v>
          </cell>
          <cell r="C541" t="str">
            <v>pvgdp_services</v>
          </cell>
          <cell r="D541">
            <v>50845192</v>
          </cell>
        </row>
        <row r="542">
          <cell r="A542" t="str">
            <v>IND</v>
          </cell>
          <cell r="B542">
            <v>2014</v>
          </cell>
          <cell r="C542" t="str">
            <v>pvgdppc</v>
          </cell>
          <cell r="D542">
            <v>80533.196474019001</v>
          </cell>
        </row>
        <row r="543">
          <cell r="A543" t="str">
            <v>IND</v>
          </cell>
          <cell r="B543">
            <v>2014</v>
          </cell>
          <cell r="C543" t="str">
            <v>pvpop_total</v>
          </cell>
          <cell r="D543">
            <v>1307246459.9609375</v>
          </cell>
        </row>
        <row r="544">
          <cell r="A544" t="str">
            <v>IND</v>
          </cell>
          <cell r="B544">
            <v>2014</v>
          </cell>
          <cell r="C544" t="str">
            <v>pvpop_1564</v>
          </cell>
          <cell r="D544">
            <v>853059559.01647484</v>
          </cell>
        </row>
        <row r="545">
          <cell r="A545" t="str">
            <v>IND</v>
          </cell>
          <cell r="B545">
            <v>2014</v>
          </cell>
          <cell r="C545" t="str">
            <v>pvprivpc</v>
          </cell>
          <cell r="D545">
            <v>45229.85512752262</v>
          </cell>
        </row>
        <row r="546">
          <cell r="A546" t="str">
            <v>IND</v>
          </cell>
          <cell r="B546">
            <v>2015</v>
          </cell>
          <cell r="C546" t="str">
            <v>pvgdp</v>
          </cell>
          <cell r="D546">
            <v>113694928</v>
          </cell>
        </row>
        <row r="547">
          <cell r="A547" t="str">
            <v>IND</v>
          </cell>
          <cell r="B547">
            <v>2015</v>
          </cell>
          <cell r="C547" t="str">
            <v>pvgdp_agriculture</v>
          </cell>
          <cell r="D547">
            <v>16161459</v>
          </cell>
        </row>
        <row r="548">
          <cell r="A548" t="str">
            <v>IND</v>
          </cell>
          <cell r="B548">
            <v>2015</v>
          </cell>
          <cell r="C548" t="str">
            <v>pvgdp_industry</v>
          </cell>
          <cell r="D548">
            <v>33113164</v>
          </cell>
        </row>
        <row r="549">
          <cell r="A549" t="str">
            <v>IND</v>
          </cell>
          <cell r="B549">
            <v>2015</v>
          </cell>
          <cell r="C549" t="str">
            <v>pvgdp_services</v>
          </cell>
          <cell r="D549">
            <v>55644080</v>
          </cell>
        </row>
        <row r="550">
          <cell r="A550" t="str">
            <v>IND</v>
          </cell>
          <cell r="B550">
            <v>2015</v>
          </cell>
          <cell r="C550" t="str">
            <v>pvgdppc</v>
          </cell>
          <cell r="D550">
            <v>85945.88483482672</v>
          </cell>
        </row>
        <row r="551">
          <cell r="A551" t="str">
            <v>IND</v>
          </cell>
          <cell r="B551">
            <v>2015</v>
          </cell>
          <cell r="C551" t="str">
            <v>pvpop_total</v>
          </cell>
          <cell r="D551">
            <v>1322866455.078125</v>
          </cell>
        </row>
        <row r="552">
          <cell r="A552" t="str">
            <v>IND</v>
          </cell>
          <cell r="B552">
            <v>2015</v>
          </cell>
          <cell r="C552" t="str">
            <v>pvpop_1564</v>
          </cell>
          <cell r="D552">
            <v>868035675.77657282</v>
          </cell>
        </row>
        <row r="553">
          <cell r="A553" t="str">
            <v>IND</v>
          </cell>
          <cell r="B553">
            <v>2015</v>
          </cell>
          <cell r="C553" t="str">
            <v>pvprivpc</v>
          </cell>
          <cell r="D553">
            <v>48239.327375060922</v>
          </cell>
        </row>
        <row r="554">
          <cell r="A554" t="str">
            <v>IND</v>
          </cell>
          <cell r="B554">
            <v>2016</v>
          </cell>
          <cell r="C554" t="str">
            <v>pvgdp</v>
          </cell>
          <cell r="D554">
            <v>123081936</v>
          </cell>
        </row>
        <row r="555">
          <cell r="A555" t="str">
            <v>IND</v>
          </cell>
          <cell r="B555">
            <v>2016</v>
          </cell>
          <cell r="C555" t="str">
            <v>pvgdp_agriculture</v>
          </cell>
          <cell r="D555">
            <v>17260044</v>
          </cell>
        </row>
        <row r="556">
          <cell r="A556" t="str">
            <v>IND</v>
          </cell>
          <cell r="B556">
            <v>2016</v>
          </cell>
          <cell r="C556" t="str">
            <v>pvgdp_industry</v>
          </cell>
          <cell r="D556">
            <v>35669528</v>
          </cell>
        </row>
        <row r="557">
          <cell r="A557" t="str">
            <v>IND</v>
          </cell>
          <cell r="B557">
            <v>2016</v>
          </cell>
          <cell r="C557" t="str">
            <v>pvgdp_services</v>
          </cell>
          <cell r="D557">
            <v>60353276</v>
          </cell>
        </row>
        <row r="558">
          <cell r="A558" t="str">
            <v>IND</v>
          </cell>
          <cell r="B558">
            <v>2016</v>
          </cell>
          <cell r="C558" t="str">
            <v>pvgdppc</v>
          </cell>
          <cell r="D558">
            <v>91945.759403996446</v>
          </cell>
        </row>
        <row r="559">
          <cell r="A559" t="str">
            <v>IND</v>
          </cell>
          <cell r="B559">
            <v>2016</v>
          </cell>
          <cell r="C559" t="str">
            <v>pvpop_total</v>
          </cell>
          <cell r="D559">
            <v>1338636352.5390625</v>
          </cell>
        </row>
        <row r="560">
          <cell r="A560" t="str">
            <v>IND</v>
          </cell>
          <cell r="B560">
            <v>2016</v>
          </cell>
          <cell r="C560" t="str">
            <v>pvpop_1564</v>
          </cell>
          <cell r="D560">
            <v>883140114.79885983</v>
          </cell>
        </row>
        <row r="561">
          <cell r="A561" t="str">
            <v>IND</v>
          </cell>
          <cell r="B561">
            <v>2016</v>
          </cell>
          <cell r="C561" t="str">
            <v>pvprivpc</v>
          </cell>
          <cell r="D561">
            <v>51546.754926473921</v>
          </cell>
        </row>
        <row r="562">
          <cell r="A562" t="str">
            <v>IND</v>
          </cell>
          <cell r="B562">
            <v>2017</v>
          </cell>
          <cell r="C562" t="str">
            <v>pvgdp</v>
          </cell>
          <cell r="D562">
            <v>131445824</v>
          </cell>
        </row>
        <row r="563">
          <cell r="A563" t="str">
            <v>IND</v>
          </cell>
          <cell r="B563">
            <v>2017</v>
          </cell>
          <cell r="C563" t="str">
            <v>pvgdp_agriculture</v>
          </cell>
          <cell r="D563">
            <v>18400228</v>
          </cell>
        </row>
        <row r="564">
          <cell r="A564" t="str">
            <v>IND</v>
          </cell>
          <cell r="B564">
            <v>2017</v>
          </cell>
          <cell r="C564" t="str">
            <v>pvgdp_industry</v>
          </cell>
          <cell r="D564">
            <v>37759956</v>
          </cell>
        </row>
        <row r="565">
          <cell r="A565" t="str">
            <v>IND</v>
          </cell>
          <cell r="B565">
            <v>2017</v>
          </cell>
          <cell r="C565" t="str">
            <v>pvgdp_services</v>
          </cell>
          <cell r="D565">
            <v>64181520</v>
          </cell>
        </row>
        <row r="566">
          <cell r="A566" t="str">
            <v>IND</v>
          </cell>
          <cell r="B566">
            <v>2017</v>
          </cell>
          <cell r="C566" t="str">
            <v>pvgdppc</v>
          </cell>
          <cell r="D566">
            <v>97065.605854778405</v>
          </cell>
        </row>
        <row r="567">
          <cell r="A567" t="str">
            <v>IND</v>
          </cell>
          <cell r="B567">
            <v>2017</v>
          </cell>
          <cell r="C567" t="str">
            <v>pvpop_total</v>
          </cell>
          <cell r="D567">
            <v>1354195678.7109375</v>
          </cell>
        </row>
        <row r="568">
          <cell r="A568" t="str">
            <v>IND</v>
          </cell>
          <cell r="B568">
            <v>2017</v>
          </cell>
          <cell r="C568" t="str">
            <v>pvpop_1564</v>
          </cell>
          <cell r="D568">
            <v>898203089.54382896</v>
          </cell>
        </row>
        <row r="569">
          <cell r="A569" t="str">
            <v>IND</v>
          </cell>
          <cell r="B569">
            <v>2017</v>
          </cell>
          <cell r="C569" t="str">
            <v>pvprivpc</v>
          </cell>
          <cell r="D569">
            <v>54133.452906733095</v>
          </cell>
        </row>
        <row r="570">
          <cell r="A570" t="str">
            <v>IND</v>
          </cell>
          <cell r="B570">
            <v>2018</v>
          </cell>
          <cell r="C570" t="str">
            <v>pvgdp</v>
          </cell>
          <cell r="D570">
            <v>139929136</v>
          </cell>
        </row>
        <row r="571">
          <cell r="A571" t="str">
            <v>IND</v>
          </cell>
          <cell r="B571">
            <v>2018</v>
          </cell>
          <cell r="C571" t="str">
            <v>pvgdp_agriculture</v>
          </cell>
          <cell r="D571">
            <v>18785984</v>
          </cell>
        </row>
        <row r="572">
          <cell r="A572" t="str">
            <v>IND</v>
          </cell>
          <cell r="B572">
            <v>2018</v>
          </cell>
          <cell r="C572" t="str">
            <v>pvgdp_industry</v>
          </cell>
          <cell r="D572">
            <v>39767428</v>
          </cell>
        </row>
        <row r="573">
          <cell r="A573" t="str">
            <v>IND</v>
          </cell>
          <cell r="B573">
            <v>2018</v>
          </cell>
          <cell r="C573" t="str">
            <v>pvgdp_services</v>
          </cell>
          <cell r="D573">
            <v>68784568</v>
          </cell>
        </row>
        <row r="574">
          <cell r="A574" t="str">
            <v>IND</v>
          </cell>
          <cell r="B574">
            <v>2018</v>
          </cell>
          <cell r="C574" t="str">
            <v>pvgdppc</v>
          </cell>
          <cell r="D574">
            <v>102212.41717914822</v>
          </cell>
        </row>
        <row r="575">
          <cell r="A575" t="str">
            <v>IND</v>
          </cell>
          <cell r="B575">
            <v>2018</v>
          </cell>
          <cell r="C575" t="str">
            <v>pvpop_total</v>
          </cell>
          <cell r="D575">
            <v>1369003295.8984375</v>
          </cell>
        </row>
        <row r="576">
          <cell r="A576" t="str">
            <v>IND</v>
          </cell>
          <cell r="B576">
            <v>2018</v>
          </cell>
          <cell r="C576" t="str">
            <v>pvpop_1564</v>
          </cell>
          <cell r="D576">
            <v>912481561.73451602</v>
          </cell>
        </row>
        <row r="577">
          <cell r="A577" t="str">
            <v>IND</v>
          </cell>
          <cell r="B577">
            <v>2018</v>
          </cell>
          <cell r="C577" t="str">
            <v>pvprivpc</v>
          </cell>
          <cell r="D577">
            <v>57344.230094405866</v>
          </cell>
        </row>
        <row r="578">
          <cell r="A578" t="str">
            <v>IND</v>
          </cell>
          <cell r="B578">
            <v>2019</v>
          </cell>
          <cell r="C578" t="str">
            <v>pvgdp</v>
          </cell>
          <cell r="D578">
            <v>145346400</v>
          </cell>
        </row>
        <row r="579">
          <cell r="A579" t="str">
            <v>IND</v>
          </cell>
          <cell r="B579">
            <v>2019</v>
          </cell>
          <cell r="C579" t="str">
            <v>pvgdp_agriculture</v>
          </cell>
          <cell r="D579">
            <v>19943258</v>
          </cell>
        </row>
        <row r="580">
          <cell r="A580" t="str">
            <v>IND</v>
          </cell>
          <cell r="B580">
            <v>2019</v>
          </cell>
          <cell r="C580" t="str">
            <v>pvgdp_industry</v>
          </cell>
          <cell r="D580">
            <v>39210672</v>
          </cell>
        </row>
        <row r="581">
          <cell r="A581" t="str">
            <v>IND</v>
          </cell>
          <cell r="B581">
            <v>2019</v>
          </cell>
          <cell r="C581" t="str">
            <v>pvgdp_services</v>
          </cell>
          <cell r="D581">
            <v>73207072</v>
          </cell>
        </row>
        <row r="582">
          <cell r="A582" t="str">
            <v>IND</v>
          </cell>
          <cell r="B582">
            <v>2019</v>
          </cell>
          <cell r="C582" t="str">
            <v>pvgdppc</v>
          </cell>
          <cell r="D582">
            <v>105086.49598683335</v>
          </cell>
        </row>
        <row r="583">
          <cell r="A583" t="str">
            <v>IND</v>
          </cell>
          <cell r="B583">
            <v>2019</v>
          </cell>
          <cell r="C583" t="str">
            <v>pvpop_total</v>
          </cell>
          <cell r="D583">
            <v>1383112060.546875</v>
          </cell>
        </row>
        <row r="584">
          <cell r="A584" t="str">
            <v>IND</v>
          </cell>
          <cell r="B584">
            <v>2019</v>
          </cell>
          <cell r="C584" t="str">
            <v>pvpop_1564</v>
          </cell>
          <cell r="D584">
            <v>925913350.21313071</v>
          </cell>
        </row>
        <row r="585">
          <cell r="A585" t="str">
            <v>IND</v>
          </cell>
          <cell r="B585">
            <v>2019</v>
          </cell>
          <cell r="C585" t="str">
            <v>pvprivpc</v>
          </cell>
          <cell r="D585">
            <v>59693.048998036618</v>
          </cell>
        </row>
        <row r="586">
          <cell r="A586" t="str">
            <v>IND</v>
          </cell>
          <cell r="B586">
            <v>2020</v>
          </cell>
          <cell r="C586" t="str">
            <v>pvgdp</v>
          </cell>
          <cell r="D586">
            <v>136948688</v>
          </cell>
        </row>
        <row r="587">
          <cell r="A587" t="str">
            <v>IND</v>
          </cell>
          <cell r="B587">
            <v>2020</v>
          </cell>
          <cell r="C587" t="str">
            <v>pvgdp_agriculture</v>
          </cell>
          <cell r="D587">
            <v>20742124</v>
          </cell>
        </row>
        <row r="588">
          <cell r="A588" t="str">
            <v>IND</v>
          </cell>
          <cell r="B588">
            <v>2020</v>
          </cell>
          <cell r="C588" t="str">
            <v>pvgdp_industry</v>
          </cell>
          <cell r="D588">
            <v>39038192</v>
          </cell>
        </row>
        <row r="589">
          <cell r="A589" t="str">
            <v>IND</v>
          </cell>
          <cell r="B589">
            <v>2020</v>
          </cell>
          <cell r="C589" t="str">
            <v>pvgdp_services</v>
          </cell>
          <cell r="D589">
            <v>67093132</v>
          </cell>
        </row>
        <row r="590">
          <cell r="A590" t="str">
            <v>IND</v>
          </cell>
          <cell r="B590">
            <v>2020</v>
          </cell>
          <cell r="C590" t="str">
            <v>pvgdppc</v>
          </cell>
          <cell r="D590">
            <v>98073.585379680735</v>
          </cell>
        </row>
        <row r="591">
          <cell r="A591" t="str">
            <v>IND</v>
          </cell>
          <cell r="B591">
            <v>2020</v>
          </cell>
          <cell r="C591" t="str">
            <v>pvpop_total</v>
          </cell>
          <cell r="D591">
            <v>1396387084.9609375</v>
          </cell>
        </row>
        <row r="592">
          <cell r="A592" t="str">
            <v>IND</v>
          </cell>
          <cell r="B592">
            <v>2020</v>
          </cell>
          <cell r="C592" t="str">
            <v>pvpop_1564</v>
          </cell>
          <cell r="D592">
            <v>938899577.2343756</v>
          </cell>
        </row>
        <row r="593">
          <cell r="A593" t="str">
            <v>IND</v>
          </cell>
          <cell r="B593">
            <v>2020</v>
          </cell>
          <cell r="C593" t="str">
            <v>pvprivpc</v>
          </cell>
          <cell r="D593">
            <v>55998.146103010848</v>
          </cell>
        </row>
        <row r="594">
          <cell r="A594" t="str">
            <v>IND</v>
          </cell>
          <cell r="B594">
            <v>2021</v>
          </cell>
          <cell r="C594" t="str">
            <v>pvgdp</v>
          </cell>
          <cell r="D594">
            <v>150218464</v>
          </cell>
        </row>
        <row r="595">
          <cell r="A595" t="str">
            <v>IND</v>
          </cell>
          <cell r="B595">
            <v>2021</v>
          </cell>
          <cell r="C595" t="str">
            <v>pvgdp_agriculture</v>
          </cell>
          <cell r="D595">
            <v>21701064</v>
          </cell>
        </row>
        <row r="596">
          <cell r="A596" t="str">
            <v>IND</v>
          </cell>
          <cell r="B596">
            <v>2021</v>
          </cell>
          <cell r="C596" t="str">
            <v>pvgdp_industry</v>
          </cell>
          <cell r="D596">
            <v>43818076</v>
          </cell>
        </row>
        <row r="597">
          <cell r="A597" t="str">
            <v>IND</v>
          </cell>
          <cell r="B597">
            <v>2021</v>
          </cell>
          <cell r="C597" t="str">
            <v>pvgdp_services</v>
          </cell>
          <cell r="D597">
            <v>73249264</v>
          </cell>
        </row>
        <row r="598">
          <cell r="A598" t="str">
            <v>IND</v>
          </cell>
          <cell r="B598">
            <v>2021</v>
          </cell>
          <cell r="C598" t="str">
            <v>pvgdppc</v>
          </cell>
          <cell r="D598">
            <v>106722.30945064087</v>
          </cell>
        </row>
        <row r="599">
          <cell r="A599" t="str">
            <v>IND</v>
          </cell>
          <cell r="B599">
            <v>2021</v>
          </cell>
          <cell r="C599" t="str">
            <v>pvpop_total</v>
          </cell>
          <cell r="D599">
            <v>1407563842.7734375</v>
          </cell>
        </row>
        <row r="600">
          <cell r="A600" t="str">
            <v>IND</v>
          </cell>
          <cell r="B600">
            <v>2021</v>
          </cell>
          <cell r="C600" t="str">
            <v>pvpop_1564</v>
          </cell>
          <cell r="D600">
            <v>950795974.26593292</v>
          </cell>
        </row>
        <row r="601">
          <cell r="A601" t="str">
            <v>IND</v>
          </cell>
          <cell r="B601">
            <v>2021</v>
          </cell>
          <cell r="C601" t="str">
            <v>pvprivpc</v>
          </cell>
          <cell r="D601">
            <v>62040.337600556006</v>
          </cell>
        </row>
        <row r="602">
          <cell r="A602" t="str">
            <v>IND</v>
          </cell>
          <cell r="B602">
            <v>2022</v>
          </cell>
          <cell r="C602" t="str">
            <v>pvgdp</v>
          </cell>
          <cell r="D602">
            <v>160714288</v>
          </cell>
        </row>
        <row r="603">
          <cell r="A603" t="str">
            <v>IND</v>
          </cell>
          <cell r="B603">
            <v>2022</v>
          </cell>
          <cell r="C603" t="str">
            <v>pvgdp_agriculture</v>
          </cell>
          <cell r="D603">
            <v>22722504</v>
          </cell>
        </row>
        <row r="604">
          <cell r="A604" t="str">
            <v>IND</v>
          </cell>
          <cell r="B604">
            <v>2022</v>
          </cell>
          <cell r="C604" t="str">
            <v>pvgdp_industry</v>
          </cell>
          <cell r="D604">
            <v>44741488</v>
          </cell>
        </row>
        <row r="605">
          <cell r="A605" t="str">
            <v>IND</v>
          </cell>
          <cell r="B605">
            <v>2022</v>
          </cell>
          <cell r="C605" t="str">
            <v>pvgdp_services</v>
          </cell>
          <cell r="D605">
            <v>80585016</v>
          </cell>
        </row>
        <row r="606">
          <cell r="A606" t="str">
            <v>IND</v>
          </cell>
          <cell r="B606">
            <v>2022</v>
          </cell>
          <cell r="C606" t="str">
            <v>pvgdppc</v>
          </cell>
          <cell r="D606">
            <v>113404.83011138394</v>
          </cell>
        </row>
        <row r="607">
          <cell r="A607" t="str">
            <v>IND</v>
          </cell>
          <cell r="B607">
            <v>2022</v>
          </cell>
          <cell r="C607" t="str">
            <v>pvpop_total</v>
          </cell>
          <cell r="D607">
            <v>1417173217.7734375</v>
          </cell>
        </row>
        <row r="608">
          <cell r="A608" t="str">
            <v>IND</v>
          </cell>
          <cell r="B608">
            <v>2022</v>
          </cell>
          <cell r="C608" t="str">
            <v>pvpop_1564</v>
          </cell>
          <cell r="D608">
            <v>961031874.12625778</v>
          </cell>
        </row>
        <row r="609">
          <cell r="A609" t="str">
            <v>IND</v>
          </cell>
          <cell r="B609">
            <v>2022</v>
          </cell>
          <cell r="C609" t="str">
            <v>pvprivpc</v>
          </cell>
          <cell r="D609">
            <v>65791.709037861554</v>
          </cell>
        </row>
        <row r="610">
          <cell r="A610" t="str">
            <v>IND</v>
          </cell>
          <cell r="B610">
            <v>2023</v>
          </cell>
          <cell r="C610" t="str">
            <v>pvgdp</v>
          </cell>
          <cell r="D610">
            <v>172726208</v>
          </cell>
        </row>
        <row r="611">
          <cell r="A611" t="str">
            <v>IND</v>
          </cell>
          <cell r="B611">
            <v>2023</v>
          </cell>
          <cell r="C611" t="str">
            <v>pvgdp_agriculture</v>
          </cell>
          <cell r="D611">
            <v>22873286</v>
          </cell>
        </row>
        <row r="612">
          <cell r="A612" t="str">
            <v>IND</v>
          </cell>
          <cell r="B612">
            <v>2023</v>
          </cell>
          <cell r="C612" t="str">
            <v>pvgdp_industry</v>
          </cell>
          <cell r="D612">
            <v>48692832</v>
          </cell>
        </row>
        <row r="613">
          <cell r="A613" t="str">
            <v>IND</v>
          </cell>
          <cell r="B613">
            <v>2023</v>
          </cell>
          <cell r="C613" t="str">
            <v>pvgdp_services</v>
          </cell>
          <cell r="D613">
            <v>86550232</v>
          </cell>
        </row>
        <row r="614">
          <cell r="A614" t="str">
            <v>IND</v>
          </cell>
          <cell r="B614">
            <v>2023</v>
          </cell>
          <cell r="C614" t="str">
            <v>pvgdppc</v>
          </cell>
          <cell r="D614">
            <v>120903.59476172439</v>
          </cell>
        </row>
        <row r="615">
          <cell r="A615" t="str">
            <v>IND</v>
          </cell>
          <cell r="B615">
            <v>2023</v>
          </cell>
          <cell r="C615" t="str">
            <v>pvpop_total</v>
          </cell>
          <cell r="D615">
            <v>1428627563.4765625</v>
          </cell>
        </row>
        <row r="616">
          <cell r="A616" t="str">
            <v>IND</v>
          </cell>
          <cell r="B616">
            <v>2023</v>
          </cell>
          <cell r="C616" t="str">
            <v>pvpop_1564</v>
          </cell>
          <cell r="D616">
            <v>971768104.63694727</v>
          </cell>
        </row>
        <row r="617">
          <cell r="A617" t="str">
            <v>IND</v>
          </cell>
          <cell r="B617">
            <v>2023</v>
          </cell>
          <cell r="C617" t="str">
            <v>pvprivpc</v>
          </cell>
          <cell r="D617">
            <v>67744.245228254513</v>
          </cell>
        </row>
        <row r="618">
          <cell r="A618" t="str">
            <v>IND</v>
          </cell>
          <cell r="B618">
            <v>2024</v>
          </cell>
          <cell r="C618" t="str">
            <v>pvgdp</v>
          </cell>
          <cell r="D618">
            <v>184165808</v>
          </cell>
        </row>
        <row r="619">
          <cell r="A619" t="str">
            <v>IND</v>
          </cell>
          <cell r="B619">
            <v>2024</v>
          </cell>
          <cell r="C619" t="str">
            <v>pvgdp_agriculture</v>
          </cell>
          <cell r="D619">
            <v>23353626</v>
          </cell>
        </row>
        <row r="620">
          <cell r="A620" t="str">
            <v>IND</v>
          </cell>
          <cell r="B620">
            <v>2024</v>
          </cell>
          <cell r="C620" t="str">
            <v>pvgdp_industry</v>
          </cell>
          <cell r="D620">
            <v>52399540</v>
          </cell>
        </row>
        <row r="621">
          <cell r="A621" t="str">
            <v>IND</v>
          </cell>
          <cell r="B621">
            <v>2024</v>
          </cell>
          <cell r="C621" t="str">
            <v>pvgdp_services</v>
          </cell>
          <cell r="D621">
            <v>92835176</v>
          </cell>
        </row>
        <row r="622">
          <cell r="A622" t="str">
            <v>IND</v>
          </cell>
          <cell r="B622">
            <v>2024</v>
          </cell>
          <cell r="C622" t="str">
            <v>pvgdppc</v>
          </cell>
          <cell r="D622">
            <v>127740.35689017184</v>
          </cell>
        </row>
        <row r="623">
          <cell r="A623" t="str">
            <v>IND</v>
          </cell>
          <cell r="B623">
            <v>2024</v>
          </cell>
          <cell r="C623" t="str">
            <v>pvpop_total</v>
          </cell>
          <cell r="D623">
            <v>1441719848.6328125</v>
          </cell>
        </row>
        <row r="624">
          <cell r="A624" t="str">
            <v>IND</v>
          </cell>
          <cell r="B624">
            <v>2024</v>
          </cell>
          <cell r="C624" t="str">
            <v>pvpop_1564</v>
          </cell>
          <cell r="D624">
            <v>983679399.71565509</v>
          </cell>
        </row>
        <row r="625">
          <cell r="A625" t="str">
            <v>IND</v>
          </cell>
          <cell r="B625">
            <v>2024</v>
          </cell>
          <cell r="C625" t="str">
            <v>pvprivpc</v>
          </cell>
          <cell r="D625">
            <v>70552.641760782222</v>
          </cell>
        </row>
        <row r="626">
          <cell r="A626" t="str">
            <v>IND</v>
          </cell>
          <cell r="B626">
            <v>2025</v>
          </cell>
          <cell r="C626" t="str">
            <v>pvgdp</v>
          </cell>
          <cell r="D626">
            <v>196546800</v>
          </cell>
        </row>
        <row r="627">
          <cell r="A627" t="str">
            <v>IND</v>
          </cell>
          <cell r="B627">
            <v>2025</v>
          </cell>
          <cell r="C627" t="str">
            <v>pvgdp_agriculture</v>
          </cell>
          <cell r="D627">
            <v>24217710</v>
          </cell>
        </row>
        <row r="628">
          <cell r="A628" t="str">
            <v>IND</v>
          </cell>
          <cell r="B628">
            <v>2025</v>
          </cell>
          <cell r="C628" t="str">
            <v>pvgdp_industry</v>
          </cell>
          <cell r="D628">
            <v>56119908</v>
          </cell>
        </row>
        <row r="629">
          <cell r="A629" t="str">
            <v>IND</v>
          </cell>
          <cell r="B629">
            <v>2025</v>
          </cell>
          <cell r="C629" t="str">
            <v>pvgdp_services</v>
          </cell>
          <cell r="D629">
            <v>99584488</v>
          </cell>
        </row>
        <row r="630">
          <cell r="A630" t="str">
            <v>IND</v>
          </cell>
          <cell r="B630">
            <v>2025</v>
          </cell>
          <cell r="C630" t="str">
            <v>pvgdppc</v>
          </cell>
          <cell r="D630">
            <v>135120.23657329247</v>
          </cell>
        </row>
        <row r="631">
          <cell r="A631" t="str">
            <v>IND</v>
          </cell>
          <cell r="B631">
            <v>2025</v>
          </cell>
          <cell r="C631" t="str">
            <v>pvpop_total</v>
          </cell>
          <cell r="D631">
            <v>1454606689.453125</v>
          </cell>
        </row>
        <row r="632">
          <cell r="A632" t="str">
            <v>IND</v>
          </cell>
          <cell r="B632">
            <v>2025</v>
          </cell>
          <cell r="C632" t="str">
            <v>pvpop_1564</v>
          </cell>
          <cell r="D632">
            <v>995360618.37737274</v>
          </cell>
        </row>
        <row r="633">
          <cell r="A633" t="str">
            <v>IND</v>
          </cell>
          <cell r="B633">
            <v>2025</v>
          </cell>
          <cell r="C633" t="str">
            <v>pvprivpc</v>
          </cell>
          <cell r="D633">
            <v>74333.033653688806</v>
          </cell>
        </row>
        <row r="634">
          <cell r="A634" t="str">
            <v>IND</v>
          </cell>
          <cell r="B634">
            <v>2026</v>
          </cell>
          <cell r="C634" t="str">
            <v>pvgdp</v>
          </cell>
          <cell r="D634">
            <v>209934736</v>
          </cell>
        </row>
        <row r="635">
          <cell r="A635" t="str">
            <v>IND</v>
          </cell>
          <cell r="B635">
            <v>2026</v>
          </cell>
          <cell r="C635" t="str">
            <v>pvgdp_agriculture</v>
          </cell>
          <cell r="D635">
            <v>25186418</v>
          </cell>
        </row>
        <row r="636">
          <cell r="A636" t="str">
            <v>IND</v>
          </cell>
          <cell r="B636">
            <v>2026</v>
          </cell>
          <cell r="C636" t="str">
            <v>pvgdp_industry</v>
          </cell>
          <cell r="D636">
            <v>60104424</v>
          </cell>
        </row>
        <row r="637">
          <cell r="A637" t="str">
            <v>IND</v>
          </cell>
          <cell r="B637">
            <v>2026</v>
          </cell>
          <cell r="C637" t="str">
            <v>pvgdp_services</v>
          </cell>
          <cell r="D637">
            <v>106886800</v>
          </cell>
        </row>
        <row r="638">
          <cell r="A638" t="str">
            <v>IND</v>
          </cell>
          <cell r="B638">
            <v>2026</v>
          </cell>
          <cell r="C638" t="str">
            <v>pvgdppc</v>
          </cell>
          <cell r="D638">
            <v>143082.24622835548</v>
          </cell>
        </row>
        <row r="639">
          <cell r="A639" t="str">
            <v>IND</v>
          </cell>
          <cell r="B639">
            <v>2026</v>
          </cell>
          <cell r="C639" t="str">
            <v>pvpop_total</v>
          </cell>
          <cell r="D639">
            <v>1467231201.171875</v>
          </cell>
        </row>
        <row r="640">
          <cell r="A640" t="str">
            <v>IND</v>
          </cell>
          <cell r="B640">
            <v>2026</v>
          </cell>
          <cell r="C640" t="str">
            <v>pvpop_1564</v>
          </cell>
          <cell r="D640">
            <v>1006606464.7762907</v>
          </cell>
        </row>
        <row r="641">
          <cell r="A641" t="str">
            <v>IND</v>
          </cell>
          <cell r="B641">
            <v>2026</v>
          </cell>
          <cell r="C641" t="str">
            <v>pvprivpc</v>
          </cell>
          <cell r="D641">
            <v>78704.602183873983</v>
          </cell>
        </row>
        <row r="642">
          <cell r="A642" t="str">
            <v>LKA</v>
          </cell>
          <cell r="B642">
            <v>2007</v>
          </cell>
          <cell r="C642" t="str">
            <v>pvgdp</v>
          </cell>
          <cell r="D642">
            <v>5412696</v>
          </cell>
        </row>
        <row r="643">
          <cell r="A643" t="str">
            <v>LKA</v>
          </cell>
          <cell r="B643">
            <v>2007</v>
          </cell>
          <cell r="C643" t="str">
            <v>pvgdp_agriculture</v>
          </cell>
          <cell r="D643">
            <v>459036</v>
          </cell>
        </row>
        <row r="644">
          <cell r="A644" t="str">
            <v>LKA</v>
          </cell>
          <cell r="B644">
            <v>2007</v>
          </cell>
          <cell r="C644" t="str">
            <v>pvgdp_industry</v>
          </cell>
          <cell r="D644">
            <v>1427624</v>
          </cell>
        </row>
        <row r="645">
          <cell r="A645" t="str">
            <v>LKA</v>
          </cell>
          <cell r="B645">
            <v>2007</v>
          </cell>
          <cell r="C645" t="str">
            <v>pvgdp_services</v>
          </cell>
          <cell r="D645">
            <v>2972933</v>
          </cell>
        </row>
        <row r="646">
          <cell r="A646" t="str">
            <v>LKA</v>
          </cell>
          <cell r="B646">
            <v>2007</v>
          </cell>
          <cell r="C646" t="str">
            <v>pvgdppc</v>
          </cell>
          <cell r="D646">
            <v>269574.62711097696</v>
          </cell>
        </row>
        <row r="647">
          <cell r="A647" t="str">
            <v>LKA</v>
          </cell>
          <cell r="B647">
            <v>2007</v>
          </cell>
          <cell r="C647" t="str">
            <v>pvpop_total</v>
          </cell>
          <cell r="D647">
            <v>20078655.242919922</v>
          </cell>
        </row>
        <row r="648">
          <cell r="A648" t="str">
            <v>LKA</v>
          </cell>
          <cell r="B648">
            <v>2007</v>
          </cell>
          <cell r="C648" t="str">
            <v>pvpop_1564</v>
          </cell>
          <cell r="D648">
            <v>13545796.309070231</v>
          </cell>
        </row>
        <row r="649">
          <cell r="A649" t="str">
            <v>LKA</v>
          </cell>
          <cell r="B649">
            <v>2007</v>
          </cell>
          <cell r="C649" t="str">
            <v>pvprivpc</v>
          </cell>
          <cell r="D649">
            <v>184582.80473274528</v>
          </cell>
        </row>
        <row r="650">
          <cell r="A650" t="str">
            <v>LKA</v>
          </cell>
          <cell r="B650">
            <v>2008</v>
          </cell>
          <cell r="C650" t="str">
            <v>pvgdp</v>
          </cell>
          <cell r="D650">
            <v>5734756</v>
          </cell>
        </row>
        <row r="651">
          <cell r="A651" t="str">
            <v>LKA</v>
          </cell>
          <cell r="B651">
            <v>2008</v>
          </cell>
          <cell r="C651" t="str">
            <v>pvgdp_agriculture</v>
          </cell>
          <cell r="D651">
            <v>493613.5</v>
          </cell>
        </row>
        <row r="652">
          <cell r="A652" t="str">
            <v>LKA</v>
          </cell>
          <cell r="B652">
            <v>2008</v>
          </cell>
          <cell r="C652" t="str">
            <v>pvgdp_industry</v>
          </cell>
          <cell r="D652">
            <v>1512112</v>
          </cell>
        </row>
        <row r="653">
          <cell r="A653" t="str">
            <v>LKA</v>
          </cell>
          <cell r="B653">
            <v>2008</v>
          </cell>
          <cell r="C653" t="str">
            <v>pvgdp_services</v>
          </cell>
          <cell r="D653">
            <v>3140885.5</v>
          </cell>
        </row>
        <row r="654">
          <cell r="A654" t="str">
            <v>LKA</v>
          </cell>
          <cell r="B654">
            <v>2008</v>
          </cell>
          <cell r="C654" t="str">
            <v>pvgdppc</v>
          </cell>
          <cell r="D654">
            <v>282700.23811042978</v>
          </cell>
        </row>
        <row r="655">
          <cell r="A655" t="str">
            <v>LKA</v>
          </cell>
          <cell r="B655">
            <v>2008</v>
          </cell>
          <cell r="C655" t="str">
            <v>pvpop_total</v>
          </cell>
          <cell r="D655">
            <v>20285642.623901367</v>
          </cell>
        </row>
        <row r="656">
          <cell r="A656" t="str">
            <v>LKA</v>
          </cell>
          <cell r="B656">
            <v>2008</v>
          </cell>
          <cell r="C656" t="str">
            <v>pvpop_1564</v>
          </cell>
          <cell r="D656">
            <v>13668674.569425315</v>
          </cell>
        </row>
        <row r="657">
          <cell r="A657" t="str">
            <v>LKA</v>
          </cell>
          <cell r="B657">
            <v>2008</v>
          </cell>
          <cell r="C657" t="str">
            <v>pvprivpc</v>
          </cell>
          <cell r="D657">
            <v>196422.24670295828</v>
          </cell>
        </row>
        <row r="658">
          <cell r="A658" t="str">
            <v>LKA</v>
          </cell>
          <cell r="B658">
            <v>2009</v>
          </cell>
          <cell r="C658" t="str">
            <v>pvgdp</v>
          </cell>
          <cell r="D658">
            <v>5937704</v>
          </cell>
        </row>
        <row r="659">
          <cell r="A659" t="str">
            <v>LKA</v>
          </cell>
          <cell r="B659">
            <v>2009</v>
          </cell>
          <cell r="C659" t="str">
            <v>pvgdp_agriculture</v>
          </cell>
          <cell r="D659">
            <v>509497.6875</v>
          </cell>
        </row>
        <row r="660">
          <cell r="A660" t="str">
            <v>LKA</v>
          </cell>
          <cell r="B660">
            <v>2009</v>
          </cell>
          <cell r="C660" t="str">
            <v>pvgdp_industry</v>
          </cell>
          <cell r="D660">
            <v>1575803</v>
          </cell>
        </row>
        <row r="661">
          <cell r="A661" t="str">
            <v>LKA</v>
          </cell>
          <cell r="B661">
            <v>2009</v>
          </cell>
          <cell r="C661" t="str">
            <v>pvgdp_services</v>
          </cell>
          <cell r="D661">
            <v>3243976.25</v>
          </cell>
        </row>
        <row r="662">
          <cell r="A662" t="str">
            <v>LKA</v>
          </cell>
          <cell r="B662">
            <v>2009</v>
          </cell>
          <cell r="C662" t="str">
            <v>pvgdppc</v>
          </cell>
          <cell r="D662">
            <v>289891.88883104007</v>
          </cell>
        </row>
        <row r="663">
          <cell r="A663" t="str">
            <v>LKA</v>
          </cell>
          <cell r="B663">
            <v>2009</v>
          </cell>
          <cell r="C663" t="str">
            <v>pvpop_total</v>
          </cell>
          <cell r="D663">
            <v>20482477.188110352</v>
          </cell>
        </row>
        <row r="664">
          <cell r="A664" t="str">
            <v>LKA</v>
          </cell>
          <cell r="B664">
            <v>2009</v>
          </cell>
          <cell r="C664" t="str">
            <v>pvpop_1564</v>
          </cell>
          <cell r="D664">
            <v>13779952.487266472</v>
          </cell>
        </row>
        <row r="665">
          <cell r="A665" t="str">
            <v>LKA</v>
          </cell>
          <cell r="B665">
            <v>2009</v>
          </cell>
          <cell r="C665" t="str">
            <v>pvprivpc</v>
          </cell>
          <cell r="D665">
            <v>196359.378949273</v>
          </cell>
        </row>
        <row r="666">
          <cell r="A666" t="str">
            <v>LKA</v>
          </cell>
          <cell r="B666">
            <v>2010</v>
          </cell>
          <cell r="C666" t="str">
            <v>pvgdp</v>
          </cell>
          <cell r="D666">
            <v>6413668.5</v>
          </cell>
        </row>
        <row r="667">
          <cell r="A667" t="str">
            <v>LKA</v>
          </cell>
          <cell r="B667">
            <v>2010</v>
          </cell>
          <cell r="C667" t="str">
            <v>pvgdp_agriculture</v>
          </cell>
          <cell r="D667">
            <v>544914.3125</v>
          </cell>
        </row>
        <row r="668">
          <cell r="A668" t="str">
            <v>LKA</v>
          </cell>
          <cell r="B668">
            <v>2010</v>
          </cell>
          <cell r="C668" t="str">
            <v>pvgdp_industry</v>
          </cell>
          <cell r="D668">
            <v>1708867</v>
          </cell>
        </row>
        <row r="669">
          <cell r="A669" t="str">
            <v>LKA</v>
          </cell>
          <cell r="B669">
            <v>2010</v>
          </cell>
          <cell r="C669" t="str">
            <v>pvgdp_services</v>
          </cell>
          <cell r="D669">
            <v>3504322.75</v>
          </cell>
        </row>
        <row r="670">
          <cell r="A670" t="str">
            <v>LKA</v>
          </cell>
          <cell r="B670">
            <v>2010</v>
          </cell>
          <cell r="C670" t="str">
            <v>pvgdppc</v>
          </cell>
          <cell r="D670">
            <v>310310.42680418992</v>
          </cell>
        </row>
        <row r="671">
          <cell r="A671" t="str">
            <v>LKA</v>
          </cell>
          <cell r="B671">
            <v>2010</v>
          </cell>
          <cell r="C671" t="str">
            <v>pvpop_total</v>
          </cell>
          <cell r="D671">
            <v>20668556.213378906</v>
          </cell>
        </row>
        <row r="672">
          <cell r="A672" t="str">
            <v>LKA</v>
          </cell>
          <cell r="B672">
            <v>2010</v>
          </cell>
          <cell r="C672" t="str">
            <v>pvpop_1564</v>
          </cell>
          <cell r="D672">
            <v>13879603.430127149</v>
          </cell>
        </row>
        <row r="673">
          <cell r="A673" t="str">
            <v>LKA</v>
          </cell>
          <cell r="B673">
            <v>2010</v>
          </cell>
          <cell r="C673" t="str">
            <v>pvprivpc</v>
          </cell>
          <cell r="D673">
            <v>212410.33745541365</v>
          </cell>
        </row>
        <row r="674">
          <cell r="A674" t="str">
            <v>LKA</v>
          </cell>
          <cell r="B674">
            <v>2011</v>
          </cell>
          <cell r="C674" t="str">
            <v>pvgdp</v>
          </cell>
          <cell r="D674">
            <v>6952720</v>
          </cell>
        </row>
        <row r="675">
          <cell r="A675" t="str">
            <v>LKA</v>
          </cell>
          <cell r="B675">
            <v>2011</v>
          </cell>
          <cell r="C675" t="str">
            <v>pvgdp_agriculture</v>
          </cell>
          <cell r="D675">
            <v>569954</v>
          </cell>
        </row>
        <row r="676">
          <cell r="A676" t="str">
            <v>LKA</v>
          </cell>
          <cell r="B676">
            <v>2011</v>
          </cell>
          <cell r="C676" t="str">
            <v>pvgdp_industry</v>
          </cell>
          <cell r="D676">
            <v>1866947</v>
          </cell>
        </row>
        <row r="677">
          <cell r="A677" t="str">
            <v>LKA</v>
          </cell>
          <cell r="B677">
            <v>2011</v>
          </cell>
          <cell r="C677" t="str">
            <v>pvgdp_services</v>
          </cell>
          <cell r="D677">
            <v>3817155</v>
          </cell>
        </row>
        <row r="678">
          <cell r="A678" t="str">
            <v>LKA</v>
          </cell>
          <cell r="B678">
            <v>2011</v>
          </cell>
          <cell r="C678" t="str">
            <v>pvgdppc</v>
          </cell>
          <cell r="D678">
            <v>333308.03551003872</v>
          </cell>
        </row>
        <row r="679">
          <cell r="A679" t="str">
            <v>LKA</v>
          </cell>
          <cell r="B679">
            <v>2011</v>
          </cell>
          <cell r="C679" t="str">
            <v>pvpop_total</v>
          </cell>
          <cell r="D679">
            <v>20859743.118286133</v>
          </cell>
        </row>
        <row r="680">
          <cell r="A680" t="str">
            <v>LKA</v>
          </cell>
          <cell r="B680">
            <v>2011</v>
          </cell>
          <cell r="C680" t="str">
            <v>pvpop_1564</v>
          </cell>
          <cell r="D680">
            <v>13977360.689651679</v>
          </cell>
        </row>
        <row r="681">
          <cell r="A681" t="str">
            <v>LKA</v>
          </cell>
          <cell r="B681">
            <v>2011</v>
          </cell>
          <cell r="C681" t="str">
            <v>pvprivpc</v>
          </cell>
          <cell r="D681">
            <v>231283.07346080054</v>
          </cell>
        </row>
        <row r="682">
          <cell r="A682" t="str">
            <v>LKA</v>
          </cell>
          <cell r="B682">
            <v>2012</v>
          </cell>
          <cell r="C682" t="str">
            <v>pvgdp</v>
          </cell>
          <cell r="D682">
            <v>7588517</v>
          </cell>
        </row>
        <row r="683">
          <cell r="A683" t="str">
            <v>LKA</v>
          </cell>
          <cell r="B683">
            <v>2012</v>
          </cell>
          <cell r="C683" t="str">
            <v>pvgdp_agriculture</v>
          </cell>
          <cell r="D683">
            <v>592443.375</v>
          </cell>
        </row>
        <row r="684">
          <cell r="A684" t="str">
            <v>LKA</v>
          </cell>
          <cell r="B684">
            <v>2012</v>
          </cell>
          <cell r="C684" t="str">
            <v>pvgdp_industry</v>
          </cell>
          <cell r="D684">
            <v>2035601</v>
          </cell>
        </row>
        <row r="685">
          <cell r="A685" t="str">
            <v>LKA</v>
          </cell>
          <cell r="B685">
            <v>2012</v>
          </cell>
          <cell r="C685" t="str">
            <v>pvgdp_services</v>
          </cell>
          <cell r="D685">
            <v>4245461.5</v>
          </cell>
        </row>
        <row r="686">
          <cell r="A686" t="str">
            <v>LKA</v>
          </cell>
          <cell r="B686">
            <v>2012</v>
          </cell>
          <cell r="C686" t="str">
            <v>pvgdppc</v>
          </cell>
          <cell r="D686">
            <v>361063.13463080896</v>
          </cell>
        </row>
        <row r="687">
          <cell r="A687" t="str">
            <v>LKA</v>
          </cell>
          <cell r="B687">
            <v>2012</v>
          </cell>
          <cell r="C687" t="str">
            <v>pvpop_total</v>
          </cell>
          <cell r="D687">
            <v>21017147.064208984</v>
          </cell>
        </row>
        <row r="688">
          <cell r="A688" t="str">
            <v>LKA</v>
          </cell>
          <cell r="B688">
            <v>2012</v>
          </cell>
          <cell r="C688" t="str">
            <v>pvpop_1564</v>
          </cell>
          <cell r="D688">
            <v>14050209.849152401</v>
          </cell>
        </row>
        <row r="689">
          <cell r="A689" t="str">
            <v>LKA</v>
          </cell>
          <cell r="B689">
            <v>2012</v>
          </cell>
          <cell r="C689" t="str">
            <v>pvprivpc</v>
          </cell>
          <cell r="D689">
            <v>234718.06068297432</v>
          </cell>
        </row>
        <row r="690">
          <cell r="A690" t="str">
            <v>LKA</v>
          </cell>
          <cell r="B690">
            <v>2013</v>
          </cell>
          <cell r="C690" t="str">
            <v>pvgdp</v>
          </cell>
          <cell r="D690">
            <v>7846202.5</v>
          </cell>
        </row>
        <row r="691">
          <cell r="A691" t="str">
            <v>LKA</v>
          </cell>
          <cell r="B691">
            <v>2013</v>
          </cell>
          <cell r="C691" t="str">
            <v>pvgdp_agriculture</v>
          </cell>
          <cell r="D691">
            <v>611676.125</v>
          </cell>
        </row>
        <row r="692">
          <cell r="A692" t="str">
            <v>LKA</v>
          </cell>
          <cell r="B692">
            <v>2013</v>
          </cell>
          <cell r="C692" t="str">
            <v>pvgdp_industry</v>
          </cell>
          <cell r="D692">
            <v>2119080</v>
          </cell>
        </row>
        <row r="693">
          <cell r="A693" t="str">
            <v>LKA</v>
          </cell>
          <cell r="B693">
            <v>2013</v>
          </cell>
          <cell r="C693" t="str">
            <v>pvgdp_services</v>
          </cell>
          <cell r="D693">
            <v>4405645</v>
          </cell>
        </row>
        <row r="694">
          <cell r="A694" t="str">
            <v>LKA</v>
          </cell>
          <cell r="B694">
            <v>2013</v>
          </cell>
          <cell r="C694" t="str">
            <v>pvgdppc</v>
          </cell>
          <cell r="D694">
            <v>371299.12741492427</v>
          </cell>
        </row>
        <row r="695">
          <cell r="A695" t="str">
            <v>LKA</v>
          </cell>
          <cell r="B695">
            <v>2013</v>
          </cell>
          <cell r="C695" t="str">
            <v>pvpop_total</v>
          </cell>
          <cell r="D695">
            <v>21131755.828857422</v>
          </cell>
        </row>
        <row r="696">
          <cell r="A696" t="str">
            <v>LKA</v>
          </cell>
          <cell r="B696">
            <v>2013</v>
          </cell>
          <cell r="C696" t="str">
            <v>pvpop_1564</v>
          </cell>
          <cell r="D696">
            <v>14090800.378624676</v>
          </cell>
        </row>
        <row r="697">
          <cell r="A697" t="str">
            <v>LKA</v>
          </cell>
          <cell r="B697">
            <v>2013</v>
          </cell>
          <cell r="C697" t="str">
            <v>pvprivpc</v>
          </cell>
          <cell r="D697">
            <v>251641.0866691109</v>
          </cell>
        </row>
        <row r="698">
          <cell r="A698" t="str">
            <v>LKA</v>
          </cell>
          <cell r="B698">
            <v>2014</v>
          </cell>
          <cell r="C698" t="str">
            <v>pvgdp</v>
          </cell>
          <cell r="D698">
            <v>8235429</v>
          </cell>
        </row>
        <row r="699">
          <cell r="A699" t="str">
            <v>LKA</v>
          </cell>
          <cell r="B699">
            <v>2014</v>
          </cell>
          <cell r="C699" t="str">
            <v>pvgdp_agriculture</v>
          </cell>
          <cell r="D699">
            <v>639695.625</v>
          </cell>
        </row>
        <row r="700">
          <cell r="A700" t="str">
            <v>LKA</v>
          </cell>
          <cell r="B700">
            <v>2014</v>
          </cell>
          <cell r="C700" t="str">
            <v>pvgdp_industry</v>
          </cell>
          <cell r="D700">
            <v>2218711</v>
          </cell>
        </row>
        <row r="701">
          <cell r="A701" t="str">
            <v>LKA</v>
          </cell>
          <cell r="B701">
            <v>2014</v>
          </cell>
          <cell r="C701" t="str">
            <v>pvgdp_services</v>
          </cell>
          <cell r="D701">
            <v>4618501.5</v>
          </cell>
        </row>
        <row r="702">
          <cell r="A702" t="str">
            <v>LKA</v>
          </cell>
          <cell r="B702">
            <v>2014</v>
          </cell>
          <cell r="C702" t="str">
            <v>pvgdppc</v>
          </cell>
          <cell r="D702">
            <v>387741.98978841898</v>
          </cell>
        </row>
        <row r="703">
          <cell r="A703" t="str">
            <v>LKA</v>
          </cell>
          <cell r="B703">
            <v>2014</v>
          </cell>
          <cell r="C703" t="str">
            <v>pvpop_total</v>
          </cell>
          <cell r="D703">
            <v>21239456.176757813</v>
          </cell>
        </row>
        <row r="704">
          <cell r="A704" t="str">
            <v>LKA</v>
          </cell>
          <cell r="B704">
            <v>2014</v>
          </cell>
          <cell r="C704" t="str">
            <v>pvpop_1564</v>
          </cell>
          <cell r="D704">
            <v>14122558.970842026</v>
          </cell>
        </row>
        <row r="705">
          <cell r="A705" t="str">
            <v>LKA</v>
          </cell>
          <cell r="B705">
            <v>2014</v>
          </cell>
          <cell r="C705" t="str">
            <v>pvprivpc</v>
          </cell>
          <cell r="D705">
            <v>259525.33596561369</v>
          </cell>
        </row>
        <row r="706">
          <cell r="A706" t="str">
            <v>LKA</v>
          </cell>
          <cell r="B706">
            <v>2015</v>
          </cell>
          <cell r="C706" t="str">
            <v>pvgdp</v>
          </cell>
          <cell r="D706">
            <v>11566987</v>
          </cell>
        </row>
        <row r="707">
          <cell r="A707" t="str">
            <v>LKA</v>
          </cell>
          <cell r="B707">
            <v>2015</v>
          </cell>
          <cell r="C707" t="str">
            <v>pvgdp_agriculture</v>
          </cell>
          <cell r="D707">
            <v>950452.3125</v>
          </cell>
        </row>
        <row r="708">
          <cell r="A708" t="str">
            <v>LKA</v>
          </cell>
          <cell r="B708">
            <v>2015</v>
          </cell>
          <cell r="C708" t="str">
            <v>pvgdp_industry</v>
          </cell>
          <cell r="D708">
            <v>3416358</v>
          </cell>
        </row>
        <row r="709">
          <cell r="A709" t="str">
            <v>LKA</v>
          </cell>
          <cell r="B709">
            <v>2015</v>
          </cell>
          <cell r="C709" t="str">
            <v>pvgdp_services</v>
          </cell>
          <cell r="D709">
            <v>6270535.5</v>
          </cell>
        </row>
        <row r="710">
          <cell r="A710" t="str">
            <v>LKA</v>
          </cell>
          <cell r="B710">
            <v>2015</v>
          </cell>
          <cell r="C710" t="str">
            <v>pvgdppc</v>
          </cell>
          <cell r="D710">
            <v>542117.04854909109</v>
          </cell>
        </row>
        <row r="711">
          <cell r="A711" t="str">
            <v>LKA</v>
          </cell>
          <cell r="B711">
            <v>2015</v>
          </cell>
          <cell r="C711" t="str">
            <v>pvpop_total</v>
          </cell>
          <cell r="D711">
            <v>21336696.624755859</v>
          </cell>
        </row>
        <row r="712">
          <cell r="A712" t="str">
            <v>LKA</v>
          </cell>
          <cell r="B712">
            <v>2015</v>
          </cell>
          <cell r="C712" t="str">
            <v>pvpop_1564</v>
          </cell>
          <cell r="D712">
            <v>14149766.078687659</v>
          </cell>
        </row>
        <row r="713">
          <cell r="A713" t="str">
            <v>LKA</v>
          </cell>
          <cell r="B713">
            <v>2015</v>
          </cell>
          <cell r="C713" t="str">
            <v>pvprivpc</v>
          </cell>
          <cell r="D713">
            <v>346655.39516638429</v>
          </cell>
        </row>
        <row r="714">
          <cell r="A714" t="str">
            <v>LKA</v>
          </cell>
          <cell r="B714">
            <v>2016</v>
          </cell>
          <cell r="C714" t="str">
            <v>pvgdp</v>
          </cell>
          <cell r="D714">
            <v>12151535</v>
          </cell>
        </row>
        <row r="715">
          <cell r="A715" t="str">
            <v>LKA</v>
          </cell>
          <cell r="B715">
            <v>2016</v>
          </cell>
          <cell r="C715" t="str">
            <v>pvgdp_agriculture</v>
          </cell>
          <cell r="D715">
            <v>906100.1875</v>
          </cell>
        </row>
        <row r="716">
          <cell r="A716" t="str">
            <v>LKA</v>
          </cell>
          <cell r="B716">
            <v>2016</v>
          </cell>
          <cell r="C716" t="str">
            <v>pvgdp_industry</v>
          </cell>
          <cell r="D716">
            <v>3670105.75</v>
          </cell>
        </row>
        <row r="717">
          <cell r="A717" t="str">
            <v>LKA</v>
          </cell>
          <cell r="B717">
            <v>2016</v>
          </cell>
          <cell r="C717" t="str">
            <v>pvgdp_services</v>
          </cell>
          <cell r="D717">
            <v>6567887.5</v>
          </cell>
        </row>
        <row r="718">
          <cell r="A718" t="str">
            <v>LKA</v>
          </cell>
          <cell r="B718">
            <v>2016</v>
          </cell>
          <cell r="C718" t="str">
            <v>pvgdppc</v>
          </cell>
          <cell r="D718">
            <v>567153.10418673197</v>
          </cell>
        </row>
        <row r="719">
          <cell r="A719" t="str">
            <v>LKA</v>
          </cell>
          <cell r="B719">
            <v>2016</v>
          </cell>
          <cell r="C719" t="str">
            <v>pvpop_total</v>
          </cell>
          <cell r="D719">
            <v>21425493.240356445</v>
          </cell>
        </row>
        <row r="720">
          <cell r="A720" t="str">
            <v>LKA</v>
          </cell>
          <cell r="B720">
            <v>2016</v>
          </cell>
          <cell r="C720" t="str">
            <v>pvpop_1564</v>
          </cell>
          <cell r="D720">
            <v>14178566.373112092</v>
          </cell>
        </row>
        <row r="721">
          <cell r="A721" t="str">
            <v>LKA</v>
          </cell>
          <cell r="B721">
            <v>2016</v>
          </cell>
          <cell r="C721" t="str">
            <v>pvprivpc</v>
          </cell>
          <cell r="D721">
            <v>355162.46532270749</v>
          </cell>
        </row>
        <row r="722">
          <cell r="A722" t="str">
            <v>LKA</v>
          </cell>
          <cell r="B722">
            <v>2017</v>
          </cell>
          <cell r="C722" t="str">
            <v>pvgdp</v>
          </cell>
          <cell r="D722">
            <v>12936607</v>
          </cell>
        </row>
        <row r="723">
          <cell r="A723" t="str">
            <v>LKA</v>
          </cell>
          <cell r="B723">
            <v>2017</v>
          </cell>
          <cell r="C723" t="str">
            <v>pvgdp_agriculture</v>
          </cell>
          <cell r="D723">
            <v>889557.0625</v>
          </cell>
        </row>
        <row r="724">
          <cell r="A724" t="str">
            <v>LKA</v>
          </cell>
          <cell r="B724">
            <v>2017</v>
          </cell>
          <cell r="C724" t="str">
            <v>pvgdp_industry</v>
          </cell>
          <cell r="D724">
            <v>4145812.75</v>
          </cell>
        </row>
        <row r="725">
          <cell r="A725" t="str">
            <v>LKA</v>
          </cell>
          <cell r="B725">
            <v>2017</v>
          </cell>
          <cell r="C725" t="str">
            <v>pvgdp_services</v>
          </cell>
          <cell r="D725">
            <v>6807552.5</v>
          </cell>
        </row>
        <row r="726">
          <cell r="A726" t="str">
            <v>LKA</v>
          </cell>
          <cell r="B726">
            <v>2017</v>
          </cell>
          <cell r="C726" t="str">
            <v>pvgdppc</v>
          </cell>
          <cell r="D726">
            <v>601512.04040950129</v>
          </cell>
        </row>
        <row r="727">
          <cell r="A727" t="str">
            <v>LKA</v>
          </cell>
          <cell r="B727">
            <v>2017</v>
          </cell>
          <cell r="C727" t="str">
            <v>pvpop_total</v>
          </cell>
          <cell r="D727">
            <v>21506813.049316406</v>
          </cell>
        </row>
        <row r="728">
          <cell r="A728" t="str">
            <v>LKA</v>
          </cell>
          <cell r="B728">
            <v>2017</v>
          </cell>
          <cell r="C728" t="str">
            <v>pvpop_1564</v>
          </cell>
          <cell r="D728">
            <v>14211106.603486946</v>
          </cell>
        </row>
        <row r="729">
          <cell r="A729" t="str">
            <v>LKA</v>
          </cell>
          <cell r="B729">
            <v>2017</v>
          </cell>
          <cell r="C729" t="str">
            <v>pvprivpc</v>
          </cell>
          <cell r="D729">
            <v>351678.60448019311</v>
          </cell>
        </row>
        <row r="730">
          <cell r="A730" t="str">
            <v>LKA</v>
          </cell>
          <cell r="B730">
            <v>2018</v>
          </cell>
          <cell r="C730" t="str">
            <v>pvgdp</v>
          </cell>
          <cell r="D730">
            <v>13235456</v>
          </cell>
        </row>
        <row r="731">
          <cell r="A731" t="str">
            <v>LKA</v>
          </cell>
          <cell r="B731">
            <v>2018</v>
          </cell>
          <cell r="C731" t="str">
            <v>pvgdp_agriculture</v>
          </cell>
          <cell r="D731">
            <v>945291.9375</v>
          </cell>
        </row>
        <row r="732">
          <cell r="A732" t="str">
            <v>LKA</v>
          </cell>
          <cell r="B732">
            <v>2018</v>
          </cell>
          <cell r="C732" t="str">
            <v>pvgdp_industry</v>
          </cell>
          <cell r="D732">
            <v>4101467</v>
          </cell>
        </row>
        <row r="733">
          <cell r="A733" t="str">
            <v>LKA</v>
          </cell>
          <cell r="B733">
            <v>2018</v>
          </cell>
          <cell r="C733" t="str">
            <v>pvgdp_services</v>
          </cell>
          <cell r="D733">
            <v>7099081.5</v>
          </cell>
        </row>
        <row r="734">
          <cell r="A734" t="str">
            <v>LKA</v>
          </cell>
          <cell r="B734">
            <v>2018</v>
          </cell>
          <cell r="C734" t="str">
            <v>pvgdppc</v>
          </cell>
          <cell r="D734">
            <v>610773.23273658054</v>
          </cell>
        </row>
        <row r="735">
          <cell r="A735" t="str">
            <v>LKA</v>
          </cell>
          <cell r="B735">
            <v>2018</v>
          </cell>
          <cell r="C735" t="str">
            <v>pvpop_total</v>
          </cell>
          <cell r="D735">
            <v>21670000.076293945</v>
          </cell>
        </row>
        <row r="736">
          <cell r="A736" t="str">
            <v>LKA</v>
          </cell>
          <cell r="B736">
            <v>2018</v>
          </cell>
          <cell r="C736" t="str">
            <v>pvpop_1564</v>
          </cell>
          <cell r="D736">
            <v>14304583.046327274</v>
          </cell>
        </row>
        <row r="737">
          <cell r="A737" t="str">
            <v>LKA</v>
          </cell>
          <cell r="B737">
            <v>2018</v>
          </cell>
          <cell r="C737" t="str">
            <v>pvprivpc</v>
          </cell>
          <cell r="D737">
            <v>365550.11407986801</v>
          </cell>
        </row>
        <row r="738">
          <cell r="A738" t="str">
            <v>LKA</v>
          </cell>
          <cell r="B738">
            <v>2019</v>
          </cell>
          <cell r="C738" t="str">
            <v>pvgdp</v>
          </cell>
          <cell r="D738">
            <v>13206275</v>
          </cell>
        </row>
        <row r="739">
          <cell r="A739" t="str">
            <v>LKA</v>
          </cell>
          <cell r="B739">
            <v>2019</v>
          </cell>
          <cell r="C739" t="str">
            <v>pvgdp_agriculture</v>
          </cell>
          <cell r="D739">
            <v>949581.8125</v>
          </cell>
        </row>
        <row r="740">
          <cell r="A740" t="str">
            <v>LKA</v>
          </cell>
          <cell r="B740">
            <v>2019</v>
          </cell>
          <cell r="C740" t="str">
            <v>pvgdp_industry</v>
          </cell>
          <cell r="D740">
            <v>3933728</v>
          </cell>
        </row>
        <row r="741">
          <cell r="A741" t="str">
            <v>LKA</v>
          </cell>
          <cell r="B741">
            <v>2019</v>
          </cell>
          <cell r="C741" t="str">
            <v>pvgdp_services</v>
          </cell>
          <cell r="D741">
            <v>7307034.5</v>
          </cell>
        </row>
        <row r="742">
          <cell r="A742" t="str">
            <v>LKA</v>
          </cell>
          <cell r="B742">
            <v>2019</v>
          </cell>
          <cell r="C742" t="str">
            <v>pvgdppc</v>
          </cell>
          <cell r="D742">
            <v>605709.09072140441</v>
          </cell>
        </row>
        <row r="743">
          <cell r="A743" t="str">
            <v>LKA</v>
          </cell>
          <cell r="B743">
            <v>2019</v>
          </cell>
          <cell r="C743" t="str">
            <v>pvpop_total</v>
          </cell>
          <cell r="D743">
            <v>21802999.496459961</v>
          </cell>
        </row>
        <row r="744">
          <cell r="A744" t="str">
            <v>LKA</v>
          </cell>
          <cell r="B744">
            <v>2019</v>
          </cell>
          <cell r="C744" t="str">
            <v>pvpop_1564</v>
          </cell>
          <cell r="D744">
            <v>14383450.126742171</v>
          </cell>
        </row>
        <row r="745">
          <cell r="A745" t="str">
            <v>LKA</v>
          </cell>
          <cell r="B745">
            <v>2019</v>
          </cell>
          <cell r="C745" t="str">
            <v>pvprivpc</v>
          </cell>
          <cell r="D745">
            <v>377217.34118901228</v>
          </cell>
        </row>
        <row r="746">
          <cell r="A746" t="str">
            <v>LKA</v>
          </cell>
          <cell r="B746">
            <v>2020</v>
          </cell>
          <cell r="C746" t="str">
            <v>pvgdp</v>
          </cell>
          <cell r="D746">
            <v>12595545</v>
          </cell>
        </row>
        <row r="747">
          <cell r="A747" t="str">
            <v>LKA</v>
          </cell>
          <cell r="B747">
            <v>2020</v>
          </cell>
          <cell r="C747" t="str">
            <v>pvgdp_agriculture</v>
          </cell>
          <cell r="D747">
            <v>941046.0625</v>
          </cell>
        </row>
        <row r="748">
          <cell r="A748" t="str">
            <v>LKA</v>
          </cell>
          <cell r="B748">
            <v>2020</v>
          </cell>
          <cell r="C748" t="str">
            <v>pvgdp_industry</v>
          </cell>
          <cell r="D748">
            <v>3724566</v>
          </cell>
        </row>
        <row r="749">
          <cell r="A749" t="str">
            <v>LKA</v>
          </cell>
          <cell r="B749">
            <v>2020</v>
          </cell>
          <cell r="C749" t="str">
            <v>pvgdp_services</v>
          </cell>
          <cell r="D749">
            <v>7166500.5</v>
          </cell>
        </row>
        <row r="750">
          <cell r="A750" t="str">
            <v>LKA</v>
          </cell>
          <cell r="B750">
            <v>2020</v>
          </cell>
          <cell r="C750" t="str">
            <v>pvgdppc</v>
          </cell>
          <cell r="D750">
            <v>574640.4781467662</v>
          </cell>
        </row>
        <row r="751">
          <cell r="A751" t="str">
            <v>LKA</v>
          </cell>
          <cell r="B751">
            <v>2020</v>
          </cell>
          <cell r="C751" t="str">
            <v>pvpop_total</v>
          </cell>
          <cell r="D751">
            <v>21919000.625610352</v>
          </cell>
        </row>
        <row r="752">
          <cell r="A752" t="str">
            <v>LKA</v>
          </cell>
          <cell r="B752">
            <v>2020</v>
          </cell>
          <cell r="C752" t="str">
            <v>pvpop_1564</v>
          </cell>
          <cell r="D752">
            <v>14454887.530521384</v>
          </cell>
        </row>
        <row r="753">
          <cell r="A753" t="str">
            <v>LKA</v>
          </cell>
          <cell r="B753">
            <v>2020</v>
          </cell>
          <cell r="C753" t="str">
            <v>pvprivpc</v>
          </cell>
          <cell r="D753">
            <v>353593.85824116162</v>
          </cell>
        </row>
        <row r="754">
          <cell r="A754" t="str">
            <v>LKA</v>
          </cell>
          <cell r="B754">
            <v>2021</v>
          </cell>
          <cell r="C754" t="str">
            <v>pvgdp</v>
          </cell>
          <cell r="D754">
            <v>13125510</v>
          </cell>
        </row>
        <row r="755">
          <cell r="A755" t="str">
            <v>LKA</v>
          </cell>
          <cell r="B755">
            <v>2021</v>
          </cell>
          <cell r="C755" t="str">
            <v>pvgdp_agriculture</v>
          </cell>
          <cell r="D755">
            <v>950548</v>
          </cell>
        </row>
        <row r="756">
          <cell r="A756" t="str">
            <v>LKA</v>
          </cell>
          <cell r="B756">
            <v>2021</v>
          </cell>
          <cell r="C756" t="str">
            <v>pvgdp_industry</v>
          </cell>
          <cell r="D756">
            <v>3937896</v>
          </cell>
        </row>
        <row r="757">
          <cell r="A757" t="str">
            <v>LKA</v>
          </cell>
          <cell r="B757">
            <v>2021</v>
          </cell>
          <cell r="C757" t="str">
            <v>pvgdp_services</v>
          </cell>
          <cell r="D757">
            <v>7410710.5</v>
          </cell>
        </row>
        <row r="758">
          <cell r="A758" t="str">
            <v>LKA</v>
          </cell>
          <cell r="B758">
            <v>2021</v>
          </cell>
          <cell r="C758" t="str">
            <v>pvgdppc</v>
          </cell>
          <cell r="D758">
            <v>592413.33808649611</v>
          </cell>
        </row>
        <row r="759">
          <cell r="A759" t="str">
            <v>LKA</v>
          </cell>
          <cell r="B759">
            <v>2021</v>
          </cell>
          <cell r="C759" t="str">
            <v>pvpop_total</v>
          </cell>
          <cell r="D759">
            <v>22156000.137329102</v>
          </cell>
        </row>
        <row r="760">
          <cell r="A760" t="str">
            <v>LKA</v>
          </cell>
          <cell r="B760">
            <v>2021</v>
          </cell>
          <cell r="C760" t="str">
            <v>pvpop_1564</v>
          </cell>
          <cell r="D760">
            <v>14609303.60971956</v>
          </cell>
        </row>
        <row r="761">
          <cell r="A761" t="str">
            <v>LKA</v>
          </cell>
          <cell r="B761">
            <v>2021</v>
          </cell>
          <cell r="C761" t="str">
            <v>pvprivpc</v>
          </cell>
          <cell r="D761">
            <v>359058.26641500503</v>
          </cell>
        </row>
        <row r="762">
          <cell r="A762" t="str">
            <v>LKA</v>
          </cell>
          <cell r="B762">
            <v>2022</v>
          </cell>
          <cell r="C762" t="str">
            <v>pvgdp</v>
          </cell>
          <cell r="D762">
            <v>12161202</v>
          </cell>
        </row>
        <row r="763">
          <cell r="A763" t="str">
            <v>LKA</v>
          </cell>
          <cell r="B763">
            <v>2022</v>
          </cell>
          <cell r="C763" t="str">
            <v>pvgdp_agriculture</v>
          </cell>
          <cell r="D763">
            <v>910844</v>
          </cell>
        </row>
        <row r="764">
          <cell r="A764" t="str">
            <v>LKA</v>
          </cell>
          <cell r="B764">
            <v>2022</v>
          </cell>
          <cell r="C764" t="str">
            <v>pvgdp_industry</v>
          </cell>
          <cell r="D764">
            <v>3308578</v>
          </cell>
        </row>
        <row r="765">
          <cell r="A765" t="str">
            <v>LKA</v>
          </cell>
          <cell r="B765">
            <v>2022</v>
          </cell>
          <cell r="C765" t="str">
            <v>pvgdp_services</v>
          </cell>
          <cell r="D765">
            <v>7218203.5</v>
          </cell>
        </row>
        <row r="766">
          <cell r="A766" t="str">
            <v>LKA</v>
          </cell>
          <cell r="B766">
            <v>2022</v>
          </cell>
          <cell r="C766" t="str">
            <v>pvgdppc</v>
          </cell>
          <cell r="D766">
            <v>548271.13898630626</v>
          </cell>
        </row>
        <row r="767">
          <cell r="A767" t="str">
            <v>LKA</v>
          </cell>
          <cell r="B767">
            <v>2022</v>
          </cell>
          <cell r="C767" t="str">
            <v>pvpop_total</v>
          </cell>
          <cell r="D767">
            <v>22180999.755859375</v>
          </cell>
        </row>
        <row r="768">
          <cell r="A768" t="str">
            <v>LKA</v>
          </cell>
          <cell r="B768">
            <v>2022</v>
          </cell>
          <cell r="C768" t="str">
            <v>pvpop_1564</v>
          </cell>
          <cell r="D768">
            <v>14623325.625924675</v>
          </cell>
        </row>
        <row r="769">
          <cell r="A769" t="str">
            <v>LKA</v>
          </cell>
          <cell r="B769">
            <v>2022</v>
          </cell>
          <cell r="C769" t="str">
            <v>pvprivpc</v>
          </cell>
          <cell r="D769">
            <v>326367.11959242023</v>
          </cell>
        </row>
        <row r="770">
          <cell r="A770" t="str">
            <v>LKA</v>
          </cell>
          <cell r="B770">
            <v>2023</v>
          </cell>
          <cell r="C770" t="str">
            <v>pvgdp</v>
          </cell>
          <cell r="D770">
            <v>11881731</v>
          </cell>
        </row>
        <row r="771">
          <cell r="A771" t="str">
            <v>LKA</v>
          </cell>
          <cell r="B771">
            <v>2023</v>
          </cell>
          <cell r="C771" t="str">
            <v>pvgdp_agriculture</v>
          </cell>
          <cell r="D771">
            <v>934246</v>
          </cell>
        </row>
        <row r="772">
          <cell r="A772" t="str">
            <v>LKA</v>
          </cell>
          <cell r="B772">
            <v>2023</v>
          </cell>
          <cell r="C772" t="str">
            <v>pvgdp_industry</v>
          </cell>
          <cell r="D772">
            <v>3003094</v>
          </cell>
        </row>
        <row r="773">
          <cell r="A773" t="str">
            <v>LKA</v>
          </cell>
          <cell r="B773">
            <v>2023</v>
          </cell>
          <cell r="C773" t="str">
            <v>pvgdp_services</v>
          </cell>
          <cell r="D773">
            <v>7200437.5</v>
          </cell>
        </row>
        <row r="774">
          <cell r="A774" t="str">
            <v>LKA</v>
          </cell>
          <cell r="B774">
            <v>2023</v>
          </cell>
          <cell r="C774" t="str">
            <v>pvgdppc</v>
          </cell>
          <cell r="D774">
            <v>534219.16213201976</v>
          </cell>
        </row>
        <row r="775">
          <cell r="A775" t="str">
            <v>LKA</v>
          </cell>
          <cell r="B775">
            <v>2023</v>
          </cell>
          <cell r="C775" t="str">
            <v>pvpop_total</v>
          </cell>
          <cell r="D775">
            <v>22241304.397583008</v>
          </cell>
        </row>
        <row r="776">
          <cell r="A776" t="str">
            <v>LKA</v>
          </cell>
          <cell r="B776">
            <v>2023</v>
          </cell>
          <cell r="C776" t="str">
            <v>pvpop_1564</v>
          </cell>
          <cell r="D776">
            <v>14657023.371113956</v>
          </cell>
        </row>
        <row r="777">
          <cell r="A777" t="str">
            <v>LKA</v>
          </cell>
          <cell r="B777">
            <v>2023</v>
          </cell>
          <cell r="C777" t="str">
            <v>pvprivpc</v>
          </cell>
          <cell r="D777">
            <v>315066.7728265755</v>
          </cell>
        </row>
        <row r="778">
          <cell r="A778" t="str">
            <v>LKA</v>
          </cell>
          <cell r="B778">
            <v>2024</v>
          </cell>
          <cell r="C778" t="str">
            <v>pvgdp</v>
          </cell>
          <cell r="D778">
            <v>12141288</v>
          </cell>
        </row>
        <row r="779">
          <cell r="A779" t="str">
            <v>LKA</v>
          </cell>
          <cell r="B779">
            <v>2024</v>
          </cell>
          <cell r="C779" t="str">
            <v>pvgdp_agriculture</v>
          </cell>
          <cell r="D779">
            <v>948259.6875</v>
          </cell>
        </row>
        <row r="780">
          <cell r="A780" t="str">
            <v>LKA</v>
          </cell>
          <cell r="B780">
            <v>2024</v>
          </cell>
          <cell r="C780" t="str">
            <v>pvgdp_industry</v>
          </cell>
          <cell r="D780">
            <v>3081174.5</v>
          </cell>
        </row>
        <row r="781">
          <cell r="A781" t="str">
            <v>LKA</v>
          </cell>
          <cell r="B781">
            <v>2024</v>
          </cell>
          <cell r="C781" t="str">
            <v>pvgdp_services</v>
          </cell>
          <cell r="D781">
            <v>7351648.5</v>
          </cell>
        </row>
        <row r="782">
          <cell r="A782" t="str">
            <v>LKA</v>
          </cell>
          <cell r="B782">
            <v>2024</v>
          </cell>
          <cell r="C782" t="str">
            <v>pvgdppc</v>
          </cell>
          <cell r="D782">
            <v>544542.14613332518</v>
          </cell>
        </row>
        <row r="783">
          <cell r="A783" t="str">
            <v>LKA</v>
          </cell>
          <cell r="B783">
            <v>2024</v>
          </cell>
          <cell r="C783" t="str">
            <v>pvpop_total</v>
          </cell>
          <cell r="D783">
            <v>22296323.776245117</v>
          </cell>
        </row>
        <row r="784">
          <cell r="A784" t="str">
            <v>LKA</v>
          </cell>
          <cell r="B784">
            <v>2024</v>
          </cell>
          <cell r="C784" t="str">
            <v>pvpop_1564</v>
          </cell>
          <cell r="D784">
            <v>14685646.152033878</v>
          </cell>
        </row>
        <row r="785">
          <cell r="A785" t="str">
            <v>LKA</v>
          </cell>
          <cell r="B785">
            <v>2024</v>
          </cell>
          <cell r="C785" t="str">
            <v>pvprivpc</v>
          </cell>
          <cell r="D785">
            <v>321832.24786343868</v>
          </cell>
        </row>
        <row r="786">
          <cell r="A786" t="str">
            <v>LKA</v>
          </cell>
          <cell r="B786">
            <v>2025</v>
          </cell>
          <cell r="C786" t="str">
            <v>pvgdp</v>
          </cell>
          <cell r="D786">
            <v>12441274</v>
          </cell>
        </row>
        <row r="787">
          <cell r="A787" t="str">
            <v>LKA</v>
          </cell>
          <cell r="B787">
            <v>2025</v>
          </cell>
          <cell r="C787" t="str">
            <v>pvgdp_agriculture</v>
          </cell>
          <cell r="D787">
            <v>962483.5625</v>
          </cell>
        </row>
        <row r="788">
          <cell r="A788" t="str">
            <v>LKA</v>
          </cell>
          <cell r="B788">
            <v>2025</v>
          </cell>
          <cell r="C788" t="str">
            <v>pvgdp_industry</v>
          </cell>
          <cell r="D788">
            <v>3164366.25</v>
          </cell>
        </row>
        <row r="789">
          <cell r="A789" t="str">
            <v>LKA</v>
          </cell>
          <cell r="B789">
            <v>2025</v>
          </cell>
          <cell r="C789" t="str">
            <v>pvgdp_services</v>
          </cell>
          <cell r="D789">
            <v>7535435.5</v>
          </cell>
        </row>
        <row r="790">
          <cell r="A790" t="str">
            <v>LKA</v>
          </cell>
          <cell r="B790">
            <v>2025</v>
          </cell>
          <cell r="C790" t="str">
            <v>pvgdppc</v>
          </cell>
          <cell r="D790">
            <v>556730.52051606821</v>
          </cell>
        </row>
        <row r="791">
          <cell r="A791" t="str">
            <v>LKA</v>
          </cell>
          <cell r="B791">
            <v>2025</v>
          </cell>
          <cell r="C791" t="str">
            <v>pvpop_total</v>
          </cell>
          <cell r="D791">
            <v>22347030.639648438</v>
          </cell>
        </row>
        <row r="792">
          <cell r="A792" t="str">
            <v>LKA</v>
          </cell>
          <cell r="B792">
            <v>2025</v>
          </cell>
          <cell r="C792" t="str">
            <v>pvpop_1564</v>
          </cell>
          <cell r="D792">
            <v>14709814.632793158</v>
          </cell>
        </row>
        <row r="793">
          <cell r="A793" t="str">
            <v>LKA</v>
          </cell>
          <cell r="B793">
            <v>2025</v>
          </cell>
          <cell r="C793" t="str">
            <v>pvprivpc</v>
          </cell>
          <cell r="D793">
            <v>329450.63792671391</v>
          </cell>
        </row>
        <row r="794">
          <cell r="A794" t="str">
            <v>LKA</v>
          </cell>
          <cell r="B794">
            <v>2026</v>
          </cell>
          <cell r="C794" t="str">
            <v>pvgdp</v>
          </cell>
          <cell r="D794">
            <v>12819853</v>
          </cell>
        </row>
        <row r="795">
          <cell r="A795" t="str">
            <v>LKA</v>
          </cell>
          <cell r="B795">
            <v>2026</v>
          </cell>
          <cell r="C795" t="str">
            <v>pvgdp_agriculture</v>
          </cell>
          <cell r="D795">
            <v>976920.8125</v>
          </cell>
        </row>
        <row r="796">
          <cell r="A796" t="str">
            <v>LKA</v>
          </cell>
          <cell r="B796">
            <v>2026</v>
          </cell>
          <cell r="C796" t="str">
            <v>pvgdp_industry</v>
          </cell>
          <cell r="D796">
            <v>3256132.75</v>
          </cell>
        </row>
        <row r="797">
          <cell r="A797" t="str">
            <v>LKA</v>
          </cell>
          <cell r="B797">
            <v>2026</v>
          </cell>
          <cell r="C797" t="str">
            <v>pvgdp_services</v>
          </cell>
          <cell r="D797">
            <v>7784106.5</v>
          </cell>
        </row>
        <row r="798">
          <cell r="A798" t="str">
            <v>LKA</v>
          </cell>
          <cell r="B798">
            <v>2026</v>
          </cell>
          <cell r="C798" t="str">
            <v>pvgdppc</v>
          </cell>
          <cell r="D798">
            <v>572527.72026370384</v>
          </cell>
        </row>
        <row r="799">
          <cell r="A799" t="str">
            <v>LKA</v>
          </cell>
          <cell r="B799">
            <v>2026</v>
          </cell>
          <cell r="C799" t="str">
            <v>pvpop_total</v>
          </cell>
          <cell r="D799">
            <v>22391672.134399414</v>
          </cell>
        </row>
        <row r="800">
          <cell r="A800" t="str">
            <v>LKA</v>
          </cell>
          <cell r="B800">
            <v>2026</v>
          </cell>
          <cell r="C800" t="str">
            <v>pvpop_1564</v>
          </cell>
          <cell r="D800">
            <v>14727939.468281362</v>
          </cell>
        </row>
        <row r="801">
          <cell r="A801" t="str">
            <v>LKA</v>
          </cell>
          <cell r="B801">
            <v>2026</v>
          </cell>
          <cell r="C801" t="str">
            <v>pvprivpc</v>
          </cell>
          <cell r="D801">
            <v>339117.95217537781</v>
          </cell>
        </row>
        <row r="802">
          <cell r="A802" t="str">
            <v>MDV</v>
          </cell>
          <cell r="B802">
            <v>2007</v>
          </cell>
          <cell r="C802" t="str">
            <v>pvgdp</v>
          </cell>
          <cell r="D802">
            <v>46471.30859375</v>
          </cell>
        </row>
        <row r="803">
          <cell r="A803" t="str">
            <v>MDV</v>
          </cell>
          <cell r="B803">
            <v>2007</v>
          </cell>
          <cell r="C803" t="str">
            <v>pvgdp_agriculture</v>
          </cell>
          <cell r="D803">
            <v>3993.62255859375</v>
          </cell>
        </row>
        <row r="804">
          <cell r="A804" t="str">
            <v>MDV</v>
          </cell>
          <cell r="B804">
            <v>2007</v>
          </cell>
          <cell r="C804" t="str">
            <v>pvgdp_industry</v>
          </cell>
          <cell r="D804">
            <v>5148.240234375</v>
          </cell>
        </row>
        <row r="805">
          <cell r="A805" t="str">
            <v>MDV</v>
          </cell>
          <cell r="B805">
            <v>2007</v>
          </cell>
          <cell r="C805" t="str">
            <v>pvgdp_services</v>
          </cell>
          <cell r="D805">
            <v>31341.70703125</v>
          </cell>
        </row>
        <row r="806">
          <cell r="A806" t="str">
            <v>MDV</v>
          </cell>
          <cell r="B806">
            <v>2007</v>
          </cell>
          <cell r="C806" t="str">
            <v>pvgdppc</v>
          </cell>
          <cell r="D806">
            <v>142933.2310999542</v>
          </cell>
        </row>
        <row r="807">
          <cell r="A807" t="str">
            <v>MDV</v>
          </cell>
          <cell r="B807">
            <v>2007</v>
          </cell>
          <cell r="C807" t="str">
            <v>pvpop_total</v>
          </cell>
          <cell r="D807">
            <v>325125.99229812622</v>
          </cell>
        </row>
        <row r="808">
          <cell r="A808" t="str">
            <v>MDV</v>
          </cell>
          <cell r="B808">
            <v>2007</v>
          </cell>
          <cell r="C808" t="str">
            <v>pvpop_1564</v>
          </cell>
          <cell r="D808">
            <v>214029.91398164121</v>
          </cell>
        </row>
        <row r="809">
          <cell r="A809" t="str">
            <v>MDV</v>
          </cell>
          <cell r="B809">
            <v>2007</v>
          </cell>
          <cell r="C809" t="str">
            <v>pvprivpc</v>
          </cell>
          <cell r="D809">
            <v>48332.60611482666</v>
          </cell>
        </row>
        <row r="810">
          <cell r="A810" t="str">
            <v>MDV</v>
          </cell>
          <cell r="B810">
            <v>2008</v>
          </cell>
          <cell r="C810" t="str">
            <v>pvgdp</v>
          </cell>
          <cell r="D810">
            <v>50644.34765625</v>
          </cell>
        </row>
        <row r="811">
          <cell r="A811" t="str">
            <v>MDV</v>
          </cell>
          <cell r="B811">
            <v>2008</v>
          </cell>
          <cell r="C811" t="str">
            <v>pvgdp_agriculture</v>
          </cell>
          <cell r="D811">
            <v>3756.720947265625</v>
          </cell>
        </row>
        <row r="812">
          <cell r="A812" t="str">
            <v>MDV</v>
          </cell>
          <cell r="B812">
            <v>2008</v>
          </cell>
          <cell r="C812" t="str">
            <v>pvgdp_industry</v>
          </cell>
          <cell r="D812">
            <v>5659.642578125</v>
          </cell>
        </row>
        <row r="813">
          <cell r="A813" t="str">
            <v>MDV</v>
          </cell>
          <cell r="B813">
            <v>2008</v>
          </cell>
          <cell r="C813" t="str">
            <v>pvgdp_services</v>
          </cell>
          <cell r="D813">
            <v>34624.33203125</v>
          </cell>
        </row>
        <row r="814">
          <cell r="A814" t="str">
            <v>MDV</v>
          </cell>
          <cell r="B814">
            <v>2008</v>
          </cell>
          <cell r="C814" t="str">
            <v>pvgdppc</v>
          </cell>
          <cell r="D814">
            <v>150332.15205701246</v>
          </cell>
        </row>
        <row r="815">
          <cell r="A815" t="str">
            <v>MDV</v>
          </cell>
          <cell r="B815">
            <v>2008</v>
          </cell>
          <cell r="C815" t="str">
            <v>pvpop_total</v>
          </cell>
          <cell r="D815">
            <v>336883.00848007202</v>
          </cell>
        </row>
        <row r="816">
          <cell r="A816" t="str">
            <v>MDV</v>
          </cell>
          <cell r="B816">
            <v>2008</v>
          </cell>
          <cell r="C816" t="str">
            <v>pvpop_1564</v>
          </cell>
          <cell r="D816">
            <v>227122.70222786235</v>
          </cell>
        </row>
        <row r="817">
          <cell r="A817" t="str">
            <v>MDV</v>
          </cell>
          <cell r="B817">
            <v>2008</v>
          </cell>
          <cell r="C817" t="str">
            <v>pvprivpc</v>
          </cell>
          <cell r="D817">
            <v>51070.330439410478</v>
          </cell>
        </row>
        <row r="818">
          <cell r="A818" t="str">
            <v>MDV</v>
          </cell>
          <cell r="B818">
            <v>2009</v>
          </cell>
          <cell r="C818" t="str">
            <v>pvgdp</v>
          </cell>
          <cell r="D818">
            <v>46512.90234375</v>
          </cell>
        </row>
        <row r="819">
          <cell r="A819" t="str">
            <v>MDV</v>
          </cell>
          <cell r="B819">
            <v>2009</v>
          </cell>
          <cell r="C819" t="str">
            <v>pvgdp_agriculture</v>
          </cell>
          <cell r="D819">
            <v>3668.72705078125</v>
          </cell>
        </row>
        <row r="820">
          <cell r="A820" t="str">
            <v>MDV</v>
          </cell>
          <cell r="B820">
            <v>2009</v>
          </cell>
          <cell r="C820" t="str">
            <v>pvgdp_industry</v>
          </cell>
          <cell r="D820">
            <v>4146.92919921875</v>
          </cell>
        </row>
        <row r="821">
          <cell r="A821" t="str">
            <v>MDV</v>
          </cell>
          <cell r="B821">
            <v>2009</v>
          </cell>
          <cell r="C821" t="str">
            <v>pvgdp_services</v>
          </cell>
          <cell r="D821">
            <v>33280.984375</v>
          </cell>
        </row>
        <row r="822">
          <cell r="A822" t="str">
            <v>MDV</v>
          </cell>
          <cell r="B822">
            <v>2009</v>
          </cell>
          <cell r="C822" t="str">
            <v>pvgdppc</v>
          </cell>
          <cell r="D822">
            <v>133260.66710303799</v>
          </cell>
        </row>
        <row r="823">
          <cell r="A823" t="str">
            <v>MDV</v>
          </cell>
          <cell r="B823">
            <v>2009</v>
          </cell>
          <cell r="C823" t="str">
            <v>pvpop_total</v>
          </cell>
          <cell r="D823">
            <v>349036.99159622192</v>
          </cell>
        </row>
        <row r="824">
          <cell r="A824" t="str">
            <v>MDV</v>
          </cell>
          <cell r="B824">
            <v>2009</v>
          </cell>
          <cell r="C824" t="str">
            <v>pvpop_1564</v>
          </cell>
          <cell r="D824">
            <v>240055.5714666009</v>
          </cell>
        </row>
        <row r="825">
          <cell r="A825" t="str">
            <v>MDV</v>
          </cell>
          <cell r="B825">
            <v>2009</v>
          </cell>
          <cell r="C825" t="str">
            <v>pvprivpc</v>
          </cell>
          <cell r="D825">
            <v>45728.752973128328</v>
          </cell>
        </row>
        <row r="826">
          <cell r="A826" t="str">
            <v>MDV</v>
          </cell>
          <cell r="B826">
            <v>2010</v>
          </cell>
          <cell r="C826" t="str">
            <v>pvgdp</v>
          </cell>
          <cell r="D826">
            <v>49692.27734375</v>
          </cell>
        </row>
        <row r="827">
          <cell r="A827" t="str">
            <v>MDV</v>
          </cell>
          <cell r="B827">
            <v>2010</v>
          </cell>
          <cell r="C827" t="str">
            <v>pvgdp_agriculture</v>
          </cell>
          <cell r="D827">
            <v>3526.901611328125</v>
          </cell>
        </row>
        <row r="828">
          <cell r="A828" t="str">
            <v>MDV</v>
          </cell>
          <cell r="B828">
            <v>2010</v>
          </cell>
          <cell r="C828" t="str">
            <v>pvgdp_industry</v>
          </cell>
          <cell r="D828">
            <v>4448.474609375</v>
          </cell>
        </row>
        <row r="829">
          <cell r="A829" t="str">
            <v>MDV</v>
          </cell>
          <cell r="B829">
            <v>2010</v>
          </cell>
          <cell r="C829" t="str">
            <v>pvgdp_services</v>
          </cell>
          <cell r="D829">
            <v>35464.44921875</v>
          </cell>
        </row>
        <row r="830">
          <cell r="A830" t="str">
            <v>MDV</v>
          </cell>
          <cell r="B830">
            <v>2010</v>
          </cell>
          <cell r="C830" t="str">
            <v>pvgdppc</v>
          </cell>
          <cell r="D830">
            <v>137432.83225177054</v>
          </cell>
        </row>
        <row r="831">
          <cell r="A831" t="str">
            <v>MDV</v>
          </cell>
          <cell r="B831">
            <v>2010</v>
          </cell>
          <cell r="C831" t="str">
            <v>pvpop_total</v>
          </cell>
          <cell r="D831">
            <v>361575.00743865967</v>
          </cell>
        </row>
        <row r="832">
          <cell r="A832" t="str">
            <v>MDV</v>
          </cell>
          <cell r="B832">
            <v>2010</v>
          </cell>
          <cell r="C832" t="str">
            <v>pvpop_1564</v>
          </cell>
          <cell r="D832">
            <v>252711.25794297594</v>
          </cell>
        </row>
        <row r="833">
          <cell r="A833" t="str">
            <v>MDV</v>
          </cell>
          <cell r="B833">
            <v>2010</v>
          </cell>
          <cell r="C833" t="str">
            <v>pvprivpc</v>
          </cell>
          <cell r="D833">
            <v>47350.101442380444</v>
          </cell>
        </row>
        <row r="834">
          <cell r="A834" t="str">
            <v>MDV</v>
          </cell>
          <cell r="B834">
            <v>2011</v>
          </cell>
          <cell r="C834" t="str">
            <v>pvgdp</v>
          </cell>
          <cell r="D834">
            <v>53952.24609375</v>
          </cell>
        </row>
        <row r="835">
          <cell r="A835" t="str">
            <v>MDV</v>
          </cell>
          <cell r="B835">
            <v>2011</v>
          </cell>
          <cell r="C835" t="str">
            <v>pvgdp_agriculture</v>
          </cell>
          <cell r="D835">
            <v>3525.158447265625</v>
          </cell>
        </row>
        <row r="836">
          <cell r="A836" t="str">
            <v>MDV</v>
          </cell>
          <cell r="B836">
            <v>2011</v>
          </cell>
          <cell r="C836" t="str">
            <v>pvgdp_industry</v>
          </cell>
          <cell r="D836">
            <v>5157.45751953125</v>
          </cell>
        </row>
        <row r="837">
          <cell r="A837" t="str">
            <v>MDV</v>
          </cell>
          <cell r="B837">
            <v>2011</v>
          </cell>
          <cell r="C837" t="str">
            <v>pvgdp_services</v>
          </cell>
          <cell r="D837">
            <v>37691.125</v>
          </cell>
        </row>
        <row r="838">
          <cell r="A838" t="str">
            <v>MDV</v>
          </cell>
          <cell r="B838">
            <v>2011</v>
          </cell>
          <cell r="C838" t="str">
            <v>pvgdppc</v>
          </cell>
          <cell r="D838">
            <v>144087.82187883882</v>
          </cell>
        </row>
        <row r="839">
          <cell r="A839" t="str">
            <v>MDV</v>
          </cell>
          <cell r="B839">
            <v>2011</v>
          </cell>
          <cell r="C839" t="str">
            <v>pvpop_total</v>
          </cell>
          <cell r="D839">
            <v>374440.01436233521</v>
          </cell>
        </row>
        <row r="840">
          <cell r="A840" t="str">
            <v>MDV</v>
          </cell>
          <cell r="B840">
            <v>2011</v>
          </cell>
          <cell r="C840" t="str">
            <v>pvpop_1564</v>
          </cell>
          <cell r="D840">
            <v>265031.19017828285</v>
          </cell>
        </row>
        <row r="841">
          <cell r="A841" t="str">
            <v>MDV</v>
          </cell>
          <cell r="B841">
            <v>2011</v>
          </cell>
          <cell r="C841" t="str">
            <v>pvprivpc</v>
          </cell>
          <cell r="D841">
            <v>49640.231678106917</v>
          </cell>
        </row>
        <row r="842">
          <cell r="A842" t="str">
            <v>MDV</v>
          </cell>
          <cell r="B842">
            <v>2012</v>
          </cell>
          <cell r="C842" t="str">
            <v>pvgdp</v>
          </cell>
          <cell r="D842">
            <v>55227.54296875</v>
          </cell>
        </row>
        <row r="843">
          <cell r="A843" t="str">
            <v>MDV</v>
          </cell>
          <cell r="B843">
            <v>2012</v>
          </cell>
          <cell r="C843" t="str">
            <v>pvgdp_agriculture</v>
          </cell>
          <cell r="D843">
            <v>3518.7158203125</v>
          </cell>
        </row>
        <row r="844">
          <cell r="A844" t="str">
            <v>MDV</v>
          </cell>
          <cell r="B844">
            <v>2012</v>
          </cell>
          <cell r="C844" t="str">
            <v>pvgdp_industry</v>
          </cell>
          <cell r="D844">
            <v>5327.1357421875</v>
          </cell>
        </row>
        <row r="845">
          <cell r="A845" t="str">
            <v>MDV</v>
          </cell>
          <cell r="B845">
            <v>2012</v>
          </cell>
          <cell r="C845" t="str">
            <v>pvgdp_services</v>
          </cell>
          <cell r="D845">
            <v>38636.7578125</v>
          </cell>
        </row>
        <row r="846">
          <cell r="A846" t="str">
            <v>MDV</v>
          </cell>
          <cell r="B846">
            <v>2012</v>
          </cell>
          <cell r="C846" t="str">
            <v>pvgdppc</v>
          </cell>
          <cell r="D846">
            <v>142508.34900690583</v>
          </cell>
        </row>
        <row r="847">
          <cell r="A847" t="str">
            <v>MDV</v>
          </cell>
          <cell r="B847">
            <v>2012</v>
          </cell>
          <cell r="C847" t="str">
            <v>pvpop_total</v>
          </cell>
          <cell r="D847">
            <v>387538.99931907654</v>
          </cell>
        </row>
        <row r="848">
          <cell r="A848" t="str">
            <v>MDV</v>
          </cell>
          <cell r="B848">
            <v>2012</v>
          </cell>
          <cell r="C848" t="str">
            <v>pvpop_1564</v>
          </cell>
          <cell r="D848">
            <v>276945.24448648281</v>
          </cell>
        </row>
        <row r="849">
          <cell r="A849" t="str">
            <v>MDV</v>
          </cell>
          <cell r="B849">
            <v>2012</v>
          </cell>
          <cell r="C849" t="str">
            <v>pvprivpc</v>
          </cell>
          <cell r="D849">
            <v>49169.769128993081</v>
          </cell>
        </row>
        <row r="850">
          <cell r="A850" t="str">
            <v>MDV</v>
          </cell>
          <cell r="B850">
            <v>2013</v>
          </cell>
          <cell r="C850" t="str">
            <v>pvgdp</v>
          </cell>
          <cell r="D850">
            <v>59073.171875</v>
          </cell>
        </row>
        <row r="851">
          <cell r="A851" t="str">
            <v>MDV</v>
          </cell>
          <cell r="B851">
            <v>2013</v>
          </cell>
          <cell r="C851" t="str">
            <v>pvgdp_agriculture</v>
          </cell>
          <cell r="D851">
            <v>3767.721435546875</v>
          </cell>
        </row>
        <row r="852">
          <cell r="A852" t="str">
            <v>MDV</v>
          </cell>
          <cell r="B852">
            <v>2013</v>
          </cell>
          <cell r="C852" t="str">
            <v>pvgdp_industry</v>
          </cell>
          <cell r="D852">
            <v>4951.15576171875</v>
          </cell>
        </row>
        <row r="853">
          <cell r="A853" t="str">
            <v>MDV</v>
          </cell>
          <cell r="B853">
            <v>2013</v>
          </cell>
          <cell r="C853" t="str">
            <v>pvgdp_services</v>
          </cell>
          <cell r="D853">
            <v>41988.88671875</v>
          </cell>
        </row>
        <row r="854">
          <cell r="A854" t="str">
            <v>MDV</v>
          </cell>
          <cell r="B854">
            <v>2013</v>
          </cell>
          <cell r="C854" t="str">
            <v>pvgdppc</v>
          </cell>
          <cell r="D854">
            <v>147414.63972750667</v>
          </cell>
        </row>
        <row r="855">
          <cell r="A855" t="str">
            <v>MDV</v>
          </cell>
          <cell r="B855">
            <v>2013</v>
          </cell>
          <cell r="C855" t="str">
            <v>pvpop_total</v>
          </cell>
          <cell r="D855">
            <v>400727.98728942871</v>
          </cell>
        </row>
        <row r="856">
          <cell r="A856" t="str">
            <v>MDV</v>
          </cell>
          <cell r="B856">
            <v>2013</v>
          </cell>
          <cell r="C856" t="str">
            <v>pvpop_1564</v>
          </cell>
          <cell r="D856">
            <v>288415.21210909751</v>
          </cell>
        </row>
        <row r="857">
          <cell r="A857" t="str">
            <v>MDV</v>
          </cell>
          <cell r="B857">
            <v>2013</v>
          </cell>
          <cell r="C857" t="str">
            <v>pvprivpc</v>
          </cell>
          <cell r="D857">
            <v>51013.7240261189</v>
          </cell>
        </row>
        <row r="858">
          <cell r="A858" t="str">
            <v>MDV</v>
          </cell>
          <cell r="B858">
            <v>2014</v>
          </cell>
          <cell r="C858" t="str">
            <v>pvgdp</v>
          </cell>
          <cell r="D858">
            <v>63681.52734375</v>
          </cell>
        </row>
        <row r="859">
          <cell r="A859" t="str">
            <v>MDV</v>
          </cell>
          <cell r="B859">
            <v>2014</v>
          </cell>
          <cell r="C859" t="str">
            <v>pvgdp_agriculture</v>
          </cell>
          <cell r="D859">
            <v>3754.401611328125</v>
          </cell>
        </row>
        <row r="860">
          <cell r="A860" t="str">
            <v>MDV</v>
          </cell>
          <cell r="B860">
            <v>2014</v>
          </cell>
          <cell r="C860" t="str">
            <v>pvgdp_industry</v>
          </cell>
          <cell r="D860">
            <v>5828.31298828125</v>
          </cell>
        </row>
        <row r="861">
          <cell r="A861" t="str">
            <v>MDV</v>
          </cell>
          <cell r="B861">
            <v>2014</v>
          </cell>
          <cell r="C861" t="str">
            <v>pvgdp_services</v>
          </cell>
          <cell r="D861">
            <v>45098.26953125</v>
          </cell>
        </row>
        <row r="862">
          <cell r="A862" t="str">
            <v>MDV</v>
          </cell>
          <cell r="B862">
            <v>2014</v>
          </cell>
          <cell r="C862" t="str">
            <v>pvgdppc</v>
          </cell>
          <cell r="D862">
            <v>152809.50335722903</v>
          </cell>
        </row>
        <row r="863">
          <cell r="A863" t="str">
            <v>MDV</v>
          </cell>
          <cell r="B863">
            <v>2014</v>
          </cell>
          <cell r="C863" t="str">
            <v>pvpop_total</v>
          </cell>
          <cell r="D863">
            <v>416738.00349235535</v>
          </cell>
        </row>
        <row r="864">
          <cell r="A864" t="str">
            <v>MDV</v>
          </cell>
          <cell r="B864">
            <v>2014</v>
          </cell>
          <cell r="C864" t="str">
            <v>pvpop_1564</v>
          </cell>
          <cell r="D864">
            <v>301606.77116615028</v>
          </cell>
        </row>
        <row r="865">
          <cell r="A865" t="str">
            <v>MDV</v>
          </cell>
          <cell r="B865">
            <v>2014</v>
          </cell>
          <cell r="C865" t="str">
            <v>pvprivpc</v>
          </cell>
          <cell r="D865">
            <v>52649.376610435495</v>
          </cell>
        </row>
        <row r="866">
          <cell r="A866" t="str">
            <v>MDV</v>
          </cell>
          <cell r="B866">
            <v>2015</v>
          </cell>
          <cell r="C866" t="str">
            <v>pvgdp</v>
          </cell>
          <cell r="D866">
            <v>66210.7734375</v>
          </cell>
        </row>
        <row r="867">
          <cell r="A867" t="str">
            <v>MDV</v>
          </cell>
          <cell r="B867">
            <v>2015</v>
          </cell>
          <cell r="C867" t="str">
            <v>pvgdp_agriculture</v>
          </cell>
          <cell r="D867">
            <v>3734.80322265625</v>
          </cell>
        </row>
        <row r="868">
          <cell r="A868" t="str">
            <v>MDV</v>
          </cell>
          <cell r="B868">
            <v>2015</v>
          </cell>
          <cell r="C868" t="str">
            <v>pvgdp_industry</v>
          </cell>
          <cell r="D868">
            <v>7034.49267578125</v>
          </cell>
        </row>
        <row r="869">
          <cell r="A869" t="str">
            <v>MDV</v>
          </cell>
          <cell r="B869">
            <v>2015</v>
          </cell>
          <cell r="C869" t="str">
            <v>pvgdp_services</v>
          </cell>
          <cell r="D869">
            <v>46852.61328125</v>
          </cell>
        </row>
        <row r="870">
          <cell r="A870" t="str">
            <v>MDV</v>
          </cell>
          <cell r="B870">
            <v>2015</v>
          </cell>
          <cell r="C870" t="str">
            <v>pvgdppc</v>
          </cell>
          <cell r="D870">
            <v>152005.29779202607</v>
          </cell>
        </row>
        <row r="871">
          <cell r="A871" t="str">
            <v>MDV</v>
          </cell>
          <cell r="B871">
            <v>2015</v>
          </cell>
          <cell r="C871" t="str">
            <v>pvpop_total</v>
          </cell>
          <cell r="D871">
            <v>435582.01193809509</v>
          </cell>
        </row>
        <row r="872">
          <cell r="A872" t="str">
            <v>MDV</v>
          </cell>
          <cell r="B872">
            <v>2015</v>
          </cell>
          <cell r="C872" t="str">
            <v>pvpop_1564</v>
          </cell>
          <cell r="D872">
            <v>316994.73441280262</v>
          </cell>
        </row>
        <row r="873">
          <cell r="A873" t="str">
            <v>MDV</v>
          </cell>
          <cell r="B873">
            <v>2015</v>
          </cell>
          <cell r="C873" t="str">
            <v>pvprivpc</v>
          </cell>
          <cell r="D873">
            <v>61501.087840909786</v>
          </cell>
        </row>
        <row r="874">
          <cell r="A874" t="str">
            <v>MDV</v>
          </cell>
          <cell r="B874">
            <v>2016</v>
          </cell>
          <cell r="C874" t="str">
            <v>pvgdp</v>
          </cell>
          <cell r="D874">
            <v>70562.3046875</v>
          </cell>
        </row>
        <row r="875">
          <cell r="A875" t="str">
            <v>MDV</v>
          </cell>
          <cell r="B875">
            <v>2016</v>
          </cell>
          <cell r="C875" t="str">
            <v>pvgdp_agriculture</v>
          </cell>
          <cell r="D875">
            <v>3790.88232421875</v>
          </cell>
        </row>
        <row r="876">
          <cell r="A876" t="str">
            <v>MDV</v>
          </cell>
          <cell r="B876">
            <v>2016</v>
          </cell>
          <cell r="C876" t="str">
            <v>pvgdp_industry</v>
          </cell>
          <cell r="D876">
            <v>7704.4072265625</v>
          </cell>
        </row>
        <row r="877">
          <cell r="A877" t="str">
            <v>MDV</v>
          </cell>
          <cell r="B877">
            <v>2016</v>
          </cell>
          <cell r="C877" t="str">
            <v>pvgdp_services</v>
          </cell>
          <cell r="D877">
            <v>50231.5546875</v>
          </cell>
        </row>
        <row r="878">
          <cell r="A878" t="str">
            <v>MDV</v>
          </cell>
          <cell r="B878">
            <v>2016</v>
          </cell>
          <cell r="C878" t="str">
            <v>pvgdppc</v>
          </cell>
          <cell r="D878">
            <v>155337.35452856836</v>
          </cell>
        </row>
        <row r="879">
          <cell r="A879" t="str">
            <v>MDV</v>
          </cell>
          <cell r="B879">
            <v>2016</v>
          </cell>
          <cell r="C879" t="str">
            <v>pvpop_total</v>
          </cell>
          <cell r="D879">
            <v>454252.00462341309</v>
          </cell>
        </row>
        <row r="880">
          <cell r="A880" t="str">
            <v>MDV</v>
          </cell>
          <cell r="B880">
            <v>2016</v>
          </cell>
          <cell r="C880" t="str">
            <v>pvpop_1564</v>
          </cell>
          <cell r="D880">
            <v>332606.78368702985</v>
          </cell>
        </row>
        <row r="881">
          <cell r="A881" t="str">
            <v>MDV</v>
          </cell>
          <cell r="B881">
            <v>2016</v>
          </cell>
          <cell r="C881" t="str">
            <v>pvprivpc</v>
          </cell>
          <cell r="D881">
            <v>66598.190035958134</v>
          </cell>
        </row>
        <row r="882">
          <cell r="A882" t="str">
            <v>MDV</v>
          </cell>
          <cell r="B882">
            <v>2017</v>
          </cell>
          <cell r="C882" t="str">
            <v>pvgdp</v>
          </cell>
          <cell r="D882">
            <v>75540.1484375</v>
          </cell>
        </row>
        <row r="883">
          <cell r="A883" t="str">
            <v>MDV</v>
          </cell>
          <cell r="B883">
            <v>2017</v>
          </cell>
          <cell r="C883" t="str">
            <v>pvgdp_agriculture</v>
          </cell>
          <cell r="D883">
            <v>4103.38134765625</v>
          </cell>
        </row>
        <row r="884">
          <cell r="A884" t="str">
            <v>MDV</v>
          </cell>
          <cell r="B884">
            <v>2017</v>
          </cell>
          <cell r="C884" t="str">
            <v>pvgdp_industry</v>
          </cell>
          <cell r="D884">
            <v>8726.9697265625</v>
          </cell>
        </row>
        <row r="885">
          <cell r="A885" t="str">
            <v>MDV</v>
          </cell>
          <cell r="B885">
            <v>2017</v>
          </cell>
          <cell r="C885" t="str">
            <v>pvgdp_services</v>
          </cell>
          <cell r="D885">
            <v>53196.21875</v>
          </cell>
        </row>
        <row r="886">
          <cell r="A886" t="str">
            <v>MDV</v>
          </cell>
          <cell r="B886">
            <v>2017</v>
          </cell>
          <cell r="C886" t="str">
            <v>pvgdppc</v>
          </cell>
          <cell r="D886">
            <v>159892.95672468035</v>
          </cell>
        </row>
        <row r="887">
          <cell r="A887" t="str">
            <v>MDV</v>
          </cell>
          <cell r="B887">
            <v>2017</v>
          </cell>
          <cell r="C887" t="str">
            <v>pvpop_total</v>
          </cell>
          <cell r="D887">
            <v>472442.00110435486</v>
          </cell>
        </row>
        <row r="888">
          <cell r="A888" t="str">
            <v>MDV</v>
          </cell>
          <cell r="B888">
            <v>2017</v>
          </cell>
          <cell r="C888" t="str">
            <v>pvpop_1564</v>
          </cell>
          <cell r="D888">
            <v>348044.89563712035</v>
          </cell>
        </row>
        <row r="889">
          <cell r="A889" t="str">
            <v>MDV</v>
          </cell>
          <cell r="B889">
            <v>2017</v>
          </cell>
          <cell r="C889" t="str">
            <v>pvprivpc</v>
          </cell>
          <cell r="D889">
            <v>72410.062203473863</v>
          </cell>
        </row>
        <row r="890">
          <cell r="A890" t="str">
            <v>MDV</v>
          </cell>
          <cell r="B890">
            <v>2018</v>
          </cell>
          <cell r="C890" t="str">
            <v>pvgdp</v>
          </cell>
          <cell r="D890">
            <v>82087.9765625</v>
          </cell>
        </row>
        <row r="891">
          <cell r="A891" t="str">
            <v>MDV</v>
          </cell>
          <cell r="B891">
            <v>2018</v>
          </cell>
          <cell r="C891" t="str">
            <v>pvgdp_agriculture</v>
          </cell>
          <cell r="D891">
            <v>4305.7998046875</v>
          </cell>
        </row>
        <row r="892">
          <cell r="A892" t="str">
            <v>MDV</v>
          </cell>
          <cell r="B892">
            <v>2018</v>
          </cell>
          <cell r="C892" t="str">
            <v>pvgdp_industry</v>
          </cell>
          <cell r="D892">
            <v>10249.462890625</v>
          </cell>
        </row>
        <row r="893">
          <cell r="A893" t="str">
            <v>MDV</v>
          </cell>
          <cell r="B893">
            <v>2018</v>
          </cell>
          <cell r="C893" t="str">
            <v>pvgdp_services</v>
          </cell>
          <cell r="D893">
            <v>57310.1328125</v>
          </cell>
        </row>
        <row r="894">
          <cell r="A894" t="str">
            <v>MDV</v>
          </cell>
          <cell r="B894">
            <v>2018</v>
          </cell>
          <cell r="C894" t="str">
            <v>pvgdppc</v>
          </cell>
          <cell r="D894">
            <v>167609.25620851779</v>
          </cell>
        </row>
        <row r="895">
          <cell r="A895" t="str">
            <v>MDV</v>
          </cell>
          <cell r="B895">
            <v>2018</v>
          </cell>
          <cell r="C895" t="str">
            <v>pvpop_total</v>
          </cell>
          <cell r="D895">
            <v>489758.01467895508</v>
          </cell>
        </row>
        <row r="896">
          <cell r="A896" t="str">
            <v>MDV</v>
          </cell>
          <cell r="B896">
            <v>2018</v>
          </cell>
          <cell r="C896" t="str">
            <v>pvpop_1564</v>
          </cell>
          <cell r="D896">
            <v>362896.20779126766</v>
          </cell>
        </row>
        <row r="897">
          <cell r="A897" t="str">
            <v>MDV</v>
          </cell>
          <cell r="B897">
            <v>2018</v>
          </cell>
          <cell r="C897" t="str">
            <v>pvprivpc</v>
          </cell>
          <cell r="D897">
            <v>77262.916947474296</v>
          </cell>
        </row>
        <row r="898">
          <cell r="A898" t="str">
            <v>MDV</v>
          </cell>
          <cell r="B898">
            <v>2019</v>
          </cell>
          <cell r="C898" t="str">
            <v>pvgdp</v>
          </cell>
          <cell r="D898">
            <v>88079.03125</v>
          </cell>
        </row>
        <row r="899">
          <cell r="A899" t="str">
            <v>MDV</v>
          </cell>
          <cell r="B899">
            <v>2019</v>
          </cell>
          <cell r="C899" t="str">
            <v>pvgdp_agriculture</v>
          </cell>
          <cell r="D899">
            <v>3958.292724609375</v>
          </cell>
        </row>
        <row r="900">
          <cell r="A900" t="str">
            <v>MDV</v>
          </cell>
          <cell r="B900">
            <v>2019</v>
          </cell>
          <cell r="C900" t="str">
            <v>pvgdp_industry</v>
          </cell>
          <cell r="D900">
            <v>10518.876953125</v>
          </cell>
        </row>
        <row r="901">
          <cell r="A901" t="str">
            <v>MDV</v>
          </cell>
          <cell r="B901">
            <v>2019</v>
          </cell>
          <cell r="C901" t="str">
            <v>pvgdp_services</v>
          </cell>
          <cell r="D901">
            <v>62769.93359375</v>
          </cell>
        </row>
        <row r="902">
          <cell r="A902" t="str">
            <v>MDV</v>
          </cell>
          <cell r="B902">
            <v>2019</v>
          </cell>
          <cell r="C902" t="str">
            <v>pvgdppc</v>
          </cell>
          <cell r="D902">
            <v>174584.00663875314</v>
          </cell>
        </row>
        <row r="903">
          <cell r="A903" t="str">
            <v>MDV</v>
          </cell>
          <cell r="B903">
            <v>2019</v>
          </cell>
          <cell r="C903" t="str">
            <v>pvpop_total</v>
          </cell>
          <cell r="D903">
            <v>504508.01849365234</v>
          </cell>
        </row>
        <row r="904">
          <cell r="A904" t="str">
            <v>MDV</v>
          </cell>
          <cell r="B904">
            <v>2019</v>
          </cell>
          <cell r="C904" t="str">
            <v>pvpop_1564</v>
          </cell>
          <cell r="D904">
            <v>375842.34233944042</v>
          </cell>
        </row>
        <row r="905">
          <cell r="A905" t="str">
            <v>MDV</v>
          </cell>
          <cell r="B905">
            <v>2019</v>
          </cell>
          <cell r="C905" t="str">
            <v>pvprivpc</v>
          </cell>
          <cell r="D905">
            <v>79144.430883812369</v>
          </cell>
        </row>
        <row r="906">
          <cell r="A906" t="str">
            <v>MDV</v>
          </cell>
          <cell r="B906">
            <v>2020</v>
          </cell>
          <cell r="C906" t="str">
            <v>pvgdp</v>
          </cell>
          <cell r="D906">
            <v>59093.25390625</v>
          </cell>
        </row>
        <row r="907">
          <cell r="A907" t="str">
            <v>MDV</v>
          </cell>
          <cell r="B907">
            <v>2020</v>
          </cell>
          <cell r="C907" t="str">
            <v>pvgdp_agriculture</v>
          </cell>
          <cell r="D907">
            <v>4217.56396484375</v>
          </cell>
        </row>
        <row r="908">
          <cell r="A908" t="str">
            <v>MDV</v>
          </cell>
          <cell r="B908">
            <v>2020</v>
          </cell>
          <cell r="C908" t="str">
            <v>pvgdp_industry</v>
          </cell>
          <cell r="D908">
            <v>6933.81201171875</v>
          </cell>
        </row>
        <row r="909">
          <cell r="A909" t="str">
            <v>MDV</v>
          </cell>
          <cell r="B909">
            <v>2020</v>
          </cell>
          <cell r="C909" t="str">
            <v>pvgdp_services</v>
          </cell>
          <cell r="D909">
            <v>42872.171875</v>
          </cell>
        </row>
        <row r="910">
          <cell r="A910" t="str">
            <v>MDV</v>
          </cell>
          <cell r="B910">
            <v>2020</v>
          </cell>
          <cell r="C910" t="str">
            <v>pvgdppc</v>
          </cell>
          <cell r="D910">
            <v>114869.54103385338</v>
          </cell>
        </row>
        <row r="911">
          <cell r="A911" t="str">
            <v>MDV</v>
          </cell>
          <cell r="B911">
            <v>2020</v>
          </cell>
          <cell r="C911" t="str">
            <v>pvpop_total</v>
          </cell>
          <cell r="D911">
            <v>514437.9734992981</v>
          </cell>
        </row>
        <row r="912">
          <cell r="A912" t="str">
            <v>MDV</v>
          </cell>
          <cell r="B912">
            <v>2020</v>
          </cell>
          <cell r="C912" t="str">
            <v>pvpop_1564</v>
          </cell>
          <cell r="D912">
            <v>385247.69685074955</v>
          </cell>
        </row>
        <row r="913">
          <cell r="A913" t="str">
            <v>MDV</v>
          </cell>
          <cell r="B913">
            <v>2020</v>
          </cell>
          <cell r="C913" t="str">
            <v>pvprivpc</v>
          </cell>
          <cell r="D913">
            <v>56262.564391379419</v>
          </cell>
        </row>
        <row r="914">
          <cell r="A914" t="str">
            <v>MDV</v>
          </cell>
          <cell r="B914">
            <v>2021</v>
          </cell>
          <cell r="C914" t="str">
            <v>pvgdp</v>
          </cell>
          <cell r="D914">
            <v>81363.84375</v>
          </cell>
        </row>
        <row r="915">
          <cell r="A915" t="str">
            <v>MDV</v>
          </cell>
          <cell r="B915">
            <v>2021</v>
          </cell>
          <cell r="C915" t="str">
            <v>pvgdp_agriculture</v>
          </cell>
          <cell r="D915">
            <v>4186.91552734375</v>
          </cell>
        </row>
        <row r="916">
          <cell r="A916" t="str">
            <v>MDV</v>
          </cell>
          <cell r="B916">
            <v>2021</v>
          </cell>
          <cell r="C916" t="str">
            <v>pvgdp_industry</v>
          </cell>
          <cell r="D916">
            <v>6615.96240234375</v>
          </cell>
        </row>
        <row r="917">
          <cell r="A917" t="str">
            <v>MDV</v>
          </cell>
          <cell r="B917">
            <v>2021</v>
          </cell>
          <cell r="C917" t="str">
            <v>pvgdp_services</v>
          </cell>
          <cell r="D917">
            <v>61459.421875</v>
          </cell>
        </row>
        <row r="918">
          <cell r="A918" t="str">
            <v>MDV</v>
          </cell>
          <cell r="B918">
            <v>2021</v>
          </cell>
          <cell r="C918" t="str">
            <v>pvgdppc</v>
          </cell>
          <cell r="D918">
            <v>156031.7364240232</v>
          </cell>
        </row>
        <row r="919">
          <cell r="A919" t="str">
            <v>MDV</v>
          </cell>
          <cell r="B919">
            <v>2021</v>
          </cell>
          <cell r="C919" t="str">
            <v>pvpop_total</v>
          </cell>
          <cell r="D919">
            <v>521457.0164680481</v>
          </cell>
        </row>
        <row r="920">
          <cell r="A920" t="str">
            <v>MDV</v>
          </cell>
          <cell r="B920">
            <v>2021</v>
          </cell>
          <cell r="C920" t="str">
            <v>pvpop_1564</v>
          </cell>
          <cell r="D920">
            <v>392680.78848620848</v>
          </cell>
        </row>
        <row r="921">
          <cell r="A921" t="str">
            <v>MDV</v>
          </cell>
          <cell r="B921">
            <v>2021</v>
          </cell>
          <cell r="C921" t="str">
            <v>pvprivpc</v>
          </cell>
          <cell r="D921">
            <v>63023.381289594203</v>
          </cell>
        </row>
        <row r="922">
          <cell r="A922" t="str">
            <v>MDV</v>
          </cell>
          <cell r="B922">
            <v>2022</v>
          </cell>
          <cell r="C922" t="str">
            <v>pvgdp</v>
          </cell>
          <cell r="D922">
            <v>92678.84375</v>
          </cell>
        </row>
        <row r="923">
          <cell r="A923" t="str">
            <v>MDV</v>
          </cell>
          <cell r="B923">
            <v>2022</v>
          </cell>
          <cell r="C923" t="str">
            <v>pvgdp_agriculture</v>
          </cell>
          <cell r="D923">
            <v>4316.7431640625</v>
          </cell>
        </row>
        <row r="924">
          <cell r="A924" t="str">
            <v>MDV</v>
          </cell>
          <cell r="B924">
            <v>2022</v>
          </cell>
          <cell r="C924" t="str">
            <v>pvgdp_industry</v>
          </cell>
          <cell r="D924">
            <v>8283.279296875</v>
          </cell>
        </row>
        <row r="925">
          <cell r="A925" t="str">
            <v>MDV</v>
          </cell>
          <cell r="B925">
            <v>2022</v>
          </cell>
          <cell r="C925" t="str">
            <v>pvgdp_services</v>
          </cell>
          <cell r="D925">
            <v>70470.1953125</v>
          </cell>
        </row>
        <row r="926">
          <cell r="A926" t="str">
            <v>MDV</v>
          </cell>
          <cell r="B926">
            <v>2022</v>
          </cell>
          <cell r="C926" t="str">
            <v>pvgdppc</v>
          </cell>
          <cell r="D926">
            <v>176939.93917672089</v>
          </cell>
        </row>
        <row r="927">
          <cell r="A927" t="str">
            <v>MDV</v>
          </cell>
          <cell r="B927">
            <v>2022</v>
          </cell>
          <cell r="C927" t="str">
            <v>pvpop_total</v>
          </cell>
          <cell r="D927">
            <v>523787.02163696289</v>
          </cell>
        </row>
        <row r="928">
          <cell r="A928" t="str">
            <v>MDV</v>
          </cell>
          <cell r="B928">
            <v>2022</v>
          </cell>
          <cell r="C928" t="str">
            <v>pvpop_1564</v>
          </cell>
          <cell r="D928">
            <v>395647.67887602159</v>
          </cell>
        </row>
        <row r="929">
          <cell r="A929" t="str">
            <v>MDV</v>
          </cell>
          <cell r="B929">
            <v>2022</v>
          </cell>
          <cell r="C929" t="str">
            <v>pvprivpc</v>
          </cell>
          <cell r="D929">
            <v>68438.89743195253</v>
          </cell>
        </row>
        <row r="930">
          <cell r="A930" t="str">
            <v>MDV</v>
          </cell>
          <cell r="B930">
            <v>2023</v>
          </cell>
          <cell r="C930" t="str">
            <v>pvgdp</v>
          </cell>
          <cell r="D930">
            <v>96417.171875</v>
          </cell>
        </row>
        <row r="931">
          <cell r="A931" t="str">
            <v>MDV</v>
          </cell>
          <cell r="B931">
            <v>2023</v>
          </cell>
          <cell r="C931" t="str">
            <v>pvgdp_agriculture</v>
          </cell>
          <cell r="D931">
            <v>4456.86962890625</v>
          </cell>
        </row>
        <row r="932">
          <cell r="A932" t="str">
            <v>MDV</v>
          </cell>
          <cell r="B932">
            <v>2023</v>
          </cell>
          <cell r="C932" t="str">
            <v>pvgdp_industry</v>
          </cell>
          <cell r="D932">
            <v>8990.7412109375</v>
          </cell>
        </row>
        <row r="933">
          <cell r="A933" t="str">
            <v>MDV</v>
          </cell>
          <cell r="B933">
            <v>2023</v>
          </cell>
          <cell r="C933" t="str">
            <v>pvgdp_services</v>
          </cell>
          <cell r="D933">
            <v>72945.4140625</v>
          </cell>
        </row>
        <row r="934">
          <cell r="A934" t="str">
            <v>MDV</v>
          </cell>
          <cell r="B934">
            <v>2023</v>
          </cell>
          <cell r="C934" t="str">
            <v>pvgdppc</v>
          </cell>
          <cell r="D934">
            <v>185054.28822179631</v>
          </cell>
        </row>
        <row r="935">
          <cell r="A935" t="str">
            <v>MDV</v>
          </cell>
          <cell r="B935">
            <v>2023</v>
          </cell>
          <cell r="C935" t="str">
            <v>pvpop_total</v>
          </cell>
          <cell r="D935">
            <v>521021.00849151611</v>
          </cell>
        </row>
        <row r="936">
          <cell r="A936" t="str">
            <v>MDV</v>
          </cell>
          <cell r="B936">
            <v>2023</v>
          </cell>
          <cell r="C936" t="str">
            <v>pvpop_1564</v>
          </cell>
          <cell r="D936">
            <v>393922.62499083136</v>
          </cell>
        </row>
        <row r="937">
          <cell r="A937" t="str">
            <v>MDV</v>
          </cell>
          <cell r="B937">
            <v>2023</v>
          </cell>
          <cell r="C937" t="str">
            <v>pvprivpc</v>
          </cell>
          <cell r="D937">
            <v>77542.743534415204</v>
          </cell>
        </row>
        <row r="938">
          <cell r="A938" t="str">
            <v>MDV</v>
          </cell>
          <cell r="B938">
            <v>2024</v>
          </cell>
          <cell r="C938" t="str">
            <v>pvgdp</v>
          </cell>
          <cell r="D938">
            <v>100948.7734375</v>
          </cell>
        </row>
        <row r="939">
          <cell r="A939" t="str">
            <v>MDV</v>
          </cell>
          <cell r="B939">
            <v>2024</v>
          </cell>
          <cell r="C939" t="str">
            <v>pvgdp_agriculture</v>
          </cell>
          <cell r="D939">
            <v>4590.57568359375</v>
          </cell>
        </row>
        <row r="940">
          <cell r="A940" t="str">
            <v>MDV</v>
          </cell>
          <cell r="B940">
            <v>2024</v>
          </cell>
          <cell r="C940" t="str">
            <v>pvgdp_industry</v>
          </cell>
          <cell r="D940">
            <v>9170.5556640625</v>
          </cell>
        </row>
        <row r="941">
          <cell r="A941" t="str">
            <v>MDV</v>
          </cell>
          <cell r="B941">
            <v>2024</v>
          </cell>
          <cell r="C941" t="str">
            <v>pvgdp_services</v>
          </cell>
          <cell r="D941">
            <v>76699.9765625</v>
          </cell>
        </row>
        <row r="942">
          <cell r="A942" t="str">
            <v>MDV</v>
          </cell>
          <cell r="B942">
            <v>2024</v>
          </cell>
          <cell r="C942" t="str">
            <v>pvgdppc</v>
          </cell>
          <cell r="D942">
            <v>194924.32550868933</v>
          </cell>
        </row>
        <row r="943">
          <cell r="A943" t="str">
            <v>MDV</v>
          </cell>
          <cell r="B943">
            <v>2024</v>
          </cell>
          <cell r="C943" t="str">
            <v>pvpop_total</v>
          </cell>
          <cell r="D943">
            <v>517886.99626922607</v>
          </cell>
        </row>
        <row r="944">
          <cell r="A944" t="str">
            <v>MDV</v>
          </cell>
          <cell r="B944">
            <v>2024</v>
          </cell>
          <cell r="C944" t="str">
            <v>pvpop_1564</v>
          </cell>
          <cell r="D944">
            <v>392391.39641901164</v>
          </cell>
        </row>
        <row r="945">
          <cell r="A945" t="str">
            <v>MDV</v>
          </cell>
          <cell r="B945">
            <v>2024</v>
          </cell>
          <cell r="C945" t="str">
            <v>pvprivpc</v>
          </cell>
          <cell r="D945">
            <v>82648.949895623082</v>
          </cell>
        </row>
        <row r="946">
          <cell r="A946" t="str">
            <v>MDV</v>
          </cell>
          <cell r="B946">
            <v>2025</v>
          </cell>
          <cell r="C946" t="str">
            <v>pvgdp</v>
          </cell>
          <cell r="D946">
            <v>106198.109375</v>
          </cell>
        </row>
        <row r="947">
          <cell r="A947" t="str">
            <v>MDV</v>
          </cell>
          <cell r="B947">
            <v>2025</v>
          </cell>
          <cell r="C947" t="str">
            <v>pvgdp_agriculture</v>
          </cell>
          <cell r="D947">
            <v>4719.10986328125</v>
          </cell>
        </row>
        <row r="948">
          <cell r="A948" t="str">
            <v>MDV</v>
          </cell>
          <cell r="B948">
            <v>2025</v>
          </cell>
          <cell r="C948" t="str">
            <v>pvgdp_industry</v>
          </cell>
          <cell r="D948">
            <v>9604.8974609375</v>
          </cell>
        </row>
        <row r="949">
          <cell r="A949" t="str">
            <v>MDV</v>
          </cell>
          <cell r="B949">
            <v>2025</v>
          </cell>
          <cell r="C949" t="str">
            <v>pvgdp_services</v>
          </cell>
          <cell r="D949">
            <v>80848.2421875</v>
          </cell>
        </row>
        <row r="950">
          <cell r="A950" t="str">
            <v>MDV</v>
          </cell>
          <cell r="B950">
            <v>2025</v>
          </cell>
          <cell r="C950" t="str">
            <v>pvgdppc</v>
          </cell>
          <cell r="D950">
            <v>206120.68219935501</v>
          </cell>
        </row>
        <row r="951">
          <cell r="A951" t="str">
            <v>MDV</v>
          </cell>
          <cell r="B951">
            <v>2025</v>
          </cell>
          <cell r="C951" t="str">
            <v>pvpop_total</v>
          </cell>
          <cell r="D951">
            <v>515222.96667098999</v>
          </cell>
        </row>
        <row r="952">
          <cell r="A952" t="str">
            <v>MDV</v>
          </cell>
          <cell r="B952">
            <v>2025</v>
          </cell>
          <cell r="C952" t="str">
            <v>pvpop_1564</v>
          </cell>
          <cell r="D952">
            <v>391596.43774091551</v>
          </cell>
        </row>
        <row r="953">
          <cell r="A953" t="str">
            <v>MDV</v>
          </cell>
          <cell r="B953">
            <v>2025</v>
          </cell>
          <cell r="C953" t="str">
            <v>pvprivpc</v>
          </cell>
          <cell r="D953">
            <v>88444.801409346386</v>
          </cell>
        </row>
        <row r="954">
          <cell r="A954" t="str">
            <v>MDV</v>
          </cell>
          <cell r="B954">
            <v>2026</v>
          </cell>
          <cell r="C954" t="str">
            <v>pvgdp</v>
          </cell>
          <cell r="D954">
            <v>110552.234375</v>
          </cell>
        </row>
        <row r="955">
          <cell r="A955" t="str">
            <v>MDV</v>
          </cell>
          <cell r="B955">
            <v>2026</v>
          </cell>
          <cell r="C955" t="str">
            <v>pvgdp_agriculture</v>
          </cell>
          <cell r="D955">
            <v>4846.52587890625</v>
          </cell>
        </row>
        <row r="956">
          <cell r="A956" t="str">
            <v>MDV</v>
          </cell>
          <cell r="B956">
            <v>2026</v>
          </cell>
          <cell r="C956" t="str">
            <v>pvgdp_industry</v>
          </cell>
          <cell r="D956">
            <v>9776.5048828125</v>
          </cell>
        </row>
        <row r="957">
          <cell r="A957" t="str">
            <v>MDV</v>
          </cell>
          <cell r="B957">
            <v>2026</v>
          </cell>
          <cell r="C957" t="str">
            <v>pvgdp_services</v>
          </cell>
          <cell r="D957">
            <v>84451.28125</v>
          </cell>
        </row>
        <row r="958">
          <cell r="A958" t="str">
            <v>MDV</v>
          </cell>
          <cell r="B958">
            <v>2026</v>
          </cell>
          <cell r="C958" t="str">
            <v>pvgdppc</v>
          </cell>
          <cell r="D958">
            <v>215349.47353173219</v>
          </cell>
        </row>
        <row r="959">
          <cell r="A959" t="str">
            <v>MDV</v>
          </cell>
          <cell r="B959">
            <v>2026</v>
          </cell>
          <cell r="C959" t="str">
            <v>pvpop_total</v>
          </cell>
          <cell r="D959">
            <v>513361.99045181274</v>
          </cell>
        </row>
        <row r="960">
          <cell r="A960" t="str">
            <v>MDV</v>
          </cell>
          <cell r="B960">
            <v>2026</v>
          </cell>
          <cell r="C960" t="str">
            <v>pvpop_1564</v>
          </cell>
          <cell r="D960">
            <v>391606.85208681977</v>
          </cell>
        </row>
        <row r="961">
          <cell r="A961" t="str">
            <v>MDV</v>
          </cell>
          <cell r="B961">
            <v>2026</v>
          </cell>
          <cell r="C961" t="str">
            <v>pvprivpc</v>
          </cell>
          <cell r="D961">
            <v>93464.818293269826</v>
          </cell>
        </row>
        <row r="962">
          <cell r="A962" t="str">
            <v>NPL</v>
          </cell>
          <cell r="B962">
            <v>2007</v>
          </cell>
          <cell r="C962" t="str">
            <v>pvgdp</v>
          </cell>
          <cell r="D962">
            <v>1299690.25</v>
          </cell>
        </row>
        <row r="963">
          <cell r="A963" t="str">
            <v>NPL</v>
          </cell>
          <cell r="B963">
            <v>2007</v>
          </cell>
          <cell r="C963" t="str">
            <v>pvgdp_agriculture</v>
          </cell>
          <cell r="D963">
            <v>433711.78125</v>
          </cell>
        </row>
        <row r="964">
          <cell r="A964" t="str">
            <v>NPL</v>
          </cell>
          <cell r="B964">
            <v>2007</v>
          </cell>
          <cell r="C964" t="str">
            <v>pvgdp_industry</v>
          </cell>
          <cell r="D964">
            <v>203698.734375</v>
          </cell>
        </row>
        <row r="965">
          <cell r="A965" t="str">
            <v>NPL</v>
          </cell>
          <cell r="B965">
            <v>2007</v>
          </cell>
          <cell r="C965" t="str">
            <v>pvgdp_services</v>
          </cell>
          <cell r="D965">
            <v>570651.3125</v>
          </cell>
        </row>
        <row r="966">
          <cell r="A966" t="str">
            <v>NPL</v>
          </cell>
          <cell r="B966">
            <v>2007</v>
          </cell>
          <cell r="C966" t="str">
            <v>pvgdppc</v>
          </cell>
          <cell r="D966">
            <v>48652.654496196497</v>
          </cell>
        </row>
        <row r="967">
          <cell r="A967" t="str">
            <v>NPL</v>
          </cell>
          <cell r="B967">
            <v>2007</v>
          </cell>
          <cell r="C967" t="str">
            <v>pvpop_total</v>
          </cell>
          <cell r="D967">
            <v>26713655.471801758</v>
          </cell>
        </row>
        <row r="968">
          <cell r="A968" t="str">
            <v>NPL</v>
          </cell>
          <cell r="B968">
            <v>2007</v>
          </cell>
          <cell r="C968" t="str">
            <v>pvpop_1564</v>
          </cell>
          <cell r="D968">
            <v>15375536.956350699</v>
          </cell>
        </row>
        <row r="969">
          <cell r="A969" t="str">
            <v>NPL</v>
          </cell>
          <cell r="B969">
            <v>2007</v>
          </cell>
          <cell r="C969" t="str">
            <v>pvprivpc</v>
          </cell>
          <cell r="D969">
            <v>39773.352101569872</v>
          </cell>
        </row>
        <row r="970">
          <cell r="A970" t="str">
            <v>NPL</v>
          </cell>
          <cell r="B970">
            <v>2008</v>
          </cell>
          <cell r="C970" t="str">
            <v>pvgdp</v>
          </cell>
          <cell r="D970">
            <v>1379031.75</v>
          </cell>
        </row>
        <row r="971">
          <cell r="A971" t="str">
            <v>NPL</v>
          </cell>
          <cell r="B971">
            <v>2008</v>
          </cell>
          <cell r="C971" t="str">
            <v>pvgdp_agriculture</v>
          </cell>
          <cell r="D971">
            <v>458972.28125</v>
          </cell>
        </row>
        <row r="972">
          <cell r="A972" t="str">
            <v>NPL</v>
          </cell>
          <cell r="B972">
            <v>2008</v>
          </cell>
          <cell r="C972" t="str">
            <v>pvgdp_industry</v>
          </cell>
          <cell r="D972">
            <v>207249.703125</v>
          </cell>
        </row>
        <row r="973">
          <cell r="A973" t="str">
            <v>NPL</v>
          </cell>
          <cell r="B973">
            <v>2008</v>
          </cell>
          <cell r="C973" t="str">
            <v>pvgdp_services</v>
          </cell>
          <cell r="D973">
            <v>613589.625</v>
          </cell>
        </row>
        <row r="974">
          <cell r="A974" t="str">
            <v>NPL</v>
          </cell>
          <cell r="B974">
            <v>2008</v>
          </cell>
          <cell r="C974" t="str">
            <v>pvgdppc</v>
          </cell>
          <cell r="D974">
            <v>51300.31757829454</v>
          </cell>
        </row>
        <row r="975">
          <cell r="A975" t="str">
            <v>NPL</v>
          </cell>
          <cell r="B975">
            <v>2008</v>
          </cell>
          <cell r="C975" t="str">
            <v>pvpop_total</v>
          </cell>
          <cell r="D975">
            <v>26881544.11315918</v>
          </cell>
        </row>
        <row r="976">
          <cell r="A976" t="str">
            <v>NPL</v>
          </cell>
          <cell r="B976">
            <v>2008</v>
          </cell>
          <cell r="C976" t="str">
            <v>pvpop_1564</v>
          </cell>
          <cell r="D976">
            <v>15609717.774381114</v>
          </cell>
        </row>
        <row r="977">
          <cell r="A977" t="str">
            <v>NPL</v>
          </cell>
          <cell r="B977">
            <v>2008</v>
          </cell>
          <cell r="C977" t="str">
            <v>pvprivpc</v>
          </cell>
          <cell r="D977">
            <v>40027.741541575648</v>
          </cell>
        </row>
        <row r="978">
          <cell r="A978" t="str">
            <v>NPL</v>
          </cell>
          <cell r="B978">
            <v>2009</v>
          </cell>
          <cell r="C978" t="str">
            <v>pvgdp</v>
          </cell>
          <cell r="D978">
            <v>1441547.375</v>
          </cell>
        </row>
        <row r="979">
          <cell r="A979" t="str">
            <v>NPL</v>
          </cell>
          <cell r="B979">
            <v>2009</v>
          </cell>
          <cell r="C979" t="str">
            <v>pvgdp_agriculture</v>
          </cell>
          <cell r="D979">
            <v>472831.15625</v>
          </cell>
        </row>
        <row r="980">
          <cell r="A980" t="str">
            <v>NPL</v>
          </cell>
          <cell r="B980">
            <v>2009</v>
          </cell>
          <cell r="C980" t="str">
            <v>pvgdp_industry</v>
          </cell>
          <cell r="D980">
            <v>206026.9375</v>
          </cell>
        </row>
        <row r="981">
          <cell r="A981" t="str">
            <v>NPL</v>
          </cell>
          <cell r="B981">
            <v>2009</v>
          </cell>
          <cell r="C981" t="str">
            <v>pvgdp_services</v>
          </cell>
          <cell r="D981">
            <v>650417.1875</v>
          </cell>
        </row>
        <row r="982">
          <cell r="A982" t="str">
            <v>NPL</v>
          </cell>
          <cell r="B982">
            <v>2009</v>
          </cell>
          <cell r="C982" t="str">
            <v>pvgdppc</v>
          </cell>
          <cell r="D982">
            <v>53337.422057077179</v>
          </cell>
        </row>
        <row r="983">
          <cell r="A983" t="str">
            <v>NPL</v>
          </cell>
          <cell r="B983">
            <v>2009</v>
          </cell>
          <cell r="C983" t="str">
            <v>pvpop_total</v>
          </cell>
          <cell r="D983">
            <v>27026941.299438477</v>
          </cell>
        </row>
        <row r="984">
          <cell r="A984" t="str">
            <v>NPL</v>
          </cell>
          <cell r="B984">
            <v>2009</v>
          </cell>
          <cell r="C984" t="str">
            <v>pvpop_1564</v>
          </cell>
          <cell r="D984">
            <v>15850354.952089915</v>
          </cell>
        </row>
        <row r="985">
          <cell r="A985" t="str">
            <v>NPL</v>
          </cell>
          <cell r="B985">
            <v>2009</v>
          </cell>
          <cell r="C985" t="str">
            <v>pvprivpc</v>
          </cell>
          <cell r="D985">
            <v>42069.984442657718</v>
          </cell>
        </row>
        <row r="986">
          <cell r="A986" t="str">
            <v>NPL</v>
          </cell>
          <cell r="B986">
            <v>2010</v>
          </cell>
          <cell r="C986" t="str">
            <v>pvgdp</v>
          </cell>
          <cell r="D986">
            <v>1510978.125</v>
          </cell>
        </row>
        <row r="987">
          <cell r="A987" t="str">
            <v>NPL</v>
          </cell>
          <cell r="B987">
            <v>2010</v>
          </cell>
          <cell r="C987" t="str">
            <v>pvgdp_agriculture</v>
          </cell>
          <cell r="D987">
            <v>482343.4375</v>
          </cell>
        </row>
        <row r="988">
          <cell r="A988" t="str">
            <v>NPL</v>
          </cell>
          <cell r="B988">
            <v>2010</v>
          </cell>
          <cell r="C988" t="str">
            <v>pvgdp_industry</v>
          </cell>
          <cell r="D988">
            <v>214267.171875</v>
          </cell>
        </row>
        <row r="989">
          <cell r="A989" t="str">
            <v>NPL</v>
          </cell>
          <cell r="B989">
            <v>2010</v>
          </cell>
          <cell r="C989" t="str">
            <v>pvgdp_services</v>
          </cell>
          <cell r="D989">
            <v>688309.375</v>
          </cell>
        </row>
        <row r="990">
          <cell r="A990" t="str">
            <v>NPL</v>
          </cell>
          <cell r="B990">
            <v>2010</v>
          </cell>
          <cell r="C990" t="str">
            <v>pvgdppc</v>
          </cell>
          <cell r="D990">
            <v>55629.267881625368</v>
          </cell>
        </row>
        <row r="991">
          <cell r="A991" t="str">
            <v>NPL</v>
          </cell>
          <cell r="B991">
            <v>2010</v>
          </cell>
          <cell r="C991" t="str">
            <v>pvpop_total</v>
          </cell>
          <cell r="D991">
            <v>27161567.687988281</v>
          </cell>
        </row>
        <row r="992">
          <cell r="A992" t="str">
            <v>NPL</v>
          </cell>
          <cell r="B992">
            <v>2010</v>
          </cell>
          <cell r="C992" t="str">
            <v>pvpop_1564</v>
          </cell>
          <cell r="D992">
            <v>16098312.735924622</v>
          </cell>
        </row>
        <row r="993">
          <cell r="A993" t="str">
            <v>NPL</v>
          </cell>
          <cell r="B993">
            <v>2010</v>
          </cell>
          <cell r="C993" t="str">
            <v>pvprivpc</v>
          </cell>
          <cell r="D993">
            <v>44470.431120739995</v>
          </cell>
        </row>
        <row r="994">
          <cell r="A994" t="str">
            <v>NPL</v>
          </cell>
          <cell r="B994">
            <v>2011</v>
          </cell>
          <cell r="C994" t="str">
            <v>pvgdp</v>
          </cell>
          <cell r="D994">
            <v>1559222.625</v>
          </cell>
        </row>
        <row r="995">
          <cell r="A995" t="str">
            <v>NPL</v>
          </cell>
          <cell r="B995">
            <v>2011</v>
          </cell>
          <cell r="C995" t="str">
            <v>pvgdp_agriculture</v>
          </cell>
          <cell r="D995">
            <v>480326.09375</v>
          </cell>
        </row>
        <row r="996">
          <cell r="A996" t="str">
            <v>NPL</v>
          </cell>
          <cell r="B996">
            <v>2011</v>
          </cell>
          <cell r="C996" t="str">
            <v>pvgdp_industry</v>
          </cell>
          <cell r="D996">
            <v>208834.328125</v>
          </cell>
        </row>
        <row r="997">
          <cell r="A997" t="str">
            <v>NPL</v>
          </cell>
          <cell r="B997">
            <v>2011</v>
          </cell>
          <cell r="C997" t="str">
            <v>pvgdp_services</v>
          </cell>
          <cell r="D997">
            <v>746912.5625</v>
          </cell>
        </row>
        <row r="998">
          <cell r="A998" t="str">
            <v>NPL</v>
          </cell>
          <cell r="B998">
            <v>2011</v>
          </cell>
          <cell r="C998" t="str">
            <v>pvgdppc</v>
          </cell>
          <cell r="D998">
            <v>57184.764407910043</v>
          </cell>
        </row>
        <row r="999">
          <cell r="A999" t="str">
            <v>NPL</v>
          </cell>
          <cell r="B999">
            <v>2011</v>
          </cell>
          <cell r="C999" t="str">
            <v>pvpop_total</v>
          </cell>
          <cell r="D999">
            <v>27266399.383544922</v>
          </cell>
        </row>
        <row r="1000">
          <cell r="A1000" t="str">
            <v>NPL</v>
          </cell>
          <cell r="B1000">
            <v>2011</v>
          </cell>
          <cell r="C1000" t="str">
            <v>pvpop_1564</v>
          </cell>
          <cell r="D1000">
            <v>16316397.841452982</v>
          </cell>
        </row>
        <row r="1001">
          <cell r="A1001" t="str">
            <v>NPL</v>
          </cell>
          <cell r="B1001">
            <v>2011</v>
          </cell>
          <cell r="C1001" t="str">
            <v>pvprivpc</v>
          </cell>
          <cell r="D1001">
            <v>48422.290065801375</v>
          </cell>
        </row>
        <row r="1002">
          <cell r="A1002" t="str">
            <v>NPL</v>
          </cell>
          <cell r="B1002">
            <v>2012</v>
          </cell>
          <cell r="C1002" t="str">
            <v>pvgdp</v>
          </cell>
          <cell r="D1002">
            <v>1632040.5</v>
          </cell>
        </row>
        <row r="1003">
          <cell r="A1003" t="str">
            <v>NPL</v>
          </cell>
          <cell r="B1003">
            <v>2012</v>
          </cell>
          <cell r="C1003" t="str">
            <v>pvgdp_agriculture</v>
          </cell>
          <cell r="D1003">
            <v>505734.6875</v>
          </cell>
        </row>
        <row r="1004">
          <cell r="A1004" t="str">
            <v>NPL</v>
          </cell>
          <cell r="B1004">
            <v>2012</v>
          </cell>
          <cell r="C1004" t="str">
            <v>pvgdp_industry</v>
          </cell>
          <cell r="D1004">
            <v>221054.8125</v>
          </cell>
        </row>
        <row r="1005">
          <cell r="A1005" t="str">
            <v>NPL</v>
          </cell>
          <cell r="B1005">
            <v>2012</v>
          </cell>
          <cell r="C1005" t="str">
            <v>pvgdp_services</v>
          </cell>
          <cell r="D1005">
            <v>780382.1875</v>
          </cell>
        </row>
        <row r="1006">
          <cell r="A1006" t="str">
            <v>NPL</v>
          </cell>
          <cell r="B1006">
            <v>2012</v>
          </cell>
          <cell r="C1006" t="str">
            <v>pvgdppc</v>
          </cell>
          <cell r="D1006">
            <v>59714.564443192918</v>
          </cell>
        </row>
        <row r="1007">
          <cell r="A1007" t="str">
            <v>NPL</v>
          </cell>
          <cell r="B1007">
            <v>2012</v>
          </cell>
          <cell r="C1007" t="str">
            <v>pvpop_total</v>
          </cell>
          <cell r="D1007">
            <v>27330694.198608398</v>
          </cell>
        </row>
        <row r="1008">
          <cell r="A1008" t="str">
            <v>NPL</v>
          </cell>
          <cell r="B1008">
            <v>2012</v>
          </cell>
          <cell r="C1008" t="str">
            <v>pvpop_1564</v>
          </cell>
          <cell r="D1008">
            <v>16475717.410347972</v>
          </cell>
        </row>
        <row r="1009">
          <cell r="A1009" t="str">
            <v>NPL</v>
          </cell>
          <cell r="B1009">
            <v>2012</v>
          </cell>
          <cell r="C1009" t="str">
            <v>pvprivpc</v>
          </cell>
          <cell r="D1009">
            <v>49774.655012943891</v>
          </cell>
        </row>
        <row r="1010">
          <cell r="A1010" t="str">
            <v>NPL</v>
          </cell>
          <cell r="B1010">
            <v>2013</v>
          </cell>
          <cell r="C1010" t="str">
            <v>pvgdp</v>
          </cell>
          <cell r="D1010">
            <v>1689572.375</v>
          </cell>
        </row>
        <row r="1011">
          <cell r="A1011" t="str">
            <v>NPL</v>
          </cell>
          <cell r="B1011">
            <v>2013</v>
          </cell>
          <cell r="C1011" t="str">
            <v>pvgdp_agriculture</v>
          </cell>
          <cell r="D1011">
            <v>512342.40625</v>
          </cell>
        </row>
        <row r="1012">
          <cell r="A1012" t="str">
            <v>NPL</v>
          </cell>
          <cell r="B1012">
            <v>2013</v>
          </cell>
          <cell r="C1012" t="str">
            <v>pvgdp_industry</v>
          </cell>
          <cell r="D1012">
            <v>227201.515625</v>
          </cell>
        </row>
        <row r="1013">
          <cell r="A1013" t="str">
            <v>NPL</v>
          </cell>
          <cell r="B1013">
            <v>2013</v>
          </cell>
          <cell r="C1013" t="str">
            <v>pvgdp_services</v>
          </cell>
          <cell r="D1013">
            <v>813958.4375</v>
          </cell>
        </row>
        <row r="1014">
          <cell r="A1014" t="str">
            <v>NPL</v>
          </cell>
          <cell r="B1014">
            <v>2013</v>
          </cell>
          <cell r="C1014" t="str">
            <v>pvgdppc</v>
          </cell>
          <cell r="D1014">
            <v>61704.762224605613</v>
          </cell>
        </row>
        <row r="1015">
          <cell r="A1015" t="str">
            <v>NPL</v>
          </cell>
          <cell r="B1015">
            <v>2013</v>
          </cell>
          <cell r="C1015" t="str">
            <v>pvpop_total</v>
          </cell>
          <cell r="D1015">
            <v>27381555.557250977</v>
          </cell>
        </row>
        <row r="1016">
          <cell r="A1016" t="str">
            <v>NPL</v>
          </cell>
          <cell r="B1016">
            <v>2013</v>
          </cell>
          <cell r="C1016" t="str">
            <v>pvpop_1564</v>
          </cell>
          <cell r="D1016">
            <v>16606109.987746276</v>
          </cell>
        </row>
        <row r="1017">
          <cell r="A1017" t="str">
            <v>NPL</v>
          </cell>
          <cell r="B1017">
            <v>2013</v>
          </cell>
          <cell r="C1017" t="str">
            <v>pvprivpc</v>
          </cell>
          <cell r="D1017">
            <v>50997.896999690929</v>
          </cell>
        </row>
        <row r="1018">
          <cell r="A1018" t="str">
            <v>NPL</v>
          </cell>
          <cell r="B1018">
            <v>2014</v>
          </cell>
          <cell r="C1018" t="str">
            <v>pvgdp</v>
          </cell>
          <cell r="D1018">
            <v>1791140.75</v>
          </cell>
        </row>
        <row r="1019">
          <cell r="A1019" t="str">
            <v>NPL</v>
          </cell>
          <cell r="B1019">
            <v>2014</v>
          </cell>
          <cell r="C1019" t="str">
            <v>pvgdp_agriculture</v>
          </cell>
          <cell r="D1019">
            <v>535329.4375</v>
          </cell>
        </row>
        <row r="1020">
          <cell r="A1020" t="str">
            <v>NPL</v>
          </cell>
          <cell r="B1020">
            <v>2014</v>
          </cell>
          <cell r="C1020" t="str">
            <v>pvgdp_industry</v>
          </cell>
          <cell r="D1020">
            <v>244182.921875</v>
          </cell>
        </row>
        <row r="1021">
          <cell r="A1021" t="str">
            <v>NPL</v>
          </cell>
          <cell r="B1021">
            <v>2014</v>
          </cell>
          <cell r="C1021" t="str">
            <v>pvgdp_services</v>
          </cell>
          <cell r="D1021">
            <v>863198.5</v>
          </cell>
        </row>
        <row r="1022">
          <cell r="A1022" t="str">
            <v>NPL</v>
          </cell>
          <cell r="B1022">
            <v>2014</v>
          </cell>
          <cell r="C1022" t="str">
            <v>pvgdppc</v>
          </cell>
          <cell r="D1022">
            <v>65222.263144607125</v>
          </cell>
        </row>
        <row r="1023">
          <cell r="A1023" t="str">
            <v>NPL</v>
          </cell>
          <cell r="B1023">
            <v>2014</v>
          </cell>
          <cell r="C1023" t="str">
            <v>pvpop_total</v>
          </cell>
          <cell r="D1023">
            <v>27462106.704711914</v>
          </cell>
        </row>
        <row r="1024">
          <cell r="A1024" t="str">
            <v>NPL</v>
          </cell>
          <cell r="B1024">
            <v>2014</v>
          </cell>
          <cell r="C1024" t="str">
            <v>pvpop_1564</v>
          </cell>
          <cell r="D1024">
            <v>16758153.203252424</v>
          </cell>
        </row>
        <row r="1025">
          <cell r="A1025" t="str">
            <v>NPL</v>
          </cell>
          <cell r="B1025">
            <v>2014</v>
          </cell>
          <cell r="C1025" t="str">
            <v>pvprivpc</v>
          </cell>
          <cell r="D1025">
            <v>52395.993886117794</v>
          </cell>
        </row>
        <row r="1026">
          <cell r="A1026" t="str">
            <v>NPL</v>
          </cell>
          <cell r="B1026">
            <v>2015</v>
          </cell>
          <cell r="C1026" t="str">
            <v>pvgdp</v>
          </cell>
          <cell r="D1026">
            <v>1862357.5</v>
          </cell>
        </row>
        <row r="1027">
          <cell r="A1027" t="str">
            <v>NPL</v>
          </cell>
          <cell r="B1027">
            <v>2015</v>
          </cell>
          <cell r="C1027" t="str">
            <v>pvgdp_agriculture</v>
          </cell>
          <cell r="D1027">
            <v>541757.9375</v>
          </cell>
        </row>
        <row r="1028">
          <cell r="A1028" t="str">
            <v>NPL</v>
          </cell>
          <cell r="B1028">
            <v>2015</v>
          </cell>
          <cell r="C1028" t="str">
            <v>pvgdp_industry</v>
          </cell>
          <cell r="D1028">
            <v>249071.390625</v>
          </cell>
        </row>
        <row r="1029">
          <cell r="A1029" t="str">
            <v>NPL</v>
          </cell>
          <cell r="B1029">
            <v>2015</v>
          </cell>
          <cell r="C1029" t="str">
            <v>pvgdp_services</v>
          </cell>
          <cell r="D1029">
            <v>909575.9375</v>
          </cell>
        </row>
        <row r="1030">
          <cell r="A1030" t="str">
            <v>NPL</v>
          </cell>
          <cell r="B1030">
            <v>2015</v>
          </cell>
          <cell r="C1030" t="str">
            <v>pvgdppc</v>
          </cell>
          <cell r="D1030">
            <v>67451.48814687613</v>
          </cell>
        </row>
        <row r="1031">
          <cell r="A1031" t="str">
            <v>NPL</v>
          </cell>
          <cell r="B1031">
            <v>2015</v>
          </cell>
          <cell r="C1031" t="str">
            <v>pvpop_total</v>
          </cell>
          <cell r="D1031">
            <v>27610324.859619141</v>
          </cell>
        </row>
        <row r="1032">
          <cell r="A1032" t="str">
            <v>NPL</v>
          </cell>
          <cell r="B1032">
            <v>2015</v>
          </cell>
          <cell r="C1032" t="str">
            <v>pvpop_1564</v>
          </cell>
          <cell r="D1032">
            <v>16972442.045103539</v>
          </cell>
        </row>
        <row r="1033">
          <cell r="A1033" t="str">
            <v>NPL</v>
          </cell>
          <cell r="B1033">
            <v>2015</v>
          </cell>
          <cell r="C1033" t="str">
            <v>pvprivpc</v>
          </cell>
          <cell r="D1033">
            <v>53460.689343745777</v>
          </cell>
        </row>
        <row r="1034">
          <cell r="A1034" t="str">
            <v>NPL</v>
          </cell>
          <cell r="B1034">
            <v>2016</v>
          </cell>
          <cell r="C1034" t="str">
            <v>pvgdp</v>
          </cell>
          <cell r="D1034">
            <v>1870423.625</v>
          </cell>
        </row>
        <row r="1035">
          <cell r="A1035" t="str">
            <v>NPL</v>
          </cell>
          <cell r="B1035">
            <v>2016</v>
          </cell>
          <cell r="C1035" t="str">
            <v>pvgdp_agriculture</v>
          </cell>
          <cell r="D1035">
            <v>541301.125</v>
          </cell>
        </row>
        <row r="1036">
          <cell r="A1036" t="str">
            <v>NPL</v>
          </cell>
          <cell r="B1036">
            <v>2016</v>
          </cell>
          <cell r="C1036" t="str">
            <v>pvgdp_industry</v>
          </cell>
          <cell r="D1036">
            <v>238776.875</v>
          </cell>
        </row>
        <row r="1037">
          <cell r="A1037" t="str">
            <v>NPL</v>
          </cell>
          <cell r="B1037">
            <v>2016</v>
          </cell>
          <cell r="C1037" t="str">
            <v>pvgdp_services</v>
          </cell>
          <cell r="D1037">
            <v>920370.1875</v>
          </cell>
        </row>
        <row r="1038">
          <cell r="A1038" t="str">
            <v>NPL</v>
          </cell>
          <cell r="B1038">
            <v>2016</v>
          </cell>
          <cell r="C1038" t="str">
            <v>pvgdppc</v>
          </cell>
          <cell r="D1038">
            <v>67133.670733746898</v>
          </cell>
        </row>
        <row r="1039">
          <cell r="A1039" t="str">
            <v>NPL</v>
          </cell>
          <cell r="B1039">
            <v>2016</v>
          </cell>
          <cell r="C1039" t="str">
            <v>pvpop_total</v>
          </cell>
          <cell r="D1039">
            <v>27861185.073852539</v>
          </cell>
        </row>
        <row r="1040">
          <cell r="A1040" t="str">
            <v>NPL</v>
          </cell>
          <cell r="B1040">
            <v>2016</v>
          </cell>
          <cell r="C1040" t="str">
            <v>pvpop_1564</v>
          </cell>
          <cell r="D1040">
            <v>17238353.705230452</v>
          </cell>
        </row>
        <row r="1041">
          <cell r="A1041" t="str">
            <v>NPL</v>
          </cell>
          <cell r="B1041">
            <v>2016</v>
          </cell>
          <cell r="C1041" t="str">
            <v>pvprivpc</v>
          </cell>
          <cell r="D1041">
            <v>55181.074348587026</v>
          </cell>
        </row>
        <row r="1042">
          <cell r="A1042" t="str">
            <v>NPL</v>
          </cell>
          <cell r="B1042">
            <v>2017</v>
          </cell>
          <cell r="C1042" t="str">
            <v>pvgdp</v>
          </cell>
          <cell r="D1042">
            <v>2038336.75</v>
          </cell>
        </row>
        <row r="1043">
          <cell r="A1043" t="str">
            <v>NPL</v>
          </cell>
          <cell r="B1043">
            <v>2017</v>
          </cell>
          <cell r="C1043" t="str">
            <v>pvgdp_agriculture</v>
          </cell>
          <cell r="D1043">
            <v>569312</v>
          </cell>
        </row>
        <row r="1044">
          <cell r="A1044" t="str">
            <v>NPL</v>
          </cell>
          <cell r="B1044">
            <v>2017</v>
          </cell>
          <cell r="C1044" t="str">
            <v>pvgdp_industry</v>
          </cell>
          <cell r="D1044">
            <v>279697.03125</v>
          </cell>
        </row>
        <row r="1045">
          <cell r="A1045" t="str">
            <v>NPL</v>
          </cell>
          <cell r="B1045">
            <v>2017</v>
          </cell>
          <cell r="C1045" t="str">
            <v>pvgdp_services</v>
          </cell>
          <cell r="D1045">
            <v>997497</v>
          </cell>
        </row>
        <row r="1046">
          <cell r="A1046" t="str">
            <v>NPL</v>
          </cell>
          <cell r="B1046">
            <v>2017</v>
          </cell>
          <cell r="C1046" t="str">
            <v>pvgdppc</v>
          </cell>
          <cell r="D1046">
            <v>72323.952275789925</v>
          </cell>
        </row>
        <row r="1047">
          <cell r="A1047" t="str">
            <v>NPL</v>
          </cell>
          <cell r="B1047">
            <v>2017</v>
          </cell>
          <cell r="C1047" t="str">
            <v>pvpop_total</v>
          </cell>
          <cell r="D1047">
            <v>28183425.903320313</v>
          </cell>
        </row>
        <row r="1048">
          <cell r="A1048" t="str">
            <v>NPL</v>
          </cell>
          <cell r="B1048">
            <v>2017</v>
          </cell>
          <cell r="C1048" t="str">
            <v>pvpop_1564</v>
          </cell>
          <cell r="D1048">
            <v>17516813.325277336</v>
          </cell>
        </row>
        <row r="1049">
          <cell r="A1049" t="str">
            <v>NPL</v>
          </cell>
          <cell r="B1049">
            <v>2017</v>
          </cell>
          <cell r="C1049" t="str">
            <v>pvprivpc</v>
          </cell>
          <cell r="D1049">
            <v>54979.667138956669</v>
          </cell>
        </row>
        <row r="1050">
          <cell r="A1050" t="str">
            <v>NPL</v>
          </cell>
          <cell r="B1050">
            <v>2018</v>
          </cell>
          <cell r="C1050" t="str">
            <v>pvgdp</v>
          </cell>
          <cell r="D1050">
            <v>2193706.5</v>
          </cell>
        </row>
        <row r="1051">
          <cell r="A1051" t="str">
            <v>NPL</v>
          </cell>
          <cell r="B1051">
            <v>2018</v>
          </cell>
          <cell r="C1051" t="str">
            <v>pvgdp_agriculture</v>
          </cell>
          <cell r="D1051">
            <v>584166.8125</v>
          </cell>
        </row>
        <row r="1052">
          <cell r="A1052" t="str">
            <v>NPL</v>
          </cell>
          <cell r="B1052">
            <v>2018</v>
          </cell>
          <cell r="C1052" t="str">
            <v>pvgdp_industry</v>
          </cell>
          <cell r="D1052">
            <v>308686.1875</v>
          </cell>
        </row>
        <row r="1053">
          <cell r="A1053" t="str">
            <v>NPL</v>
          </cell>
          <cell r="B1053">
            <v>2018</v>
          </cell>
          <cell r="C1053" t="str">
            <v>pvgdp_services</v>
          </cell>
          <cell r="D1053">
            <v>1089800</v>
          </cell>
        </row>
        <row r="1054">
          <cell r="A1054" t="str">
            <v>NPL</v>
          </cell>
          <cell r="B1054">
            <v>2018</v>
          </cell>
          <cell r="C1054" t="str">
            <v>pvgdppc</v>
          </cell>
          <cell r="D1054">
            <v>76954.034652981412</v>
          </cell>
        </row>
        <row r="1055">
          <cell r="A1055" t="str">
            <v>NPL</v>
          </cell>
          <cell r="B1055">
            <v>2018</v>
          </cell>
          <cell r="C1055" t="str">
            <v>pvpop_total</v>
          </cell>
          <cell r="D1055">
            <v>28506711.959838867</v>
          </cell>
        </row>
        <row r="1056">
          <cell r="A1056" t="str">
            <v>NPL</v>
          </cell>
          <cell r="B1056">
            <v>2018</v>
          </cell>
          <cell r="C1056" t="str">
            <v>pvpop_1564</v>
          </cell>
          <cell r="D1056">
            <v>17796795.765030418</v>
          </cell>
        </row>
        <row r="1057">
          <cell r="A1057" t="str">
            <v>NPL</v>
          </cell>
          <cell r="B1057">
            <v>2018</v>
          </cell>
          <cell r="C1057" t="str">
            <v>pvprivpc</v>
          </cell>
          <cell r="D1057">
            <v>57709.847502500212</v>
          </cell>
        </row>
        <row r="1058">
          <cell r="A1058" t="str">
            <v>NPL</v>
          </cell>
          <cell r="B1058">
            <v>2019</v>
          </cell>
          <cell r="C1058" t="str">
            <v>pvgdp</v>
          </cell>
          <cell r="D1058">
            <v>2339742.75</v>
          </cell>
        </row>
        <row r="1059">
          <cell r="A1059" t="str">
            <v>NPL</v>
          </cell>
          <cell r="B1059">
            <v>2019</v>
          </cell>
          <cell r="C1059" t="str">
            <v>pvgdp_agriculture</v>
          </cell>
          <cell r="D1059">
            <v>614291.875</v>
          </cell>
        </row>
        <row r="1060">
          <cell r="A1060" t="str">
            <v>NPL</v>
          </cell>
          <cell r="B1060">
            <v>2019</v>
          </cell>
          <cell r="C1060" t="str">
            <v>pvgdp_industry</v>
          </cell>
          <cell r="D1060">
            <v>331465.09375</v>
          </cell>
        </row>
        <row r="1061">
          <cell r="A1061" t="str">
            <v>NPL</v>
          </cell>
          <cell r="B1061">
            <v>2019</v>
          </cell>
          <cell r="C1061" t="str">
            <v>pvgdp_services</v>
          </cell>
          <cell r="D1061">
            <v>1163506.125</v>
          </cell>
        </row>
        <row r="1062">
          <cell r="A1062" t="str">
            <v>NPL</v>
          </cell>
          <cell r="B1062">
            <v>2019</v>
          </cell>
          <cell r="C1062" t="str">
            <v>pvgdppc</v>
          </cell>
          <cell r="D1062">
            <v>81149.502208046135</v>
          </cell>
        </row>
        <row r="1063">
          <cell r="A1063" t="str">
            <v>NPL</v>
          </cell>
          <cell r="B1063">
            <v>2019</v>
          </cell>
          <cell r="C1063" t="str">
            <v>pvpop_total</v>
          </cell>
          <cell r="D1063">
            <v>28832496.643066406</v>
          </cell>
        </row>
        <row r="1064">
          <cell r="A1064" t="str">
            <v>NPL</v>
          </cell>
          <cell r="B1064">
            <v>2019</v>
          </cell>
          <cell r="C1064" t="str">
            <v>pvpop_1564</v>
          </cell>
          <cell r="D1064">
            <v>18167904.176936898</v>
          </cell>
        </row>
        <row r="1065">
          <cell r="A1065" t="str">
            <v>NPL</v>
          </cell>
          <cell r="B1065">
            <v>2019</v>
          </cell>
          <cell r="C1065" t="str">
            <v>pvprivpc</v>
          </cell>
          <cell r="D1065">
            <v>61701.971113480264</v>
          </cell>
        </row>
        <row r="1066">
          <cell r="A1066" t="str">
            <v>NPL</v>
          </cell>
          <cell r="B1066">
            <v>2020</v>
          </cell>
          <cell r="C1066" t="str">
            <v>pvgdp</v>
          </cell>
          <cell r="D1066">
            <v>2284299.75</v>
          </cell>
        </row>
        <row r="1067">
          <cell r="A1067" t="str">
            <v>NPL</v>
          </cell>
          <cell r="B1067">
            <v>2020</v>
          </cell>
          <cell r="C1067" t="str">
            <v>pvgdp_agriculture</v>
          </cell>
          <cell r="D1067">
            <v>629229.375</v>
          </cell>
        </row>
        <row r="1068">
          <cell r="A1068" t="str">
            <v>NPL</v>
          </cell>
          <cell r="B1068">
            <v>2020</v>
          </cell>
          <cell r="C1068" t="str">
            <v>pvgdp_industry</v>
          </cell>
          <cell r="D1068">
            <v>318128.71875</v>
          </cell>
        </row>
        <row r="1069">
          <cell r="A1069" t="str">
            <v>NPL</v>
          </cell>
          <cell r="B1069">
            <v>2020</v>
          </cell>
          <cell r="C1069" t="str">
            <v>pvgdp_services</v>
          </cell>
          <cell r="D1069">
            <v>1110791.25</v>
          </cell>
        </row>
        <row r="1070">
          <cell r="A1070" t="str">
            <v>NPL</v>
          </cell>
          <cell r="B1070">
            <v>2020</v>
          </cell>
          <cell r="C1070" t="str">
            <v>pvgdppc</v>
          </cell>
          <cell r="D1070">
            <v>77833.274550106245</v>
          </cell>
        </row>
        <row r="1071">
          <cell r="A1071" t="str">
            <v>NPL</v>
          </cell>
          <cell r="B1071">
            <v>2020</v>
          </cell>
          <cell r="C1071" t="str">
            <v>pvpop_total</v>
          </cell>
          <cell r="D1071">
            <v>29348627.090454102</v>
          </cell>
        </row>
        <row r="1072">
          <cell r="A1072" t="str">
            <v>NPL</v>
          </cell>
          <cell r="B1072">
            <v>2020</v>
          </cell>
          <cell r="C1072" t="str">
            <v>pvpop_1564</v>
          </cell>
          <cell r="D1072">
            <v>18734838.626446046</v>
          </cell>
        </row>
        <row r="1073">
          <cell r="A1073" t="str">
            <v>NPL</v>
          </cell>
          <cell r="B1073">
            <v>2020</v>
          </cell>
          <cell r="C1073" t="str">
            <v>pvprivpc</v>
          </cell>
          <cell r="D1073">
            <v>62796.689580053673</v>
          </cell>
        </row>
        <row r="1074">
          <cell r="A1074" t="str">
            <v>NPL</v>
          </cell>
          <cell r="B1074">
            <v>2021</v>
          </cell>
          <cell r="C1074" t="str">
            <v>pvgdp</v>
          </cell>
          <cell r="D1074">
            <v>2394817.5</v>
          </cell>
        </row>
        <row r="1075">
          <cell r="A1075" t="str">
            <v>NPL</v>
          </cell>
          <cell r="B1075">
            <v>2021</v>
          </cell>
          <cell r="C1075" t="str">
            <v>pvgdp_agriculture</v>
          </cell>
          <cell r="D1075">
            <v>647153.625</v>
          </cell>
        </row>
        <row r="1076">
          <cell r="A1076" t="str">
            <v>NPL</v>
          </cell>
          <cell r="B1076">
            <v>2021</v>
          </cell>
          <cell r="C1076" t="str">
            <v>pvgdp_industry</v>
          </cell>
          <cell r="D1076">
            <v>340226.78125</v>
          </cell>
        </row>
        <row r="1077">
          <cell r="A1077" t="str">
            <v>NPL</v>
          </cell>
          <cell r="B1077">
            <v>2021</v>
          </cell>
          <cell r="C1077" t="str">
            <v>pvgdp_services</v>
          </cell>
          <cell r="D1077">
            <v>1163117</v>
          </cell>
        </row>
        <row r="1078">
          <cell r="A1078" t="str">
            <v>NPL</v>
          </cell>
          <cell r="B1078">
            <v>2021</v>
          </cell>
          <cell r="C1078" t="str">
            <v>pvgdppc</v>
          </cell>
          <cell r="D1078">
            <v>79734.25752131328</v>
          </cell>
        </row>
        <row r="1079">
          <cell r="A1079" t="str">
            <v>NPL</v>
          </cell>
          <cell r="B1079">
            <v>2021</v>
          </cell>
          <cell r="C1079" t="str">
            <v>pvpop_total</v>
          </cell>
          <cell r="D1079">
            <v>30034988.403320313</v>
          </cell>
        </row>
        <row r="1080">
          <cell r="A1080" t="str">
            <v>NPL</v>
          </cell>
          <cell r="B1080">
            <v>2021</v>
          </cell>
          <cell r="C1080" t="str">
            <v>pvpop_1564</v>
          </cell>
          <cell r="D1080">
            <v>19381040.033393636</v>
          </cell>
        </row>
        <row r="1081">
          <cell r="A1081" t="str">
            <v>NPL</v>
          </cell>
          <cell r="B1081">
            <v>2021</v>
          </cell>
          <cell r="C1081" t="str">
            <v>pvprivpc</v>
          </cell>
          <cell r="D1081">
            <v>66250.312744586525</v>
          </cell>
        </row>
        <row r="1082">
          <cell r="A1082" t="str">
            <v>NPL</v>
          </cell>
          <cell r="B1082">
            <v>2022</v>
          </cell>
          <cell r="C1082" t="str">
            <v>pvgdp</v>
          </cell>
          <cell r="D1082">
            <v>2529243.25</v>
          </cell>
        </row>
        <row r="1083">
          <cell r="A1083" t="str">
            <v>NPL</v>
          </cell>
          <cell r="B1083">
            <v>2022</v>
          </cell>
          <cell r="C1083" t="str">
            <v>pvgdp_agriculture</v>
          </cell>
          <cell r="D1083">
            <v>661654.6875</v>
          </cell>
        </row>
        <row r="1084">
          <cell r="A1084" t="str">
            <v>NPL</v>
          </cell>
          <cell r="B1084">
            <v>2022</v>
          </cell>
          <cell r="C1084" t="str">
            <v>pvgdp_industry</v>
          </cell>
          <cell r="D1084">
            <v>376959.34375</v>
          </cell>
        </row>
        <row r="1085">
          <cell r="A1085" t="str">
            <v>NPL</v>
          </cell>
          <cell r="B1085">
            <v>2022</v>
          </cell>
          <cell r="C1085" t="str">
            <v>pvgdp_services</v>
          </cell>
          <cell r="D1085">
            <v>1224955.5</v>
          </cell>
        </row>
        <row r="1086">
          <cell r="A1086" t="str">
            <v>NPL</v>
          </cell>
          <cell r="B1086">
            <v>2022</v>
          </cell>
          <cell r="C1086" t="str">
            <v>pvgdppc</v>
          </cell>
          <cell r="D1086">
            <v>82796.843169558924</v>
          </cell>
        </row>
        <row r="1087">
          <cell r="A1087" t="str">
            <v>NPL</v>
          </cell>
          <cell r="B1087">
            <v>2022</v>
          </cell>
          <cell r="C1087" t="str">
            <v>pvpop_total</v>
          </cell>
          <cell r="D1087">
            <v>30547580.718994141</v>
          </cell>
        </row>
        <row r="1088">
          <cell r="A1088" t="str">
            <v>NPL</v>
          </cell>
          <cell r="B1088">
            <v>2022</v>
          </cell>
          <cell r="C1088" t="str">
            <v>pvpop_1564</v>
          </cell>
          <cell r="D1088">
            <v>19814760.644523047</v>
          </cell>
        </row>
        <row r="1089">
          <cell r="A1089" t="str">
            <v>NPL</v>
          </cell>
          <cell r="B1089">
            <v>2022</v>
          </cell>
          <cell r="C1089" t="str">
            <v>pvprivpc</v>
          </cell>
          <cell r="D1089">
            <v>69588.334001135139</v>
          </cell>
        </row>
        <row r="1090">
          <cell r="A1090" t="str">
            <v>NPL</v>
          </cell>
          <cell r="B1090">
            <v>2023</v>
          </cell>
          <cell r="C1090" t="str">
            <v>pvgdp</v>
          </cell>
          <cell r="D1090">
            <v>2576250.5</v>
          </cell>
        </row>
        <row r="1091">
          <cell r="A1091" t="str">
            <v>NPL</v>
          </cell>
          <cell r="B1091">
            <v>2023</v>
          </cell>
          <cell r="C1091" t="str">
            <v>pvgdp_agriculture</v>
          </cell>
          <cell r="D1091">
            <v>679709.5</v>
          </cell>
        </row>
        <row r="1092">
          <cell r="A1092" t="str">
            <v>NPL</v>
          </cell>
          <cell r="B1092">
            <v>2023</v>
          </cell>
          <cell r="C1092" t="str">
            <v>pvgdp_industry</v>
          </cell>
          <cell r="D1092">
            <v>379172.40625</v>
          </cell>
        </row>
        <row r="1093">
          <cell r="A1093" t="str">
            <v>NPL</v>
          </cell>
          <cell r="B1093">
            <v>2023</v>
          </cell>
          <cell r="C1093" t="str">
            <v>pvgdp_services</v>
          </cell>
          <cell r="D1093">
            <v>1253501.5</v>
          </cell>
        </row>
        <row r="1094">
          <cell r="A1094" t="str">
            <v>NPL</v>
          </cell>
          <cell r="B1094">
            <v>2023</v>
          </cell>
          <cell r="C1094" t="str">
            <v>pvgdppc</v>
          </cell>
          <cell r="D1094">
            <v>83383.006348097697</v>
          </cell>
        </row>
        <row r="1095">
          <cell r="A1095" t="str">
            <v>NPL</v>
          </cell>
          <cell r="B1095">
            <v>2023</v>
          </cell>
          <cell r="C1095" t="str">
            <v>pvpop_total</v>
          </cell>
          <cell r="D1095">
            <v>30896589.279174805</v>
          </cell>
        </row>
        <row r="1096">
          <cell r="A1096" t="str">
            <v>NPL</v>
          </cell>
          <cell r="B1096">
            <v>2023</v>
          </cell>
          <cell r="C1096" t="str">
            <v>pvpop_1564</v>
          </cell>
          <cell r="D1096">
            <v>20059853.058175359</v>
          </cell>
        </row>
        <row r="1097">
          <cell r="A1097" t="str">
            <v>NPL</v>
          </cell>
          <cell r="B1097">
            <v>2023</v>
          </cell>
          <cell r="C1097" t="str">
            <v>pvprivpc</v>
          </cell>
          <cell r="D1097">
            <v>71595.928599503997</v>
          </cell>
        </row>
        <row r="1098">
          <cell r="A1098" t="str">
            <v>NPL</v>
          </cell>
          <cell r="B1098">
            <v>2024</v>
          </cell>
          <cell r="C1098" t="str">
            <v>pvgdp</v>
          </cell>
          <cell r="D1098">
            <v>2661266.75</v>
          </cell>
        </row>
        <row r="1099">
          <cell r="A1099" t="str">
            <v>NPL</v>
          </cell>
          <cell r="B1099">
            <v>2024</v>
          </cell>
          <cell r="C1099" t="str">
            <v>pvgdp_agriculture</v>
          </cell>
          <cell r="D1099">
            <v>694663.125</v>
          </cell>
        </row>
        <row r="1100">
          <cell r="A1100" t="str">
            <v>NPL</v>
          </cell>
          <cell r="B1100">
            <v>2024</v>
          </cell>
          <cell r="C1100" t="str">
            <v>pvgdp_industry</v>
          </cell>
          <cell r="D1100">
            <v>390168.40625</v>
          </cell>
        </row>
        <row r="1101">
          <cell r="A1101" t="str">
            <v>NPL</v>
          </cell>
          <cell r="B1101">
            <v>2024</v>
          </cell>
          <cell r="C1101" t="str">
            <v>pvgdp_services</v>
          </cell>
          <cell r="D1101">
            <v>1303860.625</v>
          </cell>
        </row>
        <row r="1102">
          <cell r="A1102" t="str">
            <v>NPL</v>
          </cell>
          <cell r="B1102">
            <v>2024</v>
          </cell>
          <cell r="C1102" t="str">
            <v>pvgdppc</v>
          </cell>
          <cell r="D1102">
            <v>85186.938543574477</v>
          </cell>
        </row>
        <row r="1103">
          <cell r="A1103" t="str">
            <v>NPL</v>
          </cell>
          <cell r="B1103">
            <v>2024</v>
          </cell>
          <cell r="C1103" t="str">
            <v>pvpop_total</v>
          </cell>
          <cell r="D1103">
            <v>31240314.483642578</v>
          </cell>
        </row>
        <row r="1104">
          <cell r="A1104" t="str">
            <v>NPL</v>
          </cell>
          <cell r="B1104">
            <v>2024</v>
          </cell>
          <cell r="C1104" t="str">
            <v>pvpop_1564</v>
          </cell>
          <cell r="D1104">
            <v>20327251.709171511</v>
          </cell>
        </row>
        <row r="1105">
          <cell r="A1105" t="str">
            <v>NPL</v>
          </cell>
          <cell r="B1105">
            <v>2024</v>
          </cell>
          <cell r="C1105" t="str">
            <v>pvprivpc</v>
          </cell>
          <cell r="D1105">
            <v>73286.474155014599</v>
          </cell>
        </row>
        <row r="1106">
          <cell r="A1106" t="str">
            <v>NPL</v>
          </cell>
          <cell r="B1106">
            <v>2025</v>
          </cell>
          <cell r="C1106" t="str">
            <v>pvgdp</v>
          </cell>
          <cell r="D1106">
            <v>2783685</v>
          </cell>
        </row>
        <row r="1107">
          <cell r="A1107" t="str">
            <v>NPL</v>
          </cell>
          <cell r="B1107">
            <v>2025</v>
          </cell>
          <cell r="C1107" t="str">
            <v>pvgdp_agriculture</v>
          </cell>
          <cell r="D1107">
            <v>711335.0625</v>
          </cell>
        </row>
        <row r="1108">
          <cell r="A1108" t="str">
            <v>NPL</v>
          </cell>
          <cell r="B1108">
            <v>2025</v>
          </cell>
          <cell r="C1108" t="str">
            <v>pvgdp_industry</v>
          </cell>
          <cell r="D1108">
            <v>412408</v>
          </cell>
        </row>
        <row r="1109">
          <cell r="A1109" t="str">
            <v>NPL</v>
          </cell>
          <cell r="B1109">
            <v>2025</v>
          </cell>
          <cell r="C1109" t="str">
            <v>pvgdp_services</v>
          </cell>
          <cell r="D1109">
            <v>1374828.875</v>
          </cell>
        </row>
        <row r="1110">
          <cell r="A1110" t="str">
            <v>NPL</v>
          </cell>
          <cell r="B1110">
            <v>2025</v>
          </cell>
          <cell r="C1110" t="str">
            <v>pvgdppc</v>
          </cell>
          <cell r="D1110">
            <v>88154.455802983284</v>
          </cell>
        </row>
        <row r="1111">
          <cell r="A1111" t="str">
            <v>NPL</v>
          </cell>
          <cell r="B1111">
            <v>2025</v>
          </cell>
          <cell r="C1111" t="str">
            <v>pvpop_total</v>
          </cell>
          <cell r="D1111">
            <v>31577360.153198242</v>
          </cell>
        </row>
        <row r="1112">
          <cell r="A1112" t="str">
            <v>NPL</v>
          </cell>
          <cell r="B1112">
            <v>2025</v>
          </cell>
          <cell r="C1112" t="str">
            <v>pvpop_1564</v>
          </cell>
          <cell r="D1112">
            <v>20627544.02363595</v>
          </cell>
        </row>
        <row r="1113">
          <cell r="A1113" t="str">
            <v>NPL</v>
          </cell>
          <cell r="B1113">
            <v>2025</v>
          </cell>
          <cell r="C1113" t="str">
            <v>pvprivpc</v>
          </cell>
          <cell r="D1113">
            <v>75186.897779975887</v>
          </cell>
        </row>
        <row r="1114">
          <cell r="A1114" t="str">
            <v>NPL</v>
          </cell>
          <cell r="B1114">
            <v>2026</v>
          </cell>
          <cell r="C1114" t="str">
            <v>pvgdp</v>
          </cell>
          <cell r="D1114">
            <v>2931220.25</v>
          </cell>
        </row>
        <row r="1115">
          <cell r="A1115" t="str">
            <v>NPL</v>
          </cell>
          <cell r="B1115">
            <v>2026</v>
          </cell>
          <cell r="C1115" t="str">
            <v>pvgdp_agriculture</v>
          </cell>
          <cell r="D1115">
            <v>729118.4375</v>
          </cell>
        </row>
        <row r="1116">
          <cell r="A1116" t="str">
            <v>NPL</v>
          </cell>
          <cell r="B1116">
            <v>2026</v>
          </cell>
          <cell r="C1116" t="str">
            <v>pvgdp_industry</v>
          </cell>
          <cell r="D1116">
            <v>447875.0625</v>
          </cell>
        </row>
        <row r="1117">
          <cell r="A1117" t="str">
            <v>NPL</v>
          </cell>
          <cell r="B1117">
            <v>2026</v>
          </cell>
          <cell r="C1117" t="str">
            <v>pvgdp_services</v>
          </cell>
          <cell r="D1117">
            <v>1454002.75</v>
          </cell>
        </row>
        <row r="1118">
          <cell r="A1118" t="str">
            <v>NPL</v>
          </cell>
          <cell r="B1118">
            <v>2026</v>
          </cell>
          <cell r="C1118" t="str">
            <v>pvgdppc</v>
          </cell>
          <cell r="D1118">
            <v>91867.426577636128</v>
          </cell>
        </row>
        <row r="1119">
          <cell r="A1119" t="str">
            <v>NPL</v>
          </cell>
          <cell r="B1119">
            <v>2026</v>
          </cell>
          <cell r="C1119" t="str">
            <v>pvpop_total</v>
          </cell>
          <cell r="D1119">
            <v>31907068.252563477</v>
          </cell>
        </row>
        <row r="1120">
          <cell r="A1120" t="str">
            <v>NPL</v>
          </cell>
          <cell r="B1120">
            <v>2026</v>
          </cell>
          <cell r="C1120" t="str">
            <v>pvpop_1564</v>
          </cell>
          <cell r="D1120">
            <v>20927584.18133245</v>
          </cell>
        </row>
        <row r="1121">
          <cell r="A1121" t="str">
            <v>NPL</v>
          </cell>
          <cell r="B1121">
            <v>2026</v>
          </cell>
          <cell r="C1121" t="str">
            <v>pvprivpc</v>
          </cell>
          <cell r="D1121">
            <v>77163.129827893048</v>
          </cell>
        </row>
        <row r="1122">
          <cell r="A1122" t="str">
            <v>PAK</v>
          </cell>
          <cell r="B1122">
            <v>2006</v>
          </cell>
          <cell r="C1122" t="str">
            <v>pvgdp</v>
          </cell>
          <cell r="D1122">
            <v>23897596</v>
          </cell>
        </row>
        <row r="1123">
          <cell r="A1123" t="str">
            <v>PAK</v>
          </cell>
          <cell r="B1123">
            <v>2006</v>
          </cell>
          <cell r="C1123" t="str">
            <v>pvgdp_agriculture</v>
          </cell>
          <cell r="D1123">
            <v>6103888</v>
          </cell>
        </row>
        <row r="1124">
          <cell r="A1124" t="str">
            <v>PAK</v>
          </cell>
          <cell r="B1124">
            <v>2006</v>
          </cell>
          <cell r="C1124" t="str">
            <v>pvgdp_industry</v>
          </cell>
          <cell r="D1124">
            <v>4329873.5</v>
          </cell>
        </row>
        <row r="1125">
          <cell r="A1125" t="str">
            <v>PAK</v>
          </cell>
          <cell r="B1125">
            <v>2006</v>
          </cell>
          <cell r="C1125" t="str">
            <v>pvgdp_services</v>
          </cell>
          <cell r="D1125">
            <v>12404422</v>
          </cell>
        </row>
        <row r="1126">
          <cell r="A1126" t="str">
            <v>PAK</v>
          </cell>
          <cell r="B1126">
            <v>2006</v>
          </cell>
          <cell r="C1126" t="str">
            <v>pvgdppc</v>
          </cell>
          <cell r="D1126">
            <v>131359.95459515767</v>
          </cell>
        </row>
        <row r="1127">
          <cell r="A1127" t="str">
            <v>PAK</v>
          </cell>
          <cell r="B1127">
            <v>2006</v>
          </cell>
          <cell r="C1127" t="str">
            <v>pvpop_total</v>
          </cell>
          <cell r="D1127">
            <v>181924514.77050781</v>
          </cell>
        </row>
        <row r="1128">
          <cell r="A1128" t="str">
            <v>PAK</v>
          </cell>
          <cell r="B1128">
            <v>2006</v>
          </cell>
          <cell r="C1128" t="str">
            <v>pvpop_1564</v>
          </cell>
          <cell r="D1128">
            <v>101013042.49613638</v>
          </cell>
        </row>
        <row r="1129">
          <cell r="A1129" t="str">
            <v>PAK</v>
          </cell>
          <cell r="B1129">
            <v>2006</v>
          </cell>
          <cell r="C1129" t="str">
            <v>pvprivpc</v>
          </cell>
          <cell r="D1129">
            <v>106144.90314490834</v>
          </cell>
        </row>
        <row r="1130">
          <cell r="A1130" t="str">
            <v>PAK</v>
          </cell>
          <cell r="B1130">
            <v>2007</v>
          </cell>
          <cell r="C1130" t="str">
            <v>pvgdp</v>
          </cell>
          <cell r="D1130">
            <v>24404330</v>
          </cell>
        </row>
        <row r="1131">
          <cell r="A1131" t="str">
            <v>PAK</v>
          </cell>
          <cell r="B1131">
            <v>2007</v>
          </cell>
          <cell r="C1131" t="str">
            <v>pvgdp_agriculture</v>
          </cell>
          <cell r="D1131">
            <v>6153614.5</v>
          </cell>
        </row>
        <row r="1132">
          <cell r="A1132" t="str">
            <v>PAK</v>
          </cell>
          <cell r="B1132">
            <v>2007</v>
          </cell>
          <cell r="C1132" t="str">
            <v>pvgdp_industry</v>
          </cell>
          <cell r="D1132">
            <v>4709885.5</v>
          </cell>
        </row>
        <row r="1133">
          <cell r="A1133" t="str">
            <v>PAK</v>
          </cell>
          <cell r="B1133">
            <v>2007</v>
          </cell>
          <cell r="C1133" t="str">
            <v>pvgdp_services</v>
          </cell>
          <cell r="D1133">
            <v>12989820</v>
          </cell>
        </row>
        <row r="1134">
          <cell r="A1134" t="str">
            <v>PAK</v>
          </cell>
          <cell r="B1134">
            <v>2007</v>
          </cell>
          <cell r="C1134" t="str">
            <v>pvgdppc</v>
          </cell>
          <cell r="D1134">
            <v>131254.08811334567</v>
          </cell>
        </row>
        <row r="1135">
          <cell r="A1135" t="str">
            <v>PAK</v>
          </cell>
          <cell r="B1135">
            <v>2007</v>
          </cell>
          <cell r="C1135" t="str">
            <v>pvpop_total</v>
          </cell>
          <cell r="D1135">
            <v>185931961.05957031</v>
          </cell>
        </row>
        <row r="1136">
          <cell r="A1136" t="str">
            <v>PAK</v>
          </cell>
          <cell r="B1136">
            <v>2007</v>
          </cell>
          <cell r="C1136" t="str">
            <v>pvpop_1564</v>
          </cell>
          <cell r="D1136">
            <v>104095688.80666943</v>
          </cell>
        </row>
        <row r="1137">
          <cell r="A1137" t="str">
            <v>PAK</v>
          </cell>
          <cell r="B1137">
            <v>2007</v>
          </cell>
          <cell r="C1137" t="str">
            <v>pvprivpc</v>
          </cell>
          <cell r="D1137">
            <v>105606.5556889866</v>
          </cell>
        </row>
        <row r="1138">
          <cell r="A1138" t="str">
            <v>PAK</v>
          </cell>
          <cell r="B1138">
            <v>2008</v>
          </cell>
          <cell r="C1138" t="str">
            <v>pvgdp</v>
          </cell>
          <cell r="D1138">
            <v>25251782</v>
          </cell>
        </row>
        <row r="1139">
          <cell r="A1139" t="str">
            <v>PAK</v>
          </cell>
          <cell r="B1139">
            <v>2008</v>
          </cell>
          <cell r="C1139" t="str">
            <v>pvgdp_agriculture</v>
          </cell>
          <cell r="D1139">
            <v>6363627</v>
          </cell>
        </row>
        <row r="1140">
          <cell r="A1140" t="str">
            <v>PAK</v>
          </cell>
          <cell r="B1140">
            <v>2008</v>
          </cell>
          <cell r="C1140" t="str">
            <v>pvgdp_industry</v>
          </cell>
          <cell r="D1140">
            <v>4514625.5</v>
          </cell>
        </row>
        <row r="1141">
          <cell r="A1141" t="str">
            <v>PAK</v>
          </cell>
          <cell r="B1141">
            <v>2008</v>
          </cell>
          <cell r="C1141" t="str">
            <v>pvgdp_services</v>
          </cell>
          <cell r="D1141">
            <v>13228662</v>
          </cell>
        </row>
        <row r="1142">
          <cell r="A1142" t="str">
            <v>PAK</v>
          </cell>
          <cell r="B1142">
            <v>2008</v>
          </cell>
          <cell r="C1142" t="str">
            <v>pvgdppc</v>
          </cell>
          <cell r="D1142">
            <v>132817.98352171746</v>
          </cell>
        </row>
        <row r="1143">
          <cell r="A1143" t="str">
            <v>PAK</v>
          </cell>
          <cell r="B1143">
            <v>2008</v>
          </cell>
          <cell r="C1143" t="str">
            <v>pvpop_total</v>
          </cell>
          <cell r="D1143">
            <v>190123214.72167969</v>
          </cell>
        </row>
        <row r="1144">
          <cell r="A1144" t="str">
            <v>PAK</v>
          </cell>
          <cell r="B1144">
            <v>2008</v>
          </cell>
          <cell r="C1144" t="str">
            <v>pvpop_1564</v>
          </cell>
          <cell r="D1144">
            <v>107228918.48477563</v>
          </cell>
        </row>
        <row r="1145">
          <cell r="A1145" t="str">
            <v>PAK</v>
          </cell>
          <cell r="B1145">
            <v>2008</v>
          </cell>
          <cell r="C1145" t="str">
            <v>pvprivpc</v>
          </cell>
          <cell r="D1145">
            <v>103926.25660640543</v>
          </cell>
        </row>
        <row r="1146">
          <cell r="A1146" t="str">
            <v>PAK</v>
          </cell>
          <cell r="B1146">
            <v>2009</v>
          </cell>
          <cell r="C1146" t="str">
            <v>pvgdp</v>
          </cell>
          <cell r="D1146">
            <v>25630994</v>
          </cell>
        </row>
        <row r="1147">
          <cell r="A1147" t="str">
            <v>PAK</v>
          </cell>
          <cell r="B1147">
            <v>2009</v>
          </cell>
          <cell r="C1147" t="str">
            <v>pvgdp_agriculture</v>
          </cell>
          <cell r="D1147">
            <v>6383524.5</v>
          </cell>
        </row>
        <row r="1148">
          <cell r="A1148" t="str">
            <v>PAK</v>
          </cell>
          <cell r="B1148">
            <v>2009</v>
          </cell>
          <cell r="C1148" t="str">
            <v>pvgdp_industry</v>
          </cell>
          <cell r="D1148">
            <v>4693059.5</v>
          </cell>
        </row>
        <row r="1149">
          <cell r="A1149" t="str">
            <v>PAK</v>
          </cell>
          <cell r="B1149">
            <v>2009</v>
          </cell>
          <cell r="C1149" t="str">
            <v>pvgdp_services</v>
          </cell>
          <cell r="D1149">
            <v>13576232</v>
          </cell>
        </row>
        <row r="1150">
          <cell r="A1150" t="str">
            <v>PAK</v>
          </cell>
          <cell r="B1150">
            <v>2009</v>
          </cell>
          <cell r="C1150" t="str">
            <v>pvgdppc</v>
          </cell>
          <cell r="D1150">
            <v>131809.72528411922</v>
          </cell>
        </row>
        <row r="1151">
          <cell r="A1151" t="str">
            <v>PAK</v>
          </cell>
          <cell r="B1151">
            <v>2009</v>
          </cell>
          <cell r="C1151" t="str">
            <v>pvpop_total</v>
          </cell>
          <cell r="D1151">
            <v>194454498.29101563</v>
          </cell>
        </row>
        <row r="1152">
          <cell r="A1152" t="str">
            <v>PAK</v>
          </cell>
          <cell r="B1152">
            <v>2009</v>
          </cell>
          <cell r="C1152" t="str">
            <v>pvpop_1564</v>
          </cell>
          <cell r="D1152">
            <v>110282258.90127848</v>
          </cell>
        </row>
        <row r="1153">
          <cell r="A1153" t="str">
            <v>PAK</v>
          </cell>
          <cell r="B1153">
            <v>2009</v>
          </cell>
          <cell r="C1153" t="str">
            <v>pvprivpc</v>
          </cell>
          <cell r="D1153">
            <v>103880.58994536154</v>
          </cell>
        </row>
        <row r="1154">
          <cell r="A1154" t="str">
            <v>PAK</v>
          </cell>
          <cell r="B1154">
            <v>2010</v>
          </cell>
          <cell r="C1154" t="str">
            <v>pvgdp</v>
          </cell>
          <cell r="D1154">
            <v>26317934</v>
          </cell>
        </row>
        <row r="1155">
          <cell r="A1155" t="str">
            <v>PAK</v>
          </cell>
          <cell r="B1155">
            <v>2010</v>
          </cell>
          <cell r="C1155" t="str">
            <v>pvgdp_agriculture</v>
          </cell>
          <cell r="D1155">
            <v>6556680.5</v>
          </cell>
        </row>
        <row r="1156">
          <cell r="A1156" t="str">
            <v>PAK</v>
          </cell>
          <cell r="B1156">
            <v>2010</v>
          </cell>
          <cell r="C1156" t="str">
            <v>pvgdp_industry</v>
          </cell>
          <cell r="D1156">
            <v>4921837</v>
          </cell>
        </row>
        <row r="1157">
          <cell r="A1157" t="str">
            <v>PAK</v>
          </cell>
          <cell r="B1157">
            <v>2010</v>
          </cell>
          <cell r="C1157" t="str">
            <v>pvgdp_services</v>
          </cell>
          <cell r="D1157">
            <v>13964279</v>
          </cell>
        </row>
        <row r="1158">
          <cell r="A1158" t="str">
            <v>PAK</v>
          </cell>
          <cell r="B1158">
            <v>2010</v>
          </cell>
          <cell r="C1158" t="str">
            <v>pvgdppc</v>
          </cell>
          <cell r="D1158">
            <v>132515.46449457033</v>
          </cell>
        </row>
        <row r="1159">
          <cell r="A1159" t="str">
            <v>PAK</v>
          </cell>
          <cell r="B1159">
            <v>2010</v>
          </cell>
          <cell r="C1159" t="str">
            <v>pvpop_total</v>
          </cell>
          <cell r="D1159">
            <v>198602737.42675781</v>
          </cell>
        </row>
        <row r="1160">
          <cell r="A1160" t="str">
            <v>PAK</v>
          </cell>
          <cell r="B1160">
            <v>2010</v>
          </cell>
          <cell r="C1160" t="str">
            <v>pvpop_1564</v>
          </cell>
          <cell r="D1160">
            <v>113140472.17339677</v>
          </cell>
        </row>
        <row r="1161">
          <cell r="A1161" t="str">
            <v>PAK</v>
          </cell>
          <cell r="B1161">
            <v>2010</v>
          </cell>
          <cell r="C1161" t="str">
            <v>pvprivpc</v>
          </cell>
          <cell r="D1161">
            <v>105800.32416597</v>
          </cell>
        </row>
        <row r="1162">
          <cell r="A1162" t="str">
            <v>PAK</v>
          </cell>
          <cell r="B1162">
            <v>2011</v>
          </cell>
          <cell r="C1162" t="str">
            <v>pvgdp</v>
          </cell>
          <cell r="D1162">
            <v>27114732</v>
          </cell>
        </row>
        <row r="1163">
          <cell r="A1163" t="str">
            <v>PAK</v>
          </cell>
          <cell r="B1163">
            <v>2011</v>
          </cell>
          <cell r="C1163" t="str">
            <v>pvgdp_agriculture</v>
          </cell>
          <cell r="D1163">
            <v>6768528.5</v>
          </cell>
        </row>
        <row r="1164">
          <cell r="A1164" t="str">
            <v>PAK</v>
          </cell>
          <cell r="B1164">
            <v>2011</v>
          </cell>
          <cell r="C1164" t="str">
            <v>pvgdp_industry</v>
          </cell>
          <cell r="D1164">
            <v>5036634.5</v>
          </cell>
        </row>
        <row r="1165">
          <cell r="A1165" t="str">
            <v>PAK</v>
          </cell>
          <cell r="B1165">
            <v>2011</v>
          </cell>
          <cell r="C1165" t="str">
            <v>pvgdp_services</v>
          </cell>
          <cell r="D1165">
            <v>14450866</v>
          </cell>
        </row>
        <row r="1166">
          <cell r="A1166" t="str">
            <v>PAK</v>
          </cell>
          <cell r="B1166">
            <v>2011</v>
          </cell>
          <cell r="C1166" t="str">
            <v>pvgdppc</v>
          </cell>
          <cell r="D1166">
            <v>134094.69188001627</v>
          </cell>
        </row>
        <row r="1167">
          <cell r="A1167" t="str">
            <v>PAK</v>
          </cell>
          <cell r="B1167">
            <v>2011</v>
          </cell>
          <cell r="C1167" t="str">
            <v>pvpop_total</v>
          </cell>
          <cell r="D1167">
            <v>202205856.32324219</v>
          </cell>
        </row>
        <row r="1168">
          <cell r="A1168" t="str">
            <v>PAK</v>
          </cell>
          <cell r="B1168">
            <v>2011</v>
          </cell>
          <cell r="C1168" t="str">
            <v>pvpop_1564</v>
          </cell>
          <cell r="D1168">
            <v>115539576.52061966</v>
          </cell>
        </row>
        <row r="1169">
          <cell r="A1169" t="str">
            <v>PAK</v>
          </cell>
          <cell r="B1169">
            <v>2011</v>
          </cell>
          <cell r="C1169" t="str">
            <v>pvprivpc</v>
          </cell>
          <cell r="D1169">
            <v>108014.48779547295</v>
          </cell>
        </row>
        <row r="1170">
          <cell r="A1170" t="str">
            <v>PAK</v>
          </cell>
          <cell r="B1170">
            <v>2012</v>
          </cell>
          <cell r="C1170" t="str">
            <v>pvgdp</v>
          </cell>
          <cell r="D1170">
            <v>28298796</v>
          </cell>
        </row>
        <row r="1171">
          <cell r="A1171" t="str">
            <v>PAK</v>
          </cell>
          <cell r="B1171">
            <v>2012</v>
          </cell>
          <cell r="C1171" t="str">
            <v>pvgdp_agriculture</v>
          </cell>
          <cell r="D1171">
            <v>6981192</v>
          </cell>
        </row>
        <row r="1172">
          <cell r="A1172" t="str">
            <v>PAK</v>
          </cell>
          <cell r="B1172">
            <v>2012</v>
          </cell>
          <cell r="C1172" t="str">
            <v>pvgdp_industry</v>
          </cell>
          <cell r="D1172">
            <v>5094824</v>
          </cell>
        </row>
        <row r="1173">
          <cell r="A1173" t="str">
            <v>PAK</v>
          </cell>
          <cell r="B1173">
            <v>2012</v>
          </cell>
          <cell r="C1173" t="str">
            <v>pvgdp_services</v>
          </cell>
          <cell r="D1173">
            <v>15192533</v>
          </cell>
        </row>
        <row r="1174">
          <cell r="A1174" t="str">
            <v>PAK</v>
          </cell>
          <cell r="B1174">
            <v>2012</v>
          </cell>
          <cell r="C1174" t="str">
            <v>pvgdppc</v>
          </cell>
          <cell r="D1174">
            <v>137815.97822873178</v>
          </cell>
        </row>
        <row r="1175">
          <cell r="A1175" t="str">
            <v>PAK</v>
          </cell>
          <cell r="B1175">
            <v>2012</v>
          </cell>
          <cell r="C1175" t="str">
            <v>pvpop_total</v>
          </cell>
          <cell r="D1175">
            <v>205337554.93164063</v>
          </cell>
        </row>
        <row r="1176">
          <cell r="A1176" t="str">
            <v>PAK</v>
          </cell>
          <cell r="B1176">
            <v>2012</v>
          </cell>
          <cell r="C1176" t="str">
            <v>pvpop_1564</v>
          </cell>
          <cell r="D1176">
            <v>117510437.99240266</v>
          </cell>
        </row>
        <row r="1177">
          <cell r="A1177" t="str">
            <v>PAK</v>
          </cell>
          <cell r="B1177">
            <v>2012</v>
          </cell>
          <cell r="C1177" t="str">
            <v>pvprivpc</v>
          </cell>
          <cell r="D1177">
            <v>109509.77772909598</v>
          </cell>
        </row>
        <row r="1178">
          <cell r="A1178" t="str">
            <v>PAK</v>
          </cell>
          <cell r="B1178">
            <v>2013</v>
          </cell>
          <cell r="C1178" t="str">
            <v>pvgdp</v>
          </cell>
          <cell r="D1178">
            <v>29463694</v>
          </cell>
        </row>
        <row r="1179">
          <cell r="A1179" t="str">
            <v>PAK</v>
          </cell>
          <cell r="B1179">
            <v>2013</v>
          </cell>
          <cell r="C1179" t="str">
            <v>pvgdp_agriculture</v>
          </cell>
          <cell r="D1179">
            <v>7150034.5</v>
          </cell>
        </row>
        <row r="1180">
          <cell r="A1180" t="str">
            <v>PAK</v>
          </cell>
          <cell r="B1180">
            <v>2013</v>
          </cell>
          <cell r="C1180" t="str">
            <v>pvgdp_industry</v>
          </cell>
          <cell r="D1180">
            <v>5315788.5</v>
          </cell>
        </row>
        <row r="1181">
          <cell r="A1181" t="str">
            <v>PAK</v>
          </cell>
          <cell r="B1181">
            <v>2013</v>
          </cell>
          <cell r="C1181" t="str">
            <v>pvgdp_services</v>
          </cell>
          <cell r="D1181">
            <v>15772481</v>
          </cell>
        </row>
        <row r="1182">
          <cell r="A1182" t="str">
            <v>PAK</v>
          </cell>
          <cell r="B1182">
            <v>2013</v>
          </cell>
          <cell r="C1182" t="str">
            <v>pvgdppc</v>
          </cell>
          <cell r="D1182">
            <v>141481.21490984122</v>
          </cell>
        </row>
        <row r="1183">
          <cell r="A1183" t="str">
            <v>PAK</v>
          </cell>
          <cell r="B1183">
            <v>2013</v>
          </cell>
          <cell r="C1183" t="str">
            <v>pvpop_total</v>
          </cell>
          <cell r="D1183">
            <v>208251632.69042969</v>
          </cell>
        </row>
        <row r="1184">
          <cell r="A1184" t="str">
            <v>PAK</v>
          </cell>
          <cell r="B1184">
            <v>2013</v>
          </cell>
          <cell r="C1184" t="str">
            <v>pvpop_1564</v>
          </cell>
          <cell r="D1184">
            <v>119259727.13860177</v>
          </cell>
        </row>
        <row r="1185">
          <cell r="A1185" t="str">
            <v>PAK</v>
          </cell>
          <cell r="B1185">
            <v>2013</v>
          </cell>
          <cell r="C1185" t="str">
            <v>pvprivpc</v>
          </cell>
          <cell r="D1185">
            <v>114129.96716011946</v>
          </cell>
        </row>
        <row r="1186">
          <cell r="A1186" t="str">
            <v>PAK</v>
          </cell>
          <cell r="B1186">
            <v>2014</v>
          </cell>
          <cell r="C1186" t="str">
            <v>pvgdp</v>
          </cell>
          <cell r="D1186">
            <v>30706456</v>
          </cell>
        </row>
        <row r="1187">
          <cell r="A1187" t="str">
            <v>PAK</v>
          </cell>
          <cell r="B1187">
            <v>2014</v>
          </cell>
          <cell r="C1187" t="str">
            <v>pvgdp_agriculture</v>
          </cell>
          <cell r="D1187">
            <v>7277451.5</v>
          </cell>
        </row>
        <row r="1188">
          <cell r="A1188" t="str">
            <v>PAK</v>
          </cell>
          <cell r="B1188">
            <v>2014</v>
          </cell>
          <cell r="C1188" t="str">
            <v>pvgdp_industry</v>
          </cell>
          <cell r="D1188">
            <v>5602641</v>
          </cell>
        </row>
        <row r="1189">
          <cell r="A1189" t="str">
            <v>PAK</v>
          </cell>
          <cell r="B1189">
            <v>2014</v>
          </cell>
          <cell r="C1189" t="str">
            <v>pvgdp_services</v>
          </cell>
          <cell r="D1189">
            <v>16434536</v>
          </cell>
        </row>
        <row r="1190">
          <cell r="A1190" t="str">
            <v>PAK</v>
          </cell>
          <cell r="B1190">
            <v>2014</v>
          </cell>
          <cell r="C1190" t="str">
            <v>pvgdppc</v>
          </cell>
          <cell r="D1190">
            <v>145549.40505323128</v>
          </cell>
        </row>
        <row r="1191">
          <cell r="A1191" t="str">
            <v>PAK</v>
          </cell>
          <cell r="B1191">
            <v>2014</v>
          </cell>
          <cell r="C1191" t="str">
            <v>pvpop_total</v>
          </cell>
          <cell r="D1191">
            <v>210969299.31640625</v>
          </cell>
        </row>
        <row r="1192">
          <cell r="A1192" t="str">
            <v>PAK</v>
          </cell>
          <cell r="B1192">
            <v>2014</v>
          </cell>
          <cell r="C1192" t="str">
            <v>pvpop_1564</v>
          </cell>
          <cell r="D1192">
            <v>120950869.06777413</v>
          </cell>
        </row>
        <row r="1193">
          <cell r="A1193" t="str">
            <v>PAK</v>
          </cell>
          <cell r="B1193">
            <v>2014</v>
          </cell>
          <cell r="C1193" t="str">
            <v>pvprivpc</v>
          </cell>
          <cell r="D1193">
            <v>116082.05591691761</v>
          </cell>
        </row>
        <row r="1194">
          <cell r="A1194" t="str">
            <v>PAK</v>
          </cell>
          <cell r="B1194">
            <v>2015</v>
          </cell>
          <cell r="C1194" t="str">
            <v>pvgdp</v>
          </cell>
          <cell r="D1194">
            <v>32725048</v>
          </cell>
        </row>
        <row r="1195">
          <cell r="A1195" t="str">
            <v>PAK</v>
          </cell>
          <cell r="B1195">
            <v>2015</v>
          </cell>
          <cell r="C1195" t="str">
            <v>pvgdp_agriculture</v>
          </cell>
          <cell r="D1195">
            <v>7306957</v>
          </cell>
        </row>
        <row r="1196">
          <cell r="A1196" t="str">
            <v>PAK</v>
          </cell>
          <cell r="B1196">
            <v>2015</v>
          </cell>
          <cell r="C1196" t="str">
            <v>pvgdp_industry</v>
          </cell>
          <cell r="D1196">
            <v>5939635</v>
          </cell>
        </row>
        <row r="1197">
          <cell r="A1197" t="str">
            <v>PAK</v>
          </cell>
          <cell r="B1197">
            <v>2015</v>
          </cell>
          <cell r="C1197" t="str">
            <v>pvgdp_services</v>
          </cell>
          <cell r="D1197">
            <v>17261612</v>
          </cell>
        </row>
        <row r="1198">
          <cell r="A1198" t="str">
            <v>PAK</v>
          </cell>
          <cell r="B1198">
            <v>2015</v>
          </cell>
          <cell r="C1198" t="str">
            <v>pvgdppc</v>
          </cell>
          <cell r="D1198">
            <v>153261.08100323836</v>
          </cell>
        </row>
        <row r="1199">
          <cell r="A1199" t="str">
            <v>PAK</v>
          </cell>
          <cell r="B1199">
            <v>2015</v>
          </cell>
          <cell r="C1199" t="str">
            <v>pvpop_total</v>
          </cell>
          <cell r="D1199">
            <v>213524841.30859375</v>
          </cell>
        </row>
        <row r="1200">
          <cell r="A1200" t="str">
            <v>PAK</v>
          </cell>
          <cell r="B1200">
            <v>2015</v>
          </cell>
          <cell r="C1200" t="str">
            <v>pvpop_1564</v>
          </cell>
          <cell r="D1200">
            <v>122601413.40678702</v>
          </cell>
        </row>
        <row r="1201">
          <cell r="A1201" t="str">
            <v>PAK</v>
          </cell>
          <cell r="B1201">
            <v>2015</v>
          </cell>
          <cell r="C1201" t="str">
            <v>pvprivpc</v>
          </cell>
          <cell r="D1201">
            <v>123656.31950916865</v>
          </cell>
        </row>
        <row r="1202">
          <cell r="A1202" t="str">
            <v>PAK</v>
          </cell>
          <cell r="B1202">
            <v>2016</v>
          </cell>
          <cell r="C1202" t="str">
            <v>pvgdp</v>
          </cell>
          <cell r="D1202">
            <v>34175628</v>
          </cell>
        </row>
        <row r="1203">
          <cell r="A1203" t="str">
            <v>PAK</v>
          </cell>
          <cell r="B1203">
            <v>2016</v>
          </cell>
          <cell r="C1203" t="str">
            <v>pvgdp_agriculture</v>
          </cell>
          <cell r="D1203">
            <v>7468900</v>
          </cell>
        </row>
        <row r="1204">
          <cell r="A1204" t="str">
            <v>PAK</v>
          </cell>
          <cell r="B1204">
            <v>2016</v>
          </cell>
          <cell r="C1204" t="str">
            <v>pvgdp_industry</v>
          </cell>
          <cell r="D1204">
            <v>6213295</v>
          </cell>
        </row>
        <row r="1205">
          <cell r="A1205" t="str">
            <v>PAK</v>
          </cell>
          <cell r="B1205">
            <v>2016</v>
          </cell>
          <cell r="C1205" t="str">
            <v>pvgdp_services</v>
          </cell>
          <cell r="D1205">
            <v>18232012</v>
          </cell>
        </row>
        <row r="1206">
          <cell r="A1206" t="str">
            <v>PAK</v>
          </cell>
          <cell r="B1206">
            <v>2016</v>
          </cell>
          <cell r="C1206" t="str">
            <v>pvgdppc</v>
          </cell>
          <cell r="D1206">
            <v>157942.89055916097</v>
          </cell>
        </row>
        <row r="1207">
          <cell r="A1207" t="str">
            <v>PAK</v>
          </cell>
          <cell r="B1207">
            <v>2016</v>
          </cell>
          <cell r="C1207" t="str">
            <v>pvpop_total</v>
          </cell>
          <cell r="D1207">
            <v>216379653.93066406</v>
          </cell>
        </row>
        <row r="1208">
          <cell r="A1208" t="str">
            <v>PAK</v>
          </cell>
          <cell r="B1208">
            <v>2016</v>
          </cell>
          <cell r="C1208" t="str">
            <v>pvpop_1564</v>
          </cell>
          <cell r="D1208">
            <v>124417703.50325912</v>
          </cell>
        </row>
        <row r="1209">
          <cell r="A1209" t="str">
            <v>PAK</v>
          </cell>
          <cell r="B1209">
            <v>2016</v>
          </cell>
          <cell r="C1209" t="str">
            <v>pvprivpc</v>
          </cell>
          <cell r="D1209">
            <v>130479.04221645019</v>
          </cell>
        </row>
        <row r="1210">
          <cell r="A1210" t="str">
            <v>PAK</v>
          </cell>
          <cell r="B1210">
            <v>2017</v>
          </cell>
          <cell r="C1210" t="str">
            <v>pvgdp</v>
          </cell>
          <cell r="D1210">
            <v>36278012</v>
          </cell>
        </row>
        <row r="1211">
          <cell r="A1211" t="str">
            <v>PAK</v>
          </cell>
          <cell r="B1211">
            <v>2017</v>
          </cell>
          <cell r="C1211" t="str">
            <v>pvgdp_agriculture</v>
          </cell>
          <cell r="D1211">
            <v>7758432</v>
          </cell>
        </row>
        <row r="1212">
          <cell r="A1212" t="str">
            <v>PAK</v>
          </cell>
          <cell r="B1212">
            <v>2017</v>
          </cell>
          <cell r="C1212" t="str">
            <v>pvgdp_industry</v>
          </cell>
          <cell r="D1212">
            <v>6783864</v>
          </cell>
        </row>
        <row r="1213">
          <cell r="A1213" t="str">
            <v>PAK</v>
          </cell>
          <cell r="B1213">
            <v>2017</v>
          </cell>
          <cell r="C1213" t="str">
            <v>pvgdp_services</v>
          </cell>
          <cell r="D1213">
            <v>19317324</v>
          </cell>
        </row>
        <row r="1214">
          <cell r="A1214" t="str">
            <v>PAK</v>
          </cell>
          <cell r="B1214">
            <v>2017</v>
          </cell>
          <cell r="C1214" t="str">
            <v>pvgdppc</v>
          </cell>
          <cell r="D1214">
            <v>165101.571647634</v>
          </cell>
        </row>
        <row r="1215">
          <cell r="A1215" t="str">
            <v>PAK</v>
          </cell>
          <cell r="B1215">
            <v>2017</v>
          </cell>
          <cell r="C1215" t="str">
            <v>pvpop_total</v>
          </cell>
          <cell r="D1215">
            <v>219731475.83007813</v>
          </cell>
        </row>
        <row r="1216">
          <cell r="A1216" t="str">
            <v>PAK</v>
          </cell>
          <cell r="B1216">
            <v>2017</v>
          </cell>
          <cell r="C1216" t="str">
            <v>pvpop_1564</v>
          </cell>
          <cell r="D1216">
            <v>126590330.73964265</v>
          </cell>
        </row>
        <row r="1217">
          <cell r="A1217" t="str">
            <v>PAK</v>
          </cell>
          <cell r="B1217">
            <v>2017</v>
          </cell>
          <cell r="C1217" t="str">
            <v>pvprivpc</v>
          </cell>
          <cell r="D1217">
            <v>137749.15899352805</v>
          </cell>
        </row>
        <row r="1218">
          <cell r="A1218" t="str">
            <v>PAK</v>
          </cell>
          <cell r="B1218">
            <v>2018</v>
          </cell>
          <cell r="C1218" t="str">
            <v>pvgdp</v>
          </cell>
          <cell r="D1218">
            <v>37184104</v>
          </cell>
        </row>
        <row r="1219">
          <cell r="A1219" t="str">
            <v>PAK</v>
          </cell>
          <cell r="B1219">
            <v>2018</v>
          </cell>
          <cell r="C1219" t="str">
            <v>pvgdp_agriculture</v>
          </cell>
          <cell r="D1219">
            <v>7831296</v>
          </cell>
        </row>
        <row r="1220">
          <cell r="A1220" t="str">
            <v>PAK</v>
          </cell>
          <cell r="B1220">
            <v>2018</v>
          </cell>
          <cell r="C1220" t="str">
            <v>pvgdp_industry</v>
          </cell>
          <cell r="D1220">
            <v>6800675</v>
          </cell>
        </row>
        <row r="1221">
          <cell r="A1221" t="str">
            <v>PAK</v>
          </cell>
          <cell r="B1221">
            <v>2018</v>
          </cell>
          <cell r="C1221" t="str">
            <v>pvgdp_services</v>
          </cell>
          <cell r="D1221">
            <v>20284070</v>
          </cell>
        </row>
        <row r="1222">
          <cell r="A1222" t="str">
            <v>PAK</v>
          </cell>
          <cell r="B1222">
            <v>2018</v>
          </cell>
          <cell r="C1222" t="str">
            <v>pvgdppc</v>
          </cell>
          <cell r="D1222">
            <v>166525.8578830249</v>
          </cell>
        </row>
        <row r="1223">
          <cell r="A1223" t="str">
            <v>PAK</v>
          </cell>
          <cell r="B1223">
            <v>2018</v>
          </cell>
          <cell r="C1223" t="str">
            <v>pvpop_total</v>
          </cell>
          <cell r="D1223">
            <v>223293273.92578125</v>
          </cell>
        </row>
        <row r="1224">
          <cell r="A1224" t="str">
            <v>PAK</v>
          </cell>
          <cell r="B1224">
            <v>2018</v>
          </cell>
          <cell r="C1224" t="str">
            <v>pvpop_1564</v>
          </cell>
          <cell r="D1224">
            <v>128994890.74762656</v>
          </cell>
        </row>
        <row r="1225">
          <cell r="A1225" t="str">
            <v>PAK</v>
          </cell>
          <cell r="B1225">
            <v>2018</v>
          </cell>
          <cell r="C1225" t="str">
            <v>pvprivpc</v>
          </cell>
          <cell r="D1225">
            <v>143103.01173971288</v>
          </cell>
        </row>
        <row r="1226">
          <cell r="A1226" t="str">
            <v>PAK</v>
          </cell>
          <cell r="B1226">
            <v>2019</v>
          </cell>
          <cell r="C1226" t="str">
            <v>pvgdp</v>
          </cell>
          <cell r="D1226">
            <v>36710344</v>
          </cell>
        </row>
        <row r="1227">
          <cell r="A1227" t="str">
            <v>PAK</v>
          </cell>
          <cell r="B1227">
            <v>2019</v>
          </cell>
          <cell r="C1227" t="str">
            <v>pvgdp_agriculture</v>
          </cell>
          <cell r="D1227">
            <v>8137860</v>
          </cell>
        </row>
        <row r="1228">
          <cell r="A1228" t="str">
            <v>PAK</v>
          </cell>
          <cell r="B1228">
            <v>2019</v>
          </cell>
          <cell r="C1228" t="str">
            <v>pvgdp_industry</v>
          </cell>
          <cell r="D1228">
            <v>6409967</v>
          </cell>
        </row>
        <row r="1229">
          <cell r="A1229" t="str">
            <v>PAK</v>
          </cell>
          <cell r="B1229">
            <v>2019</v>
          </cell>
          <cell r="C1229" t="str">
            <v>pvgdp_services</v>
          </cell>
          <cell r="D1229">
            <v>20038838</v>
          </cell>
        </row>
        <row r="1230">
          <cell r="A1230" t="str">
            <v>PAK</v>
          </cell>
          <cell r="B1230">
            <v>2019</v>
          </cell>
          <cell r="C1230" t="str">
            <v>pvgdppc</v>
          </cell>
          <cell r="D1230">
            <v>161579.53189394507</v>
          </cell>
        </row>
        <row r="1231">
          <cell r="A1231" t="str">
            <v>PAK</v>
          </cell>
          <cell r="B1231">
            <v>2019</v>
          </cell>
          <cell r="C1231" t="str">
            <v>pvpop_total</v>
          </cell>
          <cell r="D1231">
            <v>227196746.82617188</v>
          </cell>
        </row>
        <row r="1232">
          <cell r="A1232" t="str">
            <v>PAK</v>
          </cell>
          <cell r="B1232">
            <v>2019</v>
          </cell>
          <cell r="C1232" t="str">
            <v>pvpop_1564</v>
          </cell>
          <cell r="D1232">
            <v>131607963.25986721</v>
          </cell>
        </row>
        <row r="1233">
          <cell r="A1233" t="str">
            <v>PAK</v>
          </cell>
          <cell r="B1233">
            <v>2019</v>
          </cell>
          <cell r="C1233" t="str">
            <v>pvprivpc</v>
          </cell>
          <cell r="D1233">
            <v>136661.59587996051</v>
          </cell>
        </row>
        <row r="1234">
          <cell r="A1234" t="str">
            <v>PAK</v>
          </cell>
          <cell r="B1234">
            <v>2020</v>
          </cell>
          <cell r="C1234" t="str">
            <v>pvgdp</v>
          </cell>
          <cell r="D1234">
            <v>39101616</v>
          </cell>
        </row>
        <row r="1235">
          <cell r="A1235" t="str">
            <v>PAK</v>
          </cell>
          <cell r="B1235">
            <v>2020</v>
          </cell>
          <cell r="C1235" t="str">
            <v>pvgdp_agriculture</v>
          </cell>
          <cell r="D1235">
            <v>8424041</v>
          </cell>
        </row>
        <row r="1236">
          <cell r="A1236" t="str">
            <v>PAK</v>
          </cell>
          <cell r="B1236">
            <v>2020</v>
          </cell>
          <cell r="C1236" t="str">
            <v>pvgdp_industry</v>
          </cell>
          <cell r="D1236">
            <v>6935438</v>
          </cell>
        </row>
        <row r="1237">
          <cell r="A1237" t="str">
            <v>PAK</v>
          </cell>
          <cell r="B1237">
            <v>2020</v>
          </cell>
          <cell r="C1237" t="str">
            <v>pvgdp_services</v>
          </cell>
          <cell r="D1237">
            <v>21223004</v>
          </cell>
        </row>
        <row r="1238">
          <cell r="A1238" t="str">
            <v>PAK</v>
          </cell>
          <cell r="B1238">
            <v>2020</v>
          </cell>
          <cell r="C1238" t="str">
            <v>pvgdppc</v>
          </cell>
          <cell r="D1238">
            <v>168976.91718278907</v>
          </cell>
        </row>
        <row r="1239">
          <cell r="A1239" t="str">
            <v>PAK</v>
          </cell>
          <cell r="B1239">
            <v>2020</v>
          </cell>
          <cell r="C1239" t="str">
            <v>pvpop_total</v>
          </cell>
          <cell r="D1239">
            <v>231402114.86816406</v>
          </cell>
        </row>
        <row r="1240">
          <cell r="A1240" t="str">
            <v>PAK</v>
          </cell>
          <cell r="B1240">
            <v>2020</v>
          </cell>
          <cell r="C1240" t="str">
            <v>pvpop_1564</v>
          </cell>
          <cell r="D1240">
            <v>134485158.83673197</v>
          </cell>
        </row>
        <row r="1241">
          <cell r="A1241" t="str">
            <v>PAK</v>
          </cell>
          <cell r="B1241">
            <v>2020</v>
          </cell>
          <cell r="C1241" t="str">
            <v>pvprivpc</v>
          </cell>
          <cell r="D1241">
            <v>146844.01661306908</v>
          </cell>
        </row>
        <row r="1242">
          <cell r="A1242" t="str">
            <v>PAK</v>
          </cell>
          <cell r="B1242">
            <v>2021</v>
          </cell>
          <cell r="C1242" t="str">
            <v>pvgdp</v>
          </cell>
          <cell r="D1242">
            <v>40965800</v>
          </cell>
        </row>
        <row r="1243">
          <cell r="A1243" t="str">
            <v>PAK</v>
          </cell>
          <cell r="B1243">
            <v>2021</v>
          </cell>
          <cell r="C1243" t="str">
            <v>pvgdp_agriculture</v>
          </cell>
          <cell r="D1243">
            <v>8784839</v>
          </cell>
        </row>
        <row r="1244">
          <cell r="A1244" t="str">
            <v>PAK</v>
          </cell>
          <cell r="B1244">
            <v>2021</v>
          </cell>
          <cell r="C1244" t="str">
            <v>pvgdp_industry</v>
          </cell>
          <cell r="D1244">
            <v>7417338</v>
          </cell>
        </row>
        <row r="1245">
          <cell r="A1245" t="str">
            <v>PAK</v>
          </cell>
          <cell r="B1245">
            <v>2021</v>
          </cell>
          <cell r="C1245" t="str">
            <v>pvgdp_services</v>
          </cell>
          <cell r="D1245">
            <v>22636952</v>
          </cell>
        </row>
        <row r="1246">
          <cell r="A1246" t="str">
            <v>PAK</v>
          </cell>
          <cell r="B1246">
            <v>2021</v>
          </cell>
          <cell r="C1246" t="str">
            <v>pvgdppc</v>
          </cell>
          <cell r="D1246">
            <v>173712.81410348407</v>
          </cell>
        </row>
        <row r="1247">
          <cell r="A1247" t="str">
            <v>PAK</v>
          </cell>
          <cell r="B1247">
            <v>2021</v>
          </cell>
          <cell r="C1247" t="str">
            <v>pvpop_total</v>
          </cell>
          <cell r="D1247">
            <v>235824859.61914063</v>
          </cell>
        </row>
        <row r="1248">
          <cell r="A1248" t="str">
            <v>PAK</v>
          </cell>
          <cell r="B1248">
            <v>2021</v>
          </cell>
          <cell r="C1248" t="str">
            <v>pvpop_1564</v>
          </cell>
          <cell r="D1248">
            <v>137632439.94810072</v>
          </cell>
        </row>
        <row r="1249">
          <cell r="A1249" t="str">
            <v>PAK</v>
          </cell>
          <cell r="B1249">
            <v>2021</v>
          </cell>
          <cell r="C1249" t="str">
            <v>pvprivpc</v>
          </cell>
          <cell r="D1249">
            <v>154372.44427408624</v>
          </cell>
        </row>
        <row r="1250">
          <cell r="A1250" t="str">
            <v>PAK</v>
          </cell>
          <cell r="B1250">
            <v>2022</v>
          </cell>
          <cell r="C1250" t="str">
            <v>pvgdp</v>
          </cell>
          <cell r="D1250">
            <v>40963812</v>
          </cell>
        </row>
        <row r="1251">
          <cell r="A1251" t="str">
            <v>PAK</v>
          </cell>
          <cell r="B1251">
            <v>2022</v>
          </cell>
          <cell r="C1251" t="str">
            <v>pvgdp_agriculture</v>
          </cell>
          <cell r="D1251">
            <v>8982649</v>
          </cell>
        </row>
        <row r="1252">
          <cell r="A1252" t="str">
            <v>PAK</v>
          </cell>
          <cell r="B1252">
            <v>2022</v>
          </cell>
          <cell r="C1252" t="str">
            <v>pvgdp_industry</v>
          </cell>
          <cell r="D1252">
            <v>7138684</v>
          </cell>
        </row>
        <row r="1253">
          <cell r="A1253" t="str">
            <v>PAK</v>
          </cell>
          <cell r="B1253">
            <v>2022</v>
          </cell>
          <cell r="C1253" t="str">
            <v>pvgdp_services</v>
          </cell>
          <cell r="D1253">
            <v>22653398</v>
          </cell>
        </row>
        <row r="1254">
          <cell r="A1254" t="str">
            <v>PAK</v>
          </cell>
          <cell r="B1254">
            <v>2022</v>
          </cell>
          <cell r="C1254" t="str">
            <v>pvgdppc</v>
          </cell>
          <cell r="D1254">
            <v>170337.85946153375</v>
          </cell>
        </row>
        <row r="1255">
          <cell r="A1255" t="str">
            <v>PAK</v>
          </cell>
          <cell r="B1255">
            <v>2022</v>
          </cell>
          <cell r="C1255" t="str">
            <v>pvpop_total</v>
          </cell>
          <cell r="D1255">
            <v>240485656.73828125</v>
          </cell>
        </row>
        <row r="1256">
          <cell r="A1256" t="str">
            <v>PAK</v>
          </cell>
          <cell r="B1256">
            <v>2022</v>
          </cell>
          <cell r="C1256" t="str">
            <v>pvpop_1564</v>
          </cell>
          <cell r="D1256">
            <v>140872986.92386225</v>
          </cell>
        </row>
        <row r="1257">
          <cell r="A1257" t="str">
            <v>PAK</v>
          </cell>
          <cell r="B1257">
            <v>2022</v>
          </cell>
          <cell r="C1257" t="str">
            <v>pvprivpc</v>
          </cell>
          <cell r="D1257">
            <v>155004.70383798247</v>
          </cell>
        </row>
        <row r="1258">
          <cell r="A1258" t="str">
            <v>PAK</v>
          </cell>
          <cell r="B1258">
            <v>2023</v>
          </cell>
          <cell r="C1258" t="str">
            <v>pvgdp</v>
          </cell>
          <cell r="D1258">
            <v>41684080</v>
          </cell>
        </row>
        <row r="1259">
          <cell r="A1259" t="str">
            <v>PAK</v>
          </cell>
          <cell r="B1259">
            <v>2023</v>
          </cell>
          <cell r="C1259" t="str">
            <v>pvgdp_agriculture</v>
          </cell>
          <cell r="D1259">
            <v>9256516</v>
          </cell>
        </row>
        <row r="1260">
          <cell r="A1260" t="str">
            <v>PAK</v>
          </cell>
          <cell r="B1260">
            <v>2023</v>
          </cell>
          <cell r="C1260" t="str">
            <v>pvgdp_industry</v>
          </cell>
          <cell r="D1260">
            <v>7264753</v>
          </cell>
        </row>
        <row r="1261">
          <cell r="A1261" t="str">
            <v>PAK</v>
          </cell>
          <cell r="B1261">
            <v>2023</v>
          </cell>
          <cell r="C1261" t="str">
            <v>pvgdp_services</v>
          </cell>
          <cell r="D1261">
            <v>22935240</v>
          </cell>
        </row>
        <row r="1262">
          <cell r="A1262" t="str">
            <v>PAK</v>
          </cell>
          <cell r="B1262">
            <v>2023</v>
          </cell>
          <cell r="C1262" t="str">
            <v>pvgdppc</v>
          </cell>
          <cell r="D1262">
            <v>169993.52628084383</v>
          </cell>
        </row>
        <row r="1263">
          <cell r="A1263" t="str">
            <v>PAK</v>
          </cell>
          <cell r="B1263">
            <v>2023</v>
          </cell>
          <cell r="C1263" t="str">
            <v>pvpop_total</v>
          </cell>
          <cell r="D1263">
            <v>245209808.34960938</v>
          </cell>
        </row>
        <row r="1264">
          <cell r="A1264" t="str">
            <v>PAK</v>
          </cell>
          <cell r="B1264">
            <v>2023</v>
          </cell>
          <cell r="C1264" t="str">
            <v>pvpop_1564</v>
          </cell>
          <cell r="D1264">
            <v>144099179.78713083</v>
          </cell>
        </row>
        <row r="1265">
          <cell r="A1265" t="str">
            <v>PAK</v>
          </cell>
          <cell r="B1265">
            <v>2023</v>
          </cell>
          <cell r="C1265" t="str">
            <v>pvprivpc</v>
          </cell>
          <cell r="D1265">
            <v>154587.53569088373</v>
          </cell>
        </row>
        <row r="1266">
          <cell r="A1266" t="str">
            <v>PAK</v>
          </cell>
          <cell r="B1266">
            <v>2024</v>
          </cell>
          <cell r="C1266" t="str">
            <v>pvgdp</v>
          </cell>
          <cell r="D1266">
            <v>42658260</v>
          </cell>
        </row>
        <row r="1267">
          <cell r="A1267" t="str">
            <v>PAK</v>
          </cell>
          <cell r="B1267">
            <v>2024</v>
          </cell>
          <cell r="C1267" t="str">
            <v>pvgdp_agriculture</v>
          </cell>
          <cell r="D1267">
            <v>9462711</v>
          </cell>
        </row>
        <row r="1268">
          <cell r="A1268" t="str">
            <v>PAK</v>
          </cell>
          <cell r="B1268">
            <v>2024</v>
          </cell>
          <cell r="C1268" t="str">
            <v>pvgdp_industry</v>
          </cell>
          <cell r="D1268">
            <v>7425236.5</v>
          </cell>
        </row>
        <row r="1269">
          <cell r="A1269" t="str">
            <v>PAK</v>
          </cell>
          <cell r="B1269">
            <v>2024</v>
          </cell>
          <cell r="C1269" t="str">
            <v>pvgdp_services</v>
          </cell>
          <cell r="D1269">
            <v>23490680</v>
          </cell>
        </row>
        <row r="1270">
          <cell r="A1270" t="str">
            <v>PAK</v>
          </cell>
          <cell r="B1270">
            <v>2024</v>
          </cell>
          <cell r="C1270" t="str">
            <v>pvgdppc</v>
          </cell>
          <cell r="D1270">
            <v>170667.9360928901</v>
          </cell>
        </row>
        <row r="1271">
          <cell r="A1271" t="str">
            <v>PAK</v>
          </cell>
          <cell r="B1271">
            <v>2024</v>
          </cell>
          <cell r="C1271" t="str">
            <v>pvpop_total</v>
          </cell>
          <cell r="D1271">
            <v>249948883.05664063</v>
          </cell>
        </row>
        <row r="1272">
          <cell r="A1272" t="str">
            <v>PAK</v>
          </cell>
          <cell r="B1272">
            <v>2024</v>
          </cell>
          <cell r="C1272" t="str">
            <v>pvpop_1564</v>
          </cell>
          <cell r="D1272">
            <v>147555926.52216253</v>
          </cell>
        </row>
        <row r="1273">
          <cell r="A1273" t="str">
            <v>PAK</v>
          </cell>
          <cell r="B1273">
            <v>2024</v>
          </cell>
          <cell r="C1273" t="str">
            <v>pvprivpc</v>
          </cell>
          <cell r="D1273">
            <v>154960.18036305031</v>
          </cell>
        </row>
        <row r="1274">
          <cell r="A1274" t="str">
            <v>PAK</v>
          </cell>
          <cell r="B1274">
            <v>2025</v>
          </cell>
          <cell r="C1274" t="str">
            <v>pvgdp</v>
          </cell>
          <cell r="D1274">
            <v>43829328</v>
          </cell>
        </row>
        <row r="1275">
          <cell r="A1275" t="str">
            <v>PAK</v>
          </cell>
          <cell r="B1275">
            <v>2025</v>
          </cell>
          <cell r="C1275" t="str">
            <v>pvgdp_agriculture</v>
          </cell>
          <cell r="D1275">
            <v>9721104</v>
          </cell>
        </row>
        <row r="1276">
          <cell r="A1276" t="str">
            <v>PAK</v>
          </cell>
          <cell r="B1276">
            <v>2025</v>
          </cell>
          <cell r="C1276" t="str">
            <v>pvgdp_industry</v>
          </cell>
          <cell r="D1276">
            <v>7600352</v>
          </cell>
        </row>
        <row r="1277">
          <cell r="A1277" t="str">
            <v>PAK</v>
          </cell>
          <cell r="B1277">
            <v>2025</v>
          </cell>
          <cell r="C1277" t="str">
            <v>pvgdp_services</v>
          </cell>
          <cell r="D1277">
            <v>24165660</v>
          </cell>
        </row>
        <row r="1278">
          <cell r="A1278" t="str">
            <v>PAK</v>
          </cell>
          <cell r="B1278">
            <v>2025</v>
          </cell>
          <cell r="C1278" t="str">
            <v>pvgdppc</v>
          </cell>
          <cell r="D1278">
            <v>172072.38639695468</v>
          </cell>
        </row>
        <row r="1279">
          <cell r="A1279" t="str">
            <v>PAK</v>
          </cell>
          <cell r="B1279">
            <v>2025</v>
          </cell>
          <cell r="C1279" t="str">
            <v>pvpop_total</v>
          </cell>
          <cell r="D1279">
            <v>254714477.5390625</v>
          </cell>
        </row>
        <row r="1280">
          <cell r="A1280" t="str">
            <v>PAK</v>
          </cell>
          <cell r="B1280">
            <v>2025</v>
          </cell>
          <cell r="C1280" t="str">
            <v>pvpop_1564</v>
          </cell>
          <cell r="D1280">
            <v>151285208.40814897</v>
          </cell>
        </row>
        <row r="1281">
          <cell r="A1281" t="str">
            <v>PAK</v>
          </cell>
          <cell r="B1281">
            <v>2025</v>
          </cell>
          <cell r="C1281" t="str">
            <v>pvprivpc</v>
          </cell>
          <cell r="D1281">
            <v>155886.15293337891</v>
          </cell>
        </row>
        <row r="1282">
          <cell r="A1282" t="str">
            <v>AFG</v>
          </cell>
          <cell r="B1282">
            <v>2019</v>
          </cell>
          <cell r="C1282" t="str">
            <v>maindfc</v>
          </cell>
          <cell r="D1282">
            <v>4.8488678932189941</v>
          </cell>
        </row>
        <row r="1283">
          <cell r="A1283" t="str">
            <v>AFG</v>
          </cell>
          <cell r="B1283">
            <v>2026</v>
          </cell>
          <cell r="C1283" t="str">
            <v>madebt_</v>
          </cell>
          <cell r="D1283">
            <v>7.5411114692687988</v>
          </cell>
        </row>
        <row r="1284">
          <cell r="A1284" t="str">
            <v>AFG</v>
          </cell>
          <cell r="B1284">
            <v>2013</v>
          </cell>
          <cell r="C1284" t="str">
            <v>mainvz</v>
          </cell>
          <cell r="D1284">
            <v>15.464701652526855</v>
          </cell>
        </row>
        <row r="1285">
          <cell r="A1285" t="str">
            <v>AFG</v>
          </cell>
          <cell r="B1285">
            <v>2022</v>
          </cell>
          <cell r="C1285" t="str">
            <v>mar_taxfc</v>
          </cell>
          <cell r="D1285">
            <v>4.7559185028076172</v>
          </cell>
        </row>
        <row r="1286">
          <cell r="A1286" t="str">
            <v>AFG</v>
          </cell>
          <cell r="B1286">
            <v>2020</v>
          </cell>
          <cell r="C1286" t="str">
            <v>malabz</v>
          </cell>
          <cell r="D1286">
            <v>4.1220049858093262</v>
          </cell>
        </row>
        <row r="1287">
          <cell r="A1287" t="str">
            <v>AFG</v>
          </cell>
          <cell r="B1287">
            <v>2025</v>
          </cell>
          <cell r="C1287" t="str">
            <v>masrvfc</v>
          </cell>
          <cell r="D1287">
            <v>2.4548325538635254</v>
          </cell>
        </row>
        <row r="1288">
          <cell r="A1288" t="str">
            <v>AFG</v>
          </cell>
          <cell r="B1288">
            <v>2013</v>
          </cell>
          <cell r="C1288" t="str">
            <v>mac_labz</v>
          </cell>
          <cell r="D1288">
            <v>3.2688367366790771</v>
          </cell>
        </row>
        <row r="1289">
          <cell r="A1289" t="str">
            <v>AFG</v>
          </cell>
          <cell r="B1289">
            <v>2019</v>
          </cell>
          <cell r="C1289" t="str">
            <v>mar_expz</v>
          </cell>
          <cell r="D1289">
            <v>8.1053686141967773</v>
          </cell>
        </row>
        <row r="1290">
          <cell r="A1290" t="str">
            <v>AFG</v>
          </cell>
          <cell r="B1290">
            <v>2022</v>
          </cell>
          <cell r="C1290" t="str">
            <v>maagrfc</v>
          </cell>
          <cell r="D1290">
            <v>3.9500000476837158</v>
          </cell>
        </row>
        <row r="1291">
          <cell r="A1291" t="str">
            <v>AFG</v>
          </cell>
          <cell r="B1291">
            <v>2021</v>
          </cell>
          <cell r="C1291" t="str">
            <v>magap_</v>
          </cell>
          <cell r="D1291">
            <v>-6.7468738555908203</v>
          </cell>
        </row>
        <row r="1292">
          <cell r="A1292" t="str">
            <v>AFG</v>
          </cell>
          <cell r="B1292">
            <v>2010</v>
          </cell>
          <cell r="C1292" t="str">
            <v>maagrfc</v>
          </cell>
          <cell r="D1292">
            <v>-6.3751344680786133</v>
          </cell>
        </row>
        <row r="1293">
          <cell r="A1293" t="str">
            <v>AFG</v>
          </cell>
          <cell r="B1293">
            <v>2020</v>
          </cell>
          <cell r="C1293" t="str">
            <v>mafdi_</v>
          </cell>
          <cell r="D1293">
            <v>0</v>
          </cell>
        </row>
        <row r="1294">
          <cell r="A1294" t="str">
            <v>AFG</v>
          </cell>
          <cell r="B1294">
            <v>2005</v>
          </cell>
          <cell r="C1294" t="str">
            <v>mar_srvfc</v>
          </cell>
          <cell r="D1294">
            <v>43.413902282714844</v>
          </cell>
        </row>
        <row r="1295">
          <cell r="A1295" t="str">
            <v>AFG</v>
          </cell>
          <cell r="B1295">
            <v>2013</v>
          </cell>
          <cell r="C1295" t="str">
            <v>mac_tfpz</v>
          </cell>
          <cell r="D1295">
            <v>0.71174466609954834</v>
          </cell>
        </row>
        <row r="1296">
          <cell r="A1296" t="str">
            <v>AFG</v>
          </cell>
          <cell r="B1296">
            <v>2026</v>
          </cell>
          <cell r="C1296" t="str">
            <v>masrvfc</v>
          </cell>
          <cell r="D1296">
            <v>2.4374804496765137</v>
          </cell>
        </row>
        <row r="1297">
          <cell r="A1297" t="str">
            <v>AFG</v>
          </cell>
          <cell r="B1297">
            <v>2016</v>
          </cell>
          <cell r="C1297" t="str">
            <v>masrvfc</v>
          </cell>
          <cell r="D1297">
            <v>1.9794826507568359</v>
          </cell>
        </row>
        <row r="1298">
          <cell r="A1298" t="str">
            <v>AFG</v>
          </cell>
          <cell r="B1298">
            <v>2012</v>
          </cell>
          <cell r="C1298" t="str">
            <v>mar_taxfc</v>
          </cell>
          <cell r="D1298">
            <v>4.5480818748474121</v>
          </cell>
        </row>
        <row r="1299">
          <cell r="A1299" t="str">
            <v>AFG</v>
          </cell>
          <cell r="B1299">
            <v>2018</v>
          </cell>
          <cell r="C1299" t="str">
            <v>madeficit_</v>
          </cell>
          <cell r="D1299">
            <v>1.6341956853866577</v>
          </cell>
        </row>
        <row r="1300">
          <cell r="A1300" t="str">
            <v>AFG</v>
          </cell>
          <cell r="B1300">
            <v>2022</v>
          </cell>
          <cell r="C1300" t="str">
            <v>mar_srvfc</v>
          </cell>
          <cell r="D1300">
            <v>55.788913726806641</v>
          </cell>
        </row>
        <row r="1301">
          <cell r="A1301" t="str">
            <v>AFG</v>
          </cell>
          <cell r="B1301">
            <v>2007</v>
          </cell>
          <cell r="C1301" t="str">
            <v>macab_</v>
          </cell>
          <cell r="D1301">
            <v>11.06635856628418</v>
          </cell>
        </row>
        <row r="1302">
          <cell r="A1302" t="str">
            <v>AFG</v>
          </cell>
          <cell r="B1302">
            <v>2018</v>
          </cell>
          <cell r="C1302" t="str">
            <v>magdpz</v>
          </cell>
          <cell r="D1302">
            <v>1.1892281770706177</v>
          </cell>
        </row>
        <row r="1303">
          <cell r="A1303" t="str">
            <v>AFG</v>
          </cell>
          <cell r="B1303">
            <v>2016</v>
          </cell>
          <cell r="C1303" t="str">
            <v>mainvz</v>
          </cell>
          <cell r="D1303">
            <v>-2.1423027515411377</v>
          </cell>
        </row>
        <row r="1304">
          <cell r="A1304" t="str">
            <v>AFG</v>
          </cell>
          <cell r="B1304">
            <v>2009</v>
          </cell>
          <cell r="C1304" t="str">
            <v>magdpz</v>
          </cell>
          <cell r="D1304">
            <v>23.357536315917969</v>
          </cell>
        </row>
        <row r="1305">
          <cell r="A1305" t="str">
            <v>AFG</v>
          </cell>
          <cell r="B1305">
            <v>2012</v>
          </cell>
          <cell r="C1305" t="str">
            <v>mareer</v>
          </cell>
          <cell r="D1305">
            <v>137.04240417480469</v>
          </cell>
        </row>
        <row r="1306">
          <cell r="A1306" t="str">
            <v>AFG</v>
          </cell>
          <cell r="B1306">
            <v>2018</v>
          </cell>
          <cell r="C1306" t="str">
            <v>maimpz</v>
          </cell>
          <cell r="D1306">
            <v>13.074324607849121</v>
          </cell>
        </row>
        <row r="1307">
          <cell r="A1307" t="str">
            <v>AFG</v>
          </cell>
          <cell r="B1307">
            <v>2008</v>
          </cell>
          <cell r="C1307" t="str">
            <v>madeficit_</v>
          </cell>
          <cell r="D1307">
            <v>-1.8085993528366089</v>
          </cell>
        </row>
        <row r="1308">
          <cell r="A1308" t="str">
            <v>AFG</v>
          </cell>
          <cell r="B1308">
            <v>2011</v>
          </cell>
          <cell r="C1308" t="str">
            <v>maconz</v>
          </cell>
          <cell r="D1308">
            <v>4.9671335220336914</v>
          </cell>
        </row>
        <row r="1309">
          <cell r="A1309" t="str">
            <v>AFG</v>
          </cell>
          <cell r="B1309">
            <v>2007</v>
          </cell>
          <cell r="C1309" t="str">
            <v>magovz</v>
          </cell>
          <cell r="D1309">
            <v>8.3247098922729492</v>
          </cell>
        </row>
        <row r="1310">
          <cell r="A1310" t="str">
            <v>AFG</v>
          </cell>
          <cell r="B1310">
            <v>2005</v>
          </cell>
          <cell r="C1310" t="str">
            <v>maimpz</v>
          </cell>
          <cell r="D1310">
            <v>59.403766632080078</v>
          </cell>
        </row>
        <row r="1311">
          <cell r="A1311" t="str">
            <v>AFG</v>
          </cell>
          <cell r="B1311">
            <v>2012</v>
          </cell>
          <cell r="C1311" t="str">
            <v>macab_</v>
          </cell>
          <cell r="D1311">
            <v>3.6521117687225342</v>
          </cell>
        </row>
        <row r="1312">
          <cell r="A1312" t="str">
            <v>AFG</v>
          </cell>
          <cell r="B1312">
            <v>2007</v>
          </cell>
          <cell r="C1312" t="str">
            <v>mafdi_</v>
          </cell>
        </row>
        <row r="1313">
          <cell r="A1313" t="str">
            <v>AFG</v>
          </cell>
          <cell r="B1313">
            <v>2009</v>
          </cell>
          <cell r="C1313" t="str">
            <v>mar_taxfc</v>
          </cell>
          <cell r="D1313">
            <v>2.8167505264282227</v>
          </cell>
        </row>
        <row r="1314">
          <cell r="A1314" t="str">
            <v>AFG</v>
          </cell>
          <cell r="B1314">
            <v>2014</v>
          </cell>
          <cell r="C1314" t="str">
            <v>mataxfc</v>
          </cell>
          <cell r="D1314">
            <v>-7.6584296226501465</v>
          </cell>
        </row>
        <row r="1315">
          <cell r="A1315" t="str">
            <v>AFG</v>
          </cell>
          <cell r="B1315">
            <v>2013</v>
          </cell>
          <cell r="C1315" t="str">
            <v>madebt_</v>
          </cell>
          <cell r="D1315">
            <v>6.1202392578125</v>
          </cell>
        </row>
        <row r="1316">
          <cell r="A1316" t="str">
            <v>AFG</v>
          </cell>
          <cell r="B1316">
            <v>2023</v>
          </cell>
          <cell r="C1316" t="str">
            <v>mar_expz</v>
          </cell>
          <cell r="D1316">
            <v>9.0489263534545898</v>
          </cell>
        </row>
        <row r="1317">
          <cell r="A1317" t="str">
            <v>AFG</v>
          </cell>
          <cell r="B1317">
            <v>2005</v>
          </cell>
          <cell r="C1317" t="str">
            <v>maindfc</v>
          </cell>
          <cell r="D1317">
            <v>12.991724014282227</v>
          </cell>
        </row>
        <row r="1318">
          <cell r="A1318" t="str">
            <v>AFG</v>
          </cell>
          <cell r="B1318">
            <v>2015</v>
          </cell>
          <cell r="C1318" t="str">
            <v>mar_taxfc</v>
          </cell>
          <cell r="D1318">
            <v>4.7159862518310547</v>
          </cell>
        </row>
        <row r="1319">
          <cell r="A1319" t="str">
            <v>AFG</v>
          </cell>
          <cell r="B1319">
            <v>2011</v>
          </cell>
          <cell r="C1319" t="str">
            <v>mareer</v>
          </cell>
          <cell r="D1319">
            <v>168.00900268554688</v>
          </cell>
        </row>
        <row r="1320">
          <cell r="A1320" t="str">
            <v>AFG</v>
          </cell>
          <cell r="B1320">
            <v>2021</v>
          </cell>
          <cell r="C1320" t="str">
            <v>mar_expz</v>
          </cell>
          <cell r="D1320">
            <v>8.3184118270874023</v>
          </cell>
        </row>
        <row r="1321">
          <cell r="A1321" t="str">
            <v>AFG</v>
          </cell>
          <cell r="B1321">
            <v>2009</v>
          </cell>
          <cell r="C1321" t="str">
            <v>magap_</v>
          </cell>
          <cell r="D1321">
            <v>0.68715810775756836</v>
          </cell>
        </row>
        <row r="1322">
          <cell r="A1322" t="str">
            <v>AFG</v>
          </cell>
          <cell r="B1322">
            <v>2026</v>
          </cell>
          <cell r="C1322" t="str">
            <v>mar_srvfc</v>
          </cell>
          <cell r="D1322">
            <v>54.549995422363281</v>
          </cell>
        </row>
        <row r="1323">
          <cell r="A1323" t="str">
            <v>AFG</v>
          </cell>
          <cell r="B1323">
            <v>2023</v>
          </cell>
          <cell r="C1323" t="str">
            <v>macpiz</v>
          </cell>
          <cell r="D1323">
            <v>5</v>
          </cell>
        </row>
        <row r="1324">
          <cell r="A1324" t="str">
            <v>AFG</v>
          </cell>
          <cell r="B1324">
            <v>2013</v>
          </cell>
          <cell r="C1324" t="str">
            <v>masrvfc</v>
          </cell>
          <cell r="D1324">
            <v>7.8265519142150879</v>
          </cell>
        </row>
        <row r="1325">
          <cell r="A1325" t="str">
            <v>AFG</v>
          </cell>
          <cell r="B1325">
            <v>2013</v>
          </cell>
          <cell r="C1325" t="str">
            <v>maexpz</v>
          </cell>
          <cell r="D1325">
            <v>-39.2940673828125</v>
          </cell>
        </row>
        <row r="1326">
          <cell r="A1326" t="str">
            <v>AFG</v>
          </cell>
          <cell r="B1326">
            <v>2023</v>
          </cell>
          <cell r="C1326" t="str">
            <v>mac_labz</v>
          </cell>
          <cell r="D1326">
            <v>2.2667751312255859</v>
          </cell>
        </row>
        <row r="1327">
          <cell r="A1327" t="str">
            <v>AFG</v>
          </cell>
          <cell r="B1327">
            <v>2024</v>
          </cell>
          <cell r="C1327" t="str">
            <v>maexpz</v>
          </cell>
          <cell r="D1327">
            <v>7.3000001907348633</v>
          </cell>
        </row>
        <row r="1328">
          <cell r="A1328" t="str">
            <v>AFG</v>
          </cell>
          <cell r="B1328">
            <v>2020</v>
          </cell>
          <cell r="C1328" t="str">
            <v>mar_agrfc</v>
          </cell>
          <cell r="D1328">
            <v>31.989559173583984</v>
          </cell>
        </row>
        <row r="1329">
          <cell r="A1329" t="str">
            <v>AFG</v>
          </cell>
          <cell r="B1329">
            <v>2026</v>
          </cell>
          <cell r="C1329" t="str">
            <v>maimpz</v>
          </cell>
          <cell r="D1329">
            <v>3.5</v>
          </cell>
        </row>
        <row r="1330">
          <cell r="A1330" t="str">
            <v>AFG</v>
          </cell>
          <cell r="B1330">
            <v>2017</v>
          </cell>
          <cell r="C1330" t="str">
            <v>mafdi_</v>
          </cell>
          <cell r="D1330">
            <v>-0.21770373876011409</v>
          </cell>
        </row>
        <row r="1331">
          <cell r="A1331" t="str">
            <v>AFG</v>
          </cell>
          <cell r="B1331">
            <v>2022</v>
          </cell>
          <cell r="C1331" t="str">
            <v>maconz</v>
          </cell>
          <cell r="D1331">
            <v>3</v>
          </cell>
        </row>
        <row r="1332">
          <cell r="A1332" t="str">
            <v>AFG</v>
          </cell>
          <cell r="B1332">
            <v>2024</v>
          </cell>
          <cell r="C1332" t="str">
            <v>macab_</v>
          </cell>
          <cell r="D1332">
            <v>-13.339975357055664</v>
          </cell>
        </row>
        <row r="1333">
          <cell r="A1333" t="str">
            <v>AFG</v>
          </cell>
          <cell r="B1333">
            <v>2014</v>
          </cell>
          <cell r="C1333" t="str">
            <v>mainvz</v>
          </cell>
          <cell r="D1333">
            <v>7.7711405754089355</v>
          </cell>
        </row>
        <row r="1334">
          <cell r="A1334" t="str">
            <v>AFG</v>
          </cell>
          <cell r="B1334">
            <v>2017</v>
          </cell>
          <cell r="C1334" t="str">
            <v>magdpz</v>
          </cell>
          <cell r="D1334">
            <v>2.647003173828125</v>
          </cell>
        </row>
        <row r="1335">
          <cell r="A1335" t="str">
            <v>AFG</v>
          </cell>
          <cell r="B1335">
            <v>2009</v>
          </cell>
          <cell r="C1335" t="str">
            <v>mainvz</v>
          </cell>
          <cell r="D1335">
            <v>9.345733642578125</v>
          </cell>
        </row>
        <row r="1336">
          <cell r="A1336" t="str">
            <v>AFG</v>
          </cell>
          <cell r="B1336">
            <v>2006</v>
          </cell>
          <cell r="C1336" t="str">
            <v>mar_taxfc</v>
          </cell>
          <cell r="D1336">
            <v>3.6611526012420654</v>
          </cell>
        </row>
        <row r="1337">
          <cell r="A1337" t="str">
            <v>AFG</v>
          </cell>
          <cell r="B1337">
            <v>2009</v>
          </cell>
          <cell r="C1337" t="str">
            <v>mafdi_</v>
          </cell>
          <cell r="D1337">
            <v>-0.22644224223004611</v>
          </cell>
        </row>
        <row r="1338">
          <cell r="A1338" t="str">
            <v>AFG</v>
          </cell>
          <cell r="B1338">
            <v>2015</v>
          </cell>
          <cell r="C1338" t="str">
            <v>macab_</v>
          </cell>
          <cell r="D1338">
            <v>-1.5332436561584473</v>
          </cell>
        </row>
        <row r="1339">
          <cell r="A1339" t="str">
            <v>AFG</v>
          </cell>
          <cell r="B1339">
            <v>2010</v>
          </cell>
          <cell r="C1339" t="str">
            <v>mar_srvfc</v>
          </cell>
          <cell r="D1339">
            <v>51.847202301025391</v>
          </cell>
        </row>
        <row r="1340">
          <cell r="A1340" t="str">
            <v>AFG</v>
          </cell>
          <cell r="B1340">
            <v>2014</v>
          </cell>
          <cell r="C1340" t="str">
            <v>maimpz</v>
          </cell>
          <cell r="D1340">
            <v>26.331140518188477</v>
          </cell>
        </row>
        <row r="1341">
          <cell r="A1341" t="str">
            <v>AFG</v>
          </cell>
          <cell r="B1341">
            <v>2023</v>
          </cell>
          <cell r="C1341" t="str">
            <v>maimpz</v>
          </cell>
          <cell r="D1341">
            <v>3.5</v>
          </cell>
        </row>
        <row r="1342">
          <cell r="A1342" t="str">
            <v>AFG</v>
          </cell>
          <cell r="B1342">
            <v>2015</v>
          </cell>
          <cell r="C1342" t="str">
            <v>mareer</v>
          </cell>
          <cell r="D1342">
            <v>100</v>
          </cell>
        </row>
        <row r="1343">
          <cell r="A1343" t="str">
            <v>AFG</v>
          </cell>
          <cell r="B1343">
            <v>2017</v>
          </cell>
          <cell r="C1343" t="str">
            <v>magovz</v>
          </cell>
          <cell r="D1343">
            <v>3.3339343070983887</v>
          </cell>
        </row>
        <row r="1344">
          <cell r="A1344" t="str">
            <v>AFG</v>
          </cell>
          <cell r="B1344">
            <v>2011</v>
          </cell>
          <cell r="C1344" t="str">
            <v>maindfc</v>
          </cell>
          <cell r="D1344">
            <v>9.8076705932617188</v>
          </cell>
        </row>
        <row r="1345">
          <cell r="A1345" t="str">
            <v>AFG</v>
          </cell>
          <cell r="B1345">
            <v>2021</v>
          </cell>
          <cell r="C1345" t="str">
            <v>mafdi_</v>
          </cell>
          <cell r="D1345">
            <v>-9.7879997515719894E-2</v>
          </cell>
        </row>
        <row r="1346">
          <cell r="A1346" t="str">
            <v>AFG</v>
          </cell>
          <cell r="B1346">
            <v>2023</v>
          </cell>
          <cell r="C1346" t="str">
            <v>mar_impz</v>
          </cell>
          <cell r="D1346">
            <v>50.818031311035156</v>
          </cell>
        </row>
        <row r="1347">
          <cell r="A1347" t="str">
            <v>AFG</v>
          </cell>
          <cell r="B1347">
            <v>2014</v>
          </cell>
          <cell r="C1347" t="str">
            <v>mac_tfpz</v>
          </cell>
          <cell r="D1347">
            <v>-0.15720270574092865</v>
          </cell>
        </row>
        <row r="1348">
          <cell r="A1348" t="str">
            <v>AFG</v>
          </cell>
          <cell r="B1348">
            <v>2016</v>
          </cell>
          <cell r="C1348" t="str">
            <v>magovz</v>
          </cell>
          <cell r="D1348">
            <v>7.8018960952758789</v>
          </cell>
        </row>
        <row r="1349">
          <cell r="A1349" t="str">
            <v>AFG</v>
          </cell>
          <cell r="B1349">
            <v>2009</v>
          </cell>
          <cell r="C1349" t="str">
            <v>mar_expz</v>
          </cell>
          <cell r="D1349">
            <v>20.989704132080078</v>
          </cell>
        </row>
        <row r="1350">
          <cell r="A1350" t="str">
            <v>AFG</v>
          </cell>
          <cell r="B1350">
            <v>2024</v>
          </cell>
          <cell r="C1350" t="str">
            <v>mainvz</v>
          </cell>
          <cell r="D1350">
            <v>1.2651419639587402</v>
          </cell>
        </row>
        <row r="1351">
          <cell r="A1351" t="str">
            <v>AFG</v>
          </cell>
          <cell r="B1351">
            <v>2008</v>
          </cell>
          <cell r="C1351" t="str">
            <v>mac_tfpz</v>
          </cell>
          <cell r="D1351">
            <v>3.4878461360931396</v>
          </cell>
        </row>
        <row r="1352">
          <cell r="A1352" t="str">
            <v>AFG</v>
          </cell>
          <cell r="B1352">
            <v>2014</v>
          </cell>
          <cell r="C1352" t="str">
            <v>macab_</v>
          </cell>
          <cell r="D1352">
            <v>1.9112439155578613</v>
          </cell>
        </row>
        <row r="1353">
          <cell r="A1353" t="str">
            <v>AFG</v>
          </cell>
          <cell r="B1353">
            <v>2023</v>
          </cell>
          <cell r="C1353" t="str">
            <v>magap_</v>
          </cell>
          <cell r="D1353">
            <v>-5.2626838684082031</v>
          </cell>
        </row>
        <row r="1354">
          <cell r="A1354" t="str">
            <v>AFG</v>
          </cell>
          <cell r="B1354">
            <v>2022</v>
          </cell>
          <cell r="C1354" t="str">
            <v>mac_labz</v>
          </cell>
          <cell r="D1354">
            <v>2.1992418766021729</v>
          </cell>
        </row>
        <row r="1355">
          <cell r="A1355" t="str">
            <v>AFG</v>
          </cell>
          <cell r="B1355">
            <v>2026</v>
          </cell>
          <cell r="C1355" t="str">
            <v>mac_tfpz</v>
          </cell>
          <cell r="D1355">
            <v>-0.64761161804199219</v>
          </cell>
        </row>
        <row r="1356">
          <cell r="A1356" t="str">
            <v>AFG</v>
          </cell>
          <cell r="B1356">
            <v>2018</v>
          </cell>
          <cell r="C1356" t="str">
            <v>maagrfc</v>
          </cell>
          <cell r="D1356">
            <v>-4.415311336517334</v>
          </cell>
        </row>
        <row r="1357">
          <cell r="A1357" t="str">
            <v>AFG</v>
          </cell>
          <cell r="B1357">
            <v>2021</v>
          </cell>
          <cell r="C1357" t="str">
            <v>madebt_</v>
          </cell>
          <cell r="D1357">
            <v>9.6646013259887695</v>
          </cell>
        </row>
        <row r="1358">
          <cell r="A1358" t="str">
            <v>AFG</v>
          </cell>
          <cell r="B1358">
            <v>2021</v>
          </cell>
          <cell r="C1358" t="str">
            <v>masrvfc</v>
          </cell>
          <cell r="D1358">
            <v>2.2683272361755371</v>
          </cell>
        </row>
        <row r="1359">
          <cell r="A1359" t="str">
            <v>AFG</v>
          </cell>
          <cell r="B1359">
            <v>2022</v>
          </cell>
          <cell r="C1359" t="str">
            <v>mafdi_</v>
          </cell>
          <cell r="D1359">
            <v>-0.19726999637634099</v>
          </cell>
        </row>
        <row r="1360">
          <cell r="A1360" t="str">
            <v>AFG</v>
          </cell>
          <cell r="B1360">
            <v>2025</v>
          </cell>
          <cell r="C1360" t="str">
            <v>maimpz</v>
          </cell>
          <cell r="D1360">
            <v>3.5</v>
          </cell>
        </row>
        <row r="1361">
          <cell r="A1361" t="str">
            <v>AFG</v>
          </cell>
          <cell r="B1361">
            <v>2011</v>
          </cell>
          <cell r="C1361" t="str">
            <v>mar_expz</v>
          </cell>
          <cell r="D1361">
            <v>22.735357284545898</v>
          </cell>
        </row>
        <row r="1362">
          <cell r="A1362" t="str">
            <v>AFG</v>
          </cell>
          <cell r="B1362">
            <v>2006</v>
          </cell>
          <cell r="C1362" t="str">
            <v>mapanusatls</v>
          </cell>
          <cell r="D1362">
            <v>49.930000305175781</v>
          </cell>
        </row>
        <row r="1363">
          <cell r="A1363" t="str">
            <v>AFG</v>
          </cell>
          <cell r="B1363">
            <v>2024</v>
          </cell>
          <cell r="C1363" t="str">
            <v>masrvfc</v>
          </cell>
          <cell r="D1363">
            <v>2.4717881679534912</v>
          </cell>
        </row>
        <row r="1364">
          <cell r="A1364" t="str">
            <v>AFG</v>
          </cell>
          <cell r="B1364">
            <v>2008</v>
          </cell>
          <cell r="C1364" t="str">
            <v>mar_con</v>
          </cell>
          <cell r="D1364">
            <v>99.362480163574219</v>
          </cell>
        </row>
        <row r="1365">
          <cell r="A1365" t="str">
            <v>AFG</v>
          </cell>
          <cell r="B1365">
            <v>2005</v>
          </cell>
          <cell r="C1365" t="str">
            <v>mainvz</v>
          </cell>
          <cell r="D1365">
            <v>17.189245223999023</v>
          </cell>
        </row>
        <row r="1366">
          <cell r="A1366" t="str">
            <v>AFG</v>
          </cell>
          <cell r="B1366">
            <v>2026</v>
          </cell>
          <cell r="C1366" t="str">
            <v>magdpz</v>
          </cell>
          <cell r="D1366">
            <v>3.0399999618530273</v>
          </cell>
        </row>
        <row r="1367">
          <cell r="A1367" t="str">
            <v>AFG</v>
          </cell>
          <cell r="B1367">
            <v>2026</v>
          </cell>
          <cell r="C1367" t="str">
            <v>maexpz</v>
          </cell>
          <cell r="D1367">
            <v>7.3000001907348633</v>
          </cell>
        </row>
        <row r="1368">
          <cell r="A1368" t="str">
            <v>AFG</v>
          </cell>
          <cell r="B1368">
            <v>2025</v>
          </cell>
          <cell r="C1368" t="str">
            <v>maagrfc</v>
          </cell>
          <cell r="D1368">
            <v>4.4499998092651367</v>
          </cell>
        </row>
        <row r="1369">
          <cell r="A1369" t="str">
            <v>AFG</v>
          </cell>
          <cell r="B1369">
            <v>2026</v>
          </cell>
          <cell r="C1369" t="str">
            <v>mar_agrfc</v>
          </cell>
          <cell r="D1369">
            <v>33.350822448730469</v>
          </cell>
        </row>
        <row r="1370">
          <cell r="A1370" t="str">
            <v>AFG</v>
          </cell>
          <cell r="B1370">
            <v>2019</v>
          </cell>
          <cell r="C1370" t="str">
            <v>malabz</v>
          </cell>
          <cell r="D1370">
            <v>3.7424473762512207</v>
          </cell>
        </row>
        <row r="1371">
          <cell r="A1371" t="str">
            <v>AFG</v>
          </cell>
          <cell r="B1371">
            <v>2024</v>
          </cell>
          <cell r="C1371" t="str">
            <v>mareer</v>
          </cell>
          <cell r="D1371">
            <v>87.807952880859375</v>
          </cell>
        </row>
        <row r="1372">
          <cell r="A1372" t="str">
            <v>AFG</v>
          </cell>
          <cell r="B1372">
            <v>2025</v>
          </cell>
          <cell r="C1372" t="str">
            <v>maindfc</v>
          </cell>
          <cell r="D1372">
            <v>1.9500000476837158</v>
          </cell>
        </row>
        <row r="1373">
          <cell r="A1373" t="str">
            <v>AFG</v>
          </cell>
          <cell r="B1373">
            <v>2018</v>
          </cell>
          <cell r="C1373" t="str">
            <v>maconz</v>
          </cell>
          <cell r="D1373">
            <v>9.974635124206543</v>
          </cell>
        </row>
        <row r="1374">
          <cell r="A1374" t="str">
            <v>AFG</v>
          </cell>
          <cell r="B1374">
            <v>2013</v>
          </cell>
          <cell r="C1374" t="str">
            <v>magovz</v>
          </cell>
          <cell r="D1374">
            <v>15.464701652526855</v>
          </cell>
        </row>
        <row r="1375">
          <cell r="A1375" t="str">
            <v>AFG</v>
          </cell>
          <cell r="B1375">
            <v>2015</v>
          </cell>
          <cell r="C1375" t="str">
            <v>maindfc</v>
          </cell>
          <cell r="D1375">
            <v>4.1711215972900391</v>
          </cell>
        </row>
        <row r="1376">
          <cell r="A1376" t="str">
            <v>AFG</v>
          </cell>
          <cell r="B1376">
            <v>2010</v>
          </cell>
          <cell r="C1376" t="str">
            <v>maindfc</v>
          </cell>
          <cell r="D1376">
            <v>6.2706012725830078</v>
          </cell>
        </row>
        <row r="1377">
          <cell r="A1377" t="str">
            <v>AFG</v>
          </cell>
          <cell r="B1377">
            <v>2009</v>
          </cell>
          <cell r="C1377" t="str">
            <v>maindfc</v>
          </cell>
          <cell r="D1377">
            <v>6.1071414947509766</v>
          </cell>
        </row>
        <row r="1378">
          <cell r="A1378" t="str">
            <v>AFG</v>
          </cell>
          <cell r="B1378">
            <v>2007</v>
          </cell>
          <cell r="C1378" t="str">
            <v>mar_agrfc</v>
          </cell>
          <cell r="D1378">
            <v>42.492206573486328</v>
          </cell>
        </row>
        <row r="1379">
          <cell r="A1379" t="str">
            <v>AFG</v>
          </cell>
          <cell r="B1379">
            <v>2014</v>
          </cell>
          <cell r="C1379" t="str">
            <v>mar_srvfc</v>
          </cell>
          <cell r="D1379">
            <v>61.236351013183594</v>
          </cell>
        </row>
        <row r="1380">
          <cell r="A1380" t="str">
            <v>AFG</v>
          </cell>
          <cell r="B1380">
            <v>2009</v>
          </cell>
          <cell r="C1380" t="str">
            <v>magovz</v>
          </cell>
          <cell r="D1380">
            <v>9.345733642578125</v>
          </cell>
        </row>
        <row r="1381">
          <cell r="A1381" t="str">
            <v>AFG</v>
          </cell>
          <cell r="B1381">
            <v>2015</v>
          </cell>
          <cell r="C1381" t="str">
            <v>maconz</v>
          </cell>
          <cell r="D1381">
            <v>8.2816686630249023</v>
          </cell>
        </row>
        <row r="1382">
          <cell r="A1382" t="str">
            <v>AFG</v>
          </cell>
          <cell r="B1382">
            <v>2012</v>
          </cell>
          <cell r="C1382" t="str">
            <v>magdpz</v>
          </cell>
          <cell r="D1382">
            <v>20.778158187866211</v>
          </cell>
        </row>
        <row r="1383">
          <cell r="A1383" t="str">
            <v>AFG</v>
          </cell>
          <cell r="B1383">
            <v>2020</v>
          </cell>
          <cell r="C1383" t="str">
            <v>macpiz</v>
          </cell>
          <cell r="D1383">
            <v>5.5999999046325684</v>
          </cell>
        </row>
        <row r="1384">
          <cell r="A1384" t="str">
            <v>AFG</v>
          </cell>
          <cell r="B1384">
            <v>2014</v>
          </cell>
          <cell r="C1384" t="str">
            <v>mapanusatls</v>
          </cell>
          <cell r="D1384">
            <v>58.069999694824219</v>
          </cell>
        </row>
        <row r="1385">
          <cell r="A1385" t="str">
            <v>AFG</v>
          </cell>
          <cell r="B1385">
            <v>2007</v>
          </cell>
          <cell r="C1385" t="str">
            <v>mainvz</v>
          </cell>
          <cell r="D1385">
            <v>8.3247098922729492</v>
          </cell>
        </row>
        <row r="1386">
          <cell r="A1386" t="str">
            <v>AFG</v>
          </cell>
          <cell r="B1386">
            <v>2017</v>
          </cell>
          <cell r="C1386" t="str">
            <v>mar_taxfc</v>
          </cell>
          <cell r="D1386">
            <v>5.3423328399658203</v>
          </cell>
        </row>
        <row r="1387">
          <cell r="A1387" t="str">
            <v>AFG</v>
          </cell>
          <cell r="B1387">
            <v>2011</v>
          </cell>
          <cell r="C1387" t="str">
            <v>maagrfc</v>
          </cell>
          <cell r="D1387">
            <v>-7.5923233032226563</v>
          </cell>
        </row>
        <row r="1388">
          <cell r="A1388" t="str">
            <v>AFG</v>
          </cell>
          <cell r="B1388">
            <v>2006</v>
          </cell>
          <cell r="C1388" t="str">
            <v>mac_labz</v>
          </cell>
          <cell r="D1388">
            <v>3.5379433631896973</v>
          </cell>
        </row>
        <row r="1389">
          <cell r="A1389" t="str">
            <v>AFG</v>
          </cell>
          <cell r="B1389">
            <v>2018</v>
          </cell>
          <cell r="C1389" t="str">
            <v>madebt_</v>
          </cell>
          <cell r="D1389">
            <v>5.7890949249267578</v>
          </cell>
        </row>
        <row r="1390">
          <cell r="A1390" t="str">
            <v>AFG</v>
          </cell>
          <cell r="B1390">
            <v>2026</v>
          </cell>
          <cell r="C1390" t="str">
            <v>magap_</v>
          </cell>
          <cell r="D1390">
            <v>-2.3958344459533691</v>
          </cell>
        </row>
        <row r="1391">
          <cell r="A1391" t="str">
            <v>AFG</v>
          </cell>
          <cell r="B1391">
            <v>2023</v>
          </cell>
          <cell r="C1391" t="str">
            <v>macab_</v>
          </cell>
          <cell r="D1391">
            <v>-9.1880121231079102</v>
          </cell>
        </row>
        <row r="1392">
          <cell r="A1392" t="str">
            <v>AFG</v>
          </cell>
          <cell r="B1392">
            <v>2026</v>
          </cell>
          <cell r="C1392" t="str">
            <v>mataxfc</v>
          </cell>
          <cell r="D1392">
            <v>3.0399999618530273</v>
          </cell>
        </row>
        <row r="1393">
          <cell r="A1393" t="str">
            <v>AFG</v>
          </cell>
          <cell r="B1393">
            <v>2006</v>
          </cell>
          <cell r="C1393" t="str">
            <v>macpiz</v>
          </cell>
          <cell r="D1393">
            <v>12.829631805419922</v>
          </cell>
        </row>
        <row r="1394">
          <cell r="A1394" t="str">
            <v>AFG</v>
          </cell>
          <cell r="B1394">
            <v>2017</v>
          </cell>
          <cell r="C1394" t="str">
            <v>mac_labz</v>
          </cell>
          <cell r="D1394">
            <v>2.5909528732299805</v>
          </cell>
        </row>
        <row r="1395">
          <cell r="A1395" t="str">
            <v>AFG</v>
          </cell>
          <cell r="B1395">
            <v>2009</v>
          </cell>
          <cell r="C1395" t="str">
            <v>maconz</v>
          </cell>
          <cell r="D1395">
            <v>9.345733642578125</v>
          </cell>
        </row>
        <row r="1396">
          <cell r="A1396" t="str">
            <v>AFG</v>
          </cell>
          <cell r="B1396">
            <v>2024</v>
          </cell>
          <cell r="C1396" t="str">
            <v>maagrfc</v>
          </cell>
          <cell r="D1396">
            <v>4.4499998092651367</v>
          </cell>
        </row>
        <row r="1397">
          <cell r="A1397" t="str">
            <v>AFG</v>
          </cell>
          <cell r="B1397">
            <v>2022</v>
          </cell>
          <cell r="C1397" t="str">
            <v>malabz</v>
          </cell>
          <cell r="D1397">
            <v>3.1417741775512695</v>
          </cell>
        </row>
        <row r="1398">
          <cell r="A1398" t="str">
            <v>AFG</v>
          </cell>
          <cell r="B1398">
            <v>2007</v>
          </cell>
          <cell r="C1398" t="str">
            <v>mataxfc</v>
          </cell>
          <cell r="D1398">
            <v>12.217442512512207</v>
          </cell>
        </row>
        <row r="1399">
          <cell r="A1399" t="str">
            <v>AFG</v>
          </cell>
          <cell r="B1399">
            <v>2024</v>
          </cell>
          <cell r="C1399" t="str">
            <v>maimpz</v>
          </cell>
          <cell r="D1399">
            <v>3.5</v>
          </cell>
        </row>
        <row r="1400">
          <cell r="A1400" t="str">
            <v>AFG</v>
          </cell>
          <cell r="B1400">
            <v>2009</v>
          </cell>
          <cell r="C1400" t="str">
            <v>mar_agrfc</v>
          </cell>
          <cell r="D1400">
            <v>40.900135040283203</v>
          </cell>
        </row>
        <row r="1401">
          <cell r="A1401" t="str">
            <v>AFG</v>
          </cell>
          <cell r="B1401">
            <v>2014</v>
          </cell>
          <cell r="C1401" t="str">
            <v>masrvfc</v>
          </cell>
          <cell r="D1401">
            <v>4.530153751373291</v>
          </cell>
        </row>
        <row r="1402">
          <cell r="A1402" t="str">
            <v>AFG</v>
          </cell>
          <cell r="B1402">
            <v>2006</v>
          </cell>
          <cell r="C1402" t="str">
            <v>magdpz</v>
          </cell>
          <cell r="D1402">
            <v>2.2619976997375488</v>
          </cell>
        </row>
        <row r="1403">
          <cell r="A1403" t="str">
            <v>AFG</v>
          </cell>
          <cell r="B1403">
            <v>2005</v>
          </cell>
          <cell r="C1403" t="str">
            <v>malabz</v>
          </cell>
          <cell r="D1403">
            <v>0</v>
          </cell>
        </row>
        <row r="1404">
          <cell r="A1404" t="str">
            <v>AFG</v>
          </cell>
          <cell r="B1404">
            <v>2006</v>
          </cell>
          <cell r="C1404" t="str">
            <v>maindfc</v>
          </cell>
          <cell r="D1404">
            <v>13.667543411254883</v>
          </cell>
        </row>
        <row r="1405">
          <cell r="A1405" t="str">
            <v>AFG</v>
          </cell>
          <cell r="B1405">
            <v>2008</v>
          </cell>
          <cell r="C1405" t="str">
            <v>mar_indfc</v>
          </cell>
          <cell r="D1405">
            <v>14.332480430603027</v>
          </cell>
        </row>
        <row r="1406">
          <cell r="A1406" t="str">
            <v>AFG</v>
          </cell>
          <cell r="B1406">
            <v>2010</v>
          </cell>
          <cell r="C1406" t="str">
            <v>magdpz</v>
          </cell>
          <cell r="D1406">
            <v>8.0257406234741211</v>
          </cell>
        </row>
        <row r="1407">
          <cell r="A1407" t="str">
            <v>AFG</v>
          </cell>
          <cell r="B1407">
            <v>2024</v>
          </cell>
          <cell r="C1407" t="str">
            <v>mar_taxfc</v>
          </cell>
          <cell r="D1407">
            <v>4.7559185028076172</v>
          </cell>
        </row>
        <row r="1408">
          <cell r="A1408" t="str">
            <v>AFG</v>
          </cell>
          <cell r="B1408">
            <v>2014</v>
          </cell>
          <cell r="C1408" t="str">
            <v>mafdi_</v>
          </cell>
          <cell r="D1408">
            <v>-0.20369481369336559</v>
          </cell>
        </row>
        <row r="1409">
          <cell r="A1409" t="str">
            <v>AFG</v>
          </cell>
          <cell r="B1409">
            <v>2005</v>
          </cell>
          <cell r="C1409" t="str">
            <v>maconz</v>
          </cell>
          <cell r="D1409">
            <v>0</v>
          </cell>
        </row>
        <row r="1410">
          <cell r="A1410" t="str">
            <v>AFG</v>
          </cell>
          <cell r="B1410">
            <v>2011</v>
          </cell>
          <cell r="C1410" t="str">
            <v>magovz</v>
          </cell>
          <cell r="D1410">
            <v>4.9671335220336914</v>
          </cell>
        </row>
        <row r="1411">
          <cell r="A1411" t="str">
            <v>AFG</v>
          </cell>
          <cell r="B1411">
            <v>2024</v>
          </cell>
          <cell r="C1411" t="str">
            <v>magdpz</v>
          </cell>
          <cell r="D1411">
            <v>3.0399999618530273</v>
          </cell>
        </row>
        <row r="1412">
          <cell r="A1412" t="str">
            <v>AFG</v>
          </cell>
          <cell r="B1412">
            <v>2024</v>
          </cell>
          <cell r="C1412" t="str">
            <v>madeficit_</v>
          </cell>
          <cell r="D1412">
            <v>-0.72972220182418823</v>
          </cell>
        </row>
        <row r="1413">
          <cell r="A1413" t="str">
            <v>AFG</v>
          </cell>
          <cell r="B1413">
            <v>2025</v>
          </cell>
          <cell r="C1413" t="str">
            <v>mareer</v>
          </cell>
          <cell r="D1413">
            <v>85.485855102539063</v>
          </cell>
        </row>
        <row r="1414">
          <cell r="A1414" t="str">
            <v>AFG</v>
          </cell>
          <cell r="B1414">
            <v>2019</v>
          </cell>
          <cell r="C1414" t="str">
            <v>mar_indfc</v>
          </cell>
          <cell r="D1414">
            <v>12.925155639648438</v>
          </cell>
        </row>
        <row r="1415">
          <cell r="A1415" t="str">
            <v>AFG</v>
          </cell>
          <cell r="B1415">
            <v>2007</v>
          </cell>
          <cell r="C1415" t="str">
            <v>mar_impz</v>
          </cell>
          <cell r="D1415">
            <v>87.071365356445313</v>
          </cell>
        </row>
        <row r="1416">
          <cell r="A1416" t="str">
            <v>AFG</v>
          </cell>
          <cell r="B1416">
            <v>2018</v>
          </cell>
          <cell r="C1416" t="str">
            <v>macab_</v>
          </cell>
          <cell r="D1416">
            <v>2.7067651748657227</v>
          </cell>
        </row>
        <row r="1417">
          <cell r="A1417" t="str">
            <v>AFG</v>
          </cell>
          <cell r="B1417">
            <v>2021</v>
          </cell>
          <cell r="C1417" t="str">
            <v>macab_</v>
          </cell>
          <cell r="D1417">
            <v>-1.2180520296096802</v>
          </cell>
        </row>
        <row r="1418">
          <cell r="A1418" t="str">
            <v>AFG</v>
          </cell>
          <cell r="B1418">
            <v>2025</v>
          </cell>
          <cell r="C1418" t="str">
            <v>maexpz</v>
          </cell>
          <cell r="D1418">
            <v>7.3000001907348633</v>
          </cell>
        </row>
        <row r="1419">
          <cell r="A1419" t="str">
            <v>AFG</v>
          </cell>
          <cell r="B1419">
            <v>2024</v>
          </cell>
          <cell r="C1419" t="str">
            <v>mar_agrfc</v>
          </cell>
          <cell r="D1419">
            <v>32.456478118896484</v>
          </cell>
        </row>
        <row r="1420">
          <cell r="A1420" t="str">
            <v>AFG</v>
          </cell>
          <cell r="B1420">
            <v>2006</v>
          </cell>
          <cell r="C1420" t="str">
            <v>mataxfc</v>
          </cell>
          <cell r="D1420">
            <v>14.898647308349609</v>
          </cell>
        </row>
        <row r="1421">
          <cell r="A1421" t="str">
            <v>AFG</v>
          </cell>
          <cell r="B1421">
            <v>2016</v>
          </cell>
          <cell r="C1421" t="str">
            <v>matfpz</v>
          </cell>
          <cell r="D1421">
            <v>-1.6460306644439697</v>
          </cell>
        </row>
        <row r="1422">
          <cell r="A1422" t="str">
            <v>AFG</v>
          </cell>
          <cell r="B1422">
            <v>2005</v>
          </cell>
          <cell r="C1422" t="str">
            <v>mar_expz</v>
          </cell>
          <cell r="D1422">
            <v>37.073104858398438</v>
          </cell>
        </row>
        <row r="1423">
          <cell r="A1423" t="str">
            <v>AFG</v>
          </cell>
          <cell r="B1423">
            <v>2010</v>
          </cell>
          <cell r="C1423" t="str">
            <v>maimpz</v>
          </cell>
          <cell r="D1423">
            <v>-10.922049522399902</v>
          </cell>
        </row>
        <row r="1424">
          <cell r="A1424" t="str">
            <v>AFG</v>
          </cell>
          <cell r="B1424">
            <v>2008</v>
          </cell>
          <cell r="C1424" t="str">
            <v>matfpz</v>
          </cell>
          <cell r="D1424">
            <v>3.4878461360931396</v>
          </cell>
        </row>
        <row r="1425">
          <cell r="A1425" t="str">
            <v>AFG</v>
          </cell>
          <cell r="B1425">
            <v>2024</v>
          </cell>
          <cell r="C1425" t="str">
            <v>magap_</v>
          </cell>
          <cell r="D1425">
            <v>-4.3165478706359863</v>
          </cell>
        </row>
        <row r="1426">
          <cell r="A1426" t="str">
            <v>AFG</v>
          </cell>
          <cell r="B1426">
            <v>2023</v>
          </cell>
          <cell r="C1426" t="str">
            <v>mareer</v>
          </cell>
          <cell r="D1426">
            <v>89.857307434082031</v>
          </cell>
        </row>
        <row r="1427">
          <cell r="A1427" t="str">
            <v>AFG</v>
          </cell>
          <cell r="B1427">
            <v>2013</v>
          </cell>
          <cell r="C1427" t="str">
            <v>mar_taxfc</v>
          </cell>
          <cell r="D1427">
            <v>4.7523283958435059</v>
          </cell>
        </row>
        <row r="1428">
          <cell r="A1428" t="str">
            <v>AFG</v>
          </cell>
          <cell r="B1428">
            <v>2012</v>
          </cell>
          <cell r="C1428" t="str">
            <v>mainvz</v>
          </cell>
          <cell r="D1428">
            <v>21.594451904296875</v>
          </cell>
        </row>
        <row r="1429">
          <cell r="A1429" t="str">
            <v>AFG</v>
          </cell>
          <cell r="B1429">
            <v>2020</v>
          </cell>
          <cell r="C1429" t="str">
            <v>mapanusatls</v>
          </cell>
          <cell r="D1429">
            <v>77.099998474121094</v>
          </cell>
        </row>
        <row r="1430">
          <cell r="A1430" t="str">
            <v>AFG</v>
          </cell>
          <cell r="B1430">
            <v>2023</v>
          </cell>
          <cell r="C1430" t="str">
            <v>mapanusatls</v>
          </cell>
          <cell r="D1430">
            <v>89.25</v>
          </cell>
        </row>
        <row r="1431">
          <cell r="A1431" t="str">
            <v>AFG</v>
          </cell>
          <cell r="B1431">
            <v>2023</v>
          </cell>
          <cell r="C1431" t="str">
            <v>maindfc</v>
          </cell>
          <cell r="D1431">
            <v>1.9500000476837158</v>
          </cell>
        </row>
        <row r="1432">
          <cell r="A1432" t="str">
            <v>AFG</v>
          </cell>
          <cell r="B1432">
            <v>2011</v>
          </cell>
          <cell r="C1432" t="str">
            <v>mar_taxfc</v>
          </cell>
          <cell r="D1432">
            <v>4.2916769981384277</v>
          </cell>
        </row>
        <row r="1433">
          <cell r="A1433" t="str">
            <v>AFG</v>
          </cell>
          <cell r="B1433">
            <v>2017</v>
          </cell>
          <cell r="C1433" t="str">
            <v>maagrfc</v>
          </cell>
          <cell r="D1433">
            <v>6.4110589027404785</v>
          </cell>
        </row>
        <row r="1434">
          <cell r="A1434" t="str">
            <v>AFG</v>
          </cell>
          <cell r="B1434">
            <v>2025</v>
          </cell>
          <cell r="C1434" t="str">
            <v>matfpz</v>
          </cell>
          <cell r="D1434">
            <v>-0.71596419811248779</v>
          </cell>
        </row>
        <row r="1435">
          <cell r="A1435" t="str">
            <v>AFG</v>
          </cell>
          <cell r="B1435">
            <v>2024</v>
          </cell>
          <cell r="C1435" t="str">
            <v>mapanusatls</v>
          </cell>
          <cell r="D1435">
            <v>93.712501525878906</v>
          </cell>
        </row>
        <row r="1436">
          <cell r="A1436" t="str">
            <v>AFG</v>
          </cell>
          <cell r="B1436">
            <v>2025</v>
          </cell>
          <cell r="C1436" t="str">
            <v>maconz</v>
          </cell>
          <cell r="D1436">
            <v>3.5</v>
          </cell>
        </row>
        <row r="1437">
          <cell r="A1437" t="str">
            <v>AFG</v>
          </cell>
          <cell r="B1437">
            <v>2019</v>
          </cell>
          <cell r="C1437" t="str">
            <v>mataxfc</v>
          </cell>
          <cell r="D1437">
            <v>-5.6528935432434082</v>
          </cell>
        </row>
        <row r="1438">
          <cell r="A1438" t="str">
            <v>AFG</v>
          </cell>
          <cell r="B1438">
            <v>2016</v>
          </cell>
          <cell r="C1438" t="str">
            <v>mar_con</v>
          </cell>
          <cell r="D1438">
            <v>95.724128723144531</v>
          </cell>
        </row>
        <row r="1439">
          <cell r="A1439" t="str">
            <v>AFG</v>
          </cell>
          <cell r="B1439">
            <v>2007</v>
          </cell>
          <cell r="C1439" t="str">
            <v>magap_</v>
          </cell>
          <cell r="D1439">
            <v>-5.6331691741943359</v>
          </cell>
        </row>
        <row r="1440">
          <cell r="A1440" t="str">
            <v>AFG</v>
          </cell>
          <cell r="B1440">
            <v>2008</v>
          </cell>
          <cell r="C1440" t="str">
            <v>mar_expz</v>
          </cell>
          <cell r="D1440">
            <v>26.319972991943359</v>
          </cell>
        </row>
        <row r="1441">
          <cell r="A1441" t="str">
            <v>AFG</v>
          </cell>
          <cell r="B1441">
            <v>2016</v>
          </cell>
          <cell r="C1441" t="str">
            <v>mafdi_</v>
          </cell>
          <cell r="D1441">
            <v>-0.43500485831351682</v>
          </cell>
        </row>
        <row r="1442">
          <cell r="A1442" t="str">
            <v>AFG</v>
          </cell>
          <cell r="B1442">
            <v>2019</v>
          </cell>
          <cell r="C1442" t="str">
            <v>mac_labz</v>
          </cell>
          <cell r="D1442">
            <v>2.6197130680084229</v>
          </cell>
        </row>
        <row r="1443">
          <cell r="A1443" t="str">
            <v>AFG</v>
          </cell>
          <cell r="B1443">
            <v>2015</v>
          </cell>
          <cell r="C1443" t="str">
            <v>mar_indfc</v>
          </cell>
          <cell r="D1443">
            <v>11.376370429992676</v>
          </cell>
        </row>
        <row r="1444">
          <cell r="A1444" t="str">
            <v>AFG</v>
          </cell>
          <cell r="B1444">
            <v>2014</v>
          </cell>
          <cell r="C1444" t="str">
            <v>magovz</v>
          </cell>
          <cell r="D1444">
            <v>7.7711405754089355</v>
          </cell>
        </row>
        <row r="1445">
          <cell r="A1445" t="str">
            <v>AFG</v>
          </cell>
          <cell r="B1445">
            <v>2012</v>
          </cell>
          <cell r="C1445" t="str">
            <v>maconz</v>
          </cell>
          <cell r="D1445">
            <v>21.594451904296875</v>
          </cell>
        </row>
        <row r="1446">
          <cell r="A1446" t="str">
            <v>AFG</v>
          </cell>
          <cell r="B1446">
            <v>2007</v>
          </cell>
          <cell r="C1446" t="str">
            <v>madebt_</v>
          </cell>
          <cell r="D1446">
            <v>8.5747919082641602</v>
          </cell>
        </row>
        <row r="1447">
          <cell r="A1447" t="str">
            <v>AFG</v>
          </cell>
          <cell r="B1447">
            <v>2023</v>
          </cell>
          <cell r="C1447" t="str">
            <v>mar_con</v>
          </cell>
          <cell r="D1447">
            <v>98.376045227050781</v>
          </cell>
        </row>
        <row r="1448">
          <cell r="A1448" t="str">
            <v>AFG</v>
          </cell>
          <cell r="B1448">
            <v>2023</v>
          </cell>
          <cell r="C1448" t="str">
            <v>maconz</v>
          </cell>
          <cell r="D1448">
            <v>3.5</v>
          </cell>
        </row>
        <row r="1449">
          <cell r="A1449" t="str">
            <v>AFG</v>
          </cell>
          <cell r="B1449">
            <v>2007</v>
          </cell>
          <cell r="C1449" t="str">
            <v>masrvfc</v>
          </cell>
          <cell r="D1449">
            <v>6.7310037612915039</v>
          </cell>
        </row>
        <row r="1450">
          <cell r="A1450" t="str">
            <v>AFG</v>
          </cell>
          <cell r="B1450">
            <v>2022</v>
          </cell>
          <cell r="C1450" t="str">
            <v>mac_tfpz</v>
          </cell>
          <cell r="D1450">
            <v>-0.89806544780731201</v>
          </cell>
        </row>
        <row r="1451">
          <cell r="A1451" t="str">
            <v>AFG</v>
          </cell>
          <cell r="B1451">
            <v>2015</v>
          </cell>
          <cell r="C1451" t="str">
            <v>magap_</v>
          </cell>
          <cell r="D1451">
            <v>1.3736610412597656</v>
          </cell>
        </row>
        <row r="1452">
          <cell r="A1452" t="str">
            <v>AFG</v>
          </cell>
          <cell r="B1452">
            <v>2011</v>
          </cell>
          <cell r="C1452" t="str">
            <v>mapanusatls</v>
          </cell>
          <cell r="D1452">
            <v>47.759998321533203</v>
          </cell>
        </row>
        <row r="1453">
          <cell r="A1453" t="str">
            <v>AFG</v>
          </cell>
          <cell r="B1453">
            <v>2005</v>
          </cell>
          <cell r="C1453" t="str">
            <v>magovz</v>
          </cell>
          <cell r="D1453">
            <v>0</v>
          </cell>
        </row>
        <row r="1454">
          <cell r="A1454" t="str">
            <v>AFG</v>
          </cell>
          <cell r="B1454">
            <v>2013</v>
          </cell>
          <cell r="C1454" t="str">
            <v>madeficit_</v>
          </cell>
          <cell r="D1454">
            <v>-0.5488402247428894</v>
          </cell>
        </row>
        <row r="1455">
          <cell r="A1455" t="str">
            <v>AFG</v>
          </cell>
          <cell r="B1455">
            <v>2024</v>
          </cell>
          <cell r="C1455" t="str">
            <v>mar_srvfc</v>
          </cell>
          <cell r="D1455">
            <v>55.184242248535156</v>
          </cell>
        </row>
        <row r="1456">
          <cell r="A1456" t="str">
            <v>AFG</v>
          </cell>
          <cell r="B1456">
            <v>2026</v>
          </cell>
          <cell r="C1456" t="str">
            <v>maagrfc</v>
          </cell>
          <cell r="D1456">
            <v>4.4499998092651367</v>
          </cell>
        </row>
        <row r="1457">
          <cell r="A1457" t="str">
            <v>AFG</v>
          </cell>
          <cell r="B1457">
            <v>2020</v>
          </cell>
          <cell r="C1457" t="str">
            <v>mac_tfpz</v>
          </cell>
          <cell r="D1457">
            <v>-2.3894648551940918</v>
          </cell>
        </row>
        <row r="1458">
          <cell r="A1458" t="str">
            <v>AFG</v>
          </cell>
          <cell r="B1458">
            <v>2017</v>
          </cell>
          <cell r="C1458" t="str">
            <v>mar_indfc</v>
          </cell>
          <cell r="D1458">
            <v>11.730608940124512</v>
          </cell>
        </row>
        <row r="1459">
          <cell r="A1459" t="str">
            <v>AFG</v>
          </cell>
          <cell r="B1459">
            <v>2009</v>
          </cell>
          <cell r="C1459" t="str">
            <v>madeficit_</v>
          </cell>
          <cell r="D1459">
            <v>-0.89046937227249146</v>
          </cell>
        </row>
        <row r="1460">
          <cell r="A1460" t="str">
            <v>AFG</v>
          </cell>
          <cell r="B1460">
            <v>2016</v>
          </cell>
          <cell r="C1460" t="str">
            <v>madeficit_</v>
          </cell>
          <cell r="D1460">
            <v>0.12725798785686493</v>
          </cell>
        </row>
        <row r="1461">
          <cell r="A1461" t="str">
            <v>AFG</v>
          </cell>
          <cell r="B1461">
            <v>2022</v>
          </cell>
          <cell r="C1461" t="str">
            <v>matfpz</v>
          </cell>
          <cell r="D1461">
            <v>-0.89806544780731201</v>
          </cell>
        </row>
        <row r="1462">
          <cell r="A1462" t="str">
            <v>AFG</v>
          </cell>
          <cell r="B1462">
            <v>2016</v>
          </cell>
          <cell r="C1462" t="str">
            <v>macpiz</v>
          </cell>
          <cell r="D1462">
            <v>-0.72962832450866699</v>
          </cell>
        </row>
        <row r="1463">
          <cell r="A1463" t="str">
            <v>AFG</v>
          </cell>
          <cell r="B1463">
            <v>2020</v>
          </cell>
          <cell r="C1463" t="str">
            <v>mataxfc</v>
          </cell>
          <cell r="D1463">
            <v>-2.6405909061431885</v>
          </cell>
        </row>
        <row r="1464">
          <cell r="A1464" t="str">
            <v>AFG</v>
          </cell>
          <cell r="B1464">
            <v>2025</v>
          </cell>
          <cell r="C1464" t="str">
            <v>mar_srvfc</v>
          </cell>
          <cell r="D1464">
            <v>54.870849609375</v>
          </cell>
        </row>
        <row r="1465">
          <cell r="A1465" t="str">
            <v>AFG</v>
          </cell>
          <cell r="B1465">
            <v>2005</v>
          </cell>
          <cell r="C1465" t="str">
            <v>maagrfc</v>
          </cell>
          <cell r="D1465">
            <v>17.698102951049805</v>
          </cell>
        </row>
        <row r="1466">
          <cell r="A1466" t="str">
            <v>AFG</v>
          </cell>
          <cell r="B1466">
            <v>2014</v>
          </cell>
          <cell r="C1466" t="str">
            <v>madebt_</v>
          </cell>
          <cell r="D1466">
            <v>8.3514261245727539</v>
          </cell>
        </row>
        <row r="1467">
          <cell r="A1467" t="str">
            <v>AFG</v>
          </cell>
          <cell r="B1467">
            <v>2017</v>
          </cell>
          <cell r="C1467" t="str">
            <v>mareer</v>
          </cell>
          <cell r="D1467">
            <v>97.725074768066406</v>
          </cell>
        </row>
        <row r="1468">
          <cell r="A1468" t="str">
            <v>AFG</v>
          </cell>
          <cell r="B1468">
            <v>2020</v>
          </cell>
          <cell r="C1468" t="str">
            <v>mainvz</v>
          </cell>
          <cell r="D1468">
            <v>-13.640098571777344</v>
          </cell>
        </row>
        <row r="1469">
          <cell r="A1469" t="str">
            <v>AFG</v>
          </cell>
          <cell r="B1469">
            <v>2009</v>
          </cell>
          <cell r="C1469" t="str">
            <v>macpiz</v>
          </cell>
          <cell r="D1469">
            <v>12.943718910217285</v>
          </cell>
        </row>
        <row r="1470">
          <cell r="A1470" t="str">
            <v>AFG</v>
          </cell>
          <cell r="B1470">
            <v>2019</v>
          </cell>
          <cell r="C1470" t="str">
            <v>maexpz</v>
          </cell>
          <cell r="D1470">
            <v>-6.3196249008178711</v>
          </cell>
        </row>
        <row r="1471">
          <cell r="A1471" t="str">
            <v>AFG</v>
          </cell>
          <cell r="B1471">
            <v>2012</v>
          </cell>
          <cell r="C1471" t="str">
            <v>mapanusatls</v>
          </cell>
          <cell r="D1471">
            <v>52.139999389648438</v>
          </cell>
        </row>
        <row r="1472">
          <cell r="A1472" t="str">
            <v>AFG</v>
          </cell>
          <cell r="B1472">
            <v>2025</v>
          </cell>
          <cell r="C1472" t="str">
            <v>macab_</v>
          </cell>
          <cell r="D1472">
            <v>-18.600126266479492</v>
          </cell>
        </row>
        <row r="1473">
          <cell r="A1473" t="str">
            <v>AFG</v>
          </cell>
          <cell r="B1473">
            <v>2009</v>
          </cell>
          <cell r="C1473" t="str">
            <v>mar_srvfc</v>
          </cell>
          <cell r="D1473">
            <v>46.838027954101563</v>
          </cell>
        </row>
        <row r="1474">
          <cell r="A1474" t="str">
            <v>AFG</v>
          </cell>
          <cell r="B1474">
            <v>2022</v>
          </cell>
          <cell r="C1474" t="str">
            <v>mapanusatls</v>
          </cell>
          <cell r="D1474">
            <v>85</v>
          </cell>
        </row>
        <row r="1475">
          <cell r="A1475" t="str">
            <v>AFG</v>
          </cell>
          <cell r="B1475">
            <v>2014</v>
          </cell>
          <cell r="C1475" t="str">
            <v>maindfc</v>
          </cell>
          <cell r="D1475">
            <v>2.7657804489135742</v>
          </cell>
        </row>
        <row r="1476">
          <cell r="A1476" t="str">
            <v>AFG</v>
          </cell>
          <cell r="B1476">
            <v>2020</v>
          </cell>
          <cell r="C1476" t="str">
            <v>mac_labz</v>
          </cell>
          <cell r="D1476">
            <v>2.8854036331176758</v>
          </cell>
        </row>
        <row r="1477">
          <cell r="A1477" t="str">
            <v>AFG</v>
          </cell>
          <cell r="B1477">
            <v>2005</v>
          </cell>
          <cell r="C1477" t="str">
            <v>matfpz</v>
          </cell>
          <cell r="D1477">
            <v>3.8707816600799561</v>
          </cell>
        </row>
        <row r="1478">
          <cell r="A1478" t="str">
            <v>AFG</v>
          </cell>
          <cell r="B1478">
            <v>2020</v>
          </cell>
          <cell r="C1478" t="str">
            <v>mar_indfc</v>
          </cell>
          <cell r="D1478">
            <v>12.584599494934082</v>
          </cell>
        </row>
        <row r="1479">
          <cell r="A1479" t="str">
            <v>AFG</v>
          </cell>
          <cell r="B1479">
            <v>2007</v>
          </cell>
          <cell r="C1479" t="str">
            <v>mar_taxfc</v>
          </cell>
          <cell r="D1479">
            <v>3.731198787689209</v>
          </cell>
        </row>
        <row r="1480">
          <cell r="A1480" t="str">
            <v>AFG</v>
          </cell>
          <cell r="B1480">
            <v>2006</v>
          </cell>
          <cell r="C1480" t="str">
            <v>mar_agrfc</v>
          </cell>
          <cell r="D1480">
            <v>40.791904449462891</v>
          </cell>
        </row>
        <row r="1481">
          <cell r="A1481" t="str">
            <v>AFG</v>
          </cell>
          <cell r="B1481">
            <v>2024</v>
          </cell>
          <cell r="C1481" t="str">
            <v>macpiz</v>
          </cell>
          <cell r="D1481">
            <v>5</v>
          </cell>
        </row>
        <row r="1482">
          <cell r="A1482" t="str">
            <v>AFG</v>
          </cell>
          <cell r="B1482">
            <v>2021</v>
          </cell>
          <cell r="C1482" t="str">
            <v>mar_indfc</v>
          </cell>
          <cell r="D1482">
            <v>12.701711654663086</v>
          </cell>
        </row>
        <row r="1483">
          <cell r="A1483" t="str">
            <v>AFG</v>
          </cell>
          <cell r="B1483">
            <v>2013</v>
          </cell>
          <cell r="C1483" t="str">
            <v>mar_indfc</v>
          </cell>
          <cell r="D1483">
            <v>10.967392921447754</v>
          </cell>
        </row>
        <row r="1484">
          <cell r="A1484" t="str">
            <v>AFG</v>
          </cell>
          <cell r="B1484">
            <v>2016</v>
          </cell>
          <cell r="C1484" t="str">
            <v>maagrfc</v>
          </cell>
          <cell r="D1484">
            <v>5.9717516899108887</v>
          </cell>
        </row>
        <row r="1485">
          <cell r="A1485" t="str">
            <v>AFG</v>
          </cell>
          <cell r="B1485">
            <v>2009</v>
          </cell>
          <cell r="C1485" t="str">
            <v>mar_impz</v>
          </cell>
          <cell r="D1485">
            <v>49.203948974609375</v>
          </cell>
        </row>
        <row r="1486">
          <cell r="A1486" t="str">
            <v>AFG</v>
          </cell>
          <cell r="B1486">
            <v>2009</v>
          </cell>
          <cell r="C1486" t="str">
            <v>mapanusatls</v>
          </cell>
          <cell r="D1486">
            <v>49.180000305175781</v>
          </cell>
        </row>
        <row r="1487">
          <cell r="A1487" t="str">
            <v>AFG</v>
          </cell>
          <cell r="B1487">
            <v>2015</v>
          </cell>
          <cell r="C1487" t="str">
            <v>mar_srvfc</v>
          </cell>
          <cell r="D1487">
            <v>62.425270080566406</v>
          </cell>
        </row>
        <row r="1488">
          <cell r="A1488" t="str">
            <v>AFG</v>
          </cell>
          <cell r="B1488">
            <v>2010</v>
          </cell>
          <cell r="C1488" t="str">
            <v>maexpz</v>
          </cell>
          <cell r="D1488">
            <v>-10.682891845703125</v>
          </cell>
        </row>
        <row r="1489">
          <cell r="A1489" t="str">
            <v>AFG</v>
          </cell>
          <cell r="B1489">
            <v>2009</v>
          </cell>
          <cell r="C1489" t="str">
            <v>matfpz</v>
          </cell>
          <cell r="D1489">
            <v>3.257521390914917</v>
          </cell>
        </row>
        <row r="1490">
          <cell r="A1490" t="str">
            <v>AFG</v>
          </cell>
          <cell r="B1490">
            <v>2015</v>
          </cell>
          <cell r="C1490" t="str">
            <v>maexpz</v>
          </cell>
          <cell r="D1490">
            <v>-20.047096252441406</v>
          </cell>
        </row>
        <row r="1491">
          <cell r="A1491" t="str">
            <v>AFG</v>
          </cell>
          <cell r="B1491">
            <v>2013</v>
          </cell>
          <cell r="C1491" t="str">
            <v>mar_impz</v>
          </cell>
          <cell r="D1491">
            <v>39.414421081542969</v>
          </cell>
        </row>
        <row r="1492">
          <cell r="A1492" t="str">
            <v>AFG</v>
          </cell>
          <cell r="B1492">
            <v>2013</v>
          </cell>
          <cell r="C1492" t="str">
            <v>matfpz</v>
          </cell>
          <cell r="D1492">
            <v>0.71174466609954834</v>
          </cell>
        </row>
        <row r="1493">
          <cell r="A1493" t="str">
            <v>AFG</v>
          </cell>
          <cell r="B1493">
            <v>2010</v>
          </cell>
          <cell r="C1493" t="str">
            <v>maconz</v>
          </cell>
          <cell r="D1493">
            <v>3.719393253326416</v>
          </cell>
        </row>
        <row r="1494">
          <cell r="A1494" t="str">
            <v>AFG</v>
          </cell>
          <cell r="B1494">
            <v>2018</v>
          </cell>
          <cell r="C1494" t="str">
            <v>mar_expz</v>
          </cell>
          <cell r="D1494">
            <v>8.9905900955200195</v>
          </cell>
        </row>
        <row r="1495">
          <cell r="A1495" t="str">
            <v>AFG</v>
          </cell>
          <cell r="B1495">
            <v>2025</v>
          </cell>
          <cell r="C1495" t="str">
            <v>mataxfc</v>
          </cell>
          <cell r="D1495">
            <v>3.0399999618530273</v>
          </cell>
        </row>
        <row r="1496">
          <cell r="A1496" t="str">
            <v>AFG</v>
          </cell>
          <cell r="B1496">
            <v>2006</v>
          </cell>
          <cell r="C1496" t="str">
            <v>masrvfc</v>
          </cell>
          <cell r="D1496">
            <v>5.3882675170898438</v>
          </cell>
        </row>
        <row r="1497">
          <cell r="A1497" t="str">
            <v>AFG</v>
          </cell>
          <cell r="B1497">
            <v>2020</v>
          </cell>
          <cell r="C1497" t="str">
            <v>maexpz</v>
          </cell>
          <cell r="D1497">
            <v>-2.2999999523162842</v>
          </cell>
        </row>
        <row r="1498">
          <cell r="A1498" t="str">
            <v>AFG</v>
          </cell>
          <cell r="B1498">
            <v>2009</v>
          </cell>
          <cell r="C1498" t="str">
            <v>masrvfc</v>
          </cell>
          <cell r="D1498">
            <v>14.854449272155762</v>
          </cell>
        </row>
        <row r="1499">
          <cell r="A1499" t="str">
            <v>AFG</v>
          </cell>
          <cell r="B1499">
            <v>2014</v>
          </cell>
          <cell r="C1499" t="str">
            <v>mar_expz</v>
          </cell>
          <cell r="D1499">
            <v>10.149624824523926</v>
          </cell>
        </row>
        <row r="1500">
          <cell r="A1500" t="str">
            <v>AFG</v>
          </cell>
          <cell r="B1500">
            <v>2005</v>
          </cell>
          <cell r="C1500" t="str">
            <v>mafdi_</v>
          </cell>
          <cell r="D1500">
            <v>0</v>
          </cell>
        </row>
        <row r="1501">
          <cell r="A1501" t="str">
            <v>AFG</v>
          </cell>
          <cell r="B1501">
            <v>2005</v>
          </cell>
          <cell r="C1501" t="str">
            <v>mar_impz</v>
          </cell>
          <cell r="D1501">
            <v>104.83412170410156</v>
          </cell>
        </row>
        <row r="1502">
          <cell r="A1502" t="str">
            <v>AFG</v>
          </cell>
          <cell r="B1502">
            <v>2005</v>
          </cell>
          <cell r="C1502" t="str">
            <v>mar_agrfc</v>
          </cell>
          <cell r="D1502">
            <v>43.784378051757813</v>
          </cell>
        </row>
        <row r="1503">
          <cell r="A1503" t="str">
            <v>AFG</v>
          </cell>
          <cell r="B1503">
            <v>2011</v>
          </cell>
          <cell r="C1503" t="str">
            <v>mataxfc</v>
          </cell>
          <cell r="D1503">
            <v>10.160874366760254</v>
          </cell>
        </row>
        <row r="1504">
          <cell r="A1504" t="str">
            <v>AFG</v>
          </cell>
          <cell r="B1504">
            <v>2009</v>
          </cell>
          <cell r="C1504" t="str">
            <v>madebt_</v>
          </cell>
          <cell r="D1504">
            <v>8.1680030822753906</v>
          </cell>
        </row>
        <row r="1505">
          <cell r="A1505" t="str">
            <v>AFG</v>
          </cell>
          <cell r="B1505">
            <v>2022</v>
          </cell>
          <cell r="C1505" t="str">
            <v>mar_impz</v>
          </cell>
          <cell r="D1505">
            <v>50.592170715332031</v>
          </cell>
        </row>
        <row r="1506">
          <cell r="A1506" t="str">
            <v>AFG</v>
          </cell>
          <cell r="B1506">
            <v>2016</v>
          </cell>
          <cell r="C1506" t="str">
            <v>mar_taxfc</v>
          </cell>
          <cell r="D1506">
            <v>5.0085530281066895</v>
          </cell>
        </row>
        <row r="1507">
          <cell r="A1507" t="str">
            <v>AFG</v>
          </cell>
          <cell r="B1507">
            <v>2007</v>
          </cell>
          <cell r="C1507" t="str">
            <v>maindfc</v>
          </cell>
          <cell r="D1507">
            <v>7.6331262588500977</v>
          </cell>
        </row>
        <row r="1508">
          <cell r="A1508" t="str">
            <v>AFG</v>
          </cell>
          <cell r="B1508">
            <v>2005</v>
          </cell>
          <cell r="C1508" t="str">
            <v>mac_tfpz</v>
          </cell>
          <cell r="D1508">
            <v>3.8707816600799561</v>
          </cell>
        </row>
        <row r="1509">
          <cell r="A1509" t="str">
            <v>AFG</v>
          </cell>
          <cell r="B1509">
            <v>2018</v>
          </cell>
          <cell r="C1509" t="str">
            <v>mar_agrfc</v>
          </cell>
          <cell r="D1509">
            <v>26.543743133544922</v>
          </cell>
        </row>
        <row r="1510">
          <cell r="A1510" t="str">
            <v>AFG</v>
          </cell>
          <cell r="B1510">
            <v>2019</v>
          </cell>
          <cell r="C1510" t="str">
            <v>mafdi_</v>
          </cell>
          <cell r="D1510">
            <v>1.526999999999994E-2</v>
          </cell>
        </row>
        <row r="1511">
          <cell r="A1511" t="str">
            <v>AFG</v>
          </cell>
          <cell r="B1511">
            <v>2008</v>
          </cell>
          <cell r="C1511" t="str">
            <v>mapanusatls</v>
          </cell>
          <cell r="D1511">
            <v>50.950000762939453</v>
          </cell>
        </row>
        <row r="1512">
          <cell r="A1512" t="str">
            <v>AFG</v>
          </cell>
          <cell r="B1512">
            <v>2018</v>
          </cell>
          <cell r="C1512" t="str">
            <v>maexpz</v>
          </cell>
          <cell r="D1512">
            <v>49.634754180908203</v>
          </cell>
        </row>
        <row r="1513">
          <cell r="A1513" t="str">
            <v>AFG</v>
          </cell>
          <cell r="B1513">
            <v>2011</v>
          </cell>
          <cell r="C1513" t="str">
            <v>magap_</v>
          </cell>
          <cell r="D1513">
            <v>0.46122181415557861</v>
          </cell>
        </row>
        <row r="1514">
          <cell r="A1514" t="str">
            <v>AFG</v>
          </cell>
          <cell r="B1514">
            <v>2005</v>
          </cell>
          <cell r="C1514" t="str">
            <v>mareer</v>
          </cell>
          <cell r="D1514">
            <v>245.24497985839844</v>
          </cell>
        </row>
        <row r="1515">
          <cell r="A1515" t="str">
            <v>AFG</v>
          </cell>
          <cell r="B1515">
            <v>2023</v>
          </cell>
          <cell r="C1515" t="str">
            <v>magdpz</v>
          </cell>
          <cell r="D1515">
            <v>3.0399999618530273</v>
          </cell>
        </row>
        <row r="1516">
          <cell r="A1516" t="str">
            <v>AFG</v>
          </cell>
          <cell r="B1516">
            <v>2010</v>
          </cell>
          <cell r="C1516" t="str">
            <v>macpiz</v>
          </cell>
          <cell r="D1516">
            <v>26.76484489440918</v>
          </cell>
        </row>
        <row r="1517">
          <cell r="A1517" t="str">
            <v>AFG</v>
          </cell>
          <cell r="B1517">
            <v>2011</v>
          </cell>
          <cell r="C1517" t="str">
            <v>mar_indfc</v>
          </cell>
          <cell r="D1517">
            <v>12.431721687316895</v>
          </cell>
        </row>
        <row r="1518">
          <cell r="A1518" t="str">
            <v>AFG</v>
          </cell>
          <cell r="B1518">
            <v>2010</v>
          </cell>
          <cell r="C1518" t="str">
            <v>magovz</v>
          </cell>
          <cell r="D1518">
            <v>3.719393253326416</v>
          </cell>
        </row>
        <row r="1519">
          <cell r="A1519" t="str">
            <v>AFG</v>
          </cell>
          <cell r="B1519">
            <v>2016</v>
          </cell>
          <cell r="C1519" t="str">
            <v>mar_impz</v>
          </cell>
          <cell r="D1519">
            <v>48.055110931396484</v>
          </cell>
        </row>
        <row r="1520">
          <cell r="A1520" t="str">
            <v>AFG</v>
          </cell>
          <cell r="B1520">
            <v>2021</v>
          </cell>
          <cell r="C1520" t="str">
            <v>mar_impz</v>
          </cell>
          <cell r="D1520">
            <v>50.356632232666016</v>
          </cell>
        </row>
        <row r="1521">
          <cell r="A1521" t="str">
            <v>AFG</v>
          </cell>
          <cell r="B1521">
            <v>2023</v>
          </cell>
          <cell r="C1521" t="str">
            <v>mataxfc</v>
          </cell>
          <cell r="D1521">
            <v>3.0399999618530273</v>
          </cell>
        </row>
        <row r="1522">
          <cell r="A1522" t="str">
            <v>AFG</v>
          </cell>
          <cell r="B1522">
            <v>2026</v>
          </cell>
          <cell r="C1522" t="str">
            <v>madeficit_</v>
          </cell>
          <cell r="D1522">
            <v>-0.72993910312652588</v>
          </cell>
        </row>
        <row r="1523">
          <cell r="A1523" t="str">
            <v>AFG</v>
          </cell>
          <cell r="B1523">
            <v>2012</v>
          </cell>
          <cell r="C1523" t="str">
            <v>maindfc</v>
          </cell>
          <cell r="D1523">
            <v>6.394071102142334</v>
          </cell>
        </row>
        <row r="1524">
          <cell r="A1524" t="str">
            <v>AFG</v>
          </cell>
          <cell r="B1524">
            <v>2017</v>
          </cell>
          <cell r="C1524" t="str">
            <v>mainvz</v>
          </cell>
          <cell r="D1524">
            <v>19.434480667114258</v>
          </cell>
        </row>
        <row r="1525">
          <cell r="A1525" t="str">
            <v>AFG</v>
          </cell>
          <cell r="B1525">
            <v>2025</v>
          </cell>
          <cell r="C1525" t="str">
            <v>madebt_</v>
          </cell>
          <cell r="D1525">
            <v>8.0308656692504883</v>
          </cell>
        </row>
        <row r="1526">
          <cell r="A1526" t="str">
            <v>AFG</v>
          </cell>
          <cell r="B1526">
            <v>2014</v>
          </cell>
          <cell r="C1526" t="str">
            <v>maexpz</v>
          </cell>
          <cell r="D1526">
            <v>37.014301300048828</v>
          </cell>
        </row>
        <row r="1527">
          <cell r="A1527" t="str">
            <v>AFG</v>
          </cell>
          <cell r="B1527">
            <v>2026</v>
          </cell>
          <cell r="C1527" t="str">
            <v>mar_indfc</v>
          </cell>
          <cell r="D1527">
            <v>12.099180221557617</v>
          </cell>
        </row>
        <row r="1528">
          <cell r="A1528" t="str">
            <v>AFG</v>
          </cell>
          <cell r="B1528">
            <v>2015</v>
          </cell>
          <cell r="C1528" t="str">
            <v>malabz</v>
          </cell>
          <cell r="D1528">
            <v>4.0600156784057617</v>
          </cell>
        </row>
        <row r="1529">
          <cell r="A1529" t="str">
            <v>AFG</v>
          </cell>
          <cell r="B1529">
            <v>2020</v>
          </cell>
          <cell r="C1529" t="str">
            <v>matfpz</v>
          </cell>
          <cell r="D1529">
            <v>-2.3894648551940918</v>
          </cell>
        </row>
        <row r="1530">
          <cell r="A1530" t="str">
            <v>AFG</v>
          </cell>
          <cell r="B1530">
            <v>2010</v>
          </cell>
          <cell r="C1530" t="str">
            <v>madeficit_</v>
          </cell>
          <cell r="D1530">
            <v>0.63454139232635498</v>
          </cell>
        </row>
        <row r="1531">
          <cell r="A1531" t="str">
            <v>AFG</v>
          </cell>
          <cell r="B1531">
            <v>2020</v>
          </cell>
          <cell r="C1531" t="str">
            <v>mareer</v>
          </cell>
          <cell r="D1531">
            <v>94.367637634277344</v>
          </cell>
        </row>
        <row r="1532">
          <cell r="A1532" t="str">
            <v>AFG</v>
          </cell>
          <cell r="B1532">
            <v>2014</v>
          </cell>
          <cell r="C1532" t="str">
            <v>malabz</v>
          </cell>
          <cell r="D1532">
            <v>5.0138649940490723</v>
          </cell>
        </row>
        <row r="1533">
          <cell r="A1533" t="str">
            <v>AFG</v>
          </cell>
          <cell r="B1533">
            <v>2021</v>
          </cell>
          <cell r="C1533" t="str">
            <v>mareer</v>
          </cell>
          <cell r="D1533">
            <v>90.014694213867188</v>
          </cell>
        </row>
        <row r="1534">
          <cell r="A1534" t="str">
            <v>AFG</v>
          </cell>
          <cell r="B1534">
            <v>2015</v>
          </cell>
          <cell r="C1534" t="str">
            <v>mataxfc</v>
          </cell>
          <cell r="D1534">
            <v>10.908373832702637</v>
          </cell>
        </row>
        <row r="1535">
          <cell r="A1535" t="str">
            <v>AFG</v>
          </cell>
          <cell r="B1535">
            <v>2021</v>
          </cell>
          <cell r="C1535" t="str">
            <v>mar_con</v>
          </cell>
          <cell r="D1535">
            <v>97.577484130859375</v>
          </cell>
        </row>
        <row r="1536">
          <cell r="A1536" t="str">
            <v>AFG</v>
          </cell>
          <cell r="B1536">
            <v>2026</v>
          </cell>
          <cell r="C1536" t="str">
            <v>mafdi_</v>
          </cell>
          <cell r="D1536">
            <v>-0.26198627988364059</v>
          </cell>
        </row>
        <row r="1537">
          <cell r="A1537" t="str">
            <v>AFG</v>
          </cell>
          <cell r="B1537">
            <v>2018</v>
          </cell>
          <cell r="C1537" t="str">
            <v>mac_labz</v>
          </cell>
          <cell r="D1537">
            <v>2.6021792888641357</v>
          </cell>
        </row>
        <row r="1538">
          <cell r="A1538" t="str">
            <v>AFG</v>
          </cell>
          <cell r="B1538">
            <v>2022</v>
          </cell>
          <cell r="C1538" t="str">
            <v>magap_</v>
          </cell>
          <cell r="D1538">
            <v>-6.1994643211364746</v>
          </cell>
        </row>
        <row r="1539">
          <cell r="A1539" t="str">
            <v>AFG</v>
          </cell>
          <cell r="B1539">
            <v>2018</v>
          </cell>
          <cell r="C1539" t="str">
            <v>masrvfc</v>
          </cell>
          <cell r="D1539">
            <v>1.9381712675094604</v>
          </cell>
        </row>
        <row r="1540">
          <cell r="A1540" t="str">
            <v>AFG</v>
          </cell>
          <cell r="B1540">
            <v>2022</v>
          </cell>
          <cell r="C1540" t="str">
            <v>maexpz</v>
          </cell>
          <cell r="D1540">
            <v>7.1999998092651367</v>
          </cell>
        </row>
        <row r="1541">
          <cell r="A1541" t="str">
            <v>AFG</v>
          </cell>
          <cell r="B1541">
            <v>2016</v>
          </cell>
          <cell r="C1541" t="str">
            <v>mac_labz</v>
          </cell>
          <cell r="D1541">
            <v>2.2160496711730957</v>
          </cell>
        </row>
        <row r="1542">
          <cell r="A1542" t="str">
            <v>AFG</v>
          </cell>
          <cell r="B1542">
            <v>2023</v>
          </cell>
          <cell r="C1542" t="str">
            <v>mainvz</v>
          </cell>
          <cell r="D1542">
            <v>1.2651419639587402</v>
          </cell>
        </row>
        <row r="1543">
          <cell r="A1543" t="str">
            <v>AFG</v>
          </cell>
          <cell r="B1543">
            <v>2016</v>
          </cell>
          <cell r="C1543" t="str">
            <v>mapanusatls</v>
          </cell>
          <cell r="D1543">
            <v>66.839401245117188</v>
          </cell>
        </row>
        <row r="1544">
          <cell r="A1544" t="str">
            <v>AFG</v>
          </cell>
          <cell r="B1544">
            <v>2016</v>
          </cell>
          <cell r="C1544" t="str">
            <v>maexpz</v>
          </cell>
          <cell r="D1544">
            <v>-20.696382522583008</v>
          </cell>
        </row>
        <row r="1545">
          <cell r="A1545" t="str">
            <v>AFG</v>
          </cell>
          <cell r="B1545">
            <v>2022</v>
          </cell>
          <cell r="C1545" t="str">
            <v>magovz</v>
          </cell>
          <cell r="D1545">
            <v>1.3350169658660889</v>
          </cell>
        </row>
        <row r="1546">
          <cell r="A1546" t="str">
            <v>AFG</v>
          </cell>
          <cell r="B1546">
            <v>2006</v>
          </cell>
          <cell r="C1546" t="str">
            <v>mar_expz</v>
          </cell>
          <cell r="D1546">
            <v>35.123588562011719</v>
          </cell>
        </row>
        <row r="1547">
          <cell r="A1547" t="str">
            <v>AFG</v>
          </cell>
          <cell r="B1547">
            <v>2016</v>
          </cell>
          <cell r="C1547" t="str">
            <v>mataxfc</v>
          </cell>
          <cell r="D1547">
            <v>9.0851030349731445</v>
          </cell>
        </row>
        <row r="1548">
          <cell r="A1548" t="str">
            <v>AFG</v>
          </cell>
          <cell r="B1548">
            <v>2009</v>
          </cell>
          <cell r="C1548" t="str">
            <v>mar_indfc</v>
          </cell>
          <cell r="D1548">
            <v>12.261837959289551</v>
          </cell>
        </row>
        <row r="1549">
          <cell r="A1549" t="str">
            <v>AFG</v>
          </cell>
          <cell r="B1549">
            <v>2019</v>
          </cell>
          <cell r="C1549" t="str">
            <v>matfpz</v>
          </cell>
          <cell r="D1549">
            <v>-3.0246429443359375</v>
          </cell>
        </row>
        <row r="1550">
          <cell r="A1550" t="str">
            <v>AFG</v>
          </cell>
          <cell r="B1550">
            <v>2009</v>
          </cell>
          <cell r="C1550" t="str">
            <v>maimpz</v>
          </cell>
          <cell r="D1550">
            <v>-14.016738891601563</v>
          </cell>
        </row>
        <row r="1551">
          <cell r="A1551" t="str">
            <v>AFG</v>
          </cell>
          <cell r="B1551">
            <v>2017</v>
          </cell>
          <cell r="C1551" t="str">
            <v>maconz</v>
          </cell>
          <cell r="D1551">
            <v>3.4998021125793457</v>
          </cell>
        </row>
        <row r="1552">
          <cell r="A1552" t="str">
            <v>AFG</v>
          </cell>
          <cell r="B1552">
            <v>2012</v>
          </cell>
          <cell r="C1552" t="str">
            <v>maexpz</v>
          </cell>
          <cell r="D1552">
            <v>-29.970891952514648</v>
          </cell>
        </row>
        <row r="1553">
          <cell r="A1553" t="str">
            <v>AFG</v>
          </cell>
          <cell r="B1553">
            <v>2010</v>
          </cell>
          <cell r="C1553" t="str">
            <v>madebt_</v>
          </cell>
          <cell r="D1553">
            <v>5.4088530540466309</v>
          </cell>
        </row>
        <row r="1554">
          <cell r="A1554" t="str">
            <v>AFG</v>
          </cell>
          <cell r="B1554">
            <v>2008</v>
          </cell>
          <cell r="C1554" t="str">
            <v>mar_srvfc</v>
          </cell>
          <cell r="D1554">
            <v>50.57794189453125</v>
          </cell>
        </row>
        <row r="1555">
          <cell r="A1555" t="str">
            <v>AFG</v>
          </cell>
          <cell r="B1555">
            <v>2018</v>
          </cell>
          <cell r="C1555" t="str">
            <v>mar_taxfc</v>
          </cell>
          <cell r="D1555">
            <v>5.3061614036560059</v>
          </cell>
        </row>
        <row r="1556">
          <cell r="A1556" t="str">
            <v>AFG</v>
          </cell>
          <cell r="B1556">
            <v>2025</v>
          </cell>
          <cell r="C1556" t="str">
            <v>mafdi_</v>
          </cell>
          <cell r="D1556">
            <v>-0.27376654477972567</v>
          </cell>
        </row>
        <row r="1557">
          <cell r="A1557" t="str">
            <v>AFG</v>
          </cell>
          <cell r="B1557">
            <v>2015</v>
          </cell>
          <cell r="C1557" t="str">
            <v>mafdi_</v>
          </cell>
          <cell r="D1557">
            <v>-0.96411608731178589</v>
          </cell>
        </row>
        <row r="1558">
          <cell r="A1558" t="str">
            <v>AFG</v>
          </cell>
          <cell r="B1558">
            <v>2005</v>
          </cell>
          <cell r="C1558" t="str">
            <v>masrvfc</v>
          </cell>
          <cell r="D1558">
            <v>12.787842750549316</v>
          </cell>
        </row>
        <row r="1559">
          <cell r="A1559" t="str">
            <v>AFG</v>
          </cell>
          <cell r="B1559">
            <v>2010</v>
          </cell>
          <cell r="C1559" t="str">
            <v>mac_labz</v>
          </cell>
          <cell r="D1559">
            <v>2.551436185836792</v>
          </cell>
        </row>
        <row r="1560">
          <cell r="A1560" t="str">
            <v>AFG</v>
          </cell>
          <cell r="B1560">
            <v>2019</v>
          </cell>
          <cell r="C1560" t="str">
            <v>mac_tfpz</v>
          </cell>
          <cell r="D1560">
            <v>-3.0246429443359375</v>
          </cell>
        </row>
        <row r="1561">
          <cell r="A1561" t="str">
            <v>AFG</v>
          </cell>
          <cell r="B1561">
            <v>2013</v>
          </cell>
          <cell r="C1561" t="str">
            <v>mar_expz</v>
          </cell>
          <cell r="D1561">
            <v>7.5947003364562988</v>
          </cell>
        </row>
        <row r="1562">
          <cell r="A1562" t="str">
            <v>AFG</v>
          </cell>
          <cell r="B1562">
            <v>2015</v>
          </cell>
          <cell r="C1562" t="str">
            <v>mar_agrfc</v>
          </cell>
          <cell r="D1562">
            <v>26.198358535766602</v>
          </cell>
        </row>
        <row r="1563">
          <cell r="A1563" t="str">
            <v>AFG</v>
          </cell>
          <cell r="B1563">
            <v>2025</v>
          </cell>
          <cell r="C1563" t="str">
            <v>macpiz</v>
          </cell>
          <cell r="D1563">
            <v>5</v>
          </cell>
        </row>
        <row r="1564">
          <cell r="A1564" t="str">
            <v>AFG</v>
          </cell>
          <cell r="B1564">
            <v>2025</v>
          </cell>
          <cell r="C1564" t="str">
            <v>mac_labz</v>
          </cell>
          <cell r="D1564">
            <v>2.2002179622650146</v>
          </cell>
        </row>
        <row r="1565">
          <cell r="A1565" t="str">
            <v>AFG</v>
          </cell>
          <cell r="B1565">
            <v>2006</v>
          </cell>
          <cell r="C1565" t="str">
            <v>magap_</v>
          </cell>
          <cell r="D1565">
            <v>-6.8640651702880859</v>
          </cell>
        </row>
        <row r="1566">
          <cell r="A1566" t="str">
            <v>AFG</v>
          </cell>
          <cell r="B1566">
            <v>2020</v>
          </cell>
          <cell r="C1566" t="str">
            <v>maindfc</v>
          </cell>
          <cell r="D1566">
            <v>-4.440000057220459</v>
          </cell>
        </row>
        <row r="1567">
          <cell r="A1567" t="str">
            <v>AFG</v>
          </cell>
          <cell r="B1567">
            <v>2010</v>
          </cell>
          <cell r="C1567" t="str">
            <v>mafdi_</v>
          </cell>
          <cell r="D1567">
            <v>-0.85065117924323341</v>
          </cell>
        </row>
        <row r="1568">
          <cell r="A1568" t="str">
            <v>AFG</v>
          </cell>
          <cell r="B1568">
            <v>2017</v>
          </cell>
          <cell r="C1568" t="str">
            <v>magap_</v>
          </cell>
          <cell r="D1568">
            <v>-0.78480839729309082</v>
          </cell>
        </row>
        <row r="1569">
          <cell r="A1569" t="str">
            <v>AFG</v>
          </cell>
          <cell r="B1569">
            <v>2026</v>
          </cell>
          <cell r="C1569" t="str">
            <v>mar_impz</v>
          </cell>
          <cell r="D1569">
            <v>51.501670837402344</v>
          </cell>
        </row>
        <row r="1570">
          <cell r="A1570" t="str">
            <v>AFG</v>
          </cell>
          <cell r="B1570">
            <v>2022</v>
          </cell>
          <cell r="C1570" t="str">
            <v>masrvfc</v>
          </cell>
          <cell r="D1570">
            <v>2.0212974548339844</v>
          </cell>
        </row>
        <row r="1571">
          <cell r="A1571" t="str">
            <v>AFG</v>
          </cell>
          <cell r="B1571">
            <v>2016</v>
          </cell>
          <cell r="C1571" t="str">
            <v>mar_agrfc</v>
          </cell>
          <cell r="D1571">
            <v>27.029531478881836</v>
          </cell>
        </row>
        <row r="1572">
          <cell r="A1572" t="str">
            <v>AFG</v>
          </cell>
          <cell r="B1572">
            <v>2017</v>
          </cell>
          <cell r="C1572" t="str">
            <v>madeficit_</v>
          </cell>
          <cell r="D1572">
            <v>-0.67310589551925659</v>
          </cell>
        </row>
        <row r="1573">
          <cell r="A1573" t="str">
            <v>AFG</v>
          </cell>
          <cell r="B1573">
            <v>2025</v>
          </cell>
          <cell r="C1573" t="str">
            <v>mainvz</v>
          </cell>
          <cell r="D1573">
            <v>1.2651419639587402</v>
          </cell>
        </row>
        <row r="1574">
          <cell r="A1574" t="str">
            <v>AFG</v>
          </cell>
          <cell r="B1574">
            <v>2024</v>
          </cell>
          <cell r="C1574" t="str">
            <v>madebt_</v>
          </cell>
          <cell r="D1574">
            <v>8.6225795745849609</v>
          </cell>
        </row>
        <row r="1575">
          <cell r="A1575" t="str">
            <v>AFG</v>
          </cell>
          <cell r="B1575">
            <v>2021</v>
          </cell>
          <cell r="C1575" t="str">
            <v>mac_labz</v>
          </cell>
          <cell r="D1575">
            <v>2.5554208755493164</v>
          </cell>
        </row>
        <row r="1576">
          <cell r="A1576" t="str">
            <v>AFG</v>
          </cell>
          <cell r="B1576">
            <v>2014</v>
          </cell>
          <cell r="C1576" t="str">
            <v>mar_agrfc</v>
          </cell>
          <cell r="D1576">
            <v>27.822063446044922</v>
          </cell>
        </row>
        <row r="1577">
          <cell r="A1577" t="str">
            <v>AFG</v>
          </cell>
          <cell r="B1577">
            <v>2008</v>
          </cell>
          <cell r="C1577" t="str">
            <v>malabz</v>
          </cell>
          <cell r="D1577">
            <v>1.582588791847229</v>
          </cell>
        </row>
        <row r="1578">
          <cell r="A1578" t="str">
            <v>AFG</v>
          </cell>
          <cell r="B1578">
            <v>2021</v>
          </cell>
          <cell r="C1578" t="str">
            <v>maexpz</v>
          </cell>
          <cell r="D1578">
            <v>4.0999999046325684</v>
          </cell>
        </row>
        <row r="1579">
          <cell r="A1579" t="str">
            <v>AFG</v>
          </cell>
          <cell r="B1579">
            <v>2017</v>
          </cell>
          <cell r="C1579" t="str">
            <v>masrvfc</v>
          </cell>
          <cell r="D1579">
            <v>-0.68254631757736206</v>
          </cell>
        </row>
        <row r="1580">
          <cell r="A1580" t="str">
            <v>AFG</v>
          </cell>
          <cell r="B1580">
            <v>2020</v>
          </cell>
          <cell r="C1580" t="str">
            <v>madebt_</v>
          </cell>
          <cell r="D1580">
            <v>8.2073144912719727</v>
          </cell>
        </row>
        <row r="1581">
          <cell r="A1581" t="str">
            <v>AFG</v>
          </cell>
          <cell r="B1581">
            <v>2013</v>
          </cell>
          <cell r="C1581" t="str">
            <v>maimpz</v>
          </cell>
          <cell r="D1581">
            <v>23.125026702880859</v>
          </cell>
        </row>
        <row r="1582">
          <cell r="A1582" t="str">
            <v>AFG</v>
          </cell>
          <cell r="B1582">
            <v>2016</v>
          </cell>
          <cell r="C1582" t="str">
            <v>mar_indfc</v>
          </cell>
          <cell r="D1582">
            <v>10.991043090820313</v>
          </cell>
        </row>
        <row r="1583">
          <cell r="A1583" t="str">
            <v>AFG</v>
          </cell>
          <cell r="B1583">
            <v>2017</v>
          </cell>
          <cell r="C1583" t="str">
            <v>macab_</v>
          </cell>
          <cell r="D1583">
            <v>2.4372870922088623</v>
          </cell>
        </row>
        <row r="1584">
          <cell r="A1584" t="str">
            <v>AFG</v>
          </cell>
          <cell r="B1584">
            <v>2005</v>
          </cell>
          <cell r="C1584" t="str">
            <v>mar_con</v>
          </cell>
          <cell r="D1584">
            <v>115.87286376953125</v>
          </cell>
        </row>
        <row r="1585">
          <cell r="A1585" t="str">
            <v>AFG</v>
          </cell>
          <cell r="B1585">
            <v>2011</v>
          </cell>
          <cell r="C1585" t="str">
            <v>maimpz</v>
          </cell>
          <cell r="D1585">
            <v>13.190459251403809</v>
          </cell>
        </row>
        <row r="1586">
          <cell r="A1586" t="str">
            <v>AFG</v>
          </cell>
          <cell r="B1586">
            <v>2019</v>
          </cell>
          <cell r="C1586" t="str">
            <v>mar_impz</v>
          </cell>
          <cell r="D1586">
            <v>51.512035369873047</v>
          </cell>
        </row>
        <row r="1587">
          <cell r="A1587" t="str">
            <v>AFG</v>
          </cell>
          <cell r="B1587">
            <v>2015</v>
          </cell>
          <cell r="C1587" t="str">
            <v>mac_labz</v>
          </cell>
          <cell r="D1587">
            <v>2.8420109748840332</v>
          </cell>
        </row>
        <row r="1588">
          <cell r="A1588" t="str">
            <v>AFG</v>
          </cell>
          <cell r="B1588">
            <v>2018</v>
          </cell>
          <cell r="C1588" t="str">
            <v>mar_impz</v>
          </cell>
          <cell r="D1588">
            <v>57.445831298828125</v>
          </cell>
        </row>
        <row r="1589">
          <cell r="A1589" t="str">
            <v>AFG</v>
          </cell>
          <cell r="B1589">
            <v>2013</v>
          </cell>
          <cell r="C1589" t="str">
            <v>mareer</v>
          </cell>
          <cell r="D1589">
            <v>116.59126281738281</v>
          </cell>
        </row>
        <row r="1590">
          <cell r="A1590" t="str">
            <v>AFG</v>
          </cell>
          <cell r="B1590">
            <v>2007</v>
          </cell>
          <cell r="C1590" t="str">
            <v>maconz</v>
          </cell>
          <cell r="D1590">
            <v>8.3247098922729492</v>
          </cell>
        </row>
        <row r="1591">
          <cell r="A1591" t="str">
            <v>AFG</v>
          </cell>
          <cell r="B1591">
            <v>2007</v>
          </cell>
          <cell r="C1591" t="str">
            <v>mar_expz</v>
          </cell>
          <cell r="D1591">
            <v>26.597049713134766</v>
          </cell>
        </row>
        <row r="1592">
          <cell r="A1592" t="str">
            <v>AFG</v>
          </cell>
          <cell r="B1592">
            <v>2008</v>
          </cell>
          <cell r="C1592" t="str">
            <v>maagrfc</v>
          </cell>
          <cell r="D1592">
            <v>-14.916329383850098</v>
          </cell>
        </row>
        <row r="1593">
          <cell r="A1593" t="str">
            <v>AFG</v>
          </cell>
          <cell r="B1593">
            <v>2016</v>
          </cell>
          <cell r="C1593" t="str">
            <v>malabz</v>
          </cell>
          <cell r="D1593">
            <v>3.1657853126525879</v>
          </cell>
        </row>
        <row r="1594">
          <cell r="A1594" t="str">
            <v>AFG</v>
          </cell>
          <cell r="B1594">
            <v>2015</v>
          </cell>
          <cell r="C1594" t="str">
            <v>mar_expz</v>
          </cell>
          <cell r="D1594">
            <v>8.0642862319946289</v>
          </cell>
        </row>
        <row r="1595">
          <cell r="A1595" t="str">
            <v>AFG</v>
          </cell>
          <cell r="B1595">
            <v>2005</v>
          </cell>
          <cell r="C1595" t="str">
            <v>mar_indfc</v>
          </cell>
          <cell r="D1595">
            <v>12.801722526550293</v>
          </cell>
        </row>
        <row r="1596">
          <cell r="A1596" t="str">
            <v>AFG</v>
          </cell>
          <cell r="B1596">
            <v>2006</v>
          </cell>
          <cell r="C1596" t="str">
            <v>mareer</v>
          </cell>
          <cell r="D1596">
            <v>221.60835266113281</v>
          </cell>
        </row>
        <row r="1597">
          <cell r="A1597" t="str">
            <v>AFG</v>
          </cell>
          <cell r="B1597">
            <v>2022</v>
          </cell>
          <cell r="C1597" t="str">
            <v>macab_</v>
          </cell>
          <cell r="D1597">
            <v>-5.210665225982666</v>
          </cell>
        </row>
        <row r="1598">
          <cell r="A1598" t="str">
            <v>AFG</v>
          </cell>
          <cell r="B1598">
            <v>2010</v>
          </cell>
          <cell r="C1598" t="str">
            <v>mainvz</v>
          </cell>
          <cell r="D1598">
            <v>3.719393253326416</v>
          </cell>
        </row>
        <row r="1599">
          <cell r="A1599" t="str">
            <v>AFG</v>
          </cell>
          <cell r="B1599">
            <v>2016</v>
          </cell>
          <cell r="C1599" t="str">
            <v>magap_</v>
          </cell>
          <cell r="D1599">
            <v>-8.9127272367477417E-2</v>
          </cell>
        </row>
        <row r="1600">
          <cell r="A1600" t="str">
            <v>AFG</v>
          </cell>
          <cell r="B1600">
            <v>2024</v>
          </cell>
          <cell r="C1600" t="str">
            <v>mar_impz</v>
          </cell>
          <cell r="D1600">
            <v>51.044895172119141</v>
          </cell>
        </row>
        <row r="1601">
          <cell r="A1601" t="str">
            <v>AFG</v>
          </cell>
          <cell r="B1601">
            <v>2025</v>
          </cell>
          <cell r="C1601" t="str">
            <v>mar_agrfc</v>
          </cell>
          <cell r="D1601">
            <v>32.900611877441406</v>
          </cell>
        </row>
        <row r="1602">
          <cell r="A1602" t="str">
            <v>AFG</v>
          </cell>
          <cell r="B1602">
            <v>2015</v>
          </cell>
          <cell r="C1602" t="str">
            <v>matfpz</v>
          </cell>
          <cell r="D1602">
            <v>-0.9581221342086792</v>
          </cell>
        </row>
        <row r="1603">
          <cell r="A1603" t="str">
            <v>AFG</v>
          </cell>
          <cell r="B1603">
            <v>2007</v>
          </cell>
          <cell r="C1603" t="str">
            <v>mar_con</v>
          </cell>
          <cell r="D1603">
            <v>110.75118255615234</v>
          </cell>
        </row>
        <row r="1604">
          <cell r="A1604" t="str">
            <v>AFG</v>
          </cell>
          <cell r="B1604">
            <v>2009</v>
          </cell>
          <cell r="C1604" t="str">
            <v>mataxfc</v>
          </cell>
          <cell r="D1604">
            <v>3.56131911277771</v>
          </cell>
        </row>
        <row r="1605">
          <cell r="A1605" t="str">
            <v>AFG</v>
          </cell>
          <cell r="B1605">
            <v>2012</v>
          </cell>
          <cell r="C1605" t="str">
            <v>mar_expz</v>
          </cell>
          <cell r="D1605">
            <v>13.182323455810547</v>
          </cell>
        </row>
        <row r="1606">
          <cell r="A1606" t="str">
            <v>AFG</v>
          </cell>
          <cell r="B1606">
            <v>2012</v>
          </cell>
          <cell r="C1606" t="str">
            <v>mar_impz</v>
          </cell>
          <cell r="D1606">
            <v>33.730381011962891</v>
          </cell>
        </row>
        <row r="1607">
          <cell r="A1607" t="str">
            <v>AFG</v>
          </cell>
          <cell r="B1607">
            <v>2020</v>
          </cell>
          <cell r="C1607" t="str">
            <v>mar_srvfc</v>
          </cell>
          <cell r="D1607">
            <v>55.42584228515625</v>
          </cell>
        </row>
        <row r="1608">
          <cell r="A1608" t="str">
            <v>AFG</v>
          </cell>
          <cell r="B1608">
            <v>2012</v>
          </cell>
          <cell r="C1608" t="str">
            <v>mac_labz</v>
          </cell>
          <cell r="D1608">
            <v>4.1153678894042969</v>
          </cell>
        </row>
        <row r="1609">
          <cell r="A1609" t="str">
            <v>AFG</v>
          </cell>
          <cell r="B1609">
            <v>2012</v>
          </cell>
          <cell r="C1609" t="str">
            <v>magap_</v>
          </cell>
          <cell r="D1609">
            <v>12.805700302124023</v>
          </cell>
        </row>
        <row r="1610">
          <cell r="A1610" t="str">
            <v>AFG</v>
          </cell>
          <cell r="B1610">
            <v>2009</v>
          </cell>
          <cell r="C1610" t="str">
            <v>mac_tfpz</v>
          </cell>
          <cell r="D1610">
            <v>3.257521390914917</v>
          </cell>
        </row>
        <row r="1611">
          <cell r="A1611" t="str">
            <v>AFG</v>
          </cell>
          <cell r="B1611">
            <v>2011</v>
          </cell>
          <cell r="C1611" t="str">
            <v>mar_agrfc</v>
          </cell>
          <cell r="D1611">
            <v>30.743541717529297</v>
          </cell>
        </row>
        <row r="1612">
          <cell r="A1612" t="str">
            <v>AFG</v>
          </cell>
          <cell r="B1612">
            <v>2015</v>
          </cell>
          <cell r="C1612" t="str">
            <v>magdpz</v>
          </cell>
          <cell r="D1612">
            <v>0.62786656618118286</v>
          </cell>
        </row>
        <row r="1613">
          <cell r="A1613" t="str">
            <v>AFG</v>
          </cell>
          <cell r="B1613">
            <v>2017</v>
          </cell>
          <cell r="C1613" t="str">
            <v>mar_impz</v>
          </cell>
          <cell r="D1613">
            <v>51.407772064208984</v>
          </cell>
        </row>
        <row r="1614">
          <cell r="A1614" t="str">
            <v>AFG</v>
          </cell>
          <cell r="B1614">
            <v>2025</v>
          </cell>
          <cell r="C1614" t="str">
            <v>magap_</v>
          </cell>
          <cell r="D1614">
            <v>-3.3609628677368164</v>
          </cell>
        </row>
        <row r="1615">
          <cell r="A1615" t="str">
            <v>AFG</v>
          </cell>
          <cell r="B1615">
            <v>2025</v>
          </cell>
          <cell r="C1615" t="str">
            <v>magdpz</v>
          </cell>
          <cell r="D1615">
            <v>3.0399999618530273</v>
          </cell>
        </row>
        <row r="1616">
          <cell r="A1616" t="str">
            <v>AFG</v>
          </cell>
          <cell r="B1616">
            <v>2023</v>
          </cell>
          <cell r="C1616" t="str">
            <v>mac_tfpz</v>
          </cell>
          <cell r="D1616">
            <v>-0.87260198593139648</v>
          </cell>
        </row>
        <row r="1617">
          <cell r="A1617" t="str">
            <v>AFG</v>
          </cell>
          <cell r="B1617">
            <v>2013</v>
          </cell>
          <cell r="C1617" t="str">
            <v>mar_srvfc</v>
          </cell>
          <cell r="D1617">
            <v>60.344722747802734</v>
          </cell>
        </row>
        <row r="1618">
          <cell r="A1618" t="str">
            <v>AFG</v>
          </cell>
          <cell r="B1618">
            <v>2010</v>
          </cell>
          <cell r="C1618" t="str">
            <v>mar_con</v>
          </cell>
          <cell r="D1618">
            <v>84.56512451171875</v>
          </cell>
        </row>
        <row r="1619">
          <cell r="A1619" t="str">
            <v>AFG</v>
          </cell>
          <cell r="B1619">
            <v>2011</v>
          </cell>
          <cell r="C1619" t="str">
            <v>mainvz</v>
          </cell>
          <cell r="D1619">
            <v>4.9671335220336914</v>
          </cell>
        </row>
        <row r="1620">
          <cell r="A1620" t="str">
            <v>AFG</v>
          </cell>
          <cell r="B1620">
            <v>2026</v>
          </cell>
          <cell r="C1620" t="str">
            <v>matfpz</v>
          </cell>
          <cell r="D1620">
            <v>-0.64761161804199219</v>
          </cell>
        </row>
        <row r="1621">
          <cell r="A1621" t="str">
            <v>AFG</v>
          </cell>
          <cell r="B1621">
            <v>2012</v>
          </cell>
          <cell r="C1621" t="str">
            <v>mataxfc</v>
          </cell>
          <cell r="D1621">
            <v>27.680110931396484</v>
          </cell>
        </row>
        <row r="1622">
          <cell r="A1622" t="str">
            <v>AFG</v>
          </cell>
          <cell r="B1622">
            <v>2007</v>
          </cell>
          <cell r="C1622" t="str">
            <v>maexpz</v>
          </cell>
          <cell r="D1622">
            <v>-16.563177108764648</v>
          </cell>
        </row>
        <row r="1623">
          <cell r="A1623" t="str">
            <v>AFG</v>
          </cell>
          <cell r="B1623">
            <v>2007</v>
          </cell>
          <cell r="C1623" t="str">
            <v>mar_indfc</v>
          </cell>
          <cell r="D1623">
            <v>13.965353965759277</v>
          </cell>
        </row>
        <row r="1624">
          <cell r="A1624" t="str">
            <v>AFG</v>
          </cell>
          <cell r="B1624">
            <v>2010</v>
          </cell>
          <cell r="C1624" t="str">
            <v>mapanusatls</v>
          </cell>
          <cell r="D1624">
            <v>45.799999237060547</v>
          </cell>
        </row>
        <row r="1625">
          <cell r="A1625" t="str">
            <v>AFG</v>
          </cell>
          <cell r="B1625">
            <v>2008</v>
          </cell>
          <cell r="C1625" t="str">
            <v>macpiz</v>
          </cell>
          <cell r="D1625">
            <v>5.181027889251709</v>
          </cell>
        </row>
        <row r="1626">
          <cell r="A1626" t="str">
            <v>AFG</v>
          </cell>
          <cell r="B1626">
            <v>2021</v>
          </cell>
          <cell r="C1626" t="str">
            <v>maconz</v>
          </cell>
          <cell r="D1626">
            <v>1.5</v>
          </cell>
        </row>
        <row r="1627">
          <cell r="A1627" t="str">
            <v>AFG</v>
          </cell>
          <cell r="B1627">
            <v>2022</v>
          </cell>
          <cell r="C1627" t="str">
            <v>mar_indfc</v>
          </cell>
          <cell r="D1627">
            <v>12.624971389770508</v>
          </cell>
        </row>
        <row r="1628">
          <cell r="A1628" t="str">
            <v>AFG</v>
          </cell>
          <cell r="B1628">
            <v>2024</v>
          </cell>
          <cell r="C1628" t="str">
            <v>matfpz</v>
          </cell>
          <cell r="D1628">
            <v>-0.76923370361328125</v>
          </cell>
        </row>
        <row r="1629">
          <cell r="A1629" t="str">
            <v>AFG</v>
          </cell>
          <cell r="B1629">
            <v>2016</v>
          </cell>
          <cell r="C1629" t="str">
            <v>maconz</v>
          </cell>
          <cell r="D1629">
            <v>-3.8015522956848145</v>
          </cell>
        </row>
        <row r="1630">
          <cell r="A1630" t="str">
            <v>AFG</v>
          </cell>
          <cell r="B1630">
            <v>2006</v>
          </cell>
          <cell r="C1630" t="str">
            <v>magovz</v>
          </cell>
          <cell r="D1630">
            <v>-0.57935881614685059</v>
          </cell>
        </row>
        <row r="1631">
          <cell r="A1631" t="str">
            <v>AFG</v>
          </cell>
          <cell r="B1631">
            <v>2010</v>
          </cell>
          <cell r="C1631" t="str">
            <v>mataxfc</v>
          </cell>
          <cell r="D1631">
            <v>59.192043304443359</v>
          </cell>
        </row>
        <row r="1632">
          <cell r="A1632" t="str">
            <v>AFG</v>
          </cell>
          <cell r="B1632">
            <v>2022</v>
          </cell>
          <cell r="C1632" t="str">
            <v>mar_con</v>
          </cell>
          <cell r="D1632">
            <v>97.938812255859375</v>
          </cell>
        </row>
        <row r="1633">
          <cell r="A1633" t="str">
            <v>AFG</v>
          </cell>
          <cell r="B1633">
            <v>2021</v>
          </cell>
          <cell r="C1633" t="str">
            <v>maimpz</v>
          </cell>
          <cell r="D1633">
            <v>2.2999999523162842</v>
          </cell>
        </row>
        <row r="1634">
          <cell r="A1634" t="str">
            <v>AFG</v>
          </cell>
          <cell r="B1634">
            <v>2017</v>
          </cell>
          <cell r="C1634" t="str">
            <v>madebt_</v>
          </cell>
          <cell r="D1634">
            <v>6.6236686706542969</v>
          </cell>
        </row>
        <row r="1635">
          <cell r="A1635" t="str">
            <v>AFG</v>
          </cell>
          <cell r="B1635">
            <v>2014</v>
          </cell>
          <cell r="C1635" t="str">
            <v>mac_labz</v>
          </cell>
          <cell r="D1635">
            <v>3.5097055435180664</v>
          </cell>
        </row>
        <row r="1636">
          <cell r="A1636" t="str">
            <v>AFG</v>
          </cell>
          <cell r="B1636">
            <v>2019</v>
          </cell>
          <cell r="C1636" t="str">
            <v>maimpz</v>
          </cell>
          <cell r="D1636">
            <v>-6.8218145370483398</v>
          </cell>
        </row>
        <row r="1637">
          <cell r="A1637" t="str">
            <v>AFG</v>
          </cell>
          <cell r="B1637">
            <v>2018</v>
          </cell>
          <cell r="C1637" t="str">
            <v>mar_con</v>
          </cell>
          <cell r="D1637">
            <v>104.89937591552734</v>
          </cell>
        </row>
        <row r="1638">
          <cell r="A1638" t="str">
            <v>AFG</v>
          </cell>
          <cell r="B1638">
            <v>2019</v>
          </cell>
          <cell r="C1638" t="str">
            <v>madebt_</v>
          </cell>
          <cell r="D1638">
            <v>7.1236495971679688</v>
          </cell>
        </row>
        <row r="1639">
          <cell r="A1639" t="str">
            <v>AFG</v>
          </cell>
          <cell r="B1639">
            <v>2006</v>
          </cell>
          <cell r="C1639" t="str">
            <v>mar_indfc</v>
          </cell>
          <cell r="D1639">
            <v>14.28682804107666</v>
          </cell>
        </row>
        <row r="1640">
          <cell r="A1640" t="str">
            <v>AFG</v>
          </cell>
          <cell r="B1640">
            <v>2020</v>
          </cell>
          <cell r="C1640" t="str">
            <v>maconz</v>
          </cell>
          <cell r="D1640">
            <v>-3.7000000476837158</v>
          </cell>
        </row>
        <row r="1641">
          <cell r="A1641" t="str">
            <v>AFG</v>
          </cell>
          <cell r="B1641">
            <v>2020</v>
          </cell>
          <cell r="C1641" t="str">
            <v>masrvfc</v>
          </cell>
          <cell r="D1641">
            <v>-4.9249467849731445</v>
          </cell>
        </row>
        <row r="1642">
          <cell r="A1642" t="str">
            <v>AFG</v>
          </cell>
          <cell r="B1642">
            <v>2016</v>
          </cell>
          <cell r="C1642" t="str">
            <v>magdpz</v>
          </cell>
          <cell r="D1642">
            <v>3.0000360012054443</v>
          </cell>
        </row>
        <row r="1643">
          <cell r="A1643" t="str">
            <v>AFG</v>
          </cell>
          <cell r="B1643">
            <v>2021</v>
          </cell>
          <cell r="C1643" t="str">
            <v>macpiz</v>
          </cell>
          <cell r="D1643">
            <v>3.7999999523162842</v>
          </cell>
        </row>
        <row r="1644">
          <cell r="A1644" t="str">
            <v>AFG</v>
          </cell>
          <cell r="B1644">
            <v>2021</v>
          </cell>
          <cell r="C1644" t="str">
            <v>maindfc</v>
          </cell>
          <cell r="D1644">
            <v>1.9500000476837158</v>
          </cell>
        </row>
        <row r="1645">
          <cell r="A1645" t="str">
            <v>AFG</v>
          </cell>
          <cell r="B1645">
            <v>2015</v>
          </cell>
          <cell r="C1645" t="str">
            <v>mac_tfpz</v>
          </cell>
          <cell r="D1645">
            <v>-0.9581221342086792</v>
          </cell>
        </row>
        <row r="1646">
          <cell r="A1646" t="str">
            <v>AFG</v>
          </cell>
          <cell r="B1646">
            <v>2006</v>
          </cell>
          <cell r="C1646" t="str">
            <v>maconz</v>
          </cell>
          <cell r="D1646">
            <v>-0.57935881614685059</v>
          </cell>
        </row>
        <row r="1647">
          <cell r="A1647" t="str">
            <v>AFG</v>
          </cell>
          <cell r="B1647">
            <v>2024</v>
          </cell>
          <cell r="C1647" t="str">
            <v>mar_indfc</v>
          </cell>
          <cell r="D1647">
            <v>12.359280586242676</v>
          </cell>
        </row>
        <row r="1648">
          <cell r="A1648" t="str">
            <v>AFG</v>
          </cell>
          <cell r="B1648">
            <v>2008</v>
          </cell>
          <cell r="C1648" t="str">
            <v>masrvfc</v>
          </cell>
          <cell r="D1648">
            <v>19.681146621704102</v>
          </cell>
        </row>
        <row r="1649">
          <cell r="A1649" t="str">
            <v>AFG</v>
          </cell>
          <cell r="B1649">
            <v>2005</v>
          </cell>
          <cell r="C1649" t="str">
            <v>madeficit_</v>
          </cell>
          <cell r="D1649">
            <v>-0.22980883717536926</v>
          </cell>
        </row>
        <row r="1650">
          <cell r="A1650" t="str">
            <v>AFG</v>
          </cell>
          <cell r="B1650">
            <v>2017</v>
          </cell>
          <cell r="C1650" t="str">
            <v>maexpz</v>
          </cell>
          <cell r="D1650">
            <v>0.51125526428222656</v>
          </cell>
        </row>
        <row r="1651">
          <cell r="A1651" t="str">
            <v>AFG</v>
          </cell>
          <cell r="B1651">
            <v>2020</v>
          </cell>
          <cell r="C1651" t="str">
            <v>maimpz</v>
          </cell>
          <cell r="D1651">
            <v>-5.3000001907348633</v>
          </cell>
        </row>
        <row r="1652">
          <cell r="A1652" t="str">
            <v>AFG</v>
          </cell>
          <cell r="B1652">
            <v>2010</v>
          </cell>
          <cell r="C1652" t="str">
            <v>macab_</v>
          </cell>
          <cell r="D1652">
            <v>4.8333659172058105</v>
          </cell>
        </row>
        <row r="1653">
          <cell r="A1653" t="str">
            <v>AFG</v>
          </cell>
          <cell r="B1653">
            <v>2024</v>
          </cell>
          <cell r="C1653" t="str">
            <v>mafdi_</v>
          </cell>
          <cell r="D1653">
            <v>-0.28607651161701009</v>
          </cell>
        </row>
        <row r="1654">
          <cell r="A1654" t="str">
            <v>AFG</v>
          </cell>
          <cell r="B1654">
            <v>2010</v>
          </cell>
          <cell r="C1654" t="str">
            <v>mar_agrfc</v>
          </cell>
          <cell r="D1654">
            <v>35.927074432373047</v>
          </cell>
        </row>
        <row r="1655">
          <cell r="A1655" t="str">
            <v>AFG</v>
          </cell>
          <cell r="B1655">
            <v>2020</v>
          </cell>
          <cell r="C1655" t="str">
            <v>maagrfc</v>
          </cell>
          <cell r="D1655">
            <v>5.1500000953674316</v>
          </cell>
        </row>
        <row r="1656">
          <cell r="A1656" t="str">
            <v>AFG</v>
          </cell>
          <cell r="B1656">
            <v>2022</v>
          </cell>
          <cell r="C1656" t="str">
            <v>mataxfc</v>
          </cell>
          <cell r="D1656">
            <v>2.619999885559082</v>
          </cell>
        </row>
        <row r="1657">
          <cell r="A1657" t="str">
            <v>AFG</v>
          </cell>
          <cell r="B1657">
            <v>2008</v>
          </cell>
          <cell r="C1657" t="str">
            <v>mareer</v>
          </cell>
          <cell r="D1657">
            <v>177.80101013183594</v>
          </cell>
        </row>
        <row r="1658">
          <cell r="A1658" t="str">
            <v>AFG</v>
          </cell>
          <cell r="B1658">
            <v>2008</v>
          </cell>
          <cell r="C1658" t="str">
            <v>maconz</v>
          </cell>
          <cell r="D1658">
            <v>-7.880709171295166</v>
          </cell>
        </row>
        <row r="1659">
          <cell r="A1659" t="str">
            <v>AFG</v>
          </cell>
          <cell r="B1659">
            <v>2009</v>
          </cell>
          <cell r="C1659" t="str">
            <v>mar_con</v>
          </cell>
          <cell r="D1659">
            <v>88.076202392578125</v>
          </cell>
        </row>
        <row r="1660">
          <cell r="A1660" t="str">
            <v>AFG</v>
          </cell>
          <cell r="B1660">
            <v>2008</v>
          </cell>
          <cell r="C1660" t="str">
            <v>magovz</v>
          </cell>
          <cell r="D1660">
            <v>-7.880709171295166</v>
          </cell>
        </row>
        <row r="1661">
          <cell r="A1661" t="str">
            <v>AFG</v>
          </cell>
          <cell r="B1661">
            <v>2005</v>
          </cell>
          <cell r="C1661" t="str">
            <v>mac_labz</v>
          </cell>
          <cell r="D1661">
            <v>0</v>
          </cell>
        </row>
        <row r="1662">
          <cell r="A1662" t="str">
            <v>AFG</v>
          </cell>
          <cell r="B1662">
            <v>2023</v>
          </cell>
          <cell r="C1662" t="str">
            <v>mar_srvfc</v>
          </cell>
          <cell r="D1662">
            <v>55.490242004394531</v>
          </cell>
        </row>
        <row r="1663">
          <cell r="A1663" t="str">
            <v>AFG</v>
          </cell>
          <cell r="B1663">
            <v>2011</v>
          </cell>
          <cell r="C1663" t="str">
            <v>mac_tfpz</v>
          </cell>
          <cell r="D1663">
            <v>2.2728776931762695</v>
          </cell>
        </row>
        <row r="1664">
          <cell r="A1664" t="str">
            <v>AFG</v>
          </cell>
          <cell r="B1664">
            <v>2021</v>
          </cell>
          <cell r="C1664" t="str">
            <v>mar_taxfc</v>
          </cell>
          <cell r="D1664">
            <v>4.7559185028076172</v>
          </cell>
        </row>
        <row r="1665">
          <cell r="A1665" t="str">
            <v>AFG</v>
          </cell>
          <cell r="B1665">
            <v>2008</v>
          </cell>
          <cell r="C1665" t="str">
            <v>maexpz</v>
          </cell>
          <cell r="D1665">
            <v>1.6081454753875732</v>
          </cell>
        </row>
        <row r="1666">
          <cell r="A1666" t="str">
            <v>AFG</v>
          </cell>
          <cell r="B1666">
            <v>2026</v>
          </cell>
          <cell r="C1666" t="str">
            <v>mar_expz</v>
          </cell>
          <cell r="D1666">
            <v>10.218300819396973</v>
          </cell>
        </row>
        <row r="1667">
          <cell r="A1667" t="str">
            <v>AFG</v>
          </cell>
          <cell r="B1667">
            <v>2013</v>
          </cell>
          <cell r="C1667" t="str">
            <v>macpiz</v>
          </cell>
          <cell r="D1667">
            <v>6.2827277183532715</v>
          </cell>
        </row>
        <row r="1668">
          <cell r="A1668" t="str">
            <v>AFG</v>
          </cell>
          <cell r="B1668">
            <v>2023</v>
          </cell>
          <cell r="C1668" t="str">
            <v>magovz</v>
          </cell>
          <cell r="D1668">
            <v>1.7689787149429321</v>
          </cell>
        </row>
        <row r="1669">
          <cell r="A1669" t="str">
            <v>AFG</v>
          </cell>
          <cell r="B1669">
            <v>2005</v>
          </cell>
          <cell r="C1669" t="str">
            <v>macab_</v>
          </cell>
          <cell r="D1669">
            <v>6.2924256324768066</v>
          </cell>
        </row>
        <row r="1670">
          <cell r="A1670" t="str">
            <v>AFG</v>
          </cell>
          <cell r="B1670">
            <v>2010</v>
          </cell>
          <cell r="C1670" t="str">
            <v>malabz</v>
          </cell>
          <cell r="D1670">
            <v>3.6449086666107178</v>
          </cell>
        </row>
        <row r="1671">
          <cell r="A1671" t="str">
            <v>AFG</v>
          </cell>
          <cell r="B1671">
            <v>2009</v>
          </cell>
          <cell r="C1671" t="str">
            <v>macab_</v>
          </cell>
          <cell r="D1671">
            <v>2.7525339126586914</v>
          </cell>
        </row>
        <row r="1672">
          <cell r="A1672" t="str">
            <v>AFG</v>
          </cell>
          <cell r="B1672">
            <v>2006</v>
          </cell>
          <cell r="C1672" t="str">
            <v>macab_</v>
          </cell>
          <cell r="D1672">
            <v>7.2859382629394531</v>
          </cell>
        </row>
        <row r="1673">
          <cell r="A1673" t="str">
            <v>AFG</v>
          </cell>
          <cell r="B1673">
            <v>2020</v>
          </cell>
          <cell r="C1673" t="str">
            <v>magdpz</v>
          </cell>
          <cell r="D1673">
            <v>-1.8899999856948853</v>
          </cell>
        </row>
        <row r="1674">
          <cell r="A1674" t="str">
            <v>AFG</v>
          </cell>
          <cell r="B1674">
            <v>2007</v>
          </cell>
          <cell r="C1674" t="str">
            <v>malabz</v>
          </cell>
          <cell r="D1674">
            <v>0.82619863748550415</v>
          </cell>
        </row>
        <row r="1675">
          <cell r="A1675" t="str">
            <v>AFG</v>
          </cell>
          <cell r="B1675">
            <v>2019</v>
          </cell>
          <cell r="C1675" t="str">
            <v>magdpz</v>
          </cell>
          <cell r="D1675">
            <v>3.9116034507751465</v>
          </cell>
        </row>
        <row r="1676">
          <cell r="A1676" t="str">
            <v>AFG</v>
          </cell>
          <cell r="B1676">
            <v>2020</v>
          </cell>
          <cell r="C1676" t="str">
            <v>magovz</v>
          </cell>
          <cell r="D1676">
            <v>5.6107020378112793</v>
          </cell>
        </row>
        <row r="1677">
          <cell r="A1677" t="str">
            <v>AFG</v>
          </cell>
          <cell r="B1677">
            <v>2014</v>
          </cell>
          <cell r="C1677" t="str">
            <v>madeficit_</v>
          </cell>
          <cell r="D1677">
            <v>-1.6591449975967407</v>
          </cell>
        </row>
        <row r="1678">
          <cell r="A1678" t="str">
            <v>AFG</v>
          </cell>
          <cell r="B1678">
            <v>2015</v>
          </cell>
          <cell r="C1678" t="str">
            <v>mar_con</v>
          </cell>
          <cell r="D1678">
            <v>102.49217987060547</v>
          </cell>
        </row>
        <row r="1679">
          <cell r="A1679" t="str">
            <v>AFG</v>
          </cell>
          <cell r="B1679">
            <v>2019</v>
          </cell>
          <cell r="C1679" t="str">
            <v>masrvfc</v>
          </cell>
          <cell r="D1679">
            <v>-1.3857351541519165</v>
          </cell>
        </row>
        <row r="1680">
          <cell r="A1680" t="str">
            <v>AFG</v>
          </cell>
          <cell r="B1680">
            <v>2014</v>
          </cell>
          <cell r="C1680" t="str">
            <v>mar_indfc</v>
          </cell>
          <cell r="D1680">
            <v>10.941586494445801</v>
          </cell>
        </row>
        <row r="1681">
          <cell r="A1681" t="str">
            <v>AFG</v>
          </cell>
          <cell r="B1681">
            <v>2011</v>
          </cell>
          <cell r="C1681" t="str">
            <v>madebt_</v>
          </cell>
          <cell r="D1681">
            <v>5.0095815658569336</v>
          </cell>
        </row>
        <row r="1682">
          <cell r="A1682" t="str">
            <v>AFG</v>
          </cell>
          <cell r="B1682">
            <v>2018</v>
          </cell>
          <cell r="C1682" t="str">
            <v>mac_tfpz</v>
          </cell>
          <cell r="D1682">
            <v>-2.6760611534118652</v>
          </cell>
        </row>
        <row r="1683">
          <cell r="A1683" t="str">
            <v>AFG</v>
          </cell>
          <cell r="B1683">
            <v>2025</v>
          </cell>
          <cell r="C1683" t="str">
            <v>mac_tfpz</v>
          </cell>
          <cell r="D1683">
            <v>-0.71596419811248779</v>
          </cell>
        </row>
        <row r="1684">
          <cell r="A1684" t="str">
            <v>AFG</v>
          </cell>
          <cell r="B1684">
            <v>2013</v>
          </cell>
          <cell r="C1684" t="str">
            <v>macab_</v>
          </cell>
          <cell r="D1684">
            <v>0.78812366724014282</v>
          </cell>
        </row>
        <row r="1685">
          <cell r="A1685" t="str">
            <v>AFG</v>
          </cell>
          <cell r="B1685">
            <v>2006</v>
          </cell>
          <cell r="C1685" t="str">
            <v>mar_impz</v>
          </cell>
          <cell r="D1685">
            <v>98.304115295410156</v>
          </cell>
        </row>
        <row r="1686">
          <cell r="A1686" t="str">
            <v>AFG</v>
          </cell>
          <cell r="B1686">
            <v>2022</v>
          </cell>
          <cell r="C1686" t="str">
            <v>mar_expz</v>
          </cell>
          <cell r="D1686">
            <v>8.6896677017211914</v>
          </cell>
        </row>
        <row r="1687">
          <cell r="A1687" t="str">
            <v>AFG</v>
          </cell>
          <cell r="B1687">
            <v>2008</v>
          </cell>
          <cell r="C1687" t="str">
            <v>maindfc</v>
          </cell>
          <cell r="D1687">
            <v>5.7418179512023926</v>
          </cell>
        </row>
        <row r="1688">
          <cell r="A1688" t="str">
            <v>AFG</v>
          </cell>
          <cell r="B1688">
            <v>2008</v>
          </cell>
          <cell r="C1688" t="str">
            <v>macab_</v>
          </cell>
          <cell r="D1688">
            <v>19.148090362548828</v>
          </cell>
        </row>
        <row r="1689">
          <cell r="A1689" t="str">
            <v>AFG</v>
          </cell>
          <cell r="B1689">
            <v>2014</v>
          </cell>
          <cell r="C1689" t="str">
            <v>magap_</v>
          </cell>
          <cell r="D1689">
            <v>6.3928709030151367</v>
          </cell>
        </row>
        <row r="1690">
          <cell r="A1690" t="str">
            <v>AFG</v>
          </cell>
          <cell r="B1690">
            <v>2007</v>
          </cell>
          <cell r="C1690" t="str">
            <v>mac_labz</v>
          </cell>
          <cell r="D1690">
            <v>0.57833904027938843</v>
          </cell>
        </row>
        <row r="1691">
          <cell r="A1691" t="str">
            <v>AFG</v>
          </cell>
          <cell r="B1691">
            <v>2023</v>
          </cell>
          <cell r="C1691" t="str">
            <v>madebt_</v>
          </cell>
          <cell r="D1691">
            <v>9.3313789367675781</v>
          </cell>
        </row>
        <row r="1692">
          <cell r="A1692" t="str">
            <v>AFG</v>
          </cell>
          <cell r="B1692">
            <v>2009</v>
          </cell>
          <cell r="C1692" t="str">
            <v>mareer</v>
          </cell>
          <cell r="D1692">
            <v>182.94371032714844</v>
          </cell>
        </row>
        <row r="1693">
          <cell r="A1693" t="str">
            <v>AFG</v>
          </cell>
          <cell r="B1693">
            <v>2018</v>
          </cell>
          <cell r="C1693" t="str">
            <v>mataxfc</v>
          </cell>
          <cell r="D1693">
            <v>0.53862249851226807</v>
          </cell>
        </row>
        <row r="1694">
          <cell r="A1694" t="str">
            <v>AFG</v>
          </cell>
          <cell r="B1694">
            <v>2006</v>
          </cell>
          <cell r="C1694" t="str">
            <v>mac_tfpz</v>
          </cell>
          <cell r="D1694">
            <v>3.7348542213439941</v>
          </cell>
        </row>
        <row r="1695">
          <cell r="A1695" t="str">
            <v>AFG</v>
          </cell>
          <cell r="B1695">
            <v>2017</v>
          </cell>
          <cell r="C1695" t="str">
            <v>mar_agrfc</v>
          </cell>
          <cell r="D1695">
            <v>28.109767913818359</v>
          </cell>
        </row>
        <row r="1696">
          <cell r="A1696" t="str">
            <v>AFG</v>
          </cell>
          <cell r="B1696">
            <v>2018</v>
          </cell>
          <cell r="C1696" t="str">
            <v>mar_srvfc</v>
          </cell>
          <cell r="D1696">
            <v>60.584079742431641</v>
          </cell>
        </row>
        <row r="1697">
          <cell r="A1697" t="str">
            <v>AFG</v>
          </cell>
          <cell r="B1697">
            <v>2014</v>
          </cell>
          <cell r="C1697" t="str">
            <v>macpiz</v>
          </cell>
          <cell r="D1697">
            <v>7.403679370880127</v>
          </cell>
        </row>
        <row r="1698">
          <cell r="A1698" t="str">
            <v>AFG</v>
          </cell>
          <cell r="B1698">
            <v>2021</v>
          </cell>
          <cell r="C1698" t="str">
            <v>mainvz</v>
          </cell>
          <cell r="D1698">
            <v>-0.11161298304796219</v>
          </cell>
        </row>
        <row r="1699">
          <cell r="A1699" t="str">
            <v>AFG</v>
          </cell>
          <cell r="B1699">
            <v>2025</v>
          </cell>
          <cell r="C1699" t="str">
            <v>magovz</v>
          </cell>
          <cell r="D1699">
            <v>1.7689787149429321</v>
          </cell>
        </row>
        <row r="1700">
          <cell r="A1700" t="str">
            <v>AFG</v>
          </cell>
          <cell r="B1700">
            <v>2010</v>
          </cell>
          <cell r="C1700" t="str">
            <v>mar_impz</v>
          </cell>
          <cell r="D1700">
            <v>40.573543548583984</v>
          </cell>
        </row>
        <row r="1701">
          <cell r="A1701" t="str">
            <v>AFG</v>
          </cell>
          <cell r="B1701">
            <v>2025</v>
          </cell>
          <cell r="C1701" t="str">
            <v>malabz</v>
          </cell>
          <cell r="D1701">
            <v>3.1431686878204346</v>
          </cell>
        </row>
        <row r="1702">
          <cell r="A1702" t="str">
            <v>AFG</v>
          </cell>
          <cell r="B1702">
            <v>2011</v>
          </cell>
          <cell r="C1702" t="str">
            <v>macpiz</v>
          </cell>
          <cell r="D1702">
            <v>-12.232666969299316</v>
          </cell>
        </row>
        <row r="1703">
          <cell r="A1703" t="str">
            <v>AFG</v>
          </cell>
          <cell r="B1703">
            <v>2009</v>
          </cell>
          <cell r="C1703" t="str">
            <v>maexpz</v>
          </cell>
          <cell r="D1703">
            <v>-1.6245853900909424</v>
          </cell>
        </row>
        <row r="1704">
          <cell r="A1704" t="str">
            <v>AFG</v>
          </cell>
          <cell r="B1704">
            <v>2020</v>
          </cell>
          <cell r="C1704" t="str">
            <v>mar_impz</v>
          </cell>
          <cell r="D1704">
            <v>49.721637725830078</v>
          </cell>
        </row>
        <row r="1705">
          <cell r="A1705" t="str">
            <v>AFG</v>
          </cell>
          <cell r="B1705">
            <v>2006</v>
          </cell>
          <cell r="C1705" t="str">
            <v>madebt_</v>
          </cell>
          <cell r="D1705">
            <v>6.9007863998413086</v>
          </cell>
        </row>
        <row r="1706">
          <cell r="A1706" t="str">
            <v>AFG</v>
          </cell>
          <cell r="B1706">
            <v>2011</v>
          </cell>
          <cell r="C1706" t="str">
            <v>matfpz</v>
          </cell>
          <cell r="D1706">
            <v>2.2728776931762695</v>
          </cell>
        </row>
        <row r="1707">
          <cell r="A1707" t="str">
            <v>AFG</v>
          </cell>
          <cell r="B1707">
            <v>2010</v>
          </cell>
          <cell r="C1707" t="str">
            <v>mar_taxfc</v>
          </cell>
          <cell r="D1707">
            <v>4.2070302963256836</v>
          </cell>
        </row>
        <row r="1708">
          <cell r="A1708" t="str">
            <v>AFG</v>
          </cell>
          <cell r="B1708">
            <v>2011</v>
          </cell>
          <cell r="C1708" t="str">
            <v>mar_impz</v>
          </cell>
          <cell r="D1708">
            <v>42.493659973144531</v>
          </cell>
        </row>
        <row r="1709">
          <cell r="A1709" t="str">
            <v>AFG</v>
          </cell>
          <cell r="B1709">
            <v>2007</v>
          </cell>
          <cell r="C1709" t="str">
            <v>macpiz</v>
          </cell>
          <cell r="D1709">
            <v>12.331821441650391</v>
          </cell>
        </row>
        <row r="1710">
          <cell r="A1710" t="str">
            <v>AFG</v>
          </cell>
          <cell r="B1710">
            <v>2014</v>
          </cell>
          <cell r="C1710" t="str">
            <v>mar_con</v>
          </cell>
          <cell r="D1710">
            <v>95.247604370117188</v>
          </cell>
        </row>
        <row r="1711">
          <cell r="A1711" t="str">
            <v>AFG</v>
          </cell>
          <cell r="B1711">
            <v>2022</v>
          </cell>
          <cell r="C1711" t="str">
            <v>maindfc</v>
          </cell>
          <cell r="D1711">
            <v>2</v>
          </cell>
        </row>
        <row r="1712">
          <cell r="A1712" t="str">
            <v>AFG</v>
          </cell>
          <cell r="B1712">
            <v>2024</v>
          </cell>
          <cell r="C1712" t="str">
            <v>mar_con</v>
          </cell>
          <cell r="D1712">
            <v>98.815223693847656</v>
          </cell>
        </row>
        <row r="1713">
          <cell r="A1713" t="str">
            <v>AFG</v>
          </cell>
          <cell r="B1713">
            <v>2005</v>
          </cell>
          <cell r="C1713" t="str">
            <v>mapanusatls</v>
          </cell>
          <cell r="D1713">
            <v>49.630001068115234</v>
          </cell>
        </row>
        <row r="1714">
          <cell r="A1714" t="str">
            <v>AFG</v>
          </cell>
          <cell r="B1714">
            <v>2021</v>
          </cell>
          <cell r="C1714" t="str">
            <v>mac_tfpz</v>
          </cell>
          <cell r="D1714">
            <v>-1.2360591888427734</v>
          </cell>
        </row>
        <row r="1715">
          <cell r="A1715" t="str">
            <v>AFG</v>
          </cell>
          <cell r="B1715">
            <v>2021</v>
          </cell>
          <cell r="C1715" t="str">
            <v>mar_agrfc</v>
          </cell>
          <cell r="D1715">
            <v>31.181982040405273</v>
          </cell>
        </row>
        <row r="1716">
          <cell r="A1716" t="str">
            <v>AFG</v>
          </cell>
          <cell r="B1716">
            <v>2014</v>
          </cell>
          <cell r="C1716" t="str">
            <v>mar_taxfc</v>
          </cell>
          <cell r="D1716">
            <v>4.2602205276489258</v>
          </cell>
        </row>
        <row r="1717">
          <cell r="A1717" t="str">
            <v>AFG</v>
          </cell>
          <cell r="B1717">
            <v>2014</v>
          </cell>
          <cell r="C1717" t="str">
            <v>mareer</v>
          </cell>
          <cell r="D1717">
            <v>108.17265319824219</v>
          </cell>
        </row>
        <row r="1718">
          <cell r="A1718" t="str">
            <v>AFG</v>
          </cell>
          <cell r="B1718">
            <v>2023</v>
          </cell>
          <cell r="C1718" t="str">
            <v>matfpz</v>
          </cell>
          <cell r="D1718">
            <v>-0.87260198593139648</v>
          </cell>
        </row>
        <row r="1719">
          <cell r="A1719" t="str">
            <v>AFG</v>
          </cell>
          <cell r="B1719">
            <v>2012</v>
          </cell>
          <cell r="C1719" t="str">
            <v>maagrfc</v>
          </cell>
          <cell r="D1719">
            <v>18.224788665771484</v>
          </cell>
        </row>
        <row r="1720">
          <cell r="A1720" t="str">
            <v>AFG</v>
          </cell>
          <cell r="B1720">
            <v>2022</v>
          </cell>
          <cell r="C1720" t="str">
            <v>mainvz</v>
          </cell>
          <cell r="D1720">
            <v>1.3935856819152832</v>
          </cell>
        </row>
        <row r="1721">
          <cell r="A1721" t="str">
            <v>AFG</v>
          </cell>
          <cell r="B1721">
            <v>2021</v>
          </cell>
          <cell r="C1721" t="str">
            <v>mataxfc</v>
          </cell>
          <cell r="D1721">
            <v>1.0099999904632568</v>
          </cell>
        </row>
        <row r="1722">
          <cell r="A1722" t="str">
            <v>AFG</v>
          </cell>
          <cell r="B1722">
            <v>2019</v>
          </cell>
          <cell r="C1722" t="str">
            <v>magovz</v>
          </cell>
          <cell r="D1722">
            <v>15.047666549682617</v>
          </cell>
        </row>
        <row r="1723">
          <cell r="A1723" t="str">
            <v>AFG</v>
          </cell>
          <cell r="B1723">
            <v>2013</v>
          </cell>
          <cell r="C1723" t="str">
            <v>mafdi_</v>
          </cell>
          <cell r="D1723">
            <v>-0.21073980827741159</v>
          </cell>
        </row>
        <row r="1724">
          <cell r="A1724" t="str">
            <v>AFG</v>
          </cell>
          <cell r="B1724">
            <v>2014</v>
          </cell>
          <cell r="C1724" t="str">
            <v>matfpz</v>
          </cell>
          <cell r="D1724">
            <v>-0.15720270574092865</v>
          </cell>
        </row>
        <row r="1725">
          <cell r="A1725" t="str">
            <v>AFG</v>
          </cell>
          <cell r="B1725">
            <v>2015</v>
          </cell>
          <cell r="C1725" t="str">
            <v>maagrfc</v>
          </cell>
          <cell r="D1725">
            <v>-5.6572179794311523</v>
          </cell>
        </row>
        <row r="1726">
          <cell r="A1726" t="str">
            <v>AFG</v>
          </cell>
          <cell r="B1726">
            <v>2021</v>
          </cell>
          <cell r="C1726" t="str">
            <v>malabz</v>
          </cell>
          <cell r="D1726">
            <v>3.6506013870239258</v>
          </cell>
        </row>
        <row r="1727">
          <cell r="A1727" t="str">
            <v>AFG</v>
          </cell>
          <cell r="B1727">
            <v>2015</v>
          </cell>
          <cell r="C1727" t="str">
            <v>macpiz</v>
          </cell>
          <cell r="D1727">
            <v>4.6353311538696289</v>
          </cell>
        </row>
        <row r="1728">
          <cell r="A1728" t="str">
            <v>AFG</v>
          </cell>
          <cell r="B1728">
            <v>2015</v>
          </cell>
          <cell r="C1728" t="str">
            <v>madebt_</v>
          </cell>
          <cell r="D1728">
            <v>7.081690788269043</v>
          </cell>
        </row>
        <row r="1729">
          <cell r="A1729" t="str">
            <v>AFG</v>
          </cell>
          <cell r="B1729">
            <v>2012</v>
          </cell>
          <cell r="C1729" t="str">
            <v>mar_srvfc</v>
          </cell>
          <cell r="D1729">
            <v>58.854331970214844</v>
          </cell>
        </row>
        <row r="1730">
          <cell r="A1730" t="str">
            <v>AFG</v>
          </cell>
          <cell r="B1730">
            <v>2026</v>
          </cell>
          <cell r="C1730" t="str">
            <v>mar_con</v>
          </cell>
          <cell r="D1730">
            <v>99.699470520019531</v>
          </cell>
        </row>
        <row r="1731">
          <cell r="A1731" t="str">
            <v>AFG</v>
          </cell>
          <cell r="B1731">
            <v>2022</v>
          </cell>
          <cell r="C1731" t="str">
            <v>macpiz</v>
          </cell>
          <cell r="D1731">
            <v>4.5</v>
          </cell>
        </row>
        <row r="1732">
          <cell r="A1732" t="str">
            <v>AFG</v>
          </cell>
          <cell r="B1732">
            <v>2015</v>
          </cell>
          <cell r="C1732" t="str">
            <v>maimpz</v>
          </cell>
          <cell r="D1732">
            <v>17.662693023681641</v>
          </cell>
        </row>
        <row r="1733">
          <cell r="A1733" t="str">
            <v>AFG</v>
          </cell>
          <cell r="B1733">
            <v>2020</v>
          </cell>
          <cell r="C1733" t="str">
            <v>magap_</v>
          </cell>
          <cell r="D1733">
            <v>-5.8134002685546875</v>
          </cell>
        </row>
        <row r="1734">
          <cell r="A1734" t="str">
            <v>AFG</v>
          </cell>
          <cell r="B1734">
            <v>2013</v>
          </cell>
          <cell r="C1734" t="str">
            <v>mar_con</v>
          </cell>
          <cell r="D1734">
            <v>90.610420227050781</v>
          </cell>
        </row>
        <row r="1735">
          <cell r="A1735" t="str">
            <v>AFG</v>
          </cell>
          <cell r="B1735">
            <v>2007</v>
          </cell>
          <cell r="C1735" t="str">
            <v>magdpz</v>
          </cell>
          <cell r="D1735">
            <v>10.185179710388184</v>
          </cell>
        </row>
        <row r="1736">
          <cell r="A1736" t="str">
            <v>AFG</v>
          </cell>
          <cell r="B1736">
            <v>2005</v>
          </cell>
          <cell r="C1736" t="str">
            <v>mataxfc</v>
          </cell>
          <cell r="D1736">
            <v>-44.042304992675781</v>
          </cell>
        </row>
        <row r="1737">
          <cell r="A1737" t="str">
            <v>AFG</v>
          </cell>
          <cell r="B1737">
            <v>2015</v>
          </cell>
          <cell r="C1737" t="str">
            <v>mapanusatls</v>
          </cell>
          <cell r="D1737">
            <v>68.052497863769531</v>
          </cell>
        </row>
        <row r="1738">
          <cell r="A1738" t="str">
            <v>AFG</v>
          </cell>
          <cell r="B1738">
            <v>2018</v>
          </cell>
          <cell r="C1738" t="str">
            <v>mainvz</v>
          </cell>
          <cell r="D1738">
            <v>-3.2972086220979691E-2</v>
          </cell>
        </row>
        <row r="1739">
          <cell r="A1739" t="str">
            <v>AFG</v>
          </cell>
          <cell r="B1739">
            <v>2017</v>
          </cell>
          <cell r="C1739" t="str">
            <v>mapanusatls</v>
          </cell>
          <cell r="D1739">
            <v>69.493301391601563</v>
          </cell>
        </row>
        <row r="1740">
          <cell r="A1740" t="str">
            <v>AFG</v>
          </cell>
          <cell r="B1740">
            <v>2017</v>
          </cell>
          <cell r="C1740" t="str">
            <v>matfpz</v>
          </cell>
          <cell r="D1740">
            <v>-2.2176592350006104</v>
          </cell>
        </row>
        <row r="1741">
          <cell r="A1741" t="str">
            <v>AFG</v>
          </cell>
          <cell r="B1741">
            <v>2012</v>
          </cell>
          <cell r="C1741" t="str">
            <v>madeficit_</v>
          </cell>
          <cell r="D1741">
            <v>0.14530289173126221</v>
          </cell>
        </row>
        <row r="1742">
          <cell r="A1742" t="str">
            <v>AFG</v>
          </cell>
          <cell r="B1742">
            <v>2015</v>
          </cell>
          <cell r="C1742" t="str">
            <v>mar_impz</v>
          </cell>
          <cell r="D1742">
            <v>56.788383483886719</v>
          </cell>
        </row>
        <row r="1743">
          <cell r="A1743" t="str">
            <v>AFG</v>
          </cell>
          <cell r="B1743">
            <v>2013</v>
          </cell>
          <cell r="C1743" t="str">
            <v>malabz</v>
          </cell>
          <cell r="D1743">
            <v>4.669766902923584</v>
          </cell>
        </row>
        <row r="1744">
          <cell r="A1744" t="str">
            <v>AFG</v>
          </cell>
          <cell r="B1744">
            <v>2016</v>
          </cell>
          <cell r="C1744" t="str">
            <v>mac_tfpz</v>
          </cell>
          <cell r="D1744">
            <v>-1.6460306644439697</v>
          </cell>
        </row>
        <row r="1745">
          <cell r="A1745" t="str">
            <v>AFG</v>
          </cell>
          <cell r="B1745">
            <v>2016</v>
          </cell>
          <cell r="C1745" t="str">
            <v>macab_</v>
          </cell>
          <cell r="D1745">
            <v>3.7094290256500244</v>
          </cell>
        </row>
        <row r="1746">
          <cell r="A1746" t="str">
            <v>AFG</v>
          </cell>
          <cell r="B1746">
            <v>2023</v>
          </cell>
          <cell r="C1746" t="str">
            <v>maexpz</v>
          </cell>
          <cell r="D1746">
            <v>7.3000001907348633</v>
          </cell>
        </row>
        <row r="1747">
          <cell r="A1747" t="str">
            <v>AFG</v>
          </cell>
          <cell r="B1747">
            <v>2025</v>
          </cell>
          <cell r="C1747" t="str">
            <v>mar_con</v>
          </cell>
          <cell r="D1747">
            <v>99.256362915039063</v>
          </cell>
        </row>
        <row r="1748">
          <cell r="A1748" t="str">
            <v>AFG</v>
          </cell>
          <cell r="B1748">
            <v>2025</v>
          </cell>
          <cell r="C1748" t="str">
            <v>mar_taxfc</v>
          </cell>
          <cell r="D1748">
            <v>4.7559185028076172</v>
          </cell>
        </row>
        <row r="1749">
          <cell r="A1749" t="str">
            <v>AFG</v>
          </cell>
          <cell r="B1749">
            <v>2009</v>
          </cell>
          <cell r="C1749" t="str">
            <v>maagrfc</v>
          </cell>
          <cell r="D1749">
            <v>44.562953948974609</v>
          </cell>
        </row>
        <row r="1750">
          <cell r="A1750" t="str">
            <v>AFG</v>
          </cell>
          <cell r="B1750">
            <v>2015</v>
          </cell>
          <cell r="C1750" t="str">
            <v>mainvz</v>
          </cell>
          <cell r="D1750">
            <v>8.2816686630249023</v>
          </cell>
        </row>
        <row r="1751">
          <cell r="A1751" t="str">
            <v>AFG</v>
          </cell>
          <cell r="B1751">
            <v>2016</v>
          </cell>
          <cell r="C1751" t="str">
            <v>maindfc</v>
          </cell>
          <cell r="D1751">
            <v>-0.7659144401550293</v>
          </cell>
        </row>
        <row r="1752">
          <cell r="A1752" t="str">
            <v>AFG</v>
          </cell>
          <cell r="B1752">
            <v>2008</v>
          </cell>
          <cell r="C1752" t="str">
            <v>mar_taxfc</v>
          </cell>
          <cell r="D1752">
            <v>3.3733484745025635</v>
          </cell>
        </row>
        <row r="1753">
          <cell r="A1753" t="str">
            <v>AFG</v>
          </cell>
          <cell r="B1753">
            <v>2008</v>
          </cell>
          <cell r="C1753" t="str">
            <v>mafdi_</v>
          </cell>
          <cell r="D1753">
            <v>-0.21113331044140879</v>
          </cell>
        </row>
        <row r="1754">
          <cell r="A1754" t="str">
            <v>AFG</v>
          </cell>
          <cell r="B1754">
            <v>2011</v>
          </cell>
          <cell r="C1754" t="str">
            <v>magdpz</v>
          </cell>
          <cell r="D1754">
            <v>8.075840950012207</v>
          </cell>
        </row>
        <row r="1755">
          <cell r="A1755" t="str">
            <v>AFG</v>
          </cell>
          <cell r="B1755">
            <v>2017</v>
          </cell>
          <cell r="C1755" t="str">
            <v>maimpz</v>
          </cell>
          <cell r="D1755">
            <v>9.8083791732788086</v>
          </cell>
        </row>
        <row r="1756">
          <cell r="A1756" t="str">
            <v>AFG</v>
          </cell>
          <cell r="B1756">
            <v>2025</v>
          </cell>
          <cell r="C1756" t="str">
            <v>mar_expz</v>
          </cell>
          <cell r="D1756">
            <v>9.8126163482666016</v>
          </cell>
        </row>
        <row r="1757">
          <cell r="A1757" t="str">
            <v>AFG</v>
          </cell>
          <cell r="B1757">
            <v>2006</v>
          </cell>
          <cell r="C1757" t="str">
            <v>maexpz</v>
          </cell>
          <cell r="D1757">
            <v>-3.1155273914337158</v>
          </cell>
        </row>
        <row r="1758">
          <cell r="A1758" t="str">
            <v>AFG</v>
          </cell>
          <cell r="B1758">
            <v>2016</v>
          </cell>
          <cell r="C1758" t="str">
            <v>mar_expz</v>
          </cell>
          <cell r="D1758">
            <v>6.2089986801147461</v>
          </cell>
        </row>
        <row r="1759">
          <cell r="A1759" t="str">
            <v>AFG</v>
          </cell>
          <cell r="B1759">
            <v>2019</v>
          </cell>
          <cell r="C1759" t="str">
            <v>madeficit_</v>
          </cell>
          <cell r="D1759">
            <v>-1.0580811500549316</v>
          </cell>
        </row>
        <row r="1760">
          <cell r="A1760" t="str">
            <v>AFG</v>
          </cell>
          <cell r="B1760">
            <v>2014</v>
          </cell>
          <cell r="C1760" t="str">
            <v>maconz</v>
          </cell>
          <cell r="D1760">
            <v>7.7711405754089355</v>
          </cell>
        </row>
        <row r="1761">
          <cell r="A1761" t="str">
            <v>AFG</v>
          </cell>
          <cell r="B1761">
            <v>2016</v>
          </cell>
          <cell r="C1761" t="str">
            <v>mar_srvfc</v>
          </cell>
          <cell r="D1761">
            <v>61.979423522949219</v>
          </cell>
        </row>
        <row r="1762">
          <cell r="A1762" t="str">
            <v>AFG</v>
          </cell>
          <cell r="B1762">
            <v>2026</v>
          </cell>
          <cell r="C1762" t="str">
            <v>magovz</v>
          </cell>
          <cell r="D1762">
            <v>1.7689787149429321</v>
          </cell>
        </row>
        <row r="1763">
          <cell r="A1763" t="str">
            <v>AFG</v>
          </cell>
          <cell r="B1763">
            <v>2026</v>
          </cell>
          <cell r="C1763" t="str">
            <v>maconz</v>
          </cell>
          <cell r="D1763">
            <v>3.5</v>
          </cell>
        </row>
        <row r="1764">
          <cell r="A1764" t="str">
            <v>AFG</v>
          </cell>
          <cell r="B1764">
            <v>2017</v>
          </cell>
          <cell r="C1764" t="str">
            <v>mac_tfpz</v>
          </cell>
          <cell r="D1764">
            <v>-2.2176592350006104</v>
          </cell>
        </row>
        <row r="1765">
          <cell r="A1765" t="str">
            <v>AFG</v>
          </cell>
          <cell r="B1765">
            <v>2024</v>
          </cell>
          <cell r="C1765" t="str">
            <v>mataxfc</v>
          </cell>
          <cell r="D1765">
            <v>3.0399999618530273</v>
          </cell>
        </row>
        <row r="1766">
          <cell r="A1766" t="str">
            <v>AFG</v>
          </cell>
          <cell r="B1766">
            <v>2017</v>
          </cell>
          <cell r="C1766" t="str">
            <v>macpiz</v>
          </cell>
          <cell r="D1766">
            <v>4.9778299331665039</v>
          </cell>
        </row>
        <row r="1767">
          <cell r="A1767" t="str">
            <v>AFG</v>
          </cell>
          <cell r="B1767">
            <v>2022</v>
          </cell>
          <cell r="C1767" t="str">
            <v>mar_agrfc</v>
          </cell>
          <cell r="D1767">
            <v>31.586112976074219</v>
          </cell>
        </row>
        <row r="1768">
          <cell r="A1768" t="str">
            <v>AFG</v>
          </cell>
          <cell r="B1768">
            <v>2026</v>
          </cell>
          <cell r="C1768" t="str">
            <v>mar_taxfc</v>
          </cell>
          <cell r="D1768">
            <v>4.7559185028076172</v>
          </cell>
        </row>
        <row r="1769">
          <cell r="A1769" t="str">
            <v>AFG</v>
          </cell>
          <cell r="B1769">
            <v>2025</v>
          </cell>
          <cell r="C1769" t="str">
            <v>mar_impz</v>
          </cell>
          <cell r="D1769">
            <v>51.272773742675781</v>
          </cell>
        </row>
        <row r="1770">
          <cell r="A1770" t="str">
            <v>AFG</v>
          </cell>
          <cell r="B1770">
            <v>2011</v>
          </cell>
          <cell r="C1770" t="str">
            <v>mac_labz</v>
          </cell>
          <cell r="D1770">
            <v>3.6517508029937744</v>
          </cell>
        </row>
        <row r="1771">
          <cell r="A1771" t="str">
            <v>AFG</v>
          </cell>
          <cell r="B1771">
            <v>2023</v>
          </cell>
          <cell r="C1771" t="str">
            <v>malabz</v>
          </cell>
          <cell r="D1771">
            <v>3.2382502555847168</v>
          </cell>
        </row>
        <row r="1772">
          <cell r="A1772" t="str">
            <v>AFG</v>
          </cell>
          <cell r="B1772">
            <v>2026</v>
          </cell>
          <cell r="C1772" t="str">
            <v>mapanusatls</v>
          </cell>
          <cell r="D1772">
            <v>103.31803131103516</v>
          </cell>
        </row>
        <row r="1773">
          <cell r="A1773" t="str">
            <v>AFG</v>
          </cell>
          <cell r="B1773">
            <v>2017</v>
          </cell>
          <cell r="C1773" t="str">
            <v>malabz</v>
          </cell>
          <cell r="D1773">
            <v>3.7013614177703857</v>
          </cell>
        </row>
        <row r="1774">
          <cell r="A1774" t="str">
            <v>AFG</v>
          </cell>
          <cell r="B1774">
            <v>2010</v>
          </cell>
          <cell r="C1774" t="str">
            <v>matfpz</v>
          </cell>
          <cell r="D1774">
            <v>2.8436439037322998</v>
          </cell>
        </row>
        <row r="1775">
          <cell r="A1775" t="str">
            <v>AFG</v>
          </cell>
          <cell r="B1775">
            <v>2012</v>
          </cell>
          <cell r="C1775" t="str">
            <v>masrvfc</v>
          </cell>
          <cell r="D1775">
            <v>24.785173416137695</v>
          </cell>
        </row>
        <row r="1776">
          <cell r="A1776" t="str">
            <v>AFG</v>
          </cell>
          <cell r="B1776">
            <v>2005</v>
          </cell>
          <cell r="C1776" t="str">
            <v>maexpz</v>
          </cell>
          <cell r="D1776">
            <v>51.512508392333984</v>
          </cell>
        </row>
        <row r="1777">
          <cell r="A1777" t="str">
            <v>AFG</v>
          </cell>
          <cell r="B1777">
            <v>2024</v>
          </cell>
          <cell r="C1777" t="str">
            <v>mar_expz</v>
          </cell>
          <cell r="D1777">
            <v>9.4230375289916992</v>
          </cell>
        </row>
        <row r="1778">
          <cell r="A1778" t="str">
            <v>AFG</v>
          </cell>
          <cell r="B1778">
            <v>2008</v>
          </cell>
          <cell r="C1778" t="str">
            <v>mar_agrfc</v>
          </cell>
          <cell r="D1778">
            <v>35.089576721191406</v>
          </cell>
        </row>
        <row r="1779">
          <cell r="A1779" t="str">
            <v>AFG</v>
          </cell>
          <cell r="B1779">
            <v>2021</v>
          </cell>
          <cell r="C1779" t="str">
            <v>mar_srvfc</v>
          </cell>
          <cell r="D1779">
            <v>56.116306304931641</v>
          </cell>
        </row>
        <row r="1780">
          <cell r="A1780" t="str">
            <v>AFG</v>
          </cell>
          <cell r="B1780">
            <v>2017</v>
          </cell>
          <cell r="C1780" t="str">
            <v>mar_con</v>
          </cell>
          <cell r="D1780">
            <v>96.5194091796875</v>
          </cell>
        </row>
        <row r="1781">
          <cell r="A1781" t="str">
            <v>AFG</v>
          </cell>
          <cell r="B1781">
            <v>2006</v>
          </cell>
          <cell r="C1781" t="str">
            <v>madeficit_</v>
          </cell>
          <cell r="D1781">
            <v>0.19177478551864624</v>
          </cell>
        </row>
        <row r="1782">
          <cell r="A1782" t="str">
            <v>AFG</v>
          </cell>
          <cell r="B1782">
            <v>2010</v>
          </cell>
          <cell r="C1782" t="str">
            <v>mareer</v>
          </cell>
          <cell r="D1782">
            <v>166.70547485351563</v>
          </cell>
        </row>
        <row r="1783">
          <cell r="A1783" t="str">
            <v>AFG</v>
          </cell>
          <cell r="B1783">
            <v>2024</v>
          </cell>
          <cell r="C1783" t="str">
            <v>malabz</v>
          </cell>
          <cell r="D1783">
            <v>3.132530689239502</v>
          </cell>
        </row>
        <row r="1784">
          <cell r="A1784" t="str">
            <v>AFG</v>
          </cell>
          <cell r="B1784">
            <v>2023</v>
          </cell>
          <cell r="C1784" t="str">
            <v>mar_indfc</v>
          </cell>
          <cell r="D1784">
            <v>12.491419792175293</v>
          </cell>
        </row>
        <row r="1785">
          <cell r="A1785" t="str">
            <v>AFG</v>
          </cell>
          <cell r="B1785">
            <v>2017</v>
          </cell>
          <cell r="C1785" t="str">
            <v>mar_srvfc</v>
          </cell>
          <cell r="D1785">
            <v>60.159622192382813</v>
          </cell>
        </row>
        <row r="1786">
          <cell r="A1786" t="str">
            <v>AFG</v>
          </cell>
          <cell r="B1786">
            <v>2014</v>
          </cell>
          <cell r="C1786" t="str">
            <v>mar_impz</v>
          </cell>
          <cell r="D1786">
            <v>48.566745758056641</v>
          </cell>
        </row>
        <row r="1787">
          <cell r="A1787" t="str">
            <v>AFG</v>
          </cell>
          <cell r="B1787">
            <v>2024</v>
          </cell>
          <cell r="C1787" t="str">
            <v>mac_labz</v>
          </cell>
          <cell r="D1787">
            <v>2.1927714347839355</v>
          </cell>
        </row>
        <row r="1788">
          <cell r="A1788" t="str">
            <v>AFG</v>
          </cell>
          <cell r="B1788">
            <v>2019</v>
          </cell>
          <cell r="C1788" t="str">
            <v>mar_con</v>
          </cell>
          <cell r="D1788">
            <v>98.93157958984375</v>
          </cell>
        </row>
        <row r="1789">
          <cell r="A1789" t="str">
            <v>AFG</v>
          </cell>
          <cell r="B1789">
            <v>2025</v>
          </cell>
          <cell r="C1789" t="str">
            <v>mapanusatls</v>
          </cell>
          <cell r="D1789">
            <v>98.398124694824219</v>
          </cell>
        </row>
        <row r="1790">
          <cell r="A1790" t="str">
            <v>AFG</v>
          </cell>
          <cell r="B1790">
            <v>2017</v>
          </cell>
          <cell r="C1790" t="str">
            <v>mataxfc</v>
          </cell>
          <cell r="D1790">
            <v>9.1406898498535156</v>
          </cell>
        </row>
        <row r="1791">
          <cell r="A1791" t="str">
            <v>AFG</v>
          </cell>
          <cell r="B1791">
            <v>2018</v>
          </cell>
          <cell r="C1791" t="str">
            <v>malabz</v>
          </cell>
          <cell r="D1791">
            <v>3.7173991203308105</v>
          </cell>
        </row>
        <row r="1792">
          <cell r="A1792" t="str">
            <v>AFG</v>
          </cell>
          <cell r="B1792">
            <v>2007</v>
          </cell>
          <cell r="C1792" t="str">
            <v>mapanusatls</v>
          </cell>
          <cell r="D1792">
            <v>49.799999237060547</v>
          </cell>
        </row>
        <row r="1793">
          <cell r="A1793" t="str">
            <v>AFG</v>
          </cell>
          <cell r="B1793">
            <v>2026</v>
          </cell>
          <cell r="C1793" t="str">
            <v>malabz</v>
          </cell>
          <cell r="D1793">
            <v>3.1021661758422852</v>
          </cell>
        </row>
        <row r="1794">
          <cell r="A1794" t="str">
            <v>AFG</v>
          </cell>
          <cell r="B1794">
            <v>2016</v>
          </cell>
          <cell r="C1794" t="str">
            <v>maimpz</v>
          </cell>
          <cell r="D1794">
            <v>-12.83995532989502</v>
          </cell>
        </row>
        <row r="1795">
          <cell r="A1795" t="str">
            <v>AFG</v>
          </cell>
          <cell r="B1795">
            <v>2006</v>
          </cell>
          <cell r="C1795" t="str">
            <v>maagrfc</v>
          </cell>
          <cell r="D1795">
            <v>-5.1092510223388672</v>
          </cell>
        </row>
        <row r="1796">
          <cell r="A1796" t="str">
            <v>AFG</v>
          </cell>
          <cell r="B1796">
            <v>2019</v>
          </cell>
          <cell r="C1796" t="str">
            <v>mar_srvfc</v>
          </cell>
          <cell r="D1796">
            <v>57.216102600097656</v>
          </cell>
        </row>
        <row r="1797">
          <cell r="A1797" t="str">
            <v>AFG</v>
          </cell>
          <cell r="B1797">
            <v>2020</v>
          </cell>
          <cell r="C1797" t="str">
            <v>mar_con</v>
          </cell>
          <cell r="D1797">
            <v>97.106422424316406</v>
          </cell>
        </row>
        <row r="1798">
          <cell r="A1798" t="str">
            <v>AFG</v>
          </cell>
          <cell r="B1798">
            <v>2014</v>
          </cell>
          <cell r="C1798" t="str">
            <v>maagrfc</v>
          </cell>
          <cell r="D1798">
            <v>-0.10070511698722839</v>
          </cell>
        </row>
        <row r="1799">
          <cell r="A1799" t="str">
            <v>AFG</v>
          </cell>
          <cell r="B1799">
            <v>2006</v>
          </cell>
          <cell r="C1799" t="str">
            <v>mafdi_</v>
          </cell>
        </row>
        <row r="1800">
          <cell r="A1800" t="str">
            <v>AFG</v>
          </cell>
          <cell r="B1800">
            <v>2021</v>
          </cell>
          <cell r="C1800" t="str">
            <v>magdpz</v>
          </cell>
          <cell r="D1800">
            <v>1.0099999904632568</v>
          </cell>
        </row>
        <row r="1801">
          <cell r="A1801" t="str">
            <v>AFG</v>
          </cell>
          <cell r="B1801">
            <v>2015</v>
          </cell>
          <cell r="C1801" t="str">
            <v>masrvfc</v>
          </cell>
          <cell r="D1801">
            <v>2.1351077556610107</v>
          </cell>
        </row>
        <row r="1802">
          <cell r="A1802" t="str">
            <v>AFG</v>
          </cell>
          <cell r="B1802">
            <v>2018</v>
          </cell>
          <cell r="C1802" t="str">
            <v>magap_</v>
          </cell>
          <cell r="D1802">
            <v>-3.1777188777923584</v>
          </cell>
        </row>
        <row r="1803">
          <cell r="A1803" t="str">
            <v>AFG</v>
          </cell>
          <cell r="B1803">
            <v>2013</v>
          </cell>
          <cell r="C1803" t="str">
            <v>mar_agrfc</v>
          </cell>
          <cell r="D1803">
            <v>28.687883377075195</v>
          </cell>
        </row>
        <row r="1804">
          <cell r="A1804" t="str">
            <v>AFG</v>
          </cell>
          <cell r="B1804">
            <v>2021</v>
          </cell>
          <cell r="C1804" t="str">
            <v>mapanusatls</v>
          </cell>
          <cell r="D1804">
            <v>80.959999084472656</v>
          </cell>
        </row>
        <row r="1805">
          <cell r="A1805" t="str">
            <v>AFG</v>
          </cell>
          <cell r="B1805">
            <v>2025</v>
          </cell>
          <cell r="C1805" t="str">
            <v>mar_indfc</v>
          </cell>
          <cell r="D1805">
            <v>12.228538513183594</v>
          </cell>
        </row>
        <row r="1806">
          <cell r="A1806" t="str">
            <v>AFG</v>
          </cell>
          <cell r="B1806">
            <v>2020</v>
          </cell>
          <cell r="C1806" t="str">
            <v>mar_taxfc</v>
          </cell>
          <cell r="D1806">
            <v>4.7559185028076172</v>
          </cell>
        </row>
        <row r="1807">
          <cell r="A1807" t="str">
            <v>AFG</v>
          </cell>
          <cell r="B1807">
            <v>2021</v>
          </cell>
          <cell r="C1807" t="str">
            <v>matfpz</v>
          </cell>
          <cell r="D1807">
            <v>-1.2360591888427734</v>
          </cell>
        </row>
        <row r="1808">
          <cell r="A1808" t="str">
            <v>AFG</v>
          </cell>
          <cell r="B1808">
            <v>2011</v>
          </cell>
          <cell r="C1808" t="str">
            <v>mar_srvfc</v>
          </cell>
          <cell r="D1808">
            <v>56.824737548828125</v>
          </cell>
        </row>
        <row r="1809">
          <cell r="A1809" t="str">
            <v>AFG</v>
          </cell>
          <cell r="B1809">
            <v>2018</v>
          </cell>
          <cell r="C1809" t="str">
            <v>maindfc</v>
          </cell>
          <cell r="D1809">
            <v>11.074641227722168</v>
          </cell>
        </row>
        <row r="1810">
          <cell r="A1810" t="str">
            <v>AFG</v>
          </cell>
          <cell r="B1810">
            <v>2006</v>
          </cell>
          <cell r="C1810" t="str">
            <v>mar_srvfc</v>
          </cell>
          <cell r="D1810">
            <v>44.921268463134766</v>
          </cell>
        </row>
        <row r="1811">
          <cell r="A1811" t="str">
            <v>AFG</v>
          </cell>
          <cell r="B1811">
            <v>2026</v>
          </cell>
          <cell r="C1811" t="str">
            <v>maindfc</v>
          </cell>
          <cell r="D1811">
            <v>1.9500000476837158</v>
          </cell>
        </row>
        <row r="1812">
          <cell r="A1812" t="str">
            <v>AFG</v>
          </cell>
          <cell r="B1812">
            <v>2022</v>
          </cell>
          <cell r="C1812" t="str">
            <v>madebt_</v>
          </cell>
          <cell r="D1812">
            <v>9.9286518096923828</v>
          </cell>
        </row>
        <row r="1813">
          <cell r="A1813" t="str">
            <v>AFG</v>
          </cell>
          <cell r="B1813">
            <v>2006</v>
          </cell>
          <cell r="C1813" t="str">
            <v>matfpz</v>
          </cell>
          <cell r="D1813">
            <v>3.7348542213439941</v>
          </cell>
        </row>
        <row r="1814">
          <cell r="A1814" t="str">
            <v>AFG</v>
          </cell>
          <cell r="B1814">
            <v>2018</v>
          </cell>
          <cell r="C1814" t="str">
            <v>matfpz</v>
          </cell>
          <cell r="D1814">
            <v>-2.6760611534118652</v>
          </cell>
        </row>
        <row r="1815">
          <cell r="A1815" t="str">
            <v>AFG</v>
          </cell>
          <cell r="B1815">
            <v>2006</v>
          </cell>
          <cell r="C1815" t="str">
            <v>malabz</v>
          </cell>
          <cell r="D1815">
            <v>5.0542049407958984</v>
          </cell>
        </row>
        <row r="1816">
          <cell r="A1816" t="str">
            <v>AFG</v>
          </cell>
          <cell r="B1816">
            <v>2026</v>
          </cell>
          <cell r="C1816" t="str">
            <v>macab_</v>
          </cell>
          <cell r="D1816">
            <v>-25.721952438354492</v>
          </cell>
        </row>
        <row r="1817">
          <cell r="A1817" t="str">
            <v>AFG</v>
          </cell>
          <cell r="B1817">
            <v>2007</v>
          </cell>
          <cell r="C1817" t="str">
            <v>mareer</v>
          </cell>
          <cell r="D1817">
            <v>192.3057861328125</v>
          </cell>
        </row>
        <row r="1818">
          <cell r="A1818" t="str">
            <v>AFG</v>
          </cell>
          <cell r="B1818">
            <v>2022</v>
          </cell>
          <cell r="C1818" t="str">
            <v>mareer</v>
          </cell>
          <cell r="D1818">
            <v>93.402664184570313</v>
          </cell>
        </row>
        <row r="1819">
          <cell r="A1819" t="str">
            <v>AFG</v>
          </cell>
          <cell r="B1819">
            <v>2020</v>
          </cell>
          <cell r="C1819" t="str">
            <v>madeficit_</v>
          </cell>
          <cell r="D1819">
            <v>-2.3579485416412354</v>
          </cell>
        </row>
        <row r="1820">
          <cell r="A1820" t="str">
            <v>AFG</v>
          </cell>
          <cell r="B1820">
            <v>2023</v>
          </cell>
          <cell r="C1820" t="str">
            <v>mafdi_</v>
          </cell>
          <cell r="D1820">
            <v>-0.29893999854805531</v>
          </cell>
        </row>
        <row r="1821">
          <cell r="A1821" t="str">
            <v>AFG</v>
          </cell>
          <cell r="B1821">
            <v>2005</v>
          </cell>
          <cell r="C1821" t="str">
            <v>magdpz</v>
          </cell>
          <cell r="D1821">
            <v>11.229713439941406</v>
          </cell>
        </row>
        <row r="1822">
          <cell r="A1822" t="str">
            <v>AFG</v>
          </cell>
          <cell r="B1822">
            <v>2026</v>
          </cell>
          <cell r="C1822" t="str">
            <v>mac_labz</v>
          </cell>
          <cell r="D1822">
            <v>2.1715164184570313</v>
          </cell>
        </row>
        <row r="1823">
          <cell r="A1823" t="str">
            <v>AFG</v>
          </cell>
          <cell r="B1823">
            <v>2018</v>
          </cell>
          <cell r="C1823" t="str">
            <v>magovz</v>
          </cell>
          <cell r="D1823">
            <v>-17.75926399230957</v>
          </cell>
        </row>
        <row r="1824">
          <cell r="A1824" t="str">
            <v>AFG</v>
          </cell>
          <cell r="B1824">
            <v>2018</v>
          </cell>
          <cell r="C1824" t="str">
            <v>mar_indfc</v>
          </cell>
          <cell r="D1824">
            <v>12.872178077697754</v>
          </cell>
        </row>
        <row r="1825">
          <cell r="A1825" t="str">
            <v>AFG</v>
          </cell>
          <cell r="B1825">
            <v>2007</v>
          </cell>
          <cell r="C1825" t="str">
            <v>mar_srvfc</v>
          </cell>
          <cell r="D1825">
            <v>43.542442321777344</v>
          </cell>
        </row>
        <row r="1826">
          <cell r="A1826" t="str">
            <v>AFG</v>
          </cell>
          <cell r="B1826">
            <v>2023</v>
          </cell>
          <cell r="C1826" t="str">
            <v>madeficit_</v>
          </cell>
          <cell r="D1826">
            <v>-0.72972220182418823</v>
          </cell>
        </row>
        <row r="1827">
          <cell r="A1827" t="str">
            <v>AFG</v>
          </cell>
          <cell r="B1827">
            <v>2023</v>
          </cell>
          <cell r="C1827" t="str">
            <v>masrvfc</v>
          </cell>
          <cell r="D1827">
            <v>2.48836350440979</v>
          </cell>
        </row>
        <row r="1828">
          <cell r="A1828" t="str">
            <v>AFG</v>
          </cell>
          <cell r="B1828">
            <v>2023</v>
          </cell>
          <cell r="C1828" t="str">
            <v>mar_taxfc</v>
          </cell>
          <cell r="D1828">
            <v>4.7559185028076172</v>
          </cell>
        </row>
        <row r="1829">
          <cell r="A1829" t="str">
            <v>AFG</v>
          </cell>
          <cell r="B1829">
            <v>2019</v>
          </cell>
          <cell r="C1829" t="str">
            <v>maconz</v>
          </cell>
          <cell r="D1829">
            <v>-2</v>
          </cell>
        </row>
        <row r="1830">
          <cell r="A1830" t="str">
            <v>AFG</v>
          </cell>
          <cell r="B1830">
            <v>2020</v>
          </cell>
          <cell r="C1830" t="str">
            <v>mar_expz</v>
          </cell>
          <cell r="D1830">
            <v>8.0714960098266602</v>
          </cell>
        </row>
        <row r="1831">
          <cell r="A1831" t="str">
            <v>AFG</v>
          </cell>
          <cell r="B1831">
            <v>2008</v>
          </cell>
          <cell r="C1831" t="str">
            <v>mac_labz</v>
          </cell>
          <cell r="D1831">
            <v>1.1078121662139893</v>
          </cell>
        </row>
        <row r="1832">
          <cell r="A1832" t="str">
            <v>AFG</v>
          </cell>
          <cell r="B1832">
            <v>2005</v>
          </cell>
          <cell r="C1832" t="str">
            <v>madebt_</v>
          </cell>
          <cell r="D1832">
            <v>49.695003509521484</v>
          </cell>
        </row>
        <row r="1833">
          <cell r="A1833" t="str">
            <v>AFG</v>
          </cell>
          <cell r="B1833">
            <v>2008</v>
          </cell>
          <cell r="C1833" t="str">
            <v>madebt_</v>
          </cell>
          <cell r="D1833">
            <v>8.8562870025634766</v>
          </cell>
        </row>
        <row r="1834">
          <cell r="A1834" t="str">
            <v>AFG</v>
          </cell>
          <cell r="B1834">
            <v>2018</v>
          </cell>
          <cell r="C1834" t="str">
            <v>mareer</v>
          </cell>
          <cell r="D1834">
            <v>87.449028015136719</v>
          </cell>
        </row>
        <row r="1835">
          <cell r="A1835" t="str">
            <v>AFG</v>
          </cell>
          <cell r="B1835">
            <v>2019</v>
          </cell>
          <cell r="C1835" t="str">
            <v>mainvz</v>
          </cell>
          <cell r="D1835">
            <v>-15.326896667480469</v>
          </cell>
        </row>
        <row r="1836">
          <cell r="A1836" t="str">
            <v>AFG</v>
          </cell>
          <cell r="B1836">
            <v>2008</v>
          </cell>
          <cell r="C1836" t="str">
            <v>magap_</v>
          </cell>
          <cell r="D1836">
            <v>-11.076416969299316</v>
          </cell>
        </row>
        <row r="1837">
          <cell r="A1837" t="str">
            <v>AFG</v>
          </cell>
          <cell r="B1837">
            <v>2012</v>
          </cell>
          <cell r="C1837" t="str">
            <v>mafdi_</v>
          </cell>
          <cell r="D1837">
            <v>-0.26443688347738947</v>
          </cell>
        </row>
        <row r="1838">
          <cell r="A1838" t="str">
            <v>AFG</v>
          </cell>
          <cell r="B1838">
            <v>2008</v>
          </cell>
          <cell r="C1838" t="str">
            <v>maimpz</v>
          </cell>
          <cell r="D1838">
            <v>-16.756000518798828</v>
          </cell>
        </row>
        <row r="1839">
          <cell r="A1839" t="str">
            <v>AFG</v>
          </cell>
          <cell r="B1839">
            <v>2022</v>
          </cell>
          <cell r="C1839" t="str">
            <v>madeficit_</v>
          </cell>
          <cell r="D1839">
            <v>-0.72972220182418823</v>
          </cell>
        </row>
        <row r="1840">
          <cell r="A1840" t="str">
            <v>AFG</v>
          </cell>
          <cell r="B1840">
            <v>2016</v>
          </cell>
          <cell r="C1840" t="str">
            <v>madebt_</v>
          </cell>
          <cell r="D1840">
            <v>6.5358333587646484</v>
          </cell>
        </row>
        <row r="1841">
          <cell r="A1841" t="str">
            <v>AFG</v>
          </cell>
          <cell r="B1841">
            <v>2008</v>
          </cell>
          <cell r="C1841" t="str">
            <v>mar_impz</v>
          </cell>
          <cell r="D1841">
            <v>70.591392517089844</v>
          </cell>
        </row>
        <row r="1842">
          <cell r="A1842" t="str">
            <v>AFG</v>
          </cell>
          <cell r="B1842">
            <v>2018</v>
          </cell>
          <cell r="C1842" t="str">
            <v>mapanusatls</v>
          </cell>
          <cell r="D1842">
            <v>74.955596923828125</v>
          </cell>
        </row>
        <row r="1843">
          <cell r="A1843" t="str">
            <v>AFG</v>
          </cell>
          <cell r="B1843">
            <v>2021</v>
          </cell>
          <cell r="C1843" t="str">
            <v>magovz</v>
          </cell>
          <cell r="D1843">
            <v>1.2248414754867554</v>
          </cell>
        </row>
        <row r="1844">
          <cell r="A1844" t="str">
            <v>AFG</v>
          </cell>
          <cell r="B1844">
            <v>2005</v>
          </cell>
          <cell r="C1844" t="str">
            <v>magap_</v>
          </cell>
          <cell r="D1844">
            <v>1.4743180274963379</v>
          </cell>
        </row>
        <row r="1845">
          <cell r="A1845" t="str">
            <v>AFG</v>
          </cell>
          <cell r="B1845">
            <v>2008</v>
          </cell>
          <cell r="C1845" t="str">
            <v>mataxfc</v>
          </cell>
          <cell r="D1845">
            <v>-6.8484311103820801</v>
          </cell>
        </row>
        <row r="1846">
          <cell r="A1846" t="str">
            <v>AFG</v>
          </cell>
          <cell r="B1846">
            <v>2009</v>
          </cell>
          <cell r="C1846" t="str">
            <v>mac_labz</v>
          </cell>
          <cell r="D1846">
            <v>3.3775734901428223</v>
          </cell>
        </row>
        <row r="1847">
          <cell r="A1847" t="str">
            <v>AFG</v>
          </cell>
          <cell r="B1847">
            <v>2019</v>
          </cell>
          <cell r="C1847" t="str">
            <v>maagrfc</v>
          </cell>
          <cell r="D1847">
            <v>17.45982551574707</v>
          </cell>
        </row>
        <row r="1848">
          <cell r="A1848" t="str">
            <v>AFG</v>
          </cell>
          <cell r="B1848">
            <v>2006</v>
          </cell>
          <cell r="C1848" t="str">
            <v>maimpz</v>
          </cell>
          <cell r="D1848">
            <v>-4.1077909469604492</v>
          </cell>
        </row>
        <row r="1849">
          <cell r="A1849" t="str">
            <v>AFG</v>
          </cell>
          <cell r="B1849">
            <v>2021</v>
          </cell>
          <cell r="C1849" t="str">
            <v>maagrfc</v>
          </cell>
          <cell r="D1849">
            <v>-1.5399999618530273</v>
          </cell>
        </row>
        <row r="1850">
          <cell r="A1850" t="str">
            <v>AFG</v>
          </cell>
          <cell r="B1850">
            <v>2022</v>
          </cell>
          <cell r="C1850" t="str">
            <v>maimpz</v>
          </cell>
          <cell r="D1850">
            <v>3.0999999046325684</v>
          </cell>
        </row>
        <row r="1851">
          <cell r="A1851" t="str">
            <v>AFG</v>
          </cell>
          <cell r="B1851">
            <v>2019</v>
          </cell>
          <cell r="C1851" t="str">
            <v>macab_</v>
          </cell>
          <cell r="D1851">
            <v>0.57021331787109375</v>
          </cell>
        </row>
        <row r="1852">
          <cell r="A1852" t="str">
            <v>AFG</v>
          </cell>
          <cell r="B1852">
            <v>2013</v>
          </cell>
          <cell r="C1852" t="str">
            <v>mapanusatls</v>
          </cell>
          <cell r="D1852">
            <v>56.639999389648438</v>
          </cell>
        </row>
        <row r="1853">
          <cell r="A1853" t="str">
            <v>AFG</v>
          </cell>
          <cell r="B1853">
            <v>2008</v>
          </cell>
          <cell r="C1853" t="str">
            <v>magdpz</v>
          </cell>
          <cell r="D1853">
            <v>2.6777970790863037</v>
          </cell>
        </row>
        <row r="1854">
          <cell r="A1854" t="str">
            <v>AFG</v>
          </cell>
          <cell r="B1854">
            <v>2008</v>
          </cell>
          <cell r="C1854" t="str">
            <v>mainvz</v>
          </cell>
          <cell r="D1854">
            <v>-7.880709171295166</v>
          </cell>
        </row>
        <row r="1855">
          <cell r="A1855" t="str">
            <v>AFG</v>
          </cell>
          <cell r="B1855">
            <v>2019</v>
          </cell>
          <cell r="C1855" t="str">
            <v>magap_</v>
          </cell>
          <cell r="D1855">
            <v>-2.0586841106414795</v>
          </cell>
        </row>
        <row r="1856">
          <cell r="A1856" t="str">
            <v>AFG</v>
          </cell>
          <cell r="B1856">
            <v>2023</v>
          </cell>
          <cell r="C1856" t="str">
            <v>mar_agrfc</v>
          </cell>
          <cell r="D1856">
            <v>32.018337249755859</v>
          </cell>
        </row>
        <row r="1857">
          <cell r="A1857" t="str">
            <v>AFG</v>
          </cell>
          <cell r="B1857">
            <v>2012</v>
          </cell>
          <cell r="C1857" t="str">
            <v>mar_agrfc</v>
          </cell>
          <cell r="D1857">
            <v>30.167579650878906</v>
          </cell>
        </row>
        <row r="1858">
          <cell r="A1858" t="str">
            <v>AFG</v>
          </cell>
          <cell r="B1858">
            <v>2010</v>
          </cell>
          <cell r="C1858" t="str">
            <v>magap_</v>
          </cell>
          <cell r="D1858">
            <v>0.49520984292030334</v>
          </cell>
        </row>
        <row r="1859">
          <cell r="A1859" t="str">
            <v>AFG</v>
          </cell>
          <cell r="B1859">
            <v>2007</v>
          </cell>
          <cell r="C1859" t="str">
            <v>madeficit_</v>
          </cell>
          <cell r="D1859">
            <v>-0.93632102012634277</v>
          </cell>
        </row>
        <row r="1860">
          <cell r="A1860" t="str">
            <v>AFG</v>
          </cell>
          <cell r="B1860">
            <v>2018</v>
          </cell>
          <cell r="C1860" t="str">
            <v>macpiz</v>
          </cell>
          <cell r="D1860">
            <v>0.6291235089302063</v>
          </cell>
        </row>
        <row r="1861">
          <cell r="A1861" t="str">
            <v>AFG</v>
          </cell>
          <cell r="B1861">
            <v>2005</v>
          </cell>
          <cell r="C1861" t="str">
            <v>mar_taxfc</v>
          </cell>
          <cell r="D1861">
            <v>3.2454280853271484</v>
          </cell>
        </row>
        <row r="1862">
          <cell r="A1862" t="str">
            <v>AFG</v>
          </cell>
          <cell r="B1862">
            <v>2018</v>
          </cell>
          <cell r="C1862" t="str">
            <v>mafdi_</v>
          </cell>
          <cell r="D1862">
            <v>-0.45520175878415142</v>
          </cell>
        </row>
        <row r="1863">
          <cell r="A1863" t="str">
            <v>AFG</v>
          </cell>
          <cell r="B1863">
            <v>2012</v>
          </cell>
          <cell r="C1863" t="str">
            <v>madebt_</v>
          </cell>
          <cell r="D1863">
            <v>5.4020090103149414</v>
          </cell>
        </row>
        <row r="1864">
          <cell r="A1864" t="str">
            <v>AFG</v>
          </cell>
          <cell r="B1864">
            <v>2010</v>
          </cell>
          <cell r="C1864" t="str">
            <v>mar_expz</v>
          </cell>
          <cell r="D1864">
            <v>17.354564666748047</v>
          </cell>
        </row>
        <row r="1865">
          <cell r="A1865" t="str">
            <v>AFG</v>
          </cell>
          <cell r="B1865">
            <v>2019</v>
          </cell>
          <cell r="C1865" t="str">
            <v>mapanusatls</v>
          </cell>
          <cell r="D1865">
            <v>77.400001525878906</v>
          </cell>
        </row>
        <row r="1866">
          <cell r="A1866" t="str">
            <v>AFG</v>
          </cell>
          <cell r="B1866">
            <v>2010</v>
          </cell>
          <cell r="C1866" t="str">
            <v>mar_indfc</v>
          </cell>
          <cell r="D1866">
            <v>12.225724220275879</v>
          </cell>
        </row>
        <row r="1867">
          <cell r="A1867" t="str">
            <v>AFG</v>
          </cell>
          <cell r="B1867">
            <v>2015</v>
          </cell>
          <cell r="C1867" t="str">
            <v>madeficit_</v>
          </cell>
          <cell r="D1867">
            <v>-1.4337314367294312</v>
          </cell>
        </row>
        <row r="1868">
          <cell r="A1868" t="str">
            <v>AFG</v>
          </cell>
          <cell r="B1868">
            <v>2019</v>
          </cell>
          <cell r="C1868" t="str">
            <v>mar_agrfc</v>
          </cell>
          <cell r="D1868">
            <v>29.858743667602539</v>
          </cell>
        </row>
        <row r="1869">
          <cell r="A1869" t="str">
            <v>AFG</v>
          </cell>
          <cell r="B1869">
            <v>2006</v>
          </cell>
          <cell r="C1869" t="str">
            <v>mar_con</v>
          </cell>
          <cell r="D1869">
            <v>112.65332794189453</v>
          </cell>
        </row>
        <row r="1870">
          <cell r="A1870" t="str">
            <v>AFG</v>
          </cell>
          <cell r="B1870">
            <v>2025</v>
          </cell>
          <cell r="C1870" t="str">
            <v>madeficit_</v>
          </cell>
          <cell r="D1870">
            <v>-0.729805588722229</v>
          </cell>
        </row>
        <row r="1871">
          <cell r="A1871" t="str">
            <v>AFG</v>
          </cell>
          <cell r="B1871">
            <v>2010</v>
          </cell>
          <cell r="C1871" t="str">
            <v>masrvfc</v>
          </cell>
          <cell r="D1871">
            <v>17.983381271362305</v>
          </cell>
        </row>
        <row r="1872">
          <cell r="A1872" t="str">
            <v>AFG</v>
          </cell>
          <cell r="B1872">
            <v>2006</v>
          </cell>
          <cell r="C1872" t="str">
            <v>mainvz</v>
          </cell>
          <cell r="D1872">
            <v>-0.57935881614685059</v>
          </cell>
        </row>
        <row r="1873">
          <cell r="A1873" t="str">
            <v>AFG</v>
          </cell>
          <cell r="B1873">
            <v>2024</v>
          </cell>
          <cell r="C1873" t="str">
            <v>mac_tfpz</v>
          </cell>
          <cell r="D1873">
            <v>-0.76923370361328125</v>
          </cell>
        </row>
        <row r="1874">
          <cell r="A1874" t="str">
            <v>AFG</v>
          </cell>
          <cell r="B1874">
            <v>2011</v>
          </cell>
          <cell r="C1874" t="str">
            <v>macab_</v>
          </cell>
          <cell r="D1874">
            <v>5.0093774795532227</v>
          </cell>
        </row>
        <row r="1875">
          <cell r="A1875" t="str">
            <v>AFG</v>
          </cell>
          <cell r="B1875">
            <v>2012</v>
          </cell>
          <cell r="C1875" t="str">
            <v>malabz</v>
          </cell>
          <cell r="D1875">
            <v>5.8790969848632813</v>
          </cell>
        </row>
        <row r="1876">
          <cell r="A1876" t="str">
            <v>AFG</v>
          </cell>
          <cell r="B1876">
            <v>2011</v>
          </cell>
          <cell r="C1876" t="str">
            <v>maexpz</v>
          </cell>
          <cell r="D1876">
            <v>41.584812164306641</v>
          </cell>
        </row>
        <row r="1877">
          <cell r="A1877" t="str">
            <v>AFG</v>
          </cell>
          <cell r="B1877">
            <v>2011</v>
          </cell>
          <cell r="C1877" t="str">
            <v>mafdi_</v>
          </cell>
          <cell r="D1877">
            <v>-0.19147797501094671</v>
          </cell>
        </row>
        <row r="1878">
          <cell r="A1878" t="str">
            <v>AFG</v>
          </cell>
          <cell r="B1878">
            <v>2010</v>
          </cell>
          <cell r="C1878" t="str">
            <v>mac_tfpz</v>
          </cell>
          <cell r="D1878">
            <v>2.8436439037322998</v>
          </cell>
        </row>
        <row r="1879">
          <cell r="A1879" t="str">
            <v>AFG</v>
          </cell>
          <cell r="B1879">
            <v>2012</v>
          </cell>
          <cell r="C1879" t="str">
            <v>mac_tfpz</v>
          </cell>
          <cell r="D1879">
            <v>1.5605900287628174</v>
          </cell>
        </row>
        <row r="1880">
          <cell r="A1880" t="str">
            <v>AFG</v>
          </cell>
          <cell r="B1880">
            <v>2011</v>
          </cell>
          <cell r="C1880" t="str">
            <v>mar_con</v>
          </cell>
          <cell r="D1880">
            <v>82.132682800292969</v>
          </cell>
        </row>
        <row r="1881">
          <cell r="A1881" t="str">
            <v>AFG</v>
          </cell>
          <cell r="B1881">
            <v>2011</v>
          </cell>
          <cell r="C1881" t="str">
            <v>malabz</v>
          </cell>
          <cell r="D1881">
            <v>5.2167868614196777</v>
          </cell>
        </row>
        <row r="1882">
          <cell r="A1882" t="str">
            <v>AFG</v>
          </cell>
          <cell r="B1882">
            <v>2007</v>
          </cell>
          <cell r="C1882" t="str">
            <v>maagrfc</v>
          </cell>
          <cell r="D1882">
            <v>14.700446128845215</v>
          </cell>
        </row>
        <row r="1883">
          <cell r="A1883" t="str">
            <v>AFG</v>
          </cell>
          <cell r="B1883">
            <v>2019</v>
          </cell>
          <cell r="C1883" t="str">
            <v>mareer</v>
          </cell>
          <cell r="D1883">
            <v>90.984085083007813</v>
          </cell>
        </row>
        <row r="1884">
          <cell r="A1884" t="str">
            <v>AFG</v>
          </cell>
          <cell r="B1884">
            <v>2024</v>
          </cell>
          <cell r="C1884" t="str">
            <v>maconz</v>
          </cell>
          <cell r="D1884">
            <v>3.5</v>
          </cell>
        </row>
        <row r="1885">
          <cell r="A1885" t="str">
            <v>AFG</v>
          </cell>
          <cell r="B1885">
            <v>2021</v>
          </cell>
          <cell r="C1885" t="str">
            <v>madeficit_</v>
          </cell>
          <cell r="D1885">
            <v>-0.27838605642318726</v>
          </cell>
        </row>
        <row r="1886">
          <cell r="A1886" t="str">
            <v>AFG</v>
          </cell>
          <cell r="B1886">
            <v>2005</v>
          </cell>
          <cell r="C1886" t="str">
            <v>macpiz</v>
          </cell>
          <cell r="D1886">
            <v>-0.94981169700622559</v>
          </cell>
        </row>
        <row r="1887">
          <cell r="A1887" t="str">
            <v>AFG</v>
          </cell>
          <cell r="B1887">
            <v>2026</v>
          </cell>
          <cell r="C1887" t="str">
            <v>macpiz</v>
          </cell>
          <cell r="D1887">
            <v>5</v>
          </cell>
        </row>
        <row r="1888">
          <cell r="A1888" t="str">
            <v>AFG</v>
          </cell>
          <cell r="B1888">
            <v>2012</v>
          </cell>
          <cell r="C1888" t="str">
            <v>macpiz</v>
          </cell>
          <cell r="D1888">
            <v>18.730533599853516</v>
          </cell>
        </row>
        <row r="1889">
          <cell r="A1889" t="str">
            <v>AFG</v>
          </cell>
          <cell r="B1889">
            <v>2013</v>
          </cell>
          <cell r="C1889" t="str">
            <v>maagrfc</v>
          </cell>
          <cell r="D1889">
            <v>5.2674198523163795E-3</v>
          </cell>
        </row>
        <row r="1890">
          <cell r="A1890" t="str">
            <v>AFG</v>
          </cell>
          <cell r="B1890">
            <v>2016</v>
          </cell>
          <cell r="C1890" t="str">
            <v>mareer</v>
          </cell>
          <cell r="D1890">
            <v>101.12485504150391</v>
          </cell>
        </row>
        <row r="1891">
          <cell r="A1891" t="str">
            <v>AFG</v>
          </cell>
          <cell r="B1891">
            <v>2007</v>
          </cell>
          <cell r="C1891" t="str">
            <v>mac_tfpz</v>
          </cell>
          <cell r="D1891">
            <v>3.6306357383728027</v>
          </cell>
        </row>
        <row r="1892">
          <cell r="A1892" t="str">
            <v>AFG</v>
          </cell>
          <cell r="B1892">
            <v>2020</v>
          </cell>
          <cell r="C1892" t="str">
            <v>macab_</v>
          </cell>
          <cell r="D1892">
            <v>2.882155179977417</v>
          </cell>
        </row>
        <row r="1893">
          <cell r="A1893" t="str">
            <v>AFG</v>
          </cell>
          <cell r="B1893">
            <v>2012</v>
          </cell>
          <cell r="C1893" t="str">
            <v>maimpz</v>
          </cell>
          <cell r="D1893">
            <v>-4.1293845176696777</v>
          </cell>
        </row>
        <row r="1894">
          <cell r="A1894" t="str">
            <v>AFG</v>
          </cell>
          <cell r="B1894">
            <v>2019</v>
          </cell>
          <cell r="C1894" t="str">
            <v>macpiz</v>
          </cell>
          <cell r="D1894">
            <v>2.304060697555542</v>
          </cell>
        </row>
        <row r="1895">
          <cell r="A1895" t="str">
            <v>AFG</v>
          </cell>
          <cell r="B1895">
            <v>2026</v>
          </cell>
          <cell r="C1895" t="str">
            <v>mareer</v>
          </cell>
          <cell r="D1895">
            <v>83.121452331542969</v>
          </cell>
        </row>
        <row r="1896">
          <cell r="A1896" t="str">
            <v>AFG</v>
          </cell>
          <cell r="B1896">
            <v>2012</v>
          </cell>
          <cell r="C1896" t="str">
            <v>magovz</v>
          </cell>
          <cell r="D1896">
            <v>21.594451904296875</v>
          </cell>
        </row>
        <row r="1897">
          <cell r="A1897" t="str">
            <v>AFG</v>
          </cell>
          <cell r="B1897">
            <v>2023</v>
          </cell>
          <cell r="C1897" t="str">
            <v>maagrfc</v>
          </cell>
          <cell r="D1897">
            <v>4.4499998092651367</v>
          </cell>
        </row>
        <row r="1898">
          <cell r="A1898" t="str">
            <v>AFG</v>
          </cell>
          <cell r="B1898">
            <v>2011</v>
          </cell>
          <cell r="C1898" t="str">
            <v>madeficit_</v>
          </cell>
          <cell r="D1898">
            <v>-0.44128555059432983</v>
          </cell>
        </row>
        <row r="1899">
          <cell r="A1899" t="str">
            <v>AFG</v>
          </cell>
          <cell r="B1899">
            <v>2012</v>
          </cell>
          <cell r="C1899" t="str">
            <v>mar_con</v>
          </cell>
          <cell r="D1899">
            <v>82.687782287597656</v>
          </cell>
        </row>
        <row r="1900">
          <cell r="A1900" t="str">
            <v>AFG</v>
          </cell>
          <cell r="B1900">
            <v>2012</v>
          </cell>
          <cell r="C1900" t="str">
            <v>mar_indfc</v>
          </cell>
          <cell r="D1900">
            <v>10.97808837890625</v>
          </cell>
        </row>
        <row r="1901">
          <cell r="A1901" t="str">
            <v>AFG</v>
          </cell>
          <cell r="B1901">
            <v>2017</v>
          </cell>
          <cell r="C1901" t="str">
            <v>maindfc</v>
          </cell>
          <cell r="D1901">
            <v>9.2067928314208984</v>
          </cell>
        </row>
        <row r="1902">
          <cell r="A1902" t="str">
            <v>AFG</v>
          </cell>
          <cell r="B1902">
            <v>2012</v>
          </cell>
          <cell r="C1902" t="str">
            <v>matfpz</v>
          </cell>
          <cell r="D1902">
            <v>1.5605900287628174</v>
          </cell>
        </row>
        <row r="1903">
          <cell r="A1903" t="str">
            <v>AFG</v>
          </cell>
          <cell r="B1903">
            <v>2024</v>
          </cell>
          <cell r="C1903" t="str">
            <v>maindfc</v>
          </cell>
          <cell r="D1903">
            <v>1.9500000476837158</v>
          </cell>
        </row>
        <row r="1904">
          <cell r="A1904" t="str">
            <v>AFG</v>
          </cell>
          <cell r="B1904">
            <v>2022</v>
          </cell>
          <cell r="C1904" t="str">
            <v>magdpz</v>
          </cell>
          <cell r="D1904">
            <v>2.619999885559082</v>
          </cell>
        </row>
        <row r="1905">
          <cell r="A1905" t="str">
            <v>AFG</v>
          </cell>
          <cell r="B1905">
            <v>2019</v>
          </cell>
          <cell r="C1905" t="str">
            <v>mar_taxfc</v>
          </cell>
          <cell r="D1905">
            <v>4.794342041015625</v>
          </cell>
        </row>
        <row r="1906">
          <cell r="A1906" t="str">
            <v>AFG</v>
          </cell>
          <cell r="B1906">
            <v>2014</v>
          </cell>
          <cell r="C1906" t="str">
            <v>magdpz</v>
          </cell>
          <cell r="D1906">
            <v>2.5242388248443604</v>
          </cell>
        </row>
        <row r="1907">
          <cell r="A1907" t="str">
            <v>AFG</v>
          </cell>
          <cell r="B1907">
            <v>2007</v>
          </cell>
          <cell r="C1907" t="str">
            <v>maimpz</v>
          </cell>
          <cell r="D1907">
            <v>-2.4051656723022461</v>
          </cell>
        </row>
        <row r="1908">
          <cell r="A1908" t="str">
            <v>AFG</v>
          </cell>
          <cell r="B1908">
            <v>2013</v>
          </cell>
          <cell r="C1908" t="str">
            <v>maconz</v>
          </cell>
          <cell r="D1908">
            <v>15.464701652526855</v>
          </cell>
        </row>
        <row r="1909">
          <cell r="A1909" t="str">
            <v>AFG</v>
          </cell>
          <cell r="B1909">
            <v>2011</v>
          </cell>
          <cell r="C1909" t="str">
            <v>masrvfc</v>
          </cell>
          <cell r="D1909">
            <v>18.355405807495117</v>
          </cell>
        </row>
        <row r="1910">
          <cell r="A1910" t="str">
            <v>AFG</v>
          </cell>
          <cell r="B1910">
            <v>2013</v>
          </cell>
          <cell r="C1910" t="str">
            <v>magap_</v>
          </cell>
          <cell r="D1910">
            <v>10.938577651977539</v>
          </cell>
        </row>
        <row r="1911">
          <cell r="A1911" t="str">
            <v>AFG</v>
          </cell>
          <cell r="B1911">
            <v>2013</v>
          </cell>
          <cell r="C1911" t="str">
            <v>maindfc</v>
          </cell>
          <cell r="D1911">
            <v>5.0609908103942871</v>
          </cell>
        </row>
        <row r="1912">
          <cell r="A1912" t="str">
            <v>AFG</v>
          </cell>
          <cell r="B1912">
            <v>2013</v>
          </cell>
          <cell r="C1912" t="str">
            <v>magdpz</v>
          </cell>
          <cell r="D1912">
            <v>5.3689026832580566</v>
          </cell>
        </row>
        <row r="1913">
          <cell r="A1913" t="str">
            <v>AFG</v>
          </cell>
          <cell r="B1913">
            <v>2026</v>
          </cell>
          <cell r="C1913" t="str">
            <v>mainvz</v>
          </cell>
          <cell r="D1913">
            <v>1.2651419639587402</v>
          </cell>
        </row>
        <row r="1914">
          <cell r="A1914" t="str">
            <v>AFG</v>
          </cell>
          <cell r="B1914">
            <v>2007</v>
          </cell>
          <cell r="C1914" t="str">
            <v>matfpz</v>
          </cell>
          <cell r="D1914">
            <v>3.6306357383728027</v>
          </cell>
        </row>
        <row r="1915">
          <cell r="A1915" t="str">
            <v>AFG</v>
          </cell>
          <cell r="B1915">
            <v>2009</v>
          </cell>
          <cell r="C1915" t="str">
            <v>malabz</v>
          </cell>
          <cell r="D1915">
            <v>4.8251051902770996</v>
          </cell>
        </row>
        <row r="1916">
          <cell r="A1916" t="str">
            <v>AFG</v>
          </cell>
          <cell r="B1916">
            <v>2017</v>
          </cell>
          <cell r="C1916" t="str">
            <v>mar_expz</v>
          </cell>
          <cell r="D1916">
            <v>6.0798101425170898</v>
          </cell>
        </row>
        <row r="1917">
          <cell r="A1917" t="str">
            <v>AFG</v>
          </cell>
          <cell r="B1917">
            <v>2013</v>
          </cell>
          <cell r="C1917" t="str">
            <v>mataxfc</v>
          </cell>
          <cell r="D1917">
            <v>9.8861589431762695</v>
          </cell>
        </row>
        <row r="1918">
          <cell r="A1918" t="str">
            <v>AFG</v>
          </cell>
          <cell r="B1918">
            <v>2024</v>
          </cell>
          <cell r="C1918" t="str">
            <v>magovz</v>
          </cell>
          <cell r="D1918">
            <v>1.7689787149429321</v>
          </cell>
        </row>
        <row r="1919">
          <cell r="A1919" t="str">
            <v>AFG</v>
          </cell>
          <cell r="B1919">
            <v>2015</v>
          </cell>
          <cell r="C1919" t="str">
            <v>magovz</v>
          </cell>
          <cell r="D1919">
            <v>8.2816686630249023</v>
          </cell>
        </row>
        <row r="1920">
          <cell r="A1920" t="str">
            <v>BGD</v>
          </cell>
          <cell r="B1920">
            <v>2022</v>
          </cell>
          <cell r="C1920" t="str">
            <v>maagrfc</v>
          </cell>
          <cell r="D1920">
            <v>3.0539817810058594</v>
          </cell>
        </row>
        <row r="1921">
          <cell r="A1921" t="str">
            <v>BGD</v>
          </cell>
          <cell r="B1921">
            <v>2020</v>
          </cell>
          <cell r="C1921" t="str">
            <v>mafdi_</v>
          </cell>
          <cell r="D1921">
            <v>-0.33985826373100281</v>
          </cell>
        </row>
        <row r="1922">
          <cell r="A1922" t="str">
            <v>BGD</v>
          </cell>
          <cell r="B1922">
            <v>2009</v>
          </cell>
          <cell r="C1922" t="str">
            <v>mar_agrfc</v>
          </cell>
          <cell r="D1922">
            <v>18.363143920898438</v>
          </cell>
        </row>
        <row r="1923">
          <cell r="A1923" t="str">
            <v>BGD</v>
          </cell>
          <cell r="B1923">
            <v>2011</v>
          </cell>
          <cell r="C1923" t="str">
            <v>mataxfc</v>
          </cell>
          <cell r="D1923">
            <v>2.926074743270874</v>
          </cell>
        </row>
        <row r="1924">
          <cell r="A1924" t="str">
            <v>BGD</v>
          </cell>
          <cell r="B1924">
            <v>2019</v>
          </cell>
          <cell r="C1924" t="str">
            <v>mar_con</v>
          </cell>
          <cell r="D1924">
            <v>66.056976318359375</v>
          </cell>
        </row>
        <row r="1925">
          <cell r="A1925" t="str">
            <v>BGD</v>
          </cell>
          <cell r="B1925">
            <v>2007</v>
          </cell>
          <cell r="C1925" t="str">
            <v>mareer</v>
          </cell>
          <cell r="D1925">
            <v>59.518218994140625</v>
          </cell>
        </row>
        <row r="1926">
          <cell r="A1926" t="str">
            <v>BGD</v>
          </cell>
          <cell r="B1926">
            <v>2011</v>
          </cell>
          <cell r="C1926" t="str">
            <v>madeficit_</v>
          </cell>
          <cell r="D1926">
            <v>-3.024381160736084</v>
          </cell>
        </row>
        <row r="1927">
          <cell r="A1927" t="str">
            <v>BGD</v>
          </cell>
          <cell r="B1927">
            <v>2010</v>
          </cell>
          <cell r="C1927" t="str">
            <v>maindfc</v>
          </cell>
          <cell r="D1927">
            <v>7.0322017669677734</v>
          </cell>
        </row>
        <row r="1928">
          <cell r="A1928" t="str">
            <v>BGD</v>
          </cell>
          <cell r="B1928">
            <v>2025</v>
          </cell>
          <cell r="C1928" t="str">
            <v>macpiz</v>
          </cell>
          <cell r="D1928">
            <v>8.5</v>
          </cell>
        </row>
        <row r="1929">
          <cell r="A1929" t="str">
            <v>BGD</v>
          </cell>
          <cell r="B1929">
            <v>2014</v>
          </cell>
          <cell r="C1929" t="str">
            <v>mac_labz</v>
          </cell>
          <cell r="D1929">
            <v>1.5508493185043335</v>
          </cell>
        </row>
        <row r="1930">
          <cell r="A1930" t="str">
            <v>BGD</v>
          </cell>
          <cell r="B1930">
            <v>2012</v>
          </cell>
          <cell r="C1930" t="str">
            <v>magdpz</v>
          </cell>
          <cell r="D1930">
            <v>6.5214352607727051</v>
          </cell>
        </row>
        <row r="1931">
          <cell r="A1931" t="str">
            <v>BGD</v>
          </cell>
          <cell r="B1931">
            <v>2020</v>
          </cell>
          <cell r="C1931" t="str">
            <v>magdpz</v>
          </cell>
          <cell r="D1931">
            <v>3.448033332824707</v>
          </cell>
        </row>
        <row r="1932">
          <cell r="A1932" t="str">
            <v>BGD</v>
          </cell>
          <cell r="B1932">
            <v>2021</v>
          </cell>
          <cell r="C1932" t="str">
            <v>macab_</v>
          </cell>
          <cell r="D1932">
            <v>-1.0990419387817383</v>
          </cell>
        </row>
        <row r="1933">
          <cell r="A1933" t="str">
            <v>BGD</v>
          </cell>
          <cell r="B1933">
            <v>2022</v>
          </cell>
          <cell r="C1933" t="str">
            <v>maindfc</v>
          </cell>
          <cell r="D1933">
            <v>9.8556842803955078</v>
          </cell>
        </row>
        <row r="1934">
          <cell r="A1934" t="str">
            <v>BGD</v>
          </cell>
          <cell r="B1934">
            <v>2024</v>
          </cell>
          <cell r="C1934" t="str">
            <v>mareer</v>
          </cell>
          <cell r="D1934">
            <v>104.81016540527344</v>
          </cell>
        </row>
        <row r="1935">
          <cell r="A1935" t="str">
            <v>BGD</v>
          </cell>
          <cell r="B1935">
            <v>2015</v>
          </cell>
          <cell r="C1935" t="str">
            <v>magovz</v>
          </cell>
          <cell r="D1935">
            <v>8.7515707015991211</v>
          </cell>
        </row>
        <row r="1936">
          <cell r="A1936" t="str">
            <v>BGD</v>
          </cell>
          <cell r="B1936">
            <v>2023</v>
          </cell>
          <cell r="C1936" t="str">
            <v>madeficit_</v>
          </cell>
          <cell r="D1936">
            <v>-4.3738570213317871</v>
          </cell>
        </row>
        <row r="1937">
          <cell r="A1937" t="str">
            <v>BGD</v>
          </cell>
          <cell r="B1937">
            <v>2014</v>
          </cell>
          <cell r="C1937" t="str">
            <v>macpiz</v>
          </cell>
          <cell r="D1937">
            <v>7.3494791984558105</v>
          </cell>
        </row>
        <row r="1938">
          <cell r="A1938" t="str">
            <v>BGD</v>
          </cell>
          <cell r="B1938">
            <v>2010</v>
          </cell>
          <cell r="C1938" t="str">
            <v>mapanusatls</v>
          </cell>
          <cell r="D1938">
            <v>69.185417175292969</v>
          </cell>
        </row>
        <row r="1939">
          <cell r="A1939" t="str">
            <v>BGD</v>
          </cell>
          <cell r="B1939">
            <v>2012</v>
          </cell>
          <cell r="C1939" t="str">
            <v>mainvz</v>
          </cell>
          <cell r="D1939">
            <v>10.518452644348145</v>
          </cell>
        </row>
        <row r="1940">
          <cell r="A1940" t="str">
            <v>BGD</v>
          </cell>
          <cell r="B1940">
            <v>2022</v>
          </cell>
          <cell r="C1940" t="str">
            <v>mar_impz</v>
          </cell>
          <cell r="D1940">
            <v>20.897741317749023</v>
          </cell>
        </row>
        <row r="1941">
          <cell r="A1941" t="str">
            <v>BGD</v>
          </cell>
          <cell r="B1941">
            <v>2016</v>
          </cell>
          <cell r="C1941" t="str">
            <v>magovz</v>
          </cell>
          <cell r="D1941">
            <v>8.3684282302856445</v>
          </cell>
        </row>
        <row r="1942">
          <cell r="A1942" t="str">
            <v>BGD</v>
          </cell>
          <cell r="B1942">
            <v>2024</v>
          </cell>
          <cell r="C1942" t="str">
            <v>mainvz</v>
          </cell>
          <cell r="D1942">
            <v>5.5606088638305664</v>
          </cell>
        </row>
        <row r="1943">
          <cell r="A1943" t="str">
            <v>BGD</v>
          </cell>
          <cell r="B1943">
            <v>2019</v>
          </cell>
          <cell r="C1943" t="str">
            <v>mar_expz</v>
          </cell>
          <cell r="D1943">
            <v>13.094755172729492</v>
          </cell>
        </row>
        <row r="1944">
          <cell r="A1944" t="str">
            <v>BGD</v>
          </cell>
          <cell r="B1944">
            <v>2023</v>
          </cell>
          <cell r="C1944" t="str">
            <v>mar_indfc</v>
          </cell>
          <cell r="D1944">
            <v>37.652393341064453</v>
          </cell>
        </row>
        <row r="1945">
          <cell r="A1945" t="str">
            <v>BGD</v>
          </cell>
          <cell r="B1945">
            <v>2013</v>
          </cell>
          <cell r="C1945" t="str">
            <v>maagrfc</v>
          </cell>
          <cell r="D1945">
            <v>2.4648876190185547</v>
          </cell>
        </row>
        <row r="1946">
          <cell r="A1946" t="str">
            <v>BGD</v>
          </cell>
          <cell r="B1946">
            <v>2016</v>
          </cell>
          <cell r="C1946" t="str">
            <v>malabz</v>
          </cell>
          <cell r="D1946">
            <v>2.1143736839294434</v>
          </cell>
        </row>
        <row r="1947">
          <cell r="A1947" t="str">
            <v>BGD</v>
          </cell>
          <cell r="B1947">
            <v>2024</v>
          </cell>
          <cell r="C1947" t="str">
            <v>masrvfc</v>
          </cell>
          <cell r="D1947">
            <v>5.6386928558349609</v>
          </cell>
        </row>
        <row r="1948">
          <cell r="A1948" t="str">
            <v>BGD</v>
          </cell>
          <cell r="B1948">
            <v>2023</v>
          </cell>
          <cell r="C1948" t="str">
            <v>mainvz</v>
          </cell>
          <cell r="D1948">
            <v>2.2109556198120117</v>
          </cell>
        </row>
        <row r="1949">
          <cell r="A1949" t="str">
            <v>BGD</v>
          </cell>
          <cell r="B1949">
            <v>2026</v>
          </cell>
          <cell r="C1949" t="str">
            <v>mar_taxfc</v>
          </cell>
          <cell r="D1949">
            <v>3.3807861804962158</v>
          </cell>
        </row>
        <row r="1950">
          <cell r="A1950" t="str">
            <v>BGD</v>
          </cell>
          <cell r="B1950">
            <v>2008</v>
          </cell>
          <cell r="C1950" t="str">
            <v>magap_</v>
          </cell>
          <cell r="D1950">
            <v>1.4544836282730103</v>
          </cell>
        </row>
        <row r="1951">
          <cell r="A1951" t="str">
            <v>BGD</v>
          </cell>
          <cell r="B1951">
            <v>2026</v>
          </cell>
          <cell r="C1951" t="str">
            <v>madebt_</v>
          </cell>
          <cell r="D1951">
            <v>36.029018402099609</v>
          </cell>
        </row>
        <row r="1952">
          <cell r="A1952" t="str">
            <v>BGD</v>
          </cell>
          <cell r="B1952">
            <v>2008</v>
          </cell>
          <cell r="C1952" t="str">
            <v>mar_indfc</v>
          </cell>
          <cell r="D1952">
            <v>26.126096725463867</v>
          </cell>
        </row>
        <row r="1953">
          <cell r="A1953" t="str">
            <v>BGD</v>
          </cell>
          <cell r="B1953">
            <v>2019</v>
          </cell>
          <cell r="C1953" t="str">
            <v>magap_</v>
          </cell>
          <cell r="D1953">
            <v>0.73117643594741821</v>
          </cell>
        </row>
        <row r="1954">
          <cell r="A1954" t="str">
            <v>BGD</v>
          </cell>
          <cell r="B1954">
            <v>2018</v>
          </cell>
          <cell r="C1954" t="str">
            <v>mar_agrfc</v>
          </cell>
          <cell r="D1954">
            <v>13.13953685760498</v>
          </cell>
        </row>
        <row r="1955">
          <cell r="A1955" t="str">
            <v>BGD</v>
          </cell>
          <cell r="B1955">
            <v>2014</v>
          </cell>
          <cell r="C1955" t="str">
            <v>maagrfc</v>
          </cell>
          <cell r="D1955">
            <v>4.3718700408935547</v>
          </cell>
        </row>
        <row r="1956">
          <cell r="A1956" t="str">
            <v>BGD</v>
          </cell>
          <cell r="B1956">
            <v>2016</v>
          </cell>
          <cell r="C1956" t="str">
            <v>mar_con</v>
          </cell>
          <cell r="D1956">
            <v>66.864433288574219</v>
          </cell>
        </row>
        <row r="1957">
          <cell r="A1957" t="str">
            <v>BGD</v>
          </cell>
          <cell r="B1957">
            <v>2011</v>
          </cell>
          <cell r="C1957" t="str">
            <v>mac_tfpz</v>
          </cell>
          <cell r="D1957">
            <v>0.72734099626541138</v>
          </cell>
        </row>
        <row r="1958">
          <cell r="A1958" t="str">
            <v>BGD</v>
          </cell>
          <cell r="B1958">
            <v>2017</v>
          </cell>
          <cell r="C1958" t="str">
            <v>mar_impz</v>
          </cell>
          <cell r="D1958">
            <v>17.179981231689453</v>
          </cell>
        </row>
        <row r="1959">
          <cell r="A1959" t="str">
            <v>BGD</v>
          </cell>
          <cell r="B1959">
            <v>2013</v>
          </cell>
          <cell r="C1959" t="str">
            <v>macab_</v>
          </cell>
          <cell r="D1959">
            <v>1.3289864063262939</v>
          </cell>
        </row>
        <row r="1960">
          <cell r="A1960" t="str">
            <v>BGD</v>
          </cell>
          <cell r="B1960">
            <v>2018</v>
          </cell>
          <cell r="C1960" t="str">
            <v>matfpz</v>
          </cell>
          <cell r="D1960">
            <v>1.1167453527450562</v>
          </cell>
        </row>
        <row r="1961">
          <cell r="A1961" t="str">
            <v>BGD</v>
          </cell>
          <cell r="B1961">
            <v>2018</v>
          </cell>
          <cell r="C1961" t="str">
            <v>mar_impz</v>
          </cell>
          <cell r="D1961">
            <v>19.839845657348633</v>
          </cell>
        </row>
        <row r="1962">
          <cell r="A1962" t="str">
            <v>BGD</v>
          </cell>
          <cell r="B1962">
            <v>2026</v>
          </cell>
          <cell r="C1962" t="str">
            <v>mar_srvfc</v>
          </cell>
          <cell r="D1962">
            <v>50.693977355957031</v>
          </cell>
        </row>
        <row r="1963">
          <cell r="A1963" t="str">
            <v>BGD</v>
          </cell>
          <cell r="B1963">
            <v>2021</v>
          </cell>
          <cell r="C1963" t="str">
            <v>masrvfc</v>
          </cell>
          <cell r="D1963">
            <v>5.7321672439575195</v>
          </cell>
        </row>
        <row r="1964">
          <cell r="A1964" t="str">
            <v>BGD</v>
          </cell>
          <cell r="B1964">
            <v>2026</v>
          </cell>
          <cell r="C1964" t="str">
            <v>mar_con</v>
          </cell>
          <cell r="D1964">
            <v>60.901565551757813</v>
          </cell>
        </row>
        <row r="1965">
          <cell r="A1965" t="str">
            <v>BGD</v>
          </cell>
          <cell r="B1965">
            <v>2021</v>
          </cell>
          <cell r="C1965" t="str">
            <v>macpiz</v>
          </cell>
          <cell r="D1965">
            <v>5.557647705078125</v>
          </cell>
        </row>
        <row r="1966">
          <cell r="A1966" t="str">
            <v>BGD</v>
          </cell>
          <cell r="B1966">
            <v>2024</v>
          </cell>
          <cell r="C1966" t="str">
            <v>maexpz</v>
          </cell>
          <cell r="D1966">
            <v>0.10000000149011612</v>
          </cell>
        </row>
        <row r="1967">
          <cell r="A1967" t="str">
            <v>BGD</v>
          </cell>
          <cell r="B1967">
            <v>2020</v>
          </cell>
          <cell r="C1967" t="str">
            <v>malabz</v>
          </cell>
          <cell r="D1967">
            <v>1.7328606843948364</v>
          </cell>
        </row>
        <row r="1968">
          <cell r="A1968" t="str">
            <v>BGD</v>
          </cell>
          <cell r="B1968">
            <v>2020</v>
          </cell>
          <cell r="C1968" t="str">
            <v>maconz</v>
          </cell>
          <cell r="D1968">
            <v>2.9967999458312988</v>
          </cell>
        </row>
        <row r="1969">
          <cell r="A1969" t="str">
            <v>BGD</v>
          </cell>
          <cell r="B1969">
            <v>2009</v>
          </cell>
          <cell r="C1969" t="str">
            <v>mar_indfc</v>
          </cell>
          <cell r="D1969">
            <v>26.537071228027344</v>
          </cell>
        </row>
        <row r="1970">
          <cell r="A1970" t="str">
            <v>BGD</v>
          </cell>
          <cell r="B1970">
            <v>2018</v>
          </cell>
          <cell r="C1970" t="str">
            <v>magovz</v>
          </cell>
          <cell r="D1970">
            <v>5.2774848937988281</v>
          </cell>
        </row>
        <row r="1971">
          <cell r="A1971" t="str">
            <v>BGD</v>
          </cell>
          <cell r="B1971">
            <v>2006</v>
          </cell>
          <cell r="C1971" t="str">
            <v>maexpz</v>
          </cell>
          <cell r="D1971">
            <v>25.476310729980469</v>
          </cell>
        </row>
        <row r="1972">
          <cell r="A1972" t="str">
            <v>BGD</v>
          </cell>
          <cell r="B1972">
            <v>2017</v>
          </cell>
          <cell r="C1972" t="str">
            <v>mar_con</v>
          </cell>
          <cell r="D1972">
            <v>66.663009643554688</v>
          </cell>
        </row>
        <row r="1973">
          <cell r="A1973" t="str">
            <v>BGD</v>
          </cell>
          <cell r="B1973">
            <v>2009</v>
          </cell>
          <cell r="C1973" t="str">
            <v>madebt_</v>
          </cell>
          <cell r="D1973">
            <v>30.249513626098633</v>
          </cell>
        </row>
        <row r="1974">
          <cell r="A1974" t="str">
            <v>BGD</v>
          </cell>
          <cell r="B1974">
            <v>2022</v>
          </cell>
          <cell r="C1974" t="str">
            <v>malabz</v>
          </cell>
          <cell r="D1974">
            <v>1.4784473180770874</v>
          </cell>
        </row>
        <row r="1975">
          <cell r="A1975" t="str">
            <v>BGD</v>
          </cell>
          <cell r="B1975">
            <v>2017</v>
          </cell>
          <cell r="C1975" t="str">
            <v>magovz</v>
          </cell>
          <cell r="D1975">
            <v>7.2025270462036133</v>
          </cell>
        </row>
        <row r="1976">
          <cell r="A1976" t="str">
            <v>BGD</v>
          </cell>
          <cell r="B1976">
            <v>2009</v>
          </cell>
          <cell r="C1976" t="str">
            <v>magovz</v>
          </cell>
          <cell r="D1976">
            <v>6.102818489074707</v>
          </cell>
        </row>
        <row r="1977">
          <cell r="A1977" t="str">
            <v>BGD</v>
          </cell>
          <cell r="B1977">
            <v>2017</v>
          </cell>
          <cell r="C1977" t="str">
            <v>mareer</v>
          </cell>
          <cell r="D1977">
            <v>108.81985473632813</v>
          </cell>
        </row>
        <row r="1978">
          <cell r="A1978" t="str">
            <v>BGD</v>
          </cell>
          <cell r="B1978">
            <v>2007</v>
          </cell>
          <cell r="C1978" t="str">
            <v>mac_labz</v>
          </cell>
          <cell r="D1978">
            <v>1.0332400798797607</v>
          </cell>
        </row>
        <row r="1979">
          <cell r="A1979" t="str">
            <v>BGD</v>
          </cell>
          <cell r="B1979">
            <v>2010</v>
          </cell>
          <cell r="C1979" t="str">
            <v>mar_srvfc</v>
          </cell>
          <cell r="D1979">
            <v>54.833034515380859</v>
          </cell>
        </row>
        <row r="1980">
          <cell r="A1980" t="str">
            <v>BGD</v>
          </cell>
          <cell r="B1980">
            <v>2014</v>
          </cell>
          <cell r="C1980" t="str">
            <v>madeficit_</v>
          </cell>
          <cell r="D1980">
            <v>-2.5750398635864258</v>
          </cell>
        </row>
        <row r="1981">
          <cell r="A1981" t="str">
            <v>BGD</v>
          </cell>
          <cell r="B1981">
            <v>2017</v>
          </cell>
          <cell r="C1981" t="str">
            <v>macpiz</v>
          </cell>
          <cell r="D1981">
            <v>5.4402766227722168</v>
          </cell>
        </row>
        <row r="1982">
          <cell r="A1982" t="str">
            <v>BGD</v>
          </cell>
          <cell r="B1982">
            <v>2013</v>
          </cell>
          <cell r="C1982" t="str">
            <v>mapanusatls</v>
          </cell>
          <cell r="D1982">
            <v>79.92877197265625</v>
          </cell>
        </row>
        <row r="1983">
          <cell r="A1983" t="str">
            <v>BGD</v>
          </cell>
          <cell r="B1983">
            <v>2026</v>
          </cell>
          <cell r="C1983" t="str">
            <v>macab_</v>
          </cell>
          <cell r="D1983">
            <v>-0.1719035804271698</v>
          </cell>
        </row>
        <row r="1984">
          <cell r="A1984" t="str">
            <v>BGD</v>
          </cell>
          <cell r="B1984">
            <v>2011</v>
          </cell>
          <cell r="C1984" t="str">
            <v>macab_</v>
          </cell>
          <cell r="D1984">
            <v>0.57496112585067749</v>
          </cell>
        </row>
        <row r="1985">
          <cell r="A1985" t="str">
            <v>BGD</v>
          </cell>
          <cell r="B1985">
            <v>2007</v>
          </cell>
          <cell r="C1985" t="str">
            <v>mar_con</v>
          </cell>
          <cell r="D1985">
            <v>77.822914123535156</v>
          </cell>
        </row>
        <row r="1986">
          <cell r="A1986" t="str">
            <v>BGD</v>
          </cell>
          <cell r="B1986">
            <v>2020</v>
          </cell>
          <cell r="C1986" t="str">
            <v>maindfc</v>
          </cell>
          <cell r="D1986">
            <v>3.6110899448394775</v>
          </cell>
        </row>
        <row r="1987">
          <cell r="A1987" t="str">
            <v>BGD</v>
          </cell>
          <cell r="B1987">
            <v>2024</v>
          </cell>
          <cell r="C1987" t="str">
            <v>magap_</v>
          </cell>
          <cell r="D1987">
            <v>-2.3542940616607666</v>
          </cell>
        </row>
        <row r="1988">
          <cell r="A1988" t="str">
            <v>BGD</v>
          </cell>
          <cell r="B1988">
            <v>2007</v>
          </cell>
          <cell r="C1988" t="str">
            <v>matfpz</v>
          </cell>
          <cell r="D1988">
            <v>0.5735132098197937</v>
          </cell>
        </row>
        <row r="1989">
          <cell r="A1989" t="str">
            <v>BGD</v>
          </cell>
          <cell r="B1989">
            <v>2007</v>
          </cell>
          <cell r="C1989" t="str">
            <v>maindfc</v>
          </cell>
          <cell r="D1989">
            <v>9.0278282165527344</v>
          </cell>
        </row>
        <row r="1990">
          <cell r="A1990" t="str">
            <v>BGD</v>
          </cell>
          <cell r="B1990">
            <v>2011</v>
          </cell>
          <cell r="C1990" t="str">
            <v>mar_con</v>
          </cell>
          <cell r="D1990">
            <v>73.66693115234375</v>
          </cell>
        </row>
        <row r="1991">
          <cell r="A1991" t="str">
            <v>BGD</v>
          </cell>
          <cell r="B1991">
            <v>2009</v>
          </cell>
          <cell r="C1991" t="str">
            <v>matfpz</v>
          </cell>
          <cell r="D1991">
            <v>0.65709775686264038</v>
          </cell>
        </row>
        <row r="1992">
          <cell r="A1992" t="str">
            <v>BGD</v>
          </cell>
          <cell r="B1992">
            <v>2006</v>
          </cell>
          <cell r="C1992" t="str">
            <v>mac_labz</v>
          </cell>
          <cell r="D1992">
            <v>1.1755099296569824</v>
          </cell>
        </row>
        <row r="1993">
          <cell r="A1993" t="str">
            <v>BGD</v>
          </cell>
          <cell r="B1993">
            <v>2015</v>
          </cell>
          <cell r="C1993" t="str">
            <v>malabz</v>
          </cell>
          <cell r="D1993">
            <v>2.1123180389404297</v>
          </cell>
        </row>
        <row r="1994">
          <cell r="A1994" t="str">
            <v>BGD</v>
          </cell>
          <cell r="B1994">
            <v>2009</v>
          </cell>
          <cell r="C1994" t="str">
            <v>mac_tfpz</v>
          </cell>
          <cell r="D1994">
            <v>0.65709775686264038</v>
          </cell>
        </row>
        <row r="1995">
          <cell r="A1995" t="str">
            <v>BGD</v>
          </cell>
          <cell r="B1995">
            <v>2005</v>
          </cell>
          <cell r="C1995" t="str">
            <v>mar_con</v>
          </cell>
          <cell r="D1995">
            <v>77.278846740722656</v>
          </cell>
        </row>
        <row r="1996">
          <cell r="A1996" t="str">
            <v>BGD</v>
          </cell>
          <cell r="B1996">
            <v>2021</v>
          </cell>
          <cell r="C1996" t="str">
            <v>mapanusatls</v>
          </cell>
          <cell r="D1996">
            <v>84.804832458496094</v>
          </cell>
        </row>
        <row r="1997">
          <cell r="A1997" t="str">
            <v>BGD</v>
          </cell>
          <cell r="B1997">
            <v>2026</v>
          </cell>
          <cell r="C1997" t="str">
            <v>maexpz</v>
          </cell>
          <cell r="D1997">
            <v>6.4000000953674316</v>
          </cell>
        </row>
        <row r="1998">
          <cell r="A1998" t="str">
            <v>BGD</v>
          </cell>
          <cell r="B1998">
            <v>2007</v>
          </cell>
          <cell r="C1998" t="str">
            <v>maexpz</v>
          </cell>
          <cell r="D1998">
            <v>12.975603103637695</v>
          </cell>
        </row>
        <row r="1999">
          <cell r="A1999" t="str">
            <v>BGD</v>
          </cell>
          <cell r="B1999">
            <v>2006</v>
          </cell>
          <cell r="C1999" t="str">
            <v>maindfc</v>
          </cell>
          <cell r="D1999">
            <v>9.7979001998901367</v>
          </cell>
        </row>
        <row r="2000">
          <cell r="A2000" t="str">
            <v>BGD</v>
          </cell>
          <cell r="B2000">
            <v>2018</v>
          </cell>
          <cell r="C2000" t="str">
            <v>magap_</v>
          </cell>
          <cell r="D2000">
            <v>-0.1261395663022995</v>
          </cell>
        </row>
        <row r="2001">
          <cell r="A2001" t="str">
            <v>BGD</v>
          </cell>
          <cell r="B2001">
            <v>2014</v>
          </cell>
          <cell r="C2001" t="str">
            <v>madebt_</v>
          </cell>
          <cell r="D2001">
            <v>26.456037521362305</v>
          </cell>
        </row>
        <row r="2002">
          <cell r="A2002" t="str">
            <v>BGD</v>
          </cell>
          <cell r="B2002">
            <v>2008</v>
          </cell>
          <cell r="C2002" t="str">
            <v>maindfc</v>
          </cell>
          <cell r="D2002">
            <v>7.033534049987793</v>
          </cell>
        </row>
        <row r="2003">
          <cell r="A2003" t="str">
            <v>BGD</v>
          </cell>
          <cell r="B2003">
            <v>2012</v>
          </cell>
          <cell r="C2003" t="str">
            <v>mac_labz</v>
          </cell>
          <cell r="D2003">
            <v>1.497026801109314</v>
          </cell>
        </row>
        <row r="2004">
          <cell r="A2004" t="str">
            <v>BGD</v>
          </cell>
          <cell r="B2004">
            <v>2006</v>
          </cell>
          <cell r="C2004" t="str">
            <v>mac_tfpz</v>
          </cell>
          <cell r="D2004">
            <v>0.49568238854408264</v>
          </cell>
        </row>
        <row r="2005">
          <cell r="A2005" t="str">
            <v>BGD</v>
          </cell>
          <cell r="B2005">
            <v>2024</v>
          </cell>
          <cell r="C2005" t="str">
            <v>mar_indfc</v>
          </cell>
          <cell r="D2005">
            <v>37.968002319335938</v>
          </cell>
        </row>
        <row r="2006">
          <cell r="A2006" t="str">
            <v>BGD</v>
          </cell>
          <cell r="B2006">
            <v>2025</v>
          </cell>
          <cell r="C2006" t="str">
            <v>madebt_</v>
          </cell>
          <cell r="D2006">
            <v>35.209281921386719</v>
          </cell>
        </row>
        <row r="2007">
          <cell r="A2007" t="str">
            <v>BGD</v>
          </cell>
          <cell r="B2007">
            <v>2012</v>
          </cell>
          <cell r="C2007" t="str">
            <v>mar_agrfc</v>
          </cell>
          <cell r="D2007">
            <v>17.380279541015625</v>
          </cell>
        </row>
        <row r="2008">
          <cell r="A2008" t="str">
            <v>BGD</v>
          </cell>
          <cell r="B2008">
            <v>2022</v>
          </cell>
          <cell r="C2008" t="str">
            <v>maconz</v>
          </cell>
          <cell r="D2008">
            <v>7.4765167236328125</v>
          </cell>
        </row>
        <row r="2009">
          <cell r="A2009" t="str">
            <v>BGD</v>
          </cell>
          <cell r="B2009">
            <v>2025</v>
          </cell>
          <cell r="C2009" t="str">
            <v>malabz</v>
          </cell>
          <cell r="D2009">
            <v>1.1483707427978516</v>
          </cell>
        </row>
        <row r="2010">
          <cell r="A2010" t="str">
            <v>BGD</v>
          </cell>
          <cell r="B2010">
            <v>2024</v>
          </cell>
          <cell r="C2010" t="str">
            <v>mataxfc</v>
          </cell>
          <cell r="D2010">
            <v>3.5859310626983643</v>
          </cell>
        </row>
        <row r="2011">
          <cell r="A2011" t="str">
            <v>BGD</v>
          </cell>
          <cell r="B2011">
            <v>2022</v>
          </cell>
          <cell r="C2011" t="str">
            <v>masrvfc</v>
          </cell>
          <cell r="D2011">
            <v>6.2566752433776855</v>
          </cell>
        </row>
        <row r="2012">
          <cell r="A2012" t="str">
            <v>BGD</v>
          </cell>
          <cell r="B2012">
            <v>2020</v>
          </cell>
          <cell r="C2012" t="str">
            <v>masrvfc</v>
          </cell>
          <cell r="D2012">
            <v>3.9328627586364746</v>
          </cell>
        </row>
        <row r="2013">
          <cell r="A2013" t="str">
            <v>BGD</v>
          </cell>
          <cell r="B2013">
            <v>2006</v>
          </cell>
          <cell r="C2013" t="str">
            <v>mar_expz</v>
          </cell>
          <cell r="D2013">
            <v>13.66098690032959</v>
          </cell>
        </row>
        <row r="2014">
          <cell r="A2014" t="str">
            <v>BGD</v>
          </cell>
          <cell r="B2014">
            <v>2012</v>
          </cell>
          <cell r="C2014" t="str">
            <v>maexpz</v>
          </cell>
          <cell r="D2014">
            <v>12.532258987426758</v>
          </cell>
        </row>
        <row r="2015">
          <cell r="A2015" t="str">
            <v>BGD</v>
          </cell>
          <cell r="B2015">
            <v>2021</v>
          </cell>
          <cell r="C2015" t="str">
            <v>maindfc</v>
          </cell>
          <cell r="D2015">
            <v>10.287102699279785</v>
          </cell>
        </row>
        <row r="2016">
          <cell r="A2016" t="str">
            <v>BGD</v>
          </cell>
          <cell r="B2016">
            <v>2009</v>
          </cell>
          <cell r="C2016" t="str">
            <v>mar_con</v>
          </cell>
          <cell r="D2016">
            <v>74.329421997070313</v>
          </cell>
        </row>
        <row r="2017">
          <cell r="A2017" t="str">
            <v>BGD</v>
          </cell>
          <cell r="B2017">
            <v>2018</v>
          </cell>
          <cell r="C2017" t="str">
            <v>mar_expz</v>
          </cell>
          <cell r="D2017">
            <v>12.674787521362305</v>
          </cell>
        </row>
        <row r="2018">
          <cell r="A2018" t="str">
            <v>BGD</v>
          </cell>
          <cell r="B2018">
            <v>2023</v>
          </cell>
          <cell r="C2018" t="str">
            <v>macab_</v>
          </cell>
          <cell r="D2018">
            <v>-0.60925602912902832</v>
          </cell>
        </row>
        <row r="2019">
          <cell r="A2019" t="str">
            <v>BGD</v>
          </cell>
          <cell r="B2019">
            <v>2015</v>
          </cell>
          <cell r="C2019" t="str">
            <v>mar_expz</v>
          </cell>
          <cell r="D2019">
            <v>14.59095573425293</v>
          </cell>
        </row>
        <row r="2020">
          <cell r="A2020" t="str">
            <v>BGD</v>
          </cell>
          <cell r="B2020">
            <v>2008</v>
          </cell>
          <cell r="C2020" t="str">
            <v>mafdi_</v>
          </cell>
          <cell r="D2020">
            <v>0.68140482902526855</v>
          </cell>
        </row>
        <row r="2021">
          <cell r="A2021" t="str">
            <v>BGD</v>
          </cell>
          <cell r="B2021">
            <v>2008</v>
          </cell>
          <cell r="C2021" t="str">
            <v>mapanusatls</v>
          </cell>
          <cell r="D2021">
            <v>68.605720520019531</v>
          </cell>
        </row>
        <row r="2022">
          <cell r="A2022" t="str">
            <v>BGD</v>
          </cell>
          <cell r="B2022">
            <v>2024</v>
          </cell>
          <cell r="C2022" t="str">
            <v>maindfc</v>
          </cell>
          <cell r="D2022">
            <v>6.5999999046325684</v>
          </cell>
        </row>
        <row r="2023">
          <cell r="A2023" t="str">
            <v>BGD</v>
          </cell>
          <cell r="B2023">
            <v>2005</v>
          </cell>
          <cell r="C2023" t="str">
            <v>masrvfc</v>
          </cell>
          <cell r="D2023">
            <v>6.1955924034118652</v>
          </cell>
        </row>
        <row r="2024">
          <cell r="A2024" t="str">
            <v>BGD</v>
          </cell>
          <cell r="B2024">
            <v>2025</v>
          </cell>
          <cell r="C2024" t="str">
            <v>mainvz</v>
          </cell>
          <cell r="D2024">
            <v>8.7716293334960938</v>
          </cell>
        </row>
        <row r="2025">
          <cell r="A2025" t="str">
            <v>BGD</v>
          </cell>
          <cell r="B2025">
            <v>2012</v>
          </cell>
          <cell r="C2025" t="str">
            <v>mafdi_</v>
          </cell>
          <cell r="D2025">
            <v>-0.74579769372940063</v>
          </cell>
        </row>
        <row r="2026">
          <cell r="A2026" t="str">
            <v>BGD</v>
          </cell>
          <cell r="B2026">
            <v>2016</v>
          </cell>
          <cell r="C2026" t="str">
            <v>maexpz</v>
          </cell>
          <cell r="D2026">
            <v>2.1967496871948242</v>
          </cell>
        </row>
        <row r="2027">
          <cell r="A2027" t="str">
            <v>BGD</v>
          </cell>
          <cell r="B2027">
            <v>2015</v>
          </cell>
          <cell r="C2027" t="str">
            <v>macpiz</v>
          </cell>
          <cell r="D2027">
            <v>6.405418872833252</v>
          </cell>
        </row>
        <row r="2028">
          <cell r="A2028" t="str">
            <v>BGD</v>
          </cell>
          <cell r="B2028">
            <v>2011</v>
          </cell>
          <cell r="C2028" t="str">
            <v>madebt_</v>
          </cell>
          <cell r="D2028">
            <v>28.365285873413086</v>
          </cell>
        </row>
        <row r="2029">
          <cell r="A2029" t="str">
            <v>BGD</v>
          </cell>
          <cell r="B2029">
            <v>2017</v>
          </cell>
          <cell r="C2029" t="str">
            <v>masrvfc</v>
          </cell>
          <cell r="D2029">
            <v>6.3749880790710449</v>
          </cell>
        </row>
        <row r="2030">
          <cell r="A2030" t="str">
            <v>BGD</v>
          </cell>
          <cell r="B2030">
            <v>2023</v>
          </cell>
          <cell r="C2030" t="str">
            <v>maimpz</v>
          </cell>
          <cell r="D2030">
            <v>-9.7736530303955078</v>
          </cell>
        </row>
        <row r="2031">
          <cell r="A2031" t="str">
            <v>BGD</v>
          </cell>
          <cell r="B2031">
            <v>2025</v>
          </cell>
          <cell r="C2031" t="str">
            <v>maexpz</v>
          </cell>
          <cell r="D2031">
            <v>7.1999998092651367</v>
          </cell>
        </row>
        <row r="2032">
          <cell r="A2032" t="str">
            <v>BGD</v>
          </cell>
          <cell r="B2032">
            <v>2016</v>
          </cell>
          <cell r="C2032" t="str">
            <v>magdpz</v>
          </cell>
          <cell r="D2032">
            <v>7.11346435546875</v>
          </cell>
        </row>
        <row r="2033">
          <cell r="A2033" t="str">
            <v>BGD</v>
          </cell>
          <cell r="B2033">
            <v>2017</v>
          </cell>
          <cell r="C2033" t="str">
            <v>maexpz</v>
          </cell>
          <cell r="D2033">
            <v>-1.8432807922363281</v>
          </cell>
        </row>
        <row r="2034">
          <cell r="A2034" t="str">
            <v>BGD</v>
          </cell>
          <cell r="B2034">
            <v>2020</v>
          </cell>
          <cell r="C2034" t="str">
            <v>mataxfc</v>
          </cell>
          <cell r="D2034">
            <v>-3.6451570987701416</v>
          </cell>
        </row>
        <row r="2035">
          <cell r="A2035" t="str">
            <v>BGD</v>
          </cell>
          <cell r="B2035">
            <v>2008</v>
          </cell>
          <cell r="C2035" t="str">
            <v>macpiz</v>
          </cell>
          <cell r="D2035">
            <v>12.291950225830078</v>
          </cell>
        </row>
        <row r="2036">
          <cell r="A2036" t="str">
            <v>BGD</v>
          </cell>
          <cell r="B2036">
            <v>2022</v>
          </cell>
          <cell r="C2036" t="str">
            <v>maexpz</v>
          </cell>
          <cell r="D2036">
            <v>29.392555236816406</v>
          </cell>
        </row>
        <row r="2037">
          <cell r="A2037" t="str">
            <v>BGD</v>
          </cell>
          <cell r="B2037">
            <v>2011</v>
          </cell>
          <cell r="C2037" t="str">
            <v>mapanusatls</v>
          </cell>
          <cell r="D2037">
            <v>71.211158752441406</v>
          </cell>
        </row>
        <row r="2038">
          <cell r="A2038" t="str">
            <v>BGD</v>
          </cell>
          <cell r="B2038">
            <v>2011</v>
          </cell>
          <cell r="C2038" t="str">
            <v>macpiz</v>
          </cell>
          <cell r="D2038">
            <v>10.908594131469727</v>
          </cell>
        </row>
        <row r="2039">
          <cell r="A2039" t="str">
            <v>BGD</v>
          </cell>
          <cell r="B2039">
            <v>2024</v>
          </cell>
          <cell r="C2039" t="str">
            <v>mar_agrfc</v>
          </cell>
          <cell r="D2039">
            <v>11.016226768493652</v>
          </cell>
        </row>
        <row r="2040">
          <cell r="A2040" t="str">
            <v>BGD</v>
          </cell>
          <cell r="B2040">
            <v>2017</v>
          </cell>
          <cell r="C2040" t="str">
            <v>mar_srvfc</v>
          </cell>
          <cell r="D2040">
            <v>53.400722503662109</v>
          </cell>
        </row>
        <row r="2041">
          <cell r="A2041" t="str">
            <v>BGD</v>
          </cell>
          <cell r="B2041">
            <v>2009</v>
          </cell>
          <cell r="C2041" t="str">
            <v>mac_labz</v>
          </cell>
          <cell r="D2041">
            <v>0.96336913108825684</v>
          </cell>
        </row>
        <row r="2042">
          <cell r="A2042" t="str">
            <v>BGD</v>
          </cell>
          <cell r="B2042">
            <v>2016</v>
          </cell>
          <cell r="C2042" t="str">
            <v>mar_agrfc</v>
          </cell>
          <cell r="D2042">
            <v>14.063658714294434</v>
          </cell>
        </row>
        <row r="2043">
          <cell r="A2043" t="str">
            <v>BGD</v>
          </cell>
          <cell r="B2043">
            <v>2013</v>
          </cell>
          <cell r="C2043" t="str">
            <v>mataxfc</v>
          </cell>
          <cell r="D2043">
            <v>3.2700912952423096</v>
          </cell>
        </row>
        <row r="2044">
          <cell r="A2044" t="str">
            <v>BGD</v>
          </cell>
          <cell r="B2044">
            <v>2021</v>
          </cell>
          <cell r="C2044" t="str">
            <v>mar_indfc</v>
          </cell>
          <cell r="D2044">
            <v>36.011219024658203</v>
          </cell>
        </row>
        <row r="2045">
          <cell r="A2045" t="str">
            <v>BGD</v>
          </cell>
          <cell r="B2045">
            <v>2009</v>
          </cell>
          <cell r="C2045" t="str">
            <v>magdpz</v>
          </cell>
          <cell r="D2045">
            <v>5.0451250076293945</v>
          </cell>
        </row>
        <row r="2046">
          <cell r="A2046" t="str">
            <v>BGD</v>
          </cell>
          <cell r="B2046">
            <v>2013</v>
          </cell>
          <cell r="C2046" t="str">
            <v>madebt_</v>
          </cell>
          <cell r="D2046">
            <v>26.762514114379883</v>
          </cell>
        </row>
        <row r="2047">
          <cell r="A2047" t="str">
            <v>BGD</v>
          </cell>
          <cell r="B2047">
            <v>2007</v>
          </cell>
          <cell r="C2047" t="str">
            <v>mafdi_</v>
          </cell>
          <cell r="D2047">
            <v>0.8315168023109436</v>
          </cell>
        </row>
        <row r="2048">
          <cell r="A2048" t="str">
            <v>BGD</v>
          </cell>
          <cell r="B2048">
            <v>2015</v>
          </cell>
          <cell r="C2048" t="str">
            <v>mar_indfc</v>
          </cell>
          <cell r="D2048">
            <v>30.421762466430664</v>
          </cell>
        </row>
        <row r="2049">
          <cell r="A2049" t="str">
            <v>BGD</v>
          </cell>
          <cell r="B2049">
            <v>2005</v>
          </cell>
          <cell r="C2049" t="str">
            <v>madebt_</v>
          </cell>
          <cell r="D2049">
            <v>37.270027160644531</v>
          </cell>
        </row>
        <row r="2050">
          <cell r="A2050" t="str">
            <v>BGD</v>
          </cell>
          <cell r="B2050">
            <v>2024</v>
          </cell>
          <cell r="C2050" t="str">
            <v>mar_taxfc</v>
          </cell>
          <cell r="D2050">
            <v>3.3755903244018555</v>
          </cell>
        </row>
        <row r="2051">
          <cell r="A2051" t="str">
            <v>BGD</v>
          </cell>
          <cell r="B2051">
            <v>2014</v>
          </cell>
          <cell r="C2051" t="str">
            <v>matfpz</v>
          </cell>
          <cell r="D2051">
            <v>0.88294470310211182</v>
          </cell>
        </row>
        <row r="2052">
          <cell r="A2052" t="str">
            <v>BGD</v>
          </cell>
          <cell r="B2052">
            <v>2023</v>
          </cell>
          <cell r="C2052" t="str">
            <v>maexpz</v>
          </cell>
          <cell r="D2052">
            <v>8.0326128005981445</v>
          </cell>
        </row>
        <row r="2053">
          <cell r="A2053" t="str">
            <v>BGD</v>
          </cell>
          <cell r="B2053">
            <v>2014</v>
          </cell>
          <cell r="C2053" t="str">
            <v>magovz</v>
          </cell>
          <cell r="D2053">
            <v>7.8851509094238281</v>
          </cell>
        </row>
        <row r="2054">
          <cell r="A2054" t="str">
            <v>BGD</v>
          </cell>
          <cell r="B2054">
            <v>2023</v>
          </cell>
          <cell r="C2054" t="str">
            <v>mar_impz</v>
          </cell>
          <cell r="D2054">
            <v>17.825807571411133</v>
          </cell>
        </row>
        <row r="2055">
          <cell r="A2055" t="str">
            <v>BGD</v>
          </cell>
          <cell r="B2055">
            <v>2006</v>
          </cell>
          <cell r="C2055" t="str">
            <v>mareer</v>
          </cell>
          <cell r="D2055">
            <v>62.430576324462891</v>
          </cell>
        </row>
        <row r="2056">
          <cell r="A2056" t="str">
            <v>BGD</v>
          </cell>
          <cell r="B2056">
            <v>2026</v>
          </cell>
          <cell r="C2056" t="str">
            <v>madeficit_</v>
          </cell>
          <cell r="D2056">
            <v>-4.4366898536682129</v>
          </cell>
        </row>
        <row r="2057">
          <cell r="A2057" t="str">
            <v>BGD</v>
          </cell>
          <cell r="B2057">
            <v>2012</v>
          </cell>
          <cell r="C2057" t="str">
            <v>mar_expz</v>
          </cell>
          <cell r="D2057">
            <v>17.014881134033203</v>
          </cell>
        </row>
        <row r="2058">
          <cell r="A2058" t="str">
            <v>BGD</v>
          </cell>
          <cell r="B2058">
            <v>2021</v>
          </cell>
          <cell r="C2058" t="str">
            <v>mafdi_</v>
          </cell>
          <cell r="D2058">
            <v>-0.32550859451293945</v>
          </cell>
        </row>
        <row r="2059">
          <cell r="A2059" t="str">
            <v>BGD</v>
          </cell>
          <cell r="B2059">
            <v>2020</v>
          </cell>
          <cell r="C2059" t="str">
            <v>mac_tfpz</v>
          </cell>
          <cell r="D2059">
            <v>1.1362149715423584</v>
          </cell>
        </row>
        <row r="2060">
          <cell r="A2060" t="str">
            <v>BGD</v>
          </cell>
          <cell r="B2060">
            <v>2014</v>
          </cell>
          <cell r="C2060" t="str">
            <v>macab_</v>
          </cell>
          <cell r="D2060">
            <v>0.67678296566009521</v>
          </cell>
        </row>
        <row r="2061">
          <cell r="A2061" t="str">
            <v>BGD</v>
          </cell>
          <cell r="B2061">
            <v>2008</v>
          </cell>
          <cell r="C2061" t="str">
            <v>magdpz</v>
          </cell>
          <cell r="D2061">
            <v>6.0137896537780762</v>
          </cell>
        </row>
        <row r="2062">
          <cell r="A2062" t="str">
            <v>BGD</v>
          </cell>
          <cell r="B2062">
            <v>2017</v>
          </cell>
          <cell r="C2062" t="str">
            <v>mafdi_</v>
          </cell>
          <cell r="D2062">
            <v>-0.56254309415817261</v>
          </cell>
        </row>
        <row r="2063">
          <cell r="A2063" t="str">
            <v>BGD</v>
          </cell>
          <cell r="B2063">
            <v>2021</v>
          </cell>
          <cell r="C2063" t="str">
            <v>mareer</v>
          </cell>
          <cell r="D2063">
            <v>115.03850555419922</v>
          </cell>
        </row>
        <row r="2064">
          <cell r="A2064" t="str">
            <v>BGD</v>
          </cell>
          <cell r="B2064">
            <v>2012</v>
          </cell>
          <cell r="C2064" t="str">
            <v>mac_tfpz</v>
          </cell>
          <cell r="D2064">
            <v>0.7703784704208374</v>
          </cell>
        </row>
        <row r="2065">
          <cell r="A2065" t="str">
            <v>BGD</v>
          </cell>
          <cell r="B2065">
            <v>2007</v>
          </cell>
          <cell r="C2065" t="str">
            <v>macab_</v>
          </cell>
          <cell r="D2065">
            <v>0.98086792230606079</v>
          </cell>
        </row>
        <row r="2066">
          <cell r="A2066" t="str">
            <v>BGD</v>
          </cell>
          <cell r="B2066">
            <v>2012</v>
          </cell>
          <cell r="C2066" t="str">
            <v>mareer</v>
          </cell>
          <cell r="D2066">
            <v>74.353050231933594</v>
          </cell>
        </row>
        <row r="2067">
          <cell r="A2067" t="str">
            <v>BGD</v>
          </cell>
          <cell r="B2067">
            <v>2021</v>
          </cell>
          <cell r="C2067" t="str">
            <v>mar_expz</v>
          </cell>
          <cell r="D2067">
            <v>10.662777900695801</v>
          </cell>
        </row>
        <row r="2068">
          <cell r="A2068" t="str">
            <v>BGD</v>
          </cell>
          <cell r="B2068">
            <v>2016</v>
          </cell>
          <cell r="C2068" t="str">
            <v>maimpz</v>
          </cell>
          <cell r="D2068">
            <v>-7.0918846130371094</v>
          </cell>
        </row>
        <row r="2069">
          <cell r="A2069" t="str">
            <v>BGD</v>
          </cell>
          <cell r="B2069">
            <v>2016</v>
          </cell>
          <cell r="C2069" t="str">
            <v>mac_labz</v>
          </cell>
          <cell r="D2069">
            <v>1.4800615310668945</v>
          </cell>
        </row>
        <row r="2070">
          <cell r="A2070" t="str">
            <v>BGD</v>
          </cell>
          <cell r="B2070">
            <v>2026</v>
          </cell>
          <cell r="C2070" t="str">
            <v>malabz</v>
          </cell>
          <cell r="D2070">
            <v>1.0484598875045776</v>
          </cell>
        </row>
        <row r="2071">
          <cell r="A2071" t="str">
            <v>BGD</v>
          </cell>
          <cell r="B2071">
            <v>2024</v>
          </cell>
          <cell r="C2071" t="str">
            <v>madeficit_</v>
          </cell>
          <cell r="D2071">
            <v>-4.3738570213317871</v>
          </cell>
        </row>
        <row r="2072">
          <cell r="A2072" t="str">
            <v>BGD</v>
          </cell>
          <cell r="B2072">
            <v>2019</v>
          </cell>
          <cell r="C2072" t="str">
            <v>matfpz</v>
          </cell>
          <cell r="D2072">
            <v>1.137211799621582</v>
          </cell>
        </row>
        <row r="2073">
          <cell r="A2073" t="str">
            <v>BGD</v>
          </cell>
          <cell r="B2073">
            <v>2013</v>
          </cell>
          <cell r="C2073" t="str">
            <v>maconz</v>
          </cell>
          <cell r="D2073">
            <v>5.1274137496948242</v>
          </cell>
        </row>
        <row r="2074">
          <cell r="A2074" t="str">
            <v>BGD</v>
          </cell>
          <cell r="B2074">
            <v>2009</v>
          </cell>
          <cell r="C2074" t="str">
            <v>maimpz</v>
          </cell>
          <cell r="D2074">
            <v>-2.5996549129486084</v>
          </cell>
        </row>
        <row r="2075">
          <cell r="A2075" t="str">
            <v>BGD</v>
          </cell>
          <cell r="B2075">
            <v>2007</v>
          </cell>
          <cell r="C2075" t="str">
            <v>madeficit_</v>
          </cell>
          <cell r="D2075">
            <v>-2.2067599296569824</v>
          </cell>
        </row>
        <row r="2076">
          <cell r="A2076" t="str">
            <v>BGD</v>
          </cell>
          <cell r="B2076">
            <v>2021</v>
          </cell>
          <cell r="C2076" t="str">
            <v>mac_tfpz</v>
          </cell>
          <cell r="D2076">
            <v>1.1219285726547241</v>
          </cell>
        </row>
        <row r="2077">
          <cell r="A2077" t="str">
            <v>BGD</v>
          </cell>
          <cell r="B2077">
            <v>2019</v>
          </cell>
          <cell r="C2077" t="str">
            <v>malabz</v>
          </cell>
          <cell r="D2077">
            <v>1.7522106170654297</v>
          </cell>
        </row>
        <row r="2078">
          <cell r="A2078" t="str">
            <v>BGD</v>
          </cell>
          <cell r="B2078">
            <v>2013</v>
          </cell>
          <cell r="C2078" t="str">
            <v>magap_</v>
          </cell>
          <cell r="D2078">
            <v>-0.34302547574043274</v>
          </cell>
        </row>
        <row r="2079">
          <cell r="A2079" t="str">
            <v>BGD</v>
          </cell>
          <cell r="B2079">
            <v>2026</v>
          </cell>
          <cell r="C2079" t="str">
            <v>mataxfc</v>
          </cell>
          <cell r="D2079">
            <v>6.0796170234680176</v>
          </cell>
        </row>
        <row r="2080">
          <cell r="A2080" t="str">
            <v>BGD</v>
          </cell>
          <cell r="B2080">
            <v>2018</v>
          </cell>
          <cell r="C2080" t="str">
            <v>malabz</v>
          </cell>
          <cell r="D2080">
            <v>1.9107440710067749</v>
          </cell>
        </row>
        <row r="2081">
          <cell r="A2081" t="str">
            <v>BGD</v>
          </cell>
          <cell r="B2081">
            <v>2008</v>
          </cell>
          <cell r="C2081" t="str">
            <v>madeficit_</v>
          </cell>
          <cell r="D2081">
            <v>-2.6420333385467529</v>
          </cell>
        </row>
        <row r="2082">
          <cell r="A2082" t="str">
            <v>BGD</v>
          </cell>
          <cell r="B2082">
            <v>2008</v>
          </cell>
          <cell r="C2082" t="str">
            <v>maexpz</v>
          </cell>
          <cell r="D2082">
            <v>7.0806093215942383</v>
          </cell>
        </row>
        <row r="2083">
          <cell r="A2083" t="str">
            <v>BGD</v>
          </cell>
          <cell r="B2083">
            <v>2023</v>
          </cell>
          <cell r="C2083" t="str">
            <v>mac_labz</v>
          </cell>
          <cell r="D2083">
            <v>0.95085150003433228</v>
          </cell>
        </row>
        <row r="2084">
          <cell r="A2084" t="str">
            <v>BGD</v>
          </cell>
          <cell r="B2084">
            <v>2006</v>
          </cell>
          <cell r="C2084" t="str">
            <v>macpiz</v>
          </cell>
          <cell r="D2084">
            <v>7.1638383865356445</v>
          </cell>
        </row>
        <row r="2085">
          <cell r="A2085" t="str">
            <v>BGD</v>
          </cell>
          <cell r="B2085">
            <v>2005</v>
          </cell>
          <cell r="C2085" t="str">
            <v>magovz</v>
          </cell>
          <cell r="D2085">
            <v>9.7868776321411133</v>
          </cell>
        </row>
        <row r="2086">
          <cell r="A2086" t="str">
            <v>BGD</v>
          </cell>
          <cell r="B2086">
            <v>2020</v>
          </cell>
          <cell r="C2086" t="str">
            <v>mar_agrfc</v>
          </cell>
          <cell r="D2086">
            <v>12.520797729492188</v>
          </cell>
        </row>
        <row r="2087">
          <cell r="A2087" t="str">
            <v>BGD</v>
          </cell>
          <cell r="B2087">
            <v>2021</v>
          </cell>
          <cell r="C2087" t="str">
            <v>mar_impz</v>
          </cell>
          <cell r="D2087">
            <v>17.061227798461914</v>
          </cell>
        </row>
        <row r="2088">
          <cell r="A2088" t="str">
            <v>BGD</v>
          </cell>
          <cell r="B2088">
            <v>2012</v>
          </cell>
          <cell r="C2088" t="str">
            <v>mar_con</v>
          </cell>
          <cell r="D2088">
            <v>72.002204895019531</v>
          </cell>
        </row>
        <row r="2089">
          <cell r="A2089" t="str">
            <v>BGD</v>
          </cell>
          <cell r="B2089">
            <v>2022</v>
          </cell>
          <cell r="C2089" t="str">
            <v>mar_agrfc</v>
          </cell>
          <cell r="D2089">
            <v>11.609527587890625</v>
          </cell>
        </row>
        <row r="2090">
          <cell r="A2090" t="str">
            <v>BGD</v>
          </cell>
          <cell r="B2090">
            <v>2007</v>
          </cell>
          <cell r="C2090" t="str">
            <v>macpiz</v>
          </cell>
          <cell r="D2090">
            <v>9.3910999298095703</v>
          </cell>
        </row>
        <row r="2091">
          <cell r="A2091" t="str">
            <v>BGD</v>
          </cell>
          <cell r="B2091">
            <v>2005</v>
          </cell>
          <cell r="C2091" t="str">
            <v>magdpz</v>
          </cell>
          <cell r="D2091">
            <v>6.535944938659668</v>
          </cell>
        </row>
        <row r="2092">
          <cell r="A2092" t="str">
            <v>BGD</v>
          </cell>
          <cell r="B2092">
            <v>2019</v>
          </cell>
          <cell r="C2092" t="str">
            <v>magovz</v>
          </cell>
          <cell r="D2092">
            <v>13.399248123168945</v>
          </cell>
        </row>
        <row r="2093">
          <cell r="A2093" t="str">
            <v>BGD</v>
          </cell>
          <cell r="B2093">
            <v>2011</v>
          </cell>
          <cell r="C2093" t="str">
            <v>matfpz</v>
          </cell>
          <cell r="D2093">
            <v>0.72734099626541138</v>
          </cell>
        </row>
        <row r="2094">
          <cell r="A2094" t="str">
            <v>BGD</v>
          </cell>
          <cell r="B2094">
            <v>2020</v>
          </cell>
          <cell r="C2094" t="str">
            <v>madebt_</v>
          </cell>
          <cell r="D2094">
            <v>31.736625671386719</v>
          </cell>
        </row>
        <row r="2095">
          <cell r="A2095" t="str">
            <v>BGD</v>
          </cell>
          <cell r="B2095">
            <v>2017</v>
          </cell>
          <cell r="C2095" t="str">
            <v>mapanusatls</v>
          </cell>
          <cell r="D2095">
            <v>79.099998474121094</v>
          </cell>
        </row>
        <row r="2096">
          <cell r="A2096" t="str">
            <v>BGD</v>
          </cell>
          <cell r="B2096">
            <v>2005</v>
          </cell>
          <cell r="C2096" t="str">
            <v>mar_indfc</v>
          </cell>
          <cell r="D2096">
            <v>24.794412612915039</v>
          </cell>
        </row>
        <row r="2097">
          <cell r="A2097" t="str">
            <v>BGD</v>
          </cell>
          <cell r="B2097">
            <v>2015</v>
          </cell>
          <cell r="C2097" t="str">
            <v>mar_taxfc</v>
          </cell>
          <cell r="D2097">
            <v>4.500516414642334</v>
          </cell>
        </row>
        <row r="2098">
          <cell r="A2098" t="str">
            <v>BGD</v>
          </cell>
          <cell r="B2098">
            <v>2015</v>
          </cell>
          <cell r="C2098" t="str">
            <v>mareer</v>
          </cell>
          <cell r="D2098">
            <v>100</v>
          </cell>
        </row>
        <row r="2099">
          <cell r="A2099" t="str">
            <v>BGD</v>
          </cell>
          <cell r="B2099">
            <v>2023</v>
          </cell>
          <cell r="C2099" t="str">
            <v>mar_agrfc</v>
          </cell>
          <cell r="D2099">
            <v>11.295520782470703</v>
          </cell>
        </row>
        <row r="2100">
          <cell r="A2100" t="str">
            <v>BGD</v>
          </cell>
          <cell r="B2100">
            <v>2020</v>
          </cell>
          <cell r="C2100" t="str">
            <v>mar_srvfc</v>
          </cell>
          <cell r="D2100">
            <v>52.540191650390625</v>
          </cell>
        </row>
        <row r="2101">
          <cell r="A2101" t="str">
            <v>BGD</v>
          </cell>
          <cell r="B2101">
            <v>2008</v>
          </cell>
          <cell r="C2101" t="str">
            <v>maagrfc</v>
          </cell>
          <cell r="D2101">
            <v>4.4938678741455078</v>
          </cell>
        </row>
        <row r="2102">
          <cell r="A2102" t="str">
            <v>BGD</v>
          </cell>
          <cell r="B2102">
            <v>2026</v>
          </cell>
          <cell r="C2102" t="str">
            <v>mareer</v>
          </cell>
          <cell r="D2102">
            <v>103.49080657958984</v>
          </cell>
        </row>
        <row r="2103">
          <cell r="A2103" t="str">
            <v>BGD</v>
          </cell>
          <cell r="B2103">
            <v>2017</v>
          </cell>
          <cell r="C2103" t="str">
            <v>mar_taxfc</v>
          </cell>
          <cell r="D2103">
            <v>4.4934206008911133</v>
          </cell>
        </row>
        <row r="2104">
          <cell r="A2104" t="str">
            <v>BGD</v>
          </cell>
          <cell r="B2104">
            <v>2005</v>
          </cell>
          <cell r="C2104" t="str">
            <v>mafdi_</v>
          </cell>
          <cell r="D2104">
            <v>0.96123510599136353</v>
          </cell>
        </row>
        <row r="2105">
          <cell r="A2105" t="str">
            <v>BGD</v>
          </cell>
          <cell r="B2105">
            <v>2013</v>
          </cell>
          <cell r="C2105" t="str">
            <v>mar_expz</v>
          </cell>
          <cell r="D2105">
            <v>16.4432373046875</v>
          </cell>
        </row>
        <row r="2106">
          <cell r="A2106" t="str">
            <v>BGD</v>
          </cell>
          <cell r="B2106">
            <v>2008</v>
          </cell>
          <cell r="C2106" t="str">
            <v>madebt_</v>
          </cell>
          <cell r="D2106">
            <v>31.02532958984375</v>
          </cell>
        </row>
        <row r="2107">
          <cell r="A2107" t="str">
            <v>BGD</v>
          </cell>
          <cell r="B2107">
            <v>2022</v>
          </cell>
          <cell r="C2107" t="str">
            <v>mar_expz</v>
          </cell>
          <cell r="D2107">
            <v>12.882225036621094</v>
          </cell>
        </row>
        <row r="2108">
          <cell r="A2108" t="str">
            <v>BGD</v>
          </cell>
          <cell r="B2108">
            <v>2012</v>
          </cell>
          <cell r="C2108" t="str">
            <v>madebt_</v>
          </cell>
          <cell r="D2108">
            <v>27.321765899658203</v>
          </cell>
        </row>
        <row r="2109">
          <cell r="A2109" t="str">
            <v>BGD</v>
          </cell>
          <cell r="B2109">
            <v>2026</v>
          </cell>
          <cell r="C2109" t="str">
            <v>mar_impz</v>
          </cell>
          <cell r="D2109">
            <v>16.407791137695313</v>
          </cell>
        </row>
        <row r="2110">
          <cell r="A2110" t="str">
            <v>BGD</v>
          </cell>
          <cell r="B2110">
            <v>2025</v>
          </cell>
          <cell r="C2110" t="str">
            <v>macab_</v>
          </cell>
          <cell r="D2110">
            <v>0.74351447820663452</v>
          </cell>
        </row>
        <row r="2111">
          <cell r="A2111" t="str">
            <v>BGD</v>
          </cell>
          <cell r="B2111">
            <v>2018</v>
          </cell>
          <cell r="C2111" t="str">
            <v>madebt_</v>
          </cell>
          <cell r="D2111">
            <v>27.226703643798828</v>
          </cell>
        </row>
        <row r="2112">
          <cell r="A2112" t="str">
            <v>BGD</v>
          </cell>
          <cell r="B2112">
            <v>2011</v>
          </cell>
          <cell r="C2112" t="str">
            <v>maindfc</v>
          </cell>
          <cell r="D2112">
            <v>9.019129753112793</v>
          </cell>
        </row>
        <row r="2113">
          <cell r="A2113" t="str">
            <v>BGD</v>
          </cell>
          <cell r="B2113">
            <v>2017</v>
          </cell>
          <cell r="C2113" t="str">
            <v>mar_expz</v>
          </cell>
          <cell r="D2113">
            <v>12.819744110107422</v>
          </cell>
        </row>
        <row r="2114">
          <cell r="A2114" t="str">
            <v>BGD</v>
          </cell>
          <cell r="B2114">
            <v>2012</v>
          </cell>
          <cell r="C2114" t="str">
            <v>malabz</v>
          </cell>
          <cell r="D2114">
            <v>2.1386096477508545</v>
          </cell>
        </row>
        <row r="2115">
          <cell r="A2115" t="str">
            <v>BGD</v>
          </cell>
          <cell r="B2115">
            <v>2021</v>
          </cell>
          <cell r="C2115" t="str">
            <v>matfpz</v>
          </cell>
          <cell r="D2115">
            <v>1.1219285726547241</v>
          </cell>
        </row>
        <row r="2116">
          <cell r="A2116" t="str">
            <v>BGD</v>
          </cell>
          <cell r="B2116">
            <v>2006</v>
          </cell>
          <cell r="C2116" t="str">
            <v>magdpz</v>
          </cell>
          <cell r="D2116">
            <v>6.6718683242797852</v>
          </cell>
        </row>
        <row r="2117">
          <cell r="A2117" t="str">
            <v>BGD</v>
          </cell>
          <cell r="B2117">
            <v>2018</v>
          </cell>
          <cell r="C2117" t="str">
            <v>maindfc</v>
          </cell>
          <cell r="D2117">
            <v>10.19581413269043</v>
          </cell>
        </row>
        <row r="2118">
          <cell r="A2118" t="str">
            <v>BGD</v>
          </cell>
          <cell r="B2118">
            <v>2017</v>
          </cell>
          <cell r="C2118" t="str">
            <v>magap_</v>
          </cell>
          <cell r="D2118">
            <v>-0.66369664669036865</v>
          </cell>
        </row>
        <row r="2119">
          <cell r="A2119" t="str">
            <v>BGD</v>
          </cell>
          <cell r="B2119">
            <v>2005</v>
          </cell>
          <cell r="C2119" t="str">
            <v>malabz</v>
          </cell>
          <cell r="D2119">
            <v>0</v>
          </cell>
        </row>
        <row r="2120">
          <cell r="A2120" t="str">
            <v>BGD</v>
          </cell>
          <cell r="B2120">
            <v>2018</v>
          </cell>
          <cell r="C2120" t="str">
            <v>magdpz</v>
          </cell>
          <cell r="D2120">
            <v>7.3194079399108887</v>
          </cell>
        </row>
        <row r="2121">
          <cell r="A2121" t="str">
            <v>BGD</v>
          </cell>
          <cell r="B2121">
            <v>2014</v>
          </cell>
          <cell r="C2121" t="str">
            <v>magap_</v>
          </cell>
          <cell r="D2121">
            <v>-0.78786742687225342</v>
          </cell>
        </row>
        <row r="2122">
          <cell r="A2122" t="str">
            <v>BGD</v>
          </cell>
          <cell r="B2122">
            <v>2010</v>
          </cell>
          <cell r="C2122" t="str">
            <v>malabz</v>
          </cell>
          <cell r="D2122">
            <v>1.849947452545166</v>
          </cell>
        </row>
        <row r="2123">
          <cell r="A2123" t="str">
            <v>BGD</v>
          </cell>
          <cell r="B2123">
            <v>2006</v>
          </cell>
          <cell r="C2123" t="str">
            <v>macab_</v>
          </cell>
          <cell r="D2123">
            <v>0.95794785022735596</v>
          </cell>
        </row>
        <row r="2124">
          <cell r="A2124" t="str">
            <v>BGD</v>
          </cell>
          <cell r="B2124">
            <v>2022</v>
          </cell>
          <cell r="C2124" t="str">
            <v>mar_con</v>
          </cell>
          <cell r="D2124">
            <v>66.66473388671875</v>
          </cell>
        </row>
        <row r="2125">
          <cell r="A2125" t="str">
            <v>BGD</v>
          </cell>
          <cell r="B2125">
            <v>2017</v>
          </cell>
          <cell r="C2125" t="str">
            <v>mar_agrfc</v>
          </cell>
          <cell r="D2125">
            <v>13.621784210205078</v>
          </cell>
        </row>
        <row r="2126">
          <cell r="A2126" t="str">
            <v>BGD</v>
          </cell>
          <cell r="B2126">
            <v>2007</v>
          </cell>
          <cell r="C2126" t="str">
            <v>mapanusatls</v>
          </cell>
          <cell r="D2126">
            <v>69.060211181640625</v>
          </cell>
        </row>
        <row r="2127">
          <cell r="A2127" t="str">
            <v>BGD</v>
          </cell>
          <cell r="B2127">
            <v>2025</v>
          </cell>
          <cell r="C2127" t="str">
            <v>matfpz</v>
          </cell>
          <cell r="D2127">
            <v>1.0313775539398193</v>
          </cell>
        </row>
        <row r="2128">
          <cell r="A2128" t="str">
            <v>BGD</v>
          </cell>
          <cell r="B2128">
            <v>2009</v>
          </cell>
          <cell r="C2128" t="str">
            <v>mafdi_</v>
          </cell>
          <cell r="D2128">
            <v>0.78285121917724609</v>
          </cell>
        </row>
        <row r="2129">
          <cell r="A2129" t="str">
            <v>BGD</v>
          </cell>
          <cell r="B2129">
            <v>2010</v>
          </cell>
          <cell r="C2129" t="str">
            <v>magdpz</v>
          </cell>
          <cell r="D2129">
            <v>5.5718021392822266</v>
          </cell>
        </row>
        <row r="2130">
          <cell r="A2130" t="str">
            <v>BGD</v>
          </cell>
          <cell r="B2130">
            <v>2023</v>
          </cell>
          <cell r="C2130" t="str">
            <v>matfpz</v>
          </cell>
          <cell r="D2130">
            <v>1.0765409469604492</v>
          </cell>
        </row>
        <row r="2131">
          <cell r="A2131" t="str">
            <v>BGD</v>
          </cell>
          <cell r="B2131">
            <v>2025</v>
          </cell>
          <cell r="C2131" t="str">
            <v>mapanusatls</v>
          </cell>
          <cell r="D2131">
            <v>120</v>
          </cell>
        </row>
        <row r="2132">
          <cell r="A2132" t="str">
            <v>BGD</v>
          </cell>
          <cell r="B2132">
            <v>2024</v>
          </cell>
          <cell r="C2132" t="str">
            <v>mac_tfpz</v>
          </cell>
          <cell r="D2132">
            <v>1.0528721809387207</v>
          </cell>
        </row>
        <row r="2133">
          <cell r="A2133" t="str">
            <v>BGD</v>
          </cell>
          <cell r="B2133">
            <v>2017</v>
          </cell>
          <cell r="C2133" t="str">
            <v>macab_</v>
          </cell>
          <cell r="D2133">
            <v>-0.45296117663383484</v>
          </cell>
        </row>
        <row r="2134">
          <cell r="A2134" t="str">
            <v>BGD</v>
          </cell>
          <cell r="B2134">
            <v>2026</v>
          </cell>
          <cell r="C2134" t="str">
            <v>mar_expz</v>
          </cell>
          <cell r="D2134">
            <v>12.702962875366211</v>
          </cell>
        </row>
        <row r="2135">
          <cell r="A2135" t="str">
            <v>BGD</v>
          </cell>
          <cell r="B2135">
            <v>2013</v>
          </cell>
          <cell r="C2135" t="str">
            <v>madeficit_</v>
          </cell>
          <cell r="D2135">
            <v>-2.7157652378082275</v>
          </cell>
        </row>
        <row r="2136">
          <cell r="A2136" t="str">
            <v>BGD</v>
          </cell>
          <cell r="B2136">
            <v>2019</v>
          </cell>
          <cell r="C2136" t="str">
            <v>magdpz</v>
          </cell>
          <cell r="D2136">
            <v>7.8819065093994141</v>
          </cell>
        </row>
        <row r="2137">
          <cell r="A2137" t="str">
            <v>BGD</v>
          </cell>
          <cell r="B2137">
            <v>2012</v>
          </cell>
          <cell r="C2137" t="str">
            <v>maagrfc</v>
          </cell>
          <cell r="D2137">
            <v>3.0142714977264404</v>
          </cell>
        </row>
        <row r="2138">
          <cell r="A2138" t="str">
            <v>BGD</v>
          </cell>
          <cell r="B2138">
            <v>2022</v>
          </cell>
          <cell r="C2138" t="str">
            <v>mataxfc</v>
          </cell>
          <cell r="D2138">
            <v>5.4307384490966797</v>
          </cell>
        </row>
        <row r="2139">
          <cell r="A2139" t="str">
            <v>BGD</v>
          </cell>
          <cell r="B2139">
            <v>2024</v>
          </cell>
          <cell r="C2139" t="str">
            <v>magovz</v>
          </cell>
          <cell r="D2139">
            <v>10.619258880615234</v>
          </cell>
        </row>
        <row r="2140">
          <cell r="A2140" t="str">
            <v>BGD</v>
          </cell>
          <cell r="B2140">
            <v>2012</v>
          </cell>
          <cell r="C2140" t="str">
            <v>mar_taxfc</v>
          </cell>
          <cell r="D2140">
            <v>4.6982007026672363</v>
          </cell>
        </row>
        <row r="2141">
          <cell r="A2141" t="str">
            <v>BGD</v>
          </cell>
          <cell r="B2141">
            <v>2015</v>
          </cell>
          <cell r="C2141" t="str">
            <v>mar_impz</v>
          </cell>
          <cell r="D2141">
            <v>20.075326919555664</v>
          </cell>
        </row>
        <row r="2142">
          <cell r="A2142" t="str">
            <v>BGD</v>
          </cell>
          <cell r="B2142">
            <v>2010</v>
          </cell>
          <cell r="C2142" t="str">
            <v>macpiz</v>
          </cell>
          <cell r="D2142">
            <v>6.8165240287780762</v>
          </cell>
        </row>
        <row r="2143">
          <cell r="A2143" t="str">
            <v>BGD</v>
          </cell>
          <cell r="B2143">
            <v>2022</v>
          </cell>
          <cell r="C2143" t="str">
            <v>mareer</v>
          </cell>
          <cell r="D2143">
            <v>120.49717712402344</v>
          </cell>
        </row>
        <row r="2144">
          <cell r="A2144" t="str">
            <v>BGD</v>
          </cell>
          <cell r="B2144">
            <v>2021</v>
          </cell>
          <cell r="C2144" t="str">
            <v>mac_labz</v>
          </cell>
          <cell r="D2144">
            <v>1.1612356901168823</v>
          </cell>
        </row>
        <row r="2145">
          <cell r="A2145" t="str">
            <v>BGD</v>
          </cell>
          <cell r="B2145">
            <v>2015</v>
          </cell>
          <cell r="C2145" t="str">
            <v>mar_con</v>
          </cell>
          <cell r="D2145">
            <v>69.533248901367188</v>
          </cell>
        </row>
        <row r="2146">
          <cell r="A2146" t="str">
            <v>BGD</v>
          </cell>
          <cell r="B2146">
            <v>2022</v>
          </cell>
          <cell r="C2146" t="str">
            <v>magovz</v>
          </cell>
          <cell r="D2146">
            <v>6.2415151596069336</v>
          </cell>
        </row>
        <row r="2147">
          <cell r="A2147" t="str">
            <v>BGD</v>
          </cell>
          <cell r="B2147">
            <v>2013</v>
          </cell>
          <cell r="C2147" t="str">
            <v>macpiz</v>
          </cell>
          <cell r="D2147">
            <v>6.7770595550537109</v>
          </cell>
        </row>
        <row r="2148">
          <cell r="A2148" t="str">
            <v>BGD</v>
          </cell>
          <cell r="B2148">
            <v>2021</v>
          </cell>
          <cell r="C2148" t="str">
            <v>mataxfc</v>
          </cell>
          <cell r="D2148">
            <v>5.3336477279663086</v>
          </cell>
        </row>
        <row r="2149">
          <cell r="A2149" t="str">
            <v>BGD</v>
          </cell>
          <cell r="B2149">
            <v>2010</v>
          </cell>
          <cell r="C2149" t="str">
            <v>magap_</v>
          </cell>
          <cell r="D2149">
            <v>8.0635875463485718E-2</v>
          </cell>
        </row>
        <row r="2150">
          <cell r="A2150" t="str">
            <v>BGD</v>
          </cell>
          <cell r="B2150">
            <v>2018</v>
          </cell>
          <cell r="C2150" t="str">
            <v>mar_con</v>
          </cell>
          <cell r="D2150">
            <v>67.963607788085938</v>
          </cell>
        </row>
        <row r="2151">
          <cell r="A2151" t="str">
            <v>BGD</v>
          </cell>
          <cell r="B2151">
            <v>2024</v>
          </cell>
          <cell r="C2151" t="str">
            <v>maconz</v>
          </cell>
          <cell r="D2151">
            <v>1.3999999761581421</v>
          </cell>
        </row>
        <row r="2152">
          <cell r="A2152" t="str">
            <v>BGD</v>
          </cell>
          <cell r="B2152">
            <v>2018</v>
          </cell>
          <cell r="C2152" t="str">
            <v>macpiz</v>
          </cell>
          <cell r="D2152">
            <v>5.7817902565002441</v>
          </cell>
        </row>
        <row r="2153">
          <cell r="A2153" t="str">
            <v>BGD</v>
          </cell>
          <cell r="B2153">
            <v>2006</v>
          </cell>
          <cell r="C2153" t="str">
            <v>maimpz</v>
          </cell>
          <cell r="D2153">
            <v>18.190448760986328</v>
          </cell>
        </row>
        <row r="2154">
          <cell r="A2154" t="str">
            <v>BGD</v>
          </cell>
          <cell r="B2154">
            <v>2015</v>
          </cell>
          <cell r="C2154" t="str">
            <v>maagrfc</v>
          </cell>
          <cell r="D2154">
            <v>3.3283810615539551</v>
          </cell>
        </row>
        <row r="2155">
          <cell r="A2155" t="str">
            <v>BGD</v>
          </cell>
          <cell r="B2155">
            <v>2019</v>
          </cell>
          <cell r="C2155" t="str">
            <v>maexpz</v>
          </cell>
          <cell r="D2155">
            <v>11.456473350524902</v>
          </cell>
        </row>
        <row r="2156">
          <cell r="A2156" t="str">
            <v>BGD</v>
          </cell>
          <cell r="B2156">
            <v>2015</v>
          </cell>
          <cell r="C2156" t="str">
            <v>mapanusatls</v>
          </cell>
          <cell r="D2156">
            <v>77.699996948242188</v>
          </cell>
        </row>
        <row r="2157">
          <cell r="A2157" t="str">
            <v>BGD</v>
          </cell>
          <cell r="B2157">
            <v>2009</v>
          </cell>
          <cell r="C2157" t="str">
            <v>mar_expz</v>
          </cell>
          <cell r="D2157">
            <v>13.865686416625977</v>
          </cell>
        </row>
        <row r="2158">
          <cell r="A2158" t="str">
            <v>BGD</v>
          </cell>
          <cell r="B2158">
            <v>2025</v>
          </cell>
          <cell r="C2158" t="str">
            <v>magdpz</v>
          </cell>
          <cell r="D2158">
            <v>5.6820216178894043</v>
          </cell>
        </row>
        <row r="2159">
          <cell r="A2159" t="str">
            <v>BGD</v>
          </cell>
          <cell r="B2159">
            <v>2021</v>
          </cell>
          <cell r="C2159" t="str">
            <v>magovz</v>
          </cell>
          <cell r="D2159">
            <v>6.8772249221801758</v>
          </cell>
        </row>
        <row r="2160">
          <cell r="A2160" t="str">
            <v>BGD</v>
          </cell>
          <cell r="B2160">
            <v>2023</v>
          </cell>
          <cell r="C2160" t="str">
            <v>mapanusatls</v>
          </cell>
          <cell r="D2160">
            <v>102.66767883300781</v>
          </cell>
        </row>
        <row r="2161">
          <cell r="A2161" t="str">
            <v>BGD</v>
          </cell>
          <cell r="B2161">
            <v>2005</v>
          </cell>
          <cell r="C2161" t="str">
            <v>mapanusatls</v>
          </cell>
          <cell r="D2161">
            <v>61.470741271972656</v>
          </cell>
        </row>
        <row r="2162">
          <cell r="A2162" t="str">
            <v>BGD</v>
          </cell>
          <cell r="B2162">
            <v>2016</v>
          </cell>
          <cell r="C2162" t="str">
            <v>matfpz</v>
          </cell>
          <cell r="D2162">
            <v>1.0185451507568359</v>
          </cell>
        </row>
        <row r="2163">
          <cell r="A2163" t="str">
            <v>BGD</v>
          </cell>
          <cell r="B2163">
            <v>2026</v>
          </cell>
          <cell r="C2163" t="str">
            <v>magdpz</v>
          </cell>
          <cell r="D2163">
            <v>5.9219088554382324</v>
          </cell>
        </row>
        <row r="2164">
          <cell r="A2164" t="str">
            <v>BGD</v>
          </cell>
          <cell r="B2164">
            <v>2018</v>
          </cell>
          <cell r="C2164" t="str">
            <v>maconz</v>
          </cell>
          <cell r="D2164">
            <v>9.4132204055786133</v>
          </cell>
        </row>
        <row r="2165">
          <cell r="A2165" t="str">
            <v>BGD</v>
          </cell>
          <cell r="B2165">
            <v>2025</v>
          </cell>
          <cell r="C2165" t="str">
            <v>magap_</v>
          </cell>
          <cell r="D2165">
            <v>-2.4734580516815186</v>
          </cell>
        </row>
        <row r="2166">
          <cell r="A2166" t="str">
            <v>BGD</v>
          </cell>
          <cell r="B2166">
            <v>2008</v>
          </cell>
          <cell r="C2166" t="str">
            <v>mataxfc</v>
          </cell>
          <cell r="D2166">
            <v>8.9318952560424805</v>
          </cell>
        </row>
        <row r="2167">
          <cell r="A2167" t="str">
            <v>BGD</v>
          </cell>
          <cell r="B2167">
            <v>2011</v>
          </cell>
          <cell r="C2167" t="str">
            <v>mainvz</v>
          </cell>
          <cell r="D2167">
            <v>9.4856233596801758</v>
          </cell>
        </row>
        <row r="2168">
          <cell r="A2168" t="str">
            <v>BGD</v>
          </cell>
          <cell r="B2168">
            <v>2006</v>
          </cell>
          <cell r="C2168" t="str">
            <v>mafdi_</v>
          </cell>
          <cell r="D2168">
            <v>0.86390227079391479</v>
          </cell>
        </row>
        <row r="2169">
          <cell r="A2169" t="str">
            <v>BGD</v>
          </cell>
          <cell r="B2169">
            <v>2023</v>
          </cell>
          <cell r="C2169" t="str">
            <v>mar_expz</v>
          </cell>
          <cell r="D2169">
            <v>13.157163619995117</v>
          </cell>
        </row>
        <row r="2170">
          <cell r="A2170" t="str">
            <v>BGD</v>
          </cell>
          <cell r="B2170">
            <v>2024</v>
          </cell>
          <cell r="C2170" t="str">
            <v>magdpz</v>
          </cell>
          <cell r="D2170">
            <v>5.6430239677429199</v>
          </cell>
        </row>
        <row r="2171">
          <cell r="A2171" t="str">
            <v>BGD</v>
          </cell>
          <cell r="B2171">
            <v>2025</v>
          </cell>
          <cell r="C2171" t="str">
            <v>maimpz</v>
          </cell>
          <cell r="D2171">
            <v>12.5</v>
          </cell>
        </row>
        <row r="2172">
          <cell r="A2172" t="str">
            <v>BGD</v>
          </cell>
          <cell r="B2172">
            <v>2021</v>
          </cell>
          <cell r="C2172" t="str">
            <v>magap_</v>
          </cell>
          <cell r="D2172">
            <v>-1.9954475164413452</v>
          </cell>
        </row>
        <row r="2173">
          <cell r="A2173" t="str">
            <v>BGD</v>
          </cell>
          <cell r="B2173">
            <v>2025</v>
          </cell>
          <cell r="C2173" t="str">
            <v>maconz</v>
          </cell>
          <cell r="D2173">
            <v>4.940000057220459</v>
          </cell>
        </row>
        <row r="2174">
          <cell r="A2174" t="str">
            <v>BGD</v>
          </cell>
          <cell r="B2174">
            <v>2009</v>
          </cell>
          <cell r="C2174" t="str">
            <v>madeficit_</v>
          </cell>
          <cell r="D2174">
            <v>-2.5855560302734375</v>
          </cell>
        </row>
        <row r="2175">
          <cell r="A2175" t="str">
            <v>BGD</v>
          </cell>
          <cell r="B2175">
            <v>2008</v>
          </cell>
          <cell r="C2175" t="str">
            <v>mar_expz</v>
          </cell>
          <cell r="D2175">
            <v>14.561077117919922</v>
          </cell>
        </row>
        <row r="2176">
          <cell r="A2176" t="str">
            <v>BGD</v>
          </cell>
          <cell r="B2176">
            <v>2017</v>
          </cell>
          <cell r="C2176" t="str">
            <v>madebt_</v>
          </cell>
          <cell r="D2176">
            <v>26.215980529785156</v>
          </cell>
        </row>
        <row r="2177">
          <cell r="A2177" t="str">
            <v>BGD</v>
          </cell>
          <cell r="B2177">
            <v>2008</v>
          </cell>
          <cell r="C2177" t="str">
            <v>mareer</v>
          </cell>
          <cell r="D2177">
            <v>62.983188629150391</v>
          </cell>
        </row>
        <row r="2178">
          <cell r="A2178" t="str">
            <v>BGD</v>
          </cell>
          <cell r="B2178">
            <v>2007</v>
          </cell>
          <cell r="C2178" t="str">
            <v>madebt_</v>
          </cell>
          <cell r="D2178">
            <v>32.821517944335938</v>
          </cell>
        </row>
        <row r="2179">
          <cell r="A2179" t="str">
            <v>BGD</v>
          </cell>
          <cell r="B2179">
            <v>2012</v>
          </cell>
          <cell r="C2179" t="str">
            <v>mar_impz</v>
          </cell>
          <cell r="D2179">
            <v>22.758859634399414</v>
          </cell>
        </row>
        <row r="2180">
          <cell r="A2180" t="str">
            <v>BGD</v>
          </cell>
          <cell r="B2180">
            <v>2023</v>
          </cell>
          <cell r="C2180" t="str">
            <v>mac_tfpz</v>
          </cell>
          <cell r="D2180">
            <v>1.0765409469604492</v>
          </cell>
        </row>
        <row r="2181">
          <cell r="A2181" t="str">
            <v>BGD</v>
          </cell>
          <cell r="B2181">
            <v>2019</v>
          </cell>
          <cell r="C2181" t="str">
            <v>mataxfc</v>
          </cell>
          <cell r="D2181">
            <v>4.93743896484375</v>
          </cell>
        </row>
        <row r="2182">
          <cell r="A2182" t="str">
            <v>BGD</v>
          </cell>
          <cell r="B2182">
            <v>2010</v>
          </cell>
          <cell r="C2182" t="str">
            <v>mataxfc</v>
          </cell>
          <cell r="D2182">
            <v>-2.9254019260406494</v>
          </cell>
        </row>
        <row r="2183">
          <cell r="A2183" t="str">
            <v>BGD</v>
          </cell>
          <cell r="B2183">
            <v>2013</v>
          </cell>
          <cell r="C2183" t="str">
            <v>magdpz</v>
          </cell>
          <cell r="D2183">
            <v>6.0135960578918457</v>
          </cell>
        </row>
        <row r="2184">
          <cell r="A2184" t="str">
            <v>BGD</v>
          </cell>
          <cell r="B2184">
            <v>2008</v>
          </cell>
          <cell r="C2184" t="str">
            <v>mar_taxfc</v>
          </cell>
          <cell r="D2184">
            <v>5.7492551803588867</v>
          </cell>
        </row>
        <row r="2185">
          <cell r="A2185" t="str">
            <v>BGD</v>
          </cell>
          <cell r="B2185">
            <v>2022</v>
          </cell>
          <cell r="C2185" t="str">
            <v>matfpz</v>
          </cell>
          <cell r="D2185">
            <v>1.1005547046661377</v>
          </cell>
        </row>
        <row r="2186">
          <cell r="A2186" t="str">
            <v>BGD</v>
          </cell>
          <cell r="B2186">
            <v>2012</v>
          </cell>
          <cell r="C2186" t="str">
            <v>magap_</v>
          </cell>
          <cell r="D2186">
            <v>0.31863853335380554</v>
          </cell>
        </row>
        <row r="2187">
          <cell r="A2187" t="str">
            <v>BGD</v>
          </cell>
          <cell r="B2187">
            <v>2026</v>
          </cell>
          <cell r="C2187" t="str">
            <v>maconz</v>
          </cell>
          <cell r="D2187">
            <v>5.3000001907348633</v>
          </cell>
        </row>
        <row r="2188">
          <cell r="A2188" t="str">
            <v>BGD</v>
          </cell>
          <cell r="B2188">
            <v>2020</v>
          </cell>
          <cell r="C2188" t="str">
            <v>mainvz</v>
          </cell>
          <cell r="D2188">
            <v>3.9458715915679932</v>
          </cell>
        </row>
        <row r="2189">
          <cell r="A2189" t="str">
            <v>BGD</v>
          </cell>
          <cell r="B2189">
            <v>2009</v>
          </cell>
          <cell r="C2189" t="str">
            <v>magap_</v>
          </cell>
          <cell r="D2189">
            <v>0.60563474893569946</v>
          </cell>
        </row>
        <row r="2190">
          <cell r="A2190" t="str">
            <v>BGD</v>
          </cell>
          <cell r="B2190">
            <v>2019</v>
          </cell>
          <cell r="C2190" t="str">
            <v>maindfc</v>
          </cell>
          <cell r="D2190">
            <v>11.633323669433594</v>
          </cell>
        </row>
        <row r="2191">
          <cell r="A2191" t="str">
            <v>BGD</v>
          </cell>
          <cell r="B2191">
            <v>2019</v>
          </cell>
          <cell r="C2191" t="str">
            <v>maconz</v>
          </cell>
          <cell r="D2191">
            <v>4.8554196357727051</v>
          </cell>
        </row>
        <row r="2192">
          <cell r="A2192" t="str">
            <v>BGD</v>
          </cell>
          <cell r="B2192">
            <v>2005</v>
          </cell>
          <cell r="C2192" t="str">
            <v>maimpz</v>
          </cell>
          <cell r="D2192">
            <v>38.062786102294922</v>
          </cell>
        </row>
        <row r="2193">
          <cell r="A2193" t="str">
            <v>BGD</v>
          </cell>
          <cell r="B2193">
            <v>2011</v>
          </cell>
          <cell r="C2193" t="str">
            <v>malabz</v>
          </cell>
          <cell r="D2193">
            <v>2.0163590908050537</v>
          </cell>
        </row>
        <row r="2194">
          <cell r="A2194" t="str">
            <v>BGD</v>
          </cell>
          <cell r="B2194">
            <v>2016</v>
          </cell>
          <cell r="C2194" t="str">
            <v>mac_tfpz</v>
          </cell>
          <cell r="D2194">
            <v>1.0185451507568359</v>
          </cell>
        </row>
        <row r="2195">
          <cell r="A2195" t="str">
            <v>BGD</v>
          </cell>
          <cell r="B2195">
            <v>2012</v>
          </cell>
          <cell r="C2195" t="str">
            <v>maconz</v>
          </cell>
          <cell r="D2195">
            <v>4.1142606735229492</v>
          </cell>
        </row>
        <row r="2196">
          <cell r="A2196" t="str">
            <v>BGD</v>
          </cell>
          <cell r="B2196">
            <v>2005</v>
          </cell>
          <cell r="C2196" t="str">
            <v>mar_taxfc</v>
          </cell>
          <cell r="D2196">
            <v>6.2120752334594727</v>
          </cell>
        </row>
        <row r="2197">
          <cell r="A2197" t="str">
            <v>BGD</v>
          </cell>
          <cell r="B2197">
            <v>2021</v>
          </cell>
          <cell r="C2197" t="str">
            <v>mar_agrfc</v>
          </cell>
          <cell r="D2197">
            <v>12.072772979736328</v>
          </cell>
        </row>
        <row r="2198">
          <cell r="A2198" t="str">
            <v>BGD</v>
          </cell>
          <cell r="B2198">
            <v>2016</v>
          </cell>
          <cell r="C2198" t="str">
            <v>mainvz</v>
          </cell>
          <cell r="D2198">
            <v>8.9683551788330078</v>
          </cell>
        </row>
        <row r="2199">
          <cell r="A2199" t="str">
            <v>BGD</v>
          </cell>
          <cell r="B2199">
            <v>2015</v>
          </cell>
          <cell r="C2199" t="str">
            <v>madebt_</v>
          </cell>
          <cell r="D2199">
            <v>26.540859222412109</v>
          </cell>
        </row>
        <row r="2200">
          <cell r="A2200" t="str">
            <v>BGD</v>
          </cell>
          <cell r="B2200">
            <v>2007</v>
          </cell>
          <cell r="C2200" t="str">
            <v>malabz</v>
          </cell>
          <cell r="D2200">
            <v>1.4760572910308838</v>
          </cell>
        </row>
        <row r="2201">
          <cell r="A2201" t="str">
            <v>BGD</v>
          </cell>
          <cell r="B2201">
            <v>2005</v>
          </cell>
          <cell r="C2201" t="str">
            <v>maconz</v>
          </cell>
          <cell r="D2201">
            <v>6.7317981719970703</v>
          </cell>
        </row>
        <row r="2202">
          <cell r="A2202" t="str">
            <v>BGD</v>
          </cell>
          <cell r="B2202">
            <v>2021</v>
          </cell>
          <cell r="C2202" t="str">
            <v>maconz</v>
          </cell>
          <cell r="D2202">
            <v>8.0154647827148438</v>
          </cell>
        </row>
        <row r="2203">
          <cell r="A2203" t="str">
            <v>BGD</v>
          </cell>
          <cell r="B2203">
            <v>2006</v>
          </cell>
          <cell r="C2203" t="str">
            <v>maagrfc</v>
          </cell>
          <cell r="D2203">
            <v>5.5527176856994629</v>
          </cell>
        </row>
        <row r="2204">
          <cell r="A2204" t="str">
            <v>BGD</v>
          </cell>
          <cell r="B2204">
            <v>2007</v>
          </cell>
          <cell r="C2204" t="str">
            <v>maconz</v>
          </cell>
          <cell r="D2204">
            <v>7.4338951110839844</v>
          </cell>
        </row>
        <row r="2205">
          <cell r="A2205" t="str">
            <v>BGD</v>
          </cell>
          <cell r="B2205">
            <v>2009</v>
          </cell>
          <cell r="C2205" t="str">
            <v>mar_taxfc</v>
          </cell>
          <cell r="D2205">
            <v>5.5359640121459961</v>
          </cell>
        </row>
        <row r="2206">
          <cell r="A2206" t="str">
            <v>BGD</v>
          </cell>
          <cell r="B2206">
            <v>2024</v>
          </cell>
          <cell r="C2206" t="str">
            <v>mapanusatls</v>
          </cell>
          <cell r="D2206">
            <v>110.83000183105469</v>
          </cell>
        </row>
        <row r="2207">
          <cell r="A2207" t="str">
            <v>BGD</v>
          </cell>
          <cell r="B2207">
            <v>2005</v>
          </cell>
          <cell r="C2207" t="str">
            <v>mareer</v>
          </cell>
          <cell r="D2207">
            <v>0</v>
          </cell>
        </row>
        <row r="2208">
          <cell r="A2208" t="str">
            <v>BGD</v>
          </cell>
          <cell r="B2208">
            <v>2009</v>
          </cell>
          <cell r="C2208" t="str">
            <v>mar_impz</v>
          </cell>
          <cell r="D2208">
            <v>18.959598541259766</v>
          </cell>
        </row>
        <row r="2209">
          <cell r="A2209" t="str">
            <v>BGD</v>
          </cell>
          <cell r="B2209">
            <v>2020</v>
          </cell>
          <cell r="C2209" t="str">
            <v>mar_taxfc</v>
          </cell>
          <cell r="D2209">
            <v>4.0317273139953613</v>
          </cell>
        </row>
        <row r="2210">
          <cell r="A2210" t="str">
            <v>BGD</v>
          </cell>
          <cell r="B2210">
            <v>2011</v>
          </cell>
          <cell r="C2210" t="str">
            <v>maexpz</v>
          </cell>
          <cell r="D2210">
            <v>29.33912467956543</v>
          </cell>
        </row>
        <row r="2211">
          <cell r="A2211" t="str">
            <v>BGD</v>
          </cell>
          <cell r="B2211">
            <v>2012</v>
          </cell>
          <cell r="C2211" t="str">
            <v>mataxfc</v>
          </cell>
          <cell r="D2211">
            <v>2.5080251693725586</v>
          </cell>
        </row>
        <row r="2212">
          <cell r="A2212" t="str">
            <v>BGD</v>
          </cell>
          <cell r="B2212">
            <v>2018</v>
          </cell>
          <cell r="C2212" t="str">
            <v>mar_taxfc</v>
          </cell>
          <cell r="D2212">
            <v>4.4686694145202637</v>
          </cell>
        </row>
        <row r="2213">
          <cell r="A2213" t="str">
            <v>BGD</v>
          </cell>
          <cell r="B2213">
            <v>2019</v>
          </cell>
          <cell r="C2213" t="str">
            <v>mac_tfpz</v>
          </cell>
          <cell r="D2213">
            <v>1.137211799621582</v>
          </cell>
        </row>
        <row r="2214">
          <cell r="A2214" t="str">
            <v>BGD</v>
          </cell>
          <cell r="B2214">
            <v>2008</v>
          </cell>
          <cell r="C2214" t="str">
            <v>magovz</v>
          </cell>
          <cell r="D2214">
            <v>3.1865482330322266</v>
          </cell>
        </row>
        <row r="2215">
          <cell r="A2215" t="str">
            <v>BGD</v>
          </cell>
          <cell r="B2215">
            <v>2011</v>
          </cell>
          <cell r="C2215" t="str">
            <v>mar_expz</v>
          </cell>
          <cell r="D2215">
            <v>16.106044769287109</v>
          </cell>
        </row>
        <row r="2216">
          <cell r="A2216" t="str">
            <v>BGD</v>
          </cell>
          <cell r="B2216">
            <v>2025</v>
          </cell>
          <cell r="C2216" t="str">
            <v>magovz</v>
          </cell>
          <cell r="D2216">
            <v>9.9054965972900391</v>
          </cell>
        </row>
        <row r="2217">
          <cell r="A2217" t="str">
            <v>BGD</v>
          </cell>
          <cell r="B2217">
            <v>2008</v>
          </cell>
          <cell r="C2217" t="str">
            <v>mar_agrfc</v>
          </cell>
          <cell r="D2217">
            <v>18.681070327758789</v>
          </cell>
        </row>
        <row r="2218">
          <cell r="A2218" t="str">
            <v>BGD</v>
          </cell>
          <cell r="B2218">
            <v>2005</v>
          </cell>
          <cell r="C2218" t="str">
            <v>mainvz</v>
          </cell>
          <cell r="D2218">
            <v>9.7446985244750977</v>
          </cell>
        </row>
        <row r="2219">
          <cell r="A2219" t="str">
            <v>BGD</v>
          </cell>
          <cell r="B2219">
            <v>2022</v>
          </cell>
          <cell r="C2219" t="str">
            <v>magdpz</v>
          </cell>
          <cell r="D2219">
            <v>7.099825382232666</v>
          </cell>
        </row>
        <row r="2220">
          <cell r="A2220" t="str">
            <v>BGD</v>
          </cell>
          <cell r="B2220">
            <v>2025</v>
          </cell>
          <cell r="C2220" t="str">
            <v>mac_tfpz</v>
          </cell>
          <cell r="D2220">
            <v>1.0313775539398193</v>
          </cell>
        </row>
        <row r="2221">
          <cell r="A2221" t="str">
            <v>BGD</v>
          </cell>
          <cell r="B2221">
            <v>2007</v>
          </cell>
          <cell r="C2221" t="str">
            <v>magap_</v>
          </cell>
          <cell r="D2221">
            <v>1.1685390472412109</v>
          </cell>
        </row>
        <row r="2222">
          <cell r="A2222" t="str">
            <v>BGD</v>
          </cell>
          <cell r="B2222">
            <v>2012</v>
          </cell>
          <cell r="C2222" t="str">
            <v>mar_srvfc</v>
          </cell>
          <cell r="D2222">
            <v>54.540939331054688</v>
          </cell>
        </row>
        <row r="2223">
          <cell r="A2223" t="str">
            <v>BGD</v>
          </cell>
          <cell r="B2223">
            <v>2010</v>
          </cell>
          <cell r="C2223" t="str">
            <v>matfpz</v>
          </cell>
          <cell r="D2223">
            <v>0.68978667259216309</v>
          </cell>
        </row>
        <row r="2224">
          <cell r="A2224" t="str">
            <v>BGD</v>
          </cell>
          <cell r="B2224">
            <v>2008</v>
          </cell>
          <cell r="C2224" t="str">
            <v>macab_</v>
          </cell>
          <cell r="D2224">
            <v>0.61954367160797119</v>
          </cell>
        </row>
        <row r="2225">
          <cell r="A2225" t="str">
            <v>BGD</v>
          </cell>
          <cell r="B2225">
            <v>2009</v>
          </cell>
          <cell r="C2225" t="str">
            <v>mapanusatls</v>
          </cell>
          <cell r="D2225">
            <v>68.804168701171875</v>
          </cell>
        </row>
        <row r="2226">
          <cell r="A2226" t="str">
            <v>BGD</v>
          </cell>
          <cell r="B2226">
            <v>2015</v>
          </cell>
          <cell r="C2226" t="str">
            <v>magap_</v>
          </cell>
          <cell r="D2226">
            <v>-0.90873157978057861</v>
          </cell>
        </row>
        <row r="2227">
          <cell r="A2227" t="str">
            <v>BGD</v>
          </cell>
          <cell r="B2227">
            <v>2014</v>
          </cell>
          <cell r="C2227" t="str">
            <v>mainvz</v>
          </cell>
          <cell r="D2227">
            <v>9.8322534561157227</v>
          </cell>
        </row>
        <row r="2228">
          <cell r="A2228" t="str">
            <v>BGD</v>
          </cell>
          <cell r="B2228">
            <v>2019</v>
          </cell>
          <cell r="C2228" t="str">
            <v>masrvfc</v>
          </cell>
          <cell r="D2228">
            <v>6.8798141479492188</v>
          </cell>
        </row>
        <row r="2229">
          <cell r="A2229" t="str">
            <v>BGD</v>
          </cell>
          <cell r="B2229">
            <v>2008</v>
          </cell>
          <cell r="C2229" t="str">
            <v>mar_con</v>
          </cell>
          <cell r="D2229">
            <v>76.330146789550781</v>
          </cell>
        </row>
        <row r="2230">
          <cell r="A2230" t="str">
            <v>BGD</v>
          </cell>
          <cell r="B2230">
            <v>2019</v>
          </cell>
          <cell r="C2230" t="str">
            <v>mar_srvfc</v>
          </cell>
          <cell r="D2230">
            <v>52.450771331787109</v>
          </cell>
        </row>
        <row r="2231">
          <cell r="A2231" t="str">
            <v>BGD</v>
          </cell>
          <cell r="B2231">
            <v>2025</v>
          </cell>
          <cell r="C2231" t="str">
            <v>mar_srvfc</v>
          </cell>
          <cell r="D2231">
            <v>50.739559173583984</v>
          </cell>
        </row>
        <row r="2232">
          <cell r="A2232" t="str">
            <v>BGD</v>
          </cell>
          <cell r="B2232">
            <v>2019</v>
          </cell>
          <cell r="C2232" t="str">
            <v>mar_indfc</v>
          </cell>
          <cell r="D2232">
            <v>34.987869262695313</v>
          </cell>
        </row>
        <row r="2233">
          <cell r="A2233" t="str">
            <v>BGD</v>
          </cell>
          <cell r="B2233">
            <v>2006</v>
          </cell>
          <cell r="C2233" t="str">
            <v>malabz</v>
          </cell>
          <cell r="D2233">
            <v>1.6792999505996704</v>
          </cell>
        </row>
        <row r="2234">
          <cell r="A2234" t="str">
            <v>BGD</v>
          </cell>
          <cell r="B2234">
            <v>2025</v>
          </cell>
          <cell r="C2234" t="str">
            <v>maagrfc</v>
          </cell>
          <cell r="D2234">
            <v>3.0999999046325684</v>
          </cell>
        </row>
        <row r="2235">
          <cell r="A2235" t="str">
            <v>BGD</v>
          </cell>
          <cell r="B2235">
            <v>2014</v>
          </cell>
          <cell r="C2235" t="str">
            <v>mar_taxfc</v>
          </cell>
          <cell r="D2235">
            <v>4.4838175773620605</v>
          </cell>
        </row>
        <row r="2236">
          <cell r="A2236" t="str">
            <v>BGD</v>
          </cell>
          <cell r="B2236">
            <v>2007</v>
          </cell>
          <cell r="C2236" t="str">
            <v>maagrfc</v>
          </cell>
          <cell r="D2236">
            <v>6.6924962997436523</v>
          </cell>
        </row>
        <row r="2237">
          <cell r="A2237" t="str">
            <v>BGD</v>
          </cell>
          <cell r="B2237">
            <v>2017</v>
          </cell>
          <cell r="C2237" t="str">
            <v>mac_labz</v>
          </cell>
          <cell r="D2237">
            <v>1.4681637287139893</v>
          </cell>
        </row>
        <row r="2238">
          <cell r="A2238" t="str">
            <v>BGD</v>
          </cell>
          <cell r="B2238">
            <v>2010</v>
          </cell>
          <cell r="C2238" t="str">
            <v>maconz</v>
          </cell>
          <cell r="D2238">
            <v>4.6040301322937012</v>
          </cell>
        </row>
        <row r="2239">
          <cell r="A2239" t="str">
            <v>BGD</v>
          </cell>
          <cell r="B2239">
            <v>2014</v>
          </cell>
          <cell r="C2239" t="str">
            <v>magdpz</v>
          </cell>
          <cell r="D2239">
            <v>6.0610928535461426</v>
          </cell>
        </row>
        <row r="2240">
          <cell r="A2240" t="str">
            <v>BGD</v>
          </cell>
          <cell r="B2240">
            <v>2014</v>
          </cell>
          <cell r="C2240" t="str">
            <v>maconz</v>
          </cell>
          <cell r="D2240">
            <v>4.0055875778198242</v>
          </cell>
        </row>
        <row r="2241">
          <cell r="A2241" t="str">
            <v>BGD</v>
          </cell>
          <cell r="B2241">
            <v>2020</v>
          </cell>
          <cell r="C2241" t="str">
            <v>mar_impz</v>
          </cell>
          <cell r="D2241">
            <v>15.828656196594238</v>
          </cell>
        </row>
        <row r="2242">
          <cell r="A2242" t="str">
            <v>BGD</v>
          </cell>
          <cell r="B2242">
            <v>2011</v>
          </cell>
          <cell r="C2242" t="str">
            <v>mac_labz</v>
          </cell>
          <cell r="D2242">
            <v>1.4114513397216797</v>
          </cell>
        </row>
        <row r="2243">
          <cell r="A2243" t="str">
            <v>BGD</v>
          </cell>
          <cell r="B2243">
            <v>2005</v>
          </cell>
          <cell r="C2243" t="str">
            <v>maagrfc</v>
          </cell>
          <cell r="D2243">
            <v>4.3824548721313477</v>
          </cell>
        </row>
        <row r="2244">
          <cell r="A2244" t="str">
            <v>BGD</v>
          </cell>
          <cell r="B2244">
            <v>2020</v>
          </cell>
          <cell r="C2244" t="str">
            <v>madeficit_</v>
          </cell>
          <cell r="D2244">
            <v>-4.785789966583252</v>
          </cell>
        </row>
        <row r="2245">
          <cell r="A2245" t="str">
            <v>BGD</v>
          </cell>
          <cell r="B2245">
            <v>2024</v>
          </cell>
          <cell r="C2245" t="str">
            <v>mac_labz</v>
          </cell>
          <cell r="D2245">
            <v>0.87851589918136597</v>
          </cell>
        </row>
        <row r="2246">
          <cell r="A2246" t="str">
            <v>BGD</v>
          </cell>
          <cell r="B2246">
            <v>2008</v>
          </cell>
          <cell r="C2246" t="str">
            <v>malabz</v>
          </cell>
          <cell r="D2246">
            <v>1.2860391139984131</v>
          </cell>
        </row>
        <row r="2247">
          <cell r="A2247" t="str">
            <v>BGD</v>
          </cell>
          <cell r="B2247">
            <v>2018</v>
          </cell>
          <cell r="C2247" t="str">
            <v>mafdi_</v>
          </cell>
          <cell r="D2247">
            <v>-0.55308866500854492</v>
          </cell>
        </row>
        <row r="2248">
          <cell r="A2248" t="str">
            <v>BGD</v>
          </cell>
          <cell r="B2248">
            <v>2026</v>
          </cell>
          <cell r="C2248" t="str">
            <v>maimpz</v>
          </cell>
          <cell r="D2248">
            <v>10.199999809265137</v>
          </cell>
        </row>
        <row r="2249">
          <cell r="A2249" t="str">
            <v>BGD</v>
          </cell>
          <cell r="B2249">
            <v>2013</v>
          </cell>
          <cell r="C2249" t="str">
            <v>magovz</v>
          </cell>
          <cell r="D2249">
            <v>5.7910876274108887</v>
          </cell>
        </row>
        <row r="2250">
          <cell r="A2250" t="str">
            <v>BGD</v>
          </cell>
          <cell r="B2250">
            <v>2018</v>
          </cell>
          <cell r="C2250" t="str">
            <v>maexpz</v>
          </cell>
          <cell r="D2250">
            <v>6.1059198379516602</v>
          </cell>
        </row>
        <row r="2251">
          <cell r="A2251" t="str">
            <v>BGD</v>
          </cell>
          <cell r="B2251">
            <v>2009</v>
          </cell>
          <cell r="C2251" t="str">
            <v>maconz</v>
          </cell>
          <cell r="D2251">
            <v>2.2917385101318359</v>
          </cell>
        </row>
        <row r="2252">
          <cell r="A2252" t="str">
            <v>BGD</v>
          </cell>
          <cell r="B2252">
            <v>2025</v>
          </cell>
          <cell r="C2252" t="str">
            <v>mac_labz</v>
          </cell>
          <cell r="D2252">
            <v>0.80385953187942505</v>
          </cell>
        </row>
        <row r="2253">
          <cell r="A2253" t="str">
            <v>BGD</v>
          </cell>
          <cell r="B2253">
            <v>2016</v>
          </cell>
          <cell r="C2253" t="str">
            <v>mataxfc</v>
          </cell>
          <cell r="D2253">
            <v>5.9089016914367676</v>
          </cell>
        </row>
        <row r="2254">
          <cell r="A2254" t="str">
            <v>BGD</v>
          </cell>
          <cell r="B2254">
            <v>2020</v>
          </cell>
          <cell r="C2254" t="str">
            <v>maagrfc</v>
          </cell>
          <cell r="D2254">
            <v>3.4209480285644531</v>
          </cell>
        </row>
        <row r="2255">
          <cell r="A2255" t="str">
            <v>BGD</v>
          </cell>
          <cell r="B2255">
            <v>2016</v>
          </cell>
          <cell r="C2255" t="str">
            <v>maindfc</v>
          </cell>
          <cell r="D2255">
            <v>14.316122055053711</v>
          </cell>
        </row>
        <row r="2256">
          <cell r="A2256" t="str">
            <v>BGD</v>
          </cell>
          <cell r="B2256">
            <v>2023</v>
          </cell>
          <cell r="C2256" t="str">
            <v>masrvfc</v>
          </cell>
          <cell r="D2256">
            <v>5.3712425231933594</v>
          </cell>
        </row>
        <row r="2257">
          <cell r="A2257" t="str">
            <v>BGD</v>
          </cell>
          <cell r="B2257">
            <v>2016</v>
          </cell>
          <cell r="C2257" t="str">
            <v>mar_impz</v>
          </cell>
          <cell r="D2257">
            <v>17.412944793701172</v>
          </cell>
        </row>
        <row r="2258">
          <cell r="A2258" t="str">
            <v>BGD</v>
          </cell>
          <cell r="B2258">
            <v>2006</v>
          </cell>
          <cell r="C2258" t="str">
            <v>mar_indfc</v>
          </cell>
          <cell r="D2258">
            <v>25.397197723388672</v>
          </cell>
        </row>
        <row r="2259">
          <cell r="A2259" t="str">
            <v>BGD</v>
          </cell>
          <cell r="B2259">
            <v>2010</v>
          </cell>
          <cell r="C2259" t="str">
            <v>mar_indfc</v>
          </cell>
          <cell r="D2259">
            <v>26.784818649291992</v>
          </cell>
        </row>
        <row r="2260">
          <cell r="A2260" t="str">
            <v>BGD</v>
          </cell>
          <cell r="B2260">
            <v>2022</v>
          </cell>
          <cell r="C2260" t="str">
            <v>mac_tfpz</v>
          </cell>
          <cell r="D2260">
            <v>1.1005547046661377</v>
          </cell>
        </row>
        <row r="2261">
          <cell r="A2261" t="str">
            <v>BGD</v>
          </cell>
          <cell r="B2261">
            <v>2011</v>
          </cell>
          <cell r="C2261" t="str">
            <v>mar_indfc</v>
          </cell>
          <cell r="D2261">
            <v>27.381437301635742</v>
          </cell>
        </row>
        <row r="2262">
          <cell r="A2262" t="str">
            <v>BGD</v>
          </cell>
          <cell r="B2262">
            <v>2015</v>
          </cell>
          <cell r="C2262" t="str">
            <v>mac_tfpz</v>
          </cell>
          <cell r="D2262">
            <v>0.9514276385307312</v>
          </cell>
        </row>
        <row r="2263">
          <cell r="A2263" t="str">
            <v>BGD</v>
          </cell>
          <cell r="B2263">
            <v>2022</v>
          </cell>
          <cell r="C2263" t="str">
            <v>madebt_</v>
          </cell>
          <cell r="D2263">
            <v>33.713382720947266</v>
          </cell>
        </row>
        <row r="2264">
          <cell r="A2264" t="str">
            <v>BGD</v>
          </cell>
          <cell r="B2264">
            <v>2008</v>
          </cell>
          <cell r="C2264" t="str">
            <v>mac_labz</v>
          </cell>
          <cell r="D2264">
            <v>0.90022736787796021</v>
          </cell>
        </row>
        <row r="2265">
          <cell r="A2265" t="str">
            <v>BGD</v>
          </cell>
          <cell r="B2265">
            <v>2008</v>
          </cell>
          <cell r="C2265" t="str">
            <v>maconz</v>
          </cell>
          <cell r="D2265">
            <v>3.9802849292755127</v>
          </cell>
        </row>
        <row r="2266">
          <cell r="A2266" t="str">
            <v>BGD</v>
          </cell>
          <cell r="B2266">
            <v>2007</v>
          </cell>
          <cell r="C2266" t="str">
            <v>mataxfc</v>
          </cell>
          <cell r="D2266">
            <v>5.0982990264892578</v>
          </cell>
        </row>
        <row r="2267">
          <cell r="A2267" t="str">
            <v>BGD</v>
          </cell>
          <cell r="B2267">
            <v>2015</v>
          </cell>
          <cell r="C2267" t="str">
            <v>mataxfc</v>
          </cell>
          <cell r="D2267">
            <v>6.9323883056640625</v>
          </cell>
        </row>
        <row r="2268">
          <cell r="A2268" t="str">
            <v>BGD</v>
          </cell>
          <cell r="B2268">
            <v>2026</v>
          </cell>
          <cell r="C2268" t="str">
            <v>maagrfc</v>
          </cell>
          <cell r="D2268">
            <v>3.2000000476837158</v>
          </cell>
        </row>
        <row r="2269">
          <cell r="A2269" t="str">
            <v>BGD</v>
          </cell>
          <cell r="B2269">
            <v>2015</v>
          </cell>
          <cell r="C2269" t="str">
            <v>matfpz</v>
          </cell>
          <cell r="D2269">
            <v>0.9514276385307312</v>
          </cell>
        </row>
        <row r="2270">
          <cell r="A2270" t="str">
            <v>BGD</v>
          </cell>
          <cell r="B2270">
            <v>2024</v>
          </cell>
          <cell r="C2270" t="str">
            <v>macpiz</v>
          </cell>
          <cell r="D2270">
            <v>9.6309146881103516</v>
          </cell>
        </row>
        <row r="2271">
          <cell r="A2271" t="str">
            <v>BGD</v>
          </cell>
          <cell r="B2271">
            <v>2006</v>
          </cell>
          <cell r="C2271" t="str">
            <v>mapanusatls</v>
          </cell>
          <cell r="D2271">
            <v>67.181838989257813</v>
          </cell>
        </row>
        <row r="2272">
          <cell r="A2272" t="str">
            <v>BGD</v>
          </cell>
          <cell r="B2272">
            <v>2005</v>
          </cell>
          <cell r="C2272" t="str">
            <v>mac_tfpz</v>
          </cell>
          <cell r="D2272">
            <v>0.38971781730651855</v>
          </cell>
        </row>
        <row r="2273">
          <cell r="A2273" t="str">
            <v>BGD</v>
          </cell>
          <cell r="B2273">
            <v>2005</v>
          </cell>
          <cell r="C2273" t="str">
            <v>macab_</v>
          </cell>
          <cell r="D2273">
            <v>-0.66922509670257568</v>
          </cell>
        </row>
        <row r="2274">
          <cell r="A2274" t="str">
            <v>BGD</v>
          </cell>
          <cell r="B2274">
            <v>2024</v>
          </cell>
          <cell r="C2274" t="str">
            <v>macab_</v>
          </cell>
          <cell r="D2274">
            <v>0.85809946060180664</v>
          </cell>
        </row>
        <row r="2275">
          <cell r="A2275" t="str">
            <v>BGD</v>
          </cell>
          <cell r="B2275">
            <v>2013</v>
          </cell>
          <cell r="C2275" t="str">
            <v>maexpz</v>
          </cell>
          <cell r="D2275">
            <v>2.4518842697143555</v>
          </cell>
        </row>
        <row r="2276">
          <cell r="A2276" t="str">
            <v>BGD</v>
          </cell>
          <cell r="B2276">
            <v>2012</v>
          </cell>
          <cell r="C2276" t="str">
            <v>madeficit_</v>
          </cell>
          <cell r="D2276">
            <v>-2.7030715942382813</v>
          </cell>
        </row>
        <row r="2277">
          <cell r="A2277" t="str">
            <v>BGD</v>
          </cell>
          <cell r="B2277">
            <v>2024</v>
          </cell>
          <cell r="C2277" t="str">
            <v>mafdi_</v>
          </cell>
          <cell r="D2277">
            <v>-0.28304147720336914</v>
          </cell>
        </row>
        <row r="2278">
          <cell r="A2278" t="str">
            <v>BGD</v>
          </cell>
          <cell r="B2278">
            <v>2024</v>
          </cell>
          <cell r="C2278" t="str">
            <v>malabz</v>
          </cell>
          <cell r="D2278">
            <v>1.2550227642059326</v>
          </cell>
        </row>
        <row r="2279">
          <cell r="A2279" t="str">
            <v>BGD</v>
          </cell>
          <cell r="B2279">
            <v>2022</v>
          </cell>
          <cell r="C2279" t="str">
            <v>mar_indfc</v>
          </cell>
          <cell r="D2279">
            <v>36.915016174316406</v>
          </cell>
        </row>
        <row r="2280">
          <cell r="A2280" t="str">
            <v>BGD</v>
          </cell>
          <cell r="B2280">
            <v>2016</v>
          </cell>
          <cell r="C2280" t="str">
            <v>magap_</v>
          </cell>
          <cell r="D2280">
            <v>-0.49285528063774109</v>
          </cell>
        </row>
        <row r="2281">
          <cell r="A2281" t="str">
            <v>BGD</v>
          </cell>
          <cell r="B2281">
            <v>2025</v>
          </cell>
          <cell r="C2281" t="str">
            <v>mar_indfc</v>
          </cell>
          <cell r="D2281">
            <v>38.513362884521484</v>
          </cell>
        </row>
        <row r="2282">
          <cell r="A2282" t="str">
            <v>BGD</v>
          </cell>
          <cell r="B2282">
            <v>2025</v>
          </cell>
          <cell r="C2282" t="str">
            <v>mataxfc</v>
          </cell>
          <cell r="D2282">
            <v>5.6820216178894043</v>
          </cell>
        </row>
        <row r="2283">
          <cell r="A2283" t="str">
            <v>BGD</v>
          </cell>
          <cell r="B2283">
            <v>2018</v>
          </cell>
          <cell r="C2283" t="str">
            <v>masrvfc</v>
          </cell>
          <cell r="D2283">
            <v>6.5536212921142578</v>
          </cell>
        </row>
        <row r="2284">
          <cell r="A2284" t="str">
            <v>BGD</v>
          </cell>
          <cell r="B2284">
            <v>2012</v>
          </cell>
          <cell r="C2284" t="str">
            <v>maimpz</v>
          </cell>
          <cell r="D2284">
            <v>10.518559455871582</v>
          </cell>
        </row>
        <row r="2285">
          <cell r="A2285" t="str">
            <v>BGD</v>
          </cell>
          <cell r="B2285">
            <v>2013</v>
          </cell>
          <cell r="C2285" t="str">
            <v>masrvfc</v>
          </cell>
          <cell r="D2285">
            <v>5.5141563415527344</v>
          </cell>
        </row>
        <row r="2286">
          <cell r="A2286" t="str">
            <v>BGD</v>
          </cell>
          <cell r="B2286">
            <v>2026</v>
          </cell>
          <cell r="C2286" t="str">
            <v>mar_agrfc</v>
          </cell>
          <cell r="D2286">
            <v>10.471433639526367</v>
          </cell>
        </row>
        <row r="2287">
          <cell r="A2287" t="str">
            <v>BGD</v>
          </cell>
          <cell r="B2287">
            <v>2005</v>
          </cell>
          <cell r="C2287" t="str">
            <v>mar_agrfc</v>
          </cell>
          <cell r="D2287">
            <v>19.303594589233398</v>
          </cell>
        </row>
        <row r="2288">
          <cell r="A2288" t="str">
            <v>BGD</v>
          </cell>
          <cell r="B2288">
            <v>2006</v>
          </cell>
          <cell r="C2288" t="str">
            <v>masrvfc</v>
          </cell>
          <cell r="D2288">
            <v>6.6021132469177246</v>
          </cell>
        </row>
        <row r="2289">
          <cell r="A2289" t="str">
            <v>BGD</v>
          </cell>
          <cell r="B2289">
            <v>2014</v>
          </cell>
          <cell r="C2289" t="str">
            <v>mar_srvfc</v>
          </cell>
          <cell r="D2289">
            <v>53.94976806640625</v>
          </cell>
        </row>
        <row r="2290">
          <cell r="A2290" t="str">
            <v>BGD</v>
          </cell>
          <cell r="B2290">
            <v>2021</v>
          </cell>
          <cell r="C2290" t="str">
            <v>maagrfc</v>
          </cell>
          <cell r="D2290">
            <v>3.1745405197143555</v>
          </cell>
        </row>
        <row r="2291">
          <cell r="A2291" t="str">
            <v>BGD</v>
          </cell>
          <cell r="B2291">
            <v>2013</v>
          </cell>
          <cell r="C2291" t="str">
            <v>mar_srvfc</v>
          </cell>
          <cell r="D2291">
            <v>54.218070983886719</v>
          </cell>
        </row>
        <row r="2292">
          <cell r="A2292" t="str">
            <v>BGD</v>
          </cell>
          <cell r="B2292">
            <v>2020</v>
          </cell>
          <cell r="C2292" t="str">
            <v>maexpz</v>
          </cell>
          <cell r="D2292">
            <v>-17.502391815185547</v>
          </cell>
        </row>
        <row r="2293">
          <cell r="A2293" t="str">
            <v>BGD</v>
          </cell>
          <cell r="B2293">
            <v>2006</v>
          </cell>
          <cell r="C2293" t="str">
            <v>mar_agrfc</v>
          </cell>
          <cell r="D2293">
            <v>19.008399963378906</v>
          </cell>
        </row>
        <row r="2294">
          <cell r="A2294" t="str">
            <v>BGD</v>
          </cell>
          <cell r="B2294">
            <v>2021</v>
          </cell>
          <cell r="C2294" t="str">
            <v>mar_con</v>
          </cell>
          <cell r="D2294">
            <v>66.431083679199219</v>
          </cell>
        </row>
        <row r="2295">
          <cell r="A2295" t="str">
            <v>BGD</v>
          </cell>
          <cell r="B2295">
            <v>2011</v>
          </cell>
          <cell r="C2295" t="str">
            <v>mar_srvfc</v>
          </cell>
          <cell r="D2295">
            <v>54.613445281982422</v>
          </cell>
        </row>
        <row r="2296">
          <cell r="A2296" t="str">
            <v>BGD</v>
          </cell>
          <cell r="B2296">
            <v>2016</v>
          </cell>
          <cell r="C2296" t="str">
            <v>mar_expz</v>
          </cell>
          <cell r="D2296">
            <v>13.92120361328125</v>
          </cell>
        </row>
        <row r="2297">
          <cell r="A2297" t="str">
            <v>BGD</v>
          </cell>
          <cell r="B2297">
            <v>2011</v>
          </cell>
          <cell r="C2297" t="str">
            <v>mar_impz</v>
          </cell>
          <cell r="D2297">
            <v>21.935739517211914</v>
          </cell>
        </row>
        <row r="2298">
          <cell r="A2298" t="str">
            <v>BGD</v>
          </cell>
          <cell r="B2298">
            <v>2010</v>
          </cell>
          <cell r="C2298" t="str">
            <v>madeficit_</v>
          </cell>
          <cell r="D2298">
            <v>-2.3276538848876953</v>
          </cell>
        </row>
        <row r="2299">
          <cell r="A2299" t="str">
            <v>BGD</v>
          </cell>
          <cell r="B2299">
            <v>2018</v>
          </cell>
          <cell r="C2299" t="str">
            <v>maimpz</v>
          </cell>
          <cell r="D2299">
            <v>23.934978485107422</v>
          </cell>
        </row>
        <row r="2300">
          <cell r="A2300" t="str">
            <v>BGD</v>
          </cell>
          <cell r="B2300">
            <v>2020</v>
          </cell>
          <cell r="C2300" t="str">
            <v>macpiz</v>
          </cell>
          <cell r="D2300">
            <v>5.6476202011108398</v>
          </cell>
        </row>
        <row r="2301">
          <cell r="A2301" t="str">
            <v>BGD</v>
          </cell>
          <cell r="B2301">
            <v>2006</v>
          </cell>
          <cell r="C2301" t="str">
            <v>mar_taxfc</v>
          </cell>
          <cell r="D2301">
            <v>5.6967787742614746</v>
          </cell>
        </row>
        <row r="2302">
          <cell r="A2302" t="str">
            <v>BGD</v>
          </cell>
          <cell r="B2302">
            <v>2012</v>
          </cell>
          <cell r="C2302" t="str">
            <v>mapanusatls</v>
          </cell>
          <cell r="D2302">
            <v>79.153709411621094</v>
          </cell>
        </row>
        <row r="2303">
          <cell r="A2303" t="str">
            <v>BGD</v>
          </cell>
          <cell r="B2303">
            <v>2016</v>
          </cell>
          <cell r="C2303" t="str">
            <v>maagrfc</v>
          </cell>
          <cell r="D2303">
            <v>-5.8045578002929688</v>
          </cell>
        </row>
        <row r="2304">
          <cell r="A2304" t="str">
            <v>BGD</v>
          </cell>
          <cell r="B2304">
            <v>2013</v>
          </cell>
          <cell r="C2304" t="str">
            <v>maimpz</v>
          </cell>
          <cell r="D2304">
            <v>1.2181515693664551</v>
          </cell>
        </row>
        <row r="2305">
          <cell r="A2305" t="str">
            <v>BGD</v>
          </cell>
          <cell r="B2305">
            <v>2008</v>
          </cell>
          <cell r="C2305" t="str">
            <v>mar_srvfc</v>
          </cell>
          <cell r="D2305">
            <v>55.192832946777344</v>
          </cell>
        </row>
        <row r="2306">
          <cell r="A2306" t="str">
            <v>BGD</v>
          </cell>
          <cell r="B2306">
            <v>2025</v>
          </cell>
          <cell r="C2306" t="str">
            <v>mar_expz</v>
          </cell>
          <cell r="D2306">
            <v>12.645883560180664</v>
          </cell>
        </row>
        <row r="2307">
          <cell r="A2307" t="str">
            <v>BGD</v>
          </cell>
          <cell r="B2307">
            <v>2016</v>
          </cell>
          <cell r="C2307" t="str">
            <v>mar_indfc</v>
          </cell>
          <cell r="D2307">
            <v>32.450996398925781</v>
          </cell>
        </row>
        <row r="2308">
          <cell r="A2308" t="str">
            <v>BGD</v>
          </cell>
          <cell r="B2308">
            <v>2026</v>
          </cell>
          <cell r="C2308" t="str">
            <v>mainvz</v>
          </cell>
          <cell r="D2308">
            <v>8.5986976623535156</v>
          </cell>
        </row>
        <row r="2309">
          <cell r="A2309" t="str">
            <v>BGD</v>
          </cell>
          <cell r="B2309">
            <v>2024</v>
          </cell>
          <cell r="C2309" t="str">
            <v>madebt_</v>
          </cell>
          <cell r="D2309">
            <v>34.876678466796875</v>
          </cell>
        </row>
        <row r="2310">
          <cell r="A2310" t="str">
            <v>BGD</v>
          </cell>
          <cell r="B2310">
            <v>2006</v>
          </cell>
          <cell r="C2310" t="str">
            <v>magap_</v>
          </cell>
          <cell r="D2310">
            <v>-2.7222109958529472E-2</v>
          </cell>
        </row>
        <row r="2311">
          <cell r="A2311" t="str">
            <v>BGD</v>
          </cell>
          <cell r="B2311">
            <v>2025</v>
          </cell>
          <cell r="C2311" t="str">
            <v>masrvfc</v>
          </cell>
          <cell r="D2311">
            <v>5.1098361015319824</v>
          </cell>
        </row>
        <row r="2312">
          <cell r="A2312" t="str">
            <v>BGD</v>
          </cell>
          <cell r="B2312">
            <v>2023</v>
          </cell>
          <cell r="C2312" t="str">
            <v>mareer</v>
          </cell>
          <cell r="D2312">
            <v>106.77440643310547</v>
          </cell>
        </row>
        <row r="2313">
          <cell r="A2313" t="str">
            <v>BGD</v>
          </cell>
          <cell r="B2313">
            <v>2010</v>
          </cell>
          <cell r="C2313" t="str">
            <v>mafdi_</v>
          </cell>
          <cell r="D2313">
            <v>0.59236657619476318</v>
          </cell>
        </row>
        <row r="2314">
          <cell r="A2314" t="str">
            <v>BGD</v>
          </cell>
          <cell r="B2314">
            <v>2026</v>
          </cell>
          <cell r="C2314" t="str">
            <v>mapanusatls</v>
          </cell>
          <cell r="D2314">
            <v>122</v>
          </cell>
        </row>
        <row r="2315">
          <cell r="A2315" t="str">
            <v>BGD</v>
          </cell>
          <cell r="B2315">
            <v>2007</v>
          </cell>
          <cell r="C2315" t="str">
            <v>mainvz</v>
          </cell>
          <cell r="D2315">
            <v>7.2616033554077148</v>
          </cell>
        </row>
        <row r="2316">
          <cell r="A2316" t="str">
            <v>BGD</v>
          </cell>
          <cell r="B2316">
            <v>2019</v>
          </cell>
          <cell r="C2316" t="str">
            <v>mar_impz</v>
          </cell>
          <cell r="D2316">
            <v>18.483297348022461</v>
          </cell>
        </row>
        <row r="2317">
          <cell r="A2317" t="str">
            <v>BGD</v>
          </cell>
          <cell r="B2317">
            <v>2023</v>
          </cell>
          <cell r="C2317" t="str">
            <v>mataxfc</v>
          </cell>
          <cell r="D2317">
            <v>-6.2612500190734863</v>
          </cell>
        </row>
        <row r="2318">
          <cell r="A2318" t="str">
            <v>BGD</v>
          </cell>
          <cell r="B2318">
            <v>2017</v>
          </cell>
          <cell r="C2318" t="str">
            <v>maconz</v>
          </cell>
          <cell r="D2318">
            <v>6.2691402435302734</v>
          </cell>
        </row>
        <row r="2319">
          <cell r="A2319" t="str">
            <v>BGD</v>
          </cell>
          <cell r="B2319">
            <v>2019</v>
          </cell>
          <cell r="C2319" t="str">
            <v>mareer</v>
          </cell>
          <cell r="D2319">
            <v>111.99681854248047</v>
          </cell>
        </row>
        <row r="2320">
          <cell r="A2320" t="str">
            <v>BGD</v>
          </cell>
          <cell r="B2320">
            <v>2024</v>
          </cell>
          <cell r="C2320" t="str">
            <v>mar_srvfc</v>
          </cell>
          <cell r="D2320">
            <v>51.015769958496094</v>
          </cell>
        </row>
        <row r="2321">
          <cell r="A2321" t="str">
            <v>BGD</v>
          </cell>
          <cell r="B2321">
            <v>2021</v>
          </cell>
          <cell r="C2321" t="str">
            <v>mainvz</v>
          </cell>
          <cell r="D2321">
            <v>8.0907793045043945</v>
          </cell>
        </row>
        <row r="2322">
          <cell r="A2322" t="str">
            <v>BGD</v>
          </cell>
          <cell r="B2322">
            <v>2011</v>
          </cell>
          <cell r="C2322" t="str">
            <v>maagrfc</v>
          </cell>
          <cell r="D2322">
            <v>4.4563689231872559</v>
          </cell>
        </row>
        <row r="2323">
          <cell r="A2323" t="str">
            <v>BGD</v>
          </cell>
          <cell r="B2323">
            <v>2015</v>
          </cell>
          <cell r="C2323" t="str">
            <v>maexpz</v>
          </cell>
          <cell r="D2323">
            <v>-2.8299901485443115</v>
          </cell>
        </row>
        <row r="2324">
          <cell r="A2324" t="str">
            <v>BGD</v>
          </cell>
          <cell r="B2324">
            <v>2010</v>
          </cell>
          <cell r="C2324" t="str">
            <v>madebt_</v>
          </cell>
          <cell r="D2324">
            <v>29.095569610595703</v>
          </cell>
        </row>
        <row r="2325">
          <cell r="A2325" t="str">
            <v>BGD</v>
          </cell>
          <cell r="B2325">
            <v>2020</v>
          </cell>
          <cell r="C2325" t="str">
            <v>mar_indfc</v>
          </cell>
          <cell r="D2325">
            <v>34.939010620117188</v>
          </cell>
        </row>
        <row r="2326">
          <cell r="A2326" t="str">
            <v>BGD</v>
          </cell>
          <cell r="B2326">
            <v>2026</v>
          </cell>
          <cell r="C2326" t="str">
            <v>magovz</v>
          </cell>
          <cell r="D2326">
            <v>7.4459738731384277</v>
          </cell>
        </row>
        <row r="2327">
          <cell r="A2327" t="str">
            <v>BGD</v>
          </cell>
          <cell r="B2327">
            <v>2007</v>
          </cell>
          <cell r="C2327" t="str">
            <v>masrvfc</v>
          </cell>
          <cell r="D2327">
            <v>6.4851140975952148</v>
          </cell>
        </row>
        <row r="2328">
          <cell r="A2328" t="str">
            <v>BGD</v>
          </cell>
          <cell r="B2328">
            <v>2026</v>
          </cell>
          <cell r="C2328" t="str">
            <v>magap_</v>
          </cell>
          <cell r="D2328">
            <v>-2.3968601226806641</v>
          </cell>
        </row>
        <row r="2329">
          <cell r="A2329" t="str">
            <v>BGD</v>
          </cell>
          <cell r="B2329">
            <v>2022</v>
          </cell>
          <cell r="C2329" t="str">
            <v>maimpz</v>
          </cell>
          <cell r="D2329">
            <v>31.183086395263672</v>
          </cell>
        </row>
        <row r="2330">
          <cell r="A2330" t="str">
            <v>BGD</v>
          </cell>
          <cell r="B2330">
            <v>2016</v>
          </cell>
          <cell r="C2330" t="str">
            <v>maconz</v>
          </cell>
          <cell r="D2330">
            <v>3.0022552013397217</v>
          </cell>
        </row>
        <row r="2331">
          <cell r="A2331" t="str">
            <v>BGD</v>
          </cell>
          <cell r="B2331">
            <v>2019</v>
          </cell>
          <cell r="C2331" t="str">
            <v>madebt_</v>
          </cell>
          <cell r="D2331">
            <v>28.525506973266602</v>
          </cell>
        </row>
        <row r="2332">
          <cell r="A2332" t="str">
            <v>BGD</v>
          </cell>
          <cell r="B2332">
            <v>2010</v>
          </cell>
          <cell r="C2332" t="str">
            <v>mar_agrfc</v>
          </cell>
          <cell r="D2332">
            <v>18.382146835327148</v>
          </cell>
        </row>
        <row r="2333">
          <cell r="A2333" t="str">
            <v>BGD</v>
          </cell>
          <cell r="B2333">
            <v>2020</v>
          </cell>
          <cell r="C2333" t="str">
            <v>magap_</v>
          </cell>
          <cell r="D2333">
            <v>-2.4474585056304932</v>
          </cell>
        </row>
        <row r="2334">
          <cell r="A2334" t="str">
            <v>BGD</v>
          </cell>
          <cell r="B2334">
            <v>2015</v>
          </cell>
          <cell r="C2334" t="str">
            <v>masrvfc</v>
          </cell>
          <cell r="D2334">
            <v>5.8010616302490234</v>
          </cell>
        </row>
        <row r="2335">
          <cell r="A2335" t="str">
            <v>BGD</v>
          </cell>
          <cell r="B2335">
            <v>2011</v>
          </cell>
          <cell r="C2335" t="str">
            <v>magdpz</v>
          </cell>
          <cell r="D2335">
            <v>6.4643840789794922</v>
          </cell>
        </row>
        <row r="2336">
          <cell r="A2336" t="str">
            <v>BGD</v>
          </cell>
          <cell r="B2336">
            <v>2011</v>
          </cell>
          <cell r="C2336" t="str">
            <v>maimpz</v>
          </cell>
          <cell r="D2336">
            <v>29.152965545654297</v>
          </cell>
        </row>
        <row r="2337">
          <cell r="A2337" t="str">
            <v>BGD</v>
          </cell>
          <cell r="B2337">
            <v>2022</v>
          </cell>
          <cell r="C2337" t="str">
            <v>mafdi_</v>
          </cell>
          <cell r="D2337">
            <v>-0.39706024527549744</v>
          </cell>
        </row>
        <row r="2338">
          <cell r="A2338" t="str">
            <v>BGD</v>
          </cell>
          <cell r="B2338">
            <v>2011</v>
          </cell>
          <cell r="C2338" t="str">
            <v>masrvfc</v>
          </cell>
          <cell r="D2338">
            <v>6.2166256904602051</v>
          </cell>
        </row>
        <row r="2339">
          <cell r="A2339" t="str">
            <v>BGD</v>
          </cell>
          <cell r="B2339">
            <v>2026</v>
          </cell>
          <cell r="C2339" t="str">
            <v>mafdi_</v>
          </cell>
          <cell r="D2339">
            <v>-0.42381936311721802</v>
          </cell>
        </row>
        <row r="2340">
          <cell r="A2340" t="str">
            <v>BGD</v>
          </cell>
          <cell r="B2340">
            <v>2026</v>
          </cell>
          <cell r="C2340" t="str">
            <v>mac_labz</v>
          </cell>
          <cell r="D2340">
            <v>0.73392188549041748</v>
          </cell>
        </row>
        <row r="2341">
          <cell r="A2341" t="str">
            <v>BGD</v>
          </cell>
          <cell r="B2341">
            <v>2010</v>
          </cell>
          <cell r="C2341" t="str">
            <v>mar_impz</v>
          </cell>
          <cell r="D2341">
            <v>18.082241058349609</v>
          </cell>
        </row>
        <row r="2342">
          <cell r="A2342" t="str">
            <v>BGD</v>
          </cell>
          <cell r="B2342">
            <v>2012</v>
          </cell>
          <cell r="C2342" t="str">
            <v>macab_</v>
          </cell>
          <cell r="D2342">
            <v>-0.27990895509719849</v>
          </cell>
        </row>
        <row r="2343">
          <cell r="A2343" t="str">
            <v>BGD</v>
          </cell>
          <cell r="B2343">
            <v>2026</v>
          </cell>
          <cell r="C2343" t="str">
            <v>macpiz</v>
          </cell>
          <cell r="D2343">
            <v>6.5</v>
          </cell>
        </row>
        <row r="2344">
          <cell r="A2344" t="str">
            <v>BGD</v>
          </cell>
          <cell r="B2344">
            <v>2022</v>
          </cell>
          <cell r="C2344" t="str">
            <v>mac_labz</v>
          </cell>
          <cell r="D2344">
            <v>1.0349130630493164</v>
          </cell>
        </row>
        <row r="2345">
          <cell r="A2345" t="str">
            <v>BGD</v>
          </cell>
          <cell r="B2345">
            <v>2023</v>
          </cell>
          <cell r="C2345" t="str">
            <v>magap_</v>
          </cell>
          <cell r="D2345">
            <v>-2.0056140422821045</v>
          </cell>
        </row>
        <row r="2346">
          <cell r="A2346" t="str">
            <v>BGD</v>
          </cell>
          <cell r="B2346">
            <v>2023</v>
          </cell>
          <cell r="C2346" t="str">
            <v>macpiz</v>
          </cell>
          <cell r="D2346">
            <v>9.0328683853149414</v>
          </cell>
        </row>
        <row r="2347">
          <cell r="A2347" t="str">
            <v>BGD</v>
          </cell>
          <cell r="B2347">
            <v>2010</v>
          </cell>
          <cell r="C2347" t="str">
            <v>mar_expz</v>
          </cell>
          <cell r="D2347">
            <v>13.257551193237305</v>
          </cell>
        </row>
        <row r="2348">
          <cell r="A2348" t="str">
            <v>BGD</v>
          </cell>
          <cell r="B2348">
            <v>2011</v>
          </cell>
          <cell r="C2348" t="str">
            <v>mareer</v>
          </cell>
          <cell r="D2348">
            <v>73.932563781738281</v>
          </cell>
        </row>
        <row r="2349">
          <cell r="A2349" t="str">
            <v>BGD</v>
          </cell>
          <cell r="B2349">
            <v>2014</v>
          </cell>
          <cell r="C2349" t="str">
            <v>masrvfc</v>
          </cell>
          <cell r="D2349">
            <v>5.6243577003479004</v>
          </cell>
        </row>
        <row r="2350">
          <cell r="A2350" t="str">
            <v>BGD</v>
          </cell>
          <cell r="B2350">
            <v>2016</v>
          </cell>
          <cell r="C2350" t="str">
            <v>madeficit_</v>
          </cell>
          <cell r="D2350">
            <v>-3.0635104179382324</v>
          </cell>
        </row>
        <row r="2351">
          <cell r="A2351" t="str">
            <v>BGD</v>
          </cell>
          <cell r="B2351">
            <v>2008</v>
          </cell>
          <cell r="C2351" t="str">
            <v>mac_tfpz</v>
          </cell>
          <cell r="D2351">
            <v>0.62327045202255249</v>
          </cell>
        </row>
        <row r="2352">
          <cell r="A2352" t="str">
            <v>BGD</v>
          </cell>
          <cell r="B2352">
            <v>2014</v>
          </cell>
          <cell r="C2352" t="str">
            <v>maimpz</v>
          </cell>
          <cell r="D2352">
            <v>1.1683238744735718</v>
          </cell>
        </row>
        <row r="2353">
          <cell r="A2353" t="str">
            <v>BGD</v>
          </cell>
          <cell r="B2353">
            <v>2021</v>
          </cell>
          <cell r="C2353" t="str">
            <v>madeficit_</v>
          </cell>
          <cell r="D2353">
            <v>-3.6583638191223145</v>
          </cell>
        </row>
        <row r="2354">
          <cell r="A2354" t="str">
            <v>BGD</v>
          </cell>
          <cell r="B2354">
            <v>2011</v>
          </cell>
          <cell r="C2354" t="str">
            <v>magap_</v>
          </cell>
          <cell r="D2354">
            <v>0.26468962430953979</v>
          </cell>
        </row>
        <row r="2355">
          <cell r="A2355" t="str">
            <v>BGD</v>
          </cell>
          <cell r="B2355">
            <v>2021</v>
          </cell>
          <cell r="C2355" t="str">
            <v>maimpz</v>
          </cell>
          <cell r="D2355">
            <v>15.265941619873047</v>
          </cell>
        </row>
        <row r="2356">
          <cell r="A2356" t="str">
            <v>BGD</v>
          </cell>
          <cell r="B2356">
            <v>2026</v>
          </cell>
          <cell r="C2356" t="str">
            <v>mar_indfc</v>
          </cell>
          <cell r="D2356">
            <v>38.834587097167969</v>
          </cell>
        </row>
        <row r="2357">
          <cell r="A2357" t="str">
            <v>BGD</v>
          </cell>
          <cell r="B2357">
            <v>2012</v>
          </cell>
          <cell r="C2357" t="str">
            <v>magovz</v>
          </cell>
          <cell r="D2357">
            <v>3.0822505950927734</v>
          </cell>
        </row>
        <row r="2358">
          <cell r="A2358" t="str">
            <v>BGD</v>
          </cell>
          <cell r="B2358">
            <v>2012</v>
          </cell>
          <cell r="C2358" t="str">
            <v>maindfc</v>
          </cell>
          <cell r="D2358">
            <v>9.4355983734130859</v>
          </cell>
        </row>
        <row r="2359">
          <cell r="A2359" t="str">
            <v>BGD</v>
          </cell>
          <cell r="B2359">
            <v>2014</v>
          </cell>
          <cell r="C2359" t="str">
            <v>mar_expz</v>
          </cell>
          <cell r="D2359">
            <v>15.999843597412109</v>
          </cell>
        </row>
        <row r="2360">
          <cell r="A2360" t="str">
            <v>BGD</v>
          </cell>
          <cell r="B2360">
            <v>2022</v>
          </cell>
          <cell r="C2360" t="str">
            <v>macpiz</v>
          </cell>
          <cell r="D2360">
            <v>6.1400027275085449</v>
          </cell>
        </row>
        <row r="2361">
          <cell r="A2361" t="str">
            <v>BGD</v>
          </cell>
          <cell r="B2361">
            <v>2026</v>
          </cell>
          <cell r="C2361" t="str">
            <v>masrvfc</v>
          </cell>
          <cell r="D2361">
            <v>5.8214340209960938</v>
          </cell>
        </row>
        <row r="2362">
          <cell r="A2362" t="str">
            <v>BGD</v>
          </cell>
          <cell r="B2362">
            <v>2010</v>
          </cell>
          <cell r="C2362" t="str">
            <v>magovz</v>
          </cell>
          <cell r="D2362">
            <v>6.8258891105651855</v>
          </cell>
        </row>
        <row r="2363">
          <cell r="A2363" t="str">
            <v>BGD</v>
          </cell>
          <cell r="B2363">
            <v>2018</v>
          </cell>
          <cell r="C2363" t="str">
            <v>mareer</v>
          </cell>
          <cell r="D2363">
            <v>106.5699462890625</v>
          </cell>
        </row>
        <row r="2364">
          <cell r="A2364" t="str">
            <v>BGD</v>
          </cell>
          <cell r="B2364">
            <v>2007</v>
          </cell>
          <cell r="C2364" t="str">
            <v>mar_agrfc</v>
          </cell>
          <cell r="D2364">
            <v>18.923650741577148</v>
          </cell>
        </row>
        <row r="2365">
          <cell r="A2365" t="str">
            <v>BGD</v>
          </cell>
          <cell r="B2365">
            <v>2005</v>
          </cell>
          <cell r="C2365" t="str">
            <v>mar_srvfc</v>
          </cell>
          <cell r="D2365">
            <v>55.901992797851563</v>
          </cell>
        </row>
        <row r="2366">
          <cell r="A2366" t="str">
            <v>BGD</v>
          </cell>
          <cell r="B2366">
            <v>2013</v>
          </cell>
          <cell r="C2366" t="str">
            <v>mac_tfpz</v>
          </cell>
          <cell r="D2366">
            <v>0.82130277156829834</v>
          </cell>
        </row>
        <row r="2367">
          <cell r="A2367" t="str">
            <v>BGD</v>
          </cell>
          <cell r="B2367">
            <v>2026</v>
          </cell>
          <cell r="C2367" t="str">
            <v>matfpz</v>
          </cell>
          <cell r="D2367">
            <v>1.0130168199539185</v>
          </cell>
        </row>
        <row r="2368">
          <cell r="A2368" t="str">
            <v>BGD</v>
          </cell>
          <cell r="B2368">
            <v>2016</v>
          </cell>
          <cell r="C2368" t="str">
            <v>macpiz</v>
          </cell>
          <cell r="D2368">
            <v>5.9162483215332031</v>
          </cell>
        </row>
        <row r="2369">
          <cell r="A2369" t="str">
            <v>BGD</v>
          </cell>
          <cell r="B2369">
            <v>2011</v>
          </cell>
          <cell r="C2369" t="str">
            <v>mar_taxfc</v>
          </cell>
          <cell r="D2369">
            <v>4.8911423683166504</v>
          </cell>
        </row>
        <row r="2370">
          <cell r="A2370" t="str">
            <v>BGD</v>
          </cell>
          <cell r="B2370">
            <v>2013</v>
          </cell>
          <cell r="C2370" t="str">
            <v>mafdi_</v>
          </cell>
          <cell r="D2370">
            <v>-0.96056556701660156</v>
          </cell>
        </row>
        <row r="2371">
          <cell r="A2371" t="str">
            <v>BGD</v>
          </cell>
          <cell r="B2371">
            <v>2024</v>
          </cell>
          <cell r="C2371" t="str">
            <v>matfpz</v>
          </cell>
          <cell r="D2371">
            <v>1.0528721809387207</v>
          </cell>
        </row>
        <row r="2372">
          <cell r="A2372" t="str">
            <v>BGD</v>
          </cell>
          <cell r="B2372">
            <v>2017</v>
          </cell>
          <cell r="C2372" t="str">
            <v>mainvz</v>
          </cell>
          <cell r="D2372">
            <v>8.3595733642578125</v>
          </cell>
        </row>
        <row r="2373">
          <cell r="A2373" t="str">
            <v>BGD</v>
          </cell>
          <cell r="B2373">
            <v>2024</v>
          </cell>
          <cell r="C2373" t="str">
            <v>mar_impz</v>
          </cell>
          <cell r="D2373">
            <v>14.815042495727539</v>
          </cell>
        </row>
        <row r="2374">
          <cell r="A2374" t="str">
            <v>BGD</v>
          </cell>
          <cell r="B2374">
            <v>2007</v>
          </cell>
          <cell r="C2374" t="str">
            <v>mac_tfpz</v>
          </cell>
          <cell r="D2374">
            <v>0.5735132098197937</v>
          </cell>
        </row>
        <row r="2375">
          <cell r="A2375" t="str">
            <v>BGD</v>
          </cell>
          <cell r="B2375">
            <v>2024</v>
          </cell>
          <cell r="C2375" t="str">
            <v>mar_expz</v>
          </cell>
          <cell r="D2375">
            <v>12.466814994812012</v>
          </cell>
        </row>
        <row r="2376">
          <cell r="A2376" t="str">
            <v>BGD</v>
          </cell>
          <cell r="B2376">
            <v>2017</v>
          </cell>
          <cell r="C2376" t="str">
            <v>maimpz</v>
          </cell>
          <cell r="D2376">
            <v>5.1641998291015625</v>
          </cell>
        </row>
        <row r="2377">
          <cell r="A2377" t="str">
            <v>BGD</v>
          </cell>
          <cell r="B2377">
            <v>2015</v>
          </cell>
          <cell r="C2377" t="str">
            <v>maindfc</v>
          </cell>
          <cell r="D2377">
            <v>9.6669044494628906</v>
          </cell>
        </row>
        <row r="2378">
          <cell r="A2378" t="str">
            <v>BGD</v>
          </cell>
          <cell r="B2378">
            <v>2013</v>
          </cell>
          <cell r="C2378" t="str">
            <v>mar_agrfc</v>
          </cell>
          <cell r="D2378">
            <v>16.778091430664063</v>
          </cell>
        </row>
        <row r="2379">
          <cell r="A2379" t="str">
            <v>BGD</v>
          </cell>
          <cell r="B2379">
            <v>2016</v>
          </cell>
          <cell r="C2379" t="str">
            <v>masrvfc</v>
          </cell>
          <cell r="D2379">
            <v>6.9827718734741211</v>
          </cell>
        </row>
        <row r="2380">
          <cell r="A2380" t="str">
            <v>BGD</v>
          </cell>
          <cell r="B2380">
            <v>2022</v>
          </cell>
          <cell r="C2380" t="str">
            <v>magap_</v>
          </cell>
          <cell r="D2380">
            <v>-1.3077224493026733</v>
          </cell>
        </row>
        <row r="2381">
          <cell r="A2381" t="str">
            <v>BGD</v>
          </cell>
          <cell r="B2381">
            <v>2013</v>
          </cell>
          <cell r="C2381" t="str">
            <v>mar_indfc</v>
          </cell>
          <cell r="D2381">
            <v>29.003837585449219</v>
          </cell>
        </row>
        <row r="2382">
          <cell r="A2382" t="str">
            <v>BGD</v>
          </cell>
          <cell r="B2382">
            <v>2014</v>
          </cell>
          <cell r="C2382" t="str">
            <v>maexpz</v>
          </cell>
          <cell r="D2382">
            <v>3.2011492252349854</v>
          </cell>
        </row>
        <row r="2383">
          <cell r="A2383" t="str">
            <v>BGD</v>
          </cell>
          <cell r="B2383">
            <v>2015</v>
          </cell>
          <cell r="C2383" t="str">
            <v>mafdi_</v>
          </cell>
          <cell r="D2383">
            <v>-0.78307616710662842</v>
          </cell>
        </row>
        <row r="2384">
          <cell r="A2384" t="str">
            <v>BGD</v>
          </cell>
          <cell r="B2384">
            <v>2020</v>
          </cell>
          <cell r="C2384" t="str">
            <v>mar_expz</v>
          </cell>
          <cell r="D2384">
            <v>10.442789077758789</v>
          </cell>
        </row>
        <row r="2385">
          <cell r="A2385" t="str">
            <v>BGD</v>
          </cell>
          <cell r="B2385">
            <v>2014</v>
          </cell>
          <cell r="C2385" t="str">
            <v>mapanusatls</v>
          </cell>
          <cell r="D2385">
            <v>77.699996948242188</v>
          </cell>
        </row>
        <row r="2386">
          <cell r="A2386" t="str">
            <v>BGD</v>
          </cell>
          <cell r="B2386">
            <v>2014</v>
          </cell>
          <cell r="C2386" t="str">
            <v>mac_tfpz</v>
          </cell>
          <cell r="D2386">
            <v>0.88294470310211182</v>
          </cell>
        </row>
        <row r="2387">
          <cell r="A2387" t="str">
            <v>BGD</v>
          </cell>
          <cell r="B2387">
            <v>2014</v>
          </cell>
          <cell r="C2387" t="str">
            <v>mar_con</v>
          </cell>
          <cell r="D2387">
            <v>70.016563415527344</v>
          </cell>
        </row>
        <row r="2388">
          <cell r="A2388" t="str">
            <v>BGD</v>
          </cell>
          <cell r="B2388">
            <v>2014</v>
          </cell>
          <cell r="C2388" t="str">
            <v>mar_impz</v>
          </cell>
          <cell r="D2388">
            <v>20.726968765258789</v>
          </cell>
        </row>
        <row r="2389">
          <cell r="A2389" t="str">
            <v>BGD</v>
          </cell>
          <cell r="B2389">
            <v>2014</v>
          </cell>
          <cell r="C2389" t="str">
            <v>mar_indfc</v>
          </cell>
          <cell r="D2389">
            <v>29.553138732910156</v>
          </cell>
        </row>
        <row r="2390">
          <cell r="A2390" t="str">
            <v>BGD</v>
          </cell>
          <cell r="B2390">
            <v>2007</v>
          </cell>
          <cell r="C2390" t="str">
            <v>magdpz</v>
          </cell>
          <cell r="D2390">
            <v>7.0586361885070801</v>
          </cell>
        </row>
        <row r="2391">
          <cell r="A2391" t="str">
            <v>BGD</v>
          </cell>
          <cell r="B2391">
            <v>2014</v>
          </cell>
          <cell r="C2391" t="str">
            <v>mareer</v>
          </cell>
          <cell r="D2391">
            <v>84.6055908203125</v>
          </cell>
        </row>
        <row r="2392">
          <cell r="A2392" t="str">
            <v>BGD</v>
          </cell>
          <cell r="B2392">
            <v>2013</v>
          </cell>
          <cell r="C2392" t="str">
            <v>mar_taxfc</v>
          </cell>
          <cell r="D2392">
            <v>4.5710592269897461</v>
          </cell>
        </row>
        <row r="2393">
          <cell r="A2393" t="str">
            <v>BGD</v>
          </cell>
          <cell r="B2393">
            <v>2022</v>
          </cell>
          <cell r="C2393" t="str">
            <v>mapanusatls</v>
          </cell>
          <cell r="D2393">
            <v>86.316947937011719</v>
          </cell>
        </row>
        <row r="2394">
          <cell r="A2394" t="str">
            <v>BGD</v>
          </cell>
          <cell r="B2394">
            <v>2014</v>
          </cell>
          <cell r="C2394" t="str">
            <v>mafdi_</v>
          </cell>
          <cell r="D2394">
            <v>-0.691264808177948</v>
          </cell>
        </row>
        <row r="2395">
          <cell r="A2395" t="str">
            <v>BGD</v>
          </cell>
          <cell r="B2395">
            <v>2015</v>
          </cell>
          <cell r="C2395" t="str">
            <v>mac_labz</v>
          </cell>
          <cell r="D2395">
            <v>1.4786226749420166</v>
          </cell>
        </row>
        <row r="2396">
          <cell r="A2396" t="str">
            <v>BGD</v>
          </cell>
          <cell r="B2396">
            <v>2015</v>
          </cell>
          <cell r="C2396" t="str">
            <v>macab_</v>
          </cell>
          <cell r="D2396">
            <v>1.214837908744812</v>
          </cell>
        </row>
        <row r="2397">
          <cell r="A2397" t="str">
            <v>BGD</v>
          </cell>
          <cell r="B2397">
            <v>2012</v>
          </cell>
          <cell r="C2397" t="str">
            <v>mar_indfc</v>
          </cell>
          <cell r="D2397">
            <v>28.078781127929688</v>
          </cell>
        </row>
        <row r="2398">
          <cell r="A2398" t="str">
            <v>BGD</v>
          </cell>
          <cell r="B2398">
            <v>2021</v>
          </cell>
          <cell r="C2398" t="str">
            <v>malabz</v>
          </cell>
          <cell r="D2398">
            <v>1.6589081287384033</v>
          </cell>
        </row>
        <row r="2399">
          <cell r="A2399" t="str">
            <v>BGD</v>
          </cell>
          <cell r="B2399">
            <v>2012</v>
          </cell>
          <cell r="C2399" t="str">
            <v>macpiz</v>
          </cell>
          <cell r="D2399">
            <v>8.6895132064819336</v>
          </cell>
        </row>
        <row r="2400">
          <cell r="A2400" t="str">
            <v>BGD</v>
          </cell>
          <cell r="B2400">
            <v>2007</v>
          </cell>
          <cell r="C2400" t="str">
            <v>magovz</v>
          </cell>
          <cell r="D2400">
            <v>3.0576040744781494</v>
          </cell>
        </row>
        <row r="2401">
          <cell r="A2401" t="str">
            <v>BGD</v>
          </cell>
          <cell r="B2401">
            <v>2015</v>
          </cell>
          <cell r="C2401" t="str">
            <v>magdpz</v>
          </cell>
          <cell r="D2401">
            <v>6.5526461601257324</v>
          </cell>
        </row>
        <row r="2402">
          <cell r="A2402" t="str">
            <v>BGD</v>
          </cell>
          <cell r="B2402">
            <v>2013</v>
          </cell>
          <cell r="C2402" t="str">
            <v>matfpz</v>
          </cell>
          <cell r="D2402">
            <v>0.82130277156829834</v>
          </cell>
        </row>
        <row r="2403">
          <cell r="A2403" t="str">
            <v>BGD</v>
          </cell>
          <cell r="B2403">
            <v>2015</v>
          </cell>
          <cell r="C2403" t="str">
            <v>mainvz</v>
          </cell>
          <cell r="D2403">
            <v>7.0701942443847656</v>
          </cell>
        </row>
        <row r="2404">
          <cell r="A2404" t="str">
            <v>BGD</v>
          </cell>
          <cell r="B2404">
            <v>2020</v>
          </cell>
          <cell r="C2404" t="str">
            <v>mareer</v>
          </cell>
          <cell r="D2404">
            <v>114.99617767333984</v>
          </cell>
        </row>
        <row r="2405">
          <cell r="A2405" t="str">
            <v>BGD</v>
          </cell>
          <cell r="B2405">
            <v>2015</v>
          </cell>
          <cell r="C2405" t="str">
            <v>madeficit_</v>
          </cell>
          <cell r="D2405">
            <v>-3.088775634765625</v>
          </cell>
        </row>
        <row r="2406">
          <cell r="A2406" t="str">
            <v>BGD</v>
          </cell>
          <cell r="B2406">
            <v>2016</v>
          </cell>
          <cell r="C2406" t="str">
            <v>macab_</v>
          </cell>
          <cell r="D2406">
            <v>1.6076267957687378</v>
          </cell>
        </row>
        <row r="2407">
          <cell r="A2407" t="str">
            <v>BGD</v>
          </cell>
          <cell r="B2407">
            <v>2023</v>
          </cell>
          <cell r="C2407" t="str">
            <v>mar_con</v>
          </cell>
          <cell r="D2407">
            <v>64.275993347167969</v>
          </cell>
        </row>
        <row r="2408">
          <cell r="A2408" t="str">
            <v>BGD</v>
          </cell>
          <cell r="B2408">
            <v>2019</v>
          </cell>
          <cell r="C2408" t="str">
            <v>macpiz</v>
          </cell>
          <cell r="D2408">
            <v>5.4752998352050781</v>
          </cell>
        </row>
        <row r="2409">
          <cell r="A2409" t="str">
            <v>BGD</v>
          </cell>
          <cell r="B2409">
            <v>2021</v>
          </cell>
          <cell r="C2409" t="str">
            <v>maexpz</v>
          </cell>
          <cell r="D2409">
            <v>9.1914558410644531</v>
          </cell>
        </row>
        <row r="2410">
          <cell r="A2410" t="str">
            <v>BGD</v>
          </cell>
          <cell r="B2410">
            <v>2007</v>
          </cell>
          <cell r="C2410" t="str">
            <v>maimpz</v>
          </cell>
          <cell r="D2410">
            <v>15.986035346984863</v>
          </cell>
        </row>
        <row r="2411">
          <cell r="A2411" t="str">
            <v>BGD</v>
          </cell>
          <cell r="B2411">
            <v>2024</v>
          </cell>
          <cell r="C2411" t="str">
            <v>mar_con</v>
          </cell>
          <cell r="D2411">
            <v>61.694427490234375</v>
          </cell>
        </row>
        <row r="2412">
          <cell r="A2412" t="str">
            <v>BGD</v>
          </cell>
          <cell r="B2412">
            <v>2016</v>
          </cell>
          <cell r="C2412" t="str">
            <v>mar_srvfc</v>
          </cell>
          <cell r="D2412">
            <v>53.485343933105469</v>
          </cell>
        </row>
        <row r="2413">
          <cell r="A2413" t="str">
            <v>BGD</v>
          </cell>
          <cell r="B2413">
            <v>2016</v>
          </cell>
          <cell r="C2413" t="str">
            <v>mar_taxfc</v>
          </cell>
          <cell r="D2413">
            <v>4.4476542472839355</v>
          </cell>
        </row>
        <row r="2414">
          <cell r="A2414" t="str">
            <v>BGD</v>
          </cell>
          <cell r="B2414">
            <v>2023</v>
          </cell>
          <cell r="C2414" t="str">
            <v>mafdi_</v>
          </cell>
          <cell r="D2414">
            <v>-0.37698724865913391</v>
          </cell>
        </row>
        <row r="2415">
          <cell r="A2415" t="str">
            <v>BGD</v>
          </cell>
          <cell r="B2415">
            <v>2016</v>
          </cell>
          <cell r="C2415" t="str">
            <v>mapanusatls</v>
          </cell>
          <cell r="D2415">
            <v>78.300003051757813</v>
          </cell>
        </row>
        <row r="2416">
          <cell r="A2416" t="str">
            <v>BGD</v>
          </cell>
          <cell r="B2416">
            <v>2017</v>
          </cell>
          <cell r="C2416" t="str">
            <v>magdpz</v>
          </cell>
          <cell r="D2416">
            <v>6.5902447700500488</v>
          </cell>
        </row>
        <row r="2417">
          <cell r="A2417" t="str">
            <v>BGD</v>
          </cell>
          <cell r="B2417">
            <v>2017</v>
          </cell>
          <cell r="C2417" t="str">
            <v>mac_tfpz</v>
          </cell>
          <cell r="D2417">
            <v>1.0751830339431763</v>
          </cell>
        </row>
        <row r="2418">
          <cell r="A2418" t="str">
            <v>BGD</v>
          </cell>
          <cell r="B2418">
            <v>2017</v>
          </cell>
          <cell r="C2418" t="str">
            <v>maagrfc</v>
          </cell>
          <cell r="D2418">
            <v>3.196007251739502</v>
          </cell>
        </row>
        <row r="2419">
          <cell r="A2419" t="str">
            <v>BGD</v>
          </cell>
          <cell r="B2419">
            <v>2008</v>
          </cell>
          <cell r="C2419" t="str">
            <v>mainvz</v>
          </cell>
          <cell r="D2419">
            <v>9.9550352096557617</v>
          </cell>
        </row>
        <row r="2420">
          <cell r="A2420" t="str">
            <v>BGD</v>
          </cell>
          <cell r="B2420">
            <v>2017</v>
          </cell>
          <cell r="C2420" t="str">
            <v>malabz</v>
          </cell>
          <cell r="D2420">
            <v>2.097376823425293</v>
          </cell>
        </row>
        <row r="2421">
          <cell r="A2421" t="str">
            <v>BGD</v>
          </cell>
          <cell r="B2421">
            <v>2009</v>
          </cell>
          <cell r="C2421" t="str">
            <v>maindfc</v>
          </cell>
          <cell r="D2421">
            <v>6.9131731986999512</v>
          </cell>
        </row>
        <row r="2422">
          <cell r="A2422" t="str">
            <v>BGD</v>
          </cell>
          <cell r="B2422">
            <v>2023</v>
          </cell>
          <cell r="C2422" t="str">
            <v>magovz</v>
          </cell>
          <cell r="D2422">
            <v>8.5354595184326172</v>
          </cell>
        </row>
        <row r="2423">
          <cell r="A2423" t="str">
            <v>BGD</v>
          </cell>
          <cell r="B2423">
            <v>2022</v>
          </cell>
          <cell r="C2423" t="str">
            <v>madeficit_</v>
          </cell>
          <cell r="D2423">
            <v>-4.5628633499145508</v>
          </cell>
        </row>
        <row r="2424">
          <cell r="A2424" t="str">
            <v>BGD</v>
          </cell>
          <cell r="B2424">
            <v>2024</v>
          </cell>
          <cell r="C2424" t="str">
            <v>maagrfc</v>
          </cell>
          <cell r="D2424">
            <v>3.0999999046325684</v>
          </cell>
        </row>
        <row r="2425">
          <cell r="A2425" t="str">
            <v>BGD</v>
          </cell>
          <cell r="B2425">
            <v>2006</v>
          </cell>
          <cell r="C2425" t="str">
            <v>matfpz</v>
          </cell>
          <cell r="D2425">
            <v>0.49568238854408264</v>
          </cell>
        </row>
        <row r="2426">
          <cell r="A2426" t="str">
            <v>BGD</v>
          </cell>
          <cell r="B2426">
            <v>2016</v>
          </cell>
          <cell r="C2426" t="str">
            <v>mareer</v>
          </cell>
          <cell r="D2426">
            <v>106.30876922607422</v>
          </cell>
        </row>
        <row r="2427">
          <cell r="A2427" t="str">
            <v>BGD</v>
          </cell>
          <cell r="B2427">
            <v>2020</v>
          </cell>
          <cell r="C2427" t="str">
            <v>magovz</v>
          </cell>
          <cell r="D2427">
            <v>1.9514486789703369</v>
          </cell>
        </row>
        <row r="2428">
          <cell r="A2428" t="str">
            <v>BGD</v>
          </cell>
          <cell r="B2428">
            <v>2017</v>
          </cell>
          <cell r="C2428" t="str">
            <v>mar_indfc</v>
          </cell>
          <cell r="D2428">
            <v>32.977493286132813</v>
          </cell>
        </row>
        <row r="2429">
          <cell r="A2429" t="str">
            <v>BGD</v>
          </cell>
          <cell r="B2429">
            <v>2017</v>
          </cell>
          <cell r="C2429" t="str">
            <v>maindfc</v>
          </cell>
          <cell r="D2429">
            <v>8.2721652984619141</v>
          </cell>
        </row>
        <row r="2430">
          <cell r="A2430" t="str">
            <v>BGD</v>
          </cell>
          <cell r="B2430">
            <v>2017</v>
          </cell>
          <cell r="C2430" t="str">
            <v>matfpz</v>
          </cell>
          <cell r="D2430">
            <v>1.0751830339431763</v>
          </cell>
        </row>
        <row r="2431">
          <cell r="A2431" t="str">
            <v>BGD</v>
          </cell>
          <cell r="B2431">
            <v>2018</v>
          </cell>
          <cell r="C2431" t="str">
            <v>mac_labz</v>
          </cell>
          <cell r="D2431">
            <v>1.3375208377838135</v>
          </cell>
        </row>
        <row r="2432">
          <cell r="A2432" t="str">
            <v>BGD</v>
          </cell>
          <cell r="B2432">
            <v>2009</v>
          </cell>
          <cell r="C2432" t="str">
            <v>mataxfc</v>
          </cell>
          <cell r="D2432">
            <v>1.3524820804595947</v>
          </cell>
        </row>
        <row r="2433">
          <cell r="A2433" t="str">
            <v>BGD</v>
          </cell>
          <cell r="B2433">
            <v>2013</v>
          </cell>
          <cell r="C2433" t="str">
            <v>malabz</v>
          </cell>
          <cell r="D2433">
            <v>2.2336890697479248</v>
          </cell>
        </row>
        <row r="2434">
          <cell r="A2434" t="str">
            <v>BGD</v>
          </cell>
          <cell r="B2434">
            <v>2013</v>
          </cell>
          <cell r="C2434" t="str">
            <v>mar_con</v>
          </cell>
          <cell r="D2434">
            <v>71.40032958984375</v>
          </cell>
        </row>
        <row r="2435">
          <cell r="A2435" t="str">
            <v>BGD</v>
          </cell>
          <cell r="B2435">
            <v>2018</v>
          </cell>
          <cell r="C2435" t="str">
            <v>macab_</v>
          </cell>
          <cell r="D2435">
            <v>-2.9760398864746094</v>
          </cell>
        </row>
        <row r="2436">
          <cell r="A2436" t="str">
            <v>BGD</v>
          </cell>
          <cell r="B2436">
            <v>2025</v>
          </cell>
          <cell r="C2436" t="str">
            <v>mar_agrfc</v>
          </cell>
          <cell r="D2436">
            <v>10.747078895568848</v>
          </cell>
        </row>
        <row r="2437">
          <cell r="A2437" t="str">
            <v>BGD</v>
          </cell>
          <cell r="B2437">
            <v>2005</v>
          </cell>
          <cell r="C2437" t="str">
            <v>maindfc</v>
          </cell>
          <cell r="D2437">
            <v>7.9323711395263672</v>
          </cell>
        </row>
        <row r="2438">
          <cell r="A2438" t="str">
            <v>BGD</v>
          </cell>
          <cell r="B2438">
            <v>2019</v>
          </cell>
          <cell r="C2438" t="str">
            <v>mar_taxfc</v>
          </cell>
          <cell r="D2438">
            <v>4.3414092063903809</v>
          </cell>
        </row>
        <row r="2439">
          <cell r="A2439" t="str">
            <v>BGD</v>
          </cell>
          <cell r="B2439">
            <v>2013</v>
          </cell>
          <cell r="C2439" t="str">
            <v>mareer</v>
          </cell>
          <cell r="D2439">
            <v>76.98406982421875</v>
          </cell>
        </row>
        <row r="2440">
          <cell r="A2440" t="str">
            <v>BGD</v>
          </cell>
          <cell r="B2440">
            <v>2018</v>
          </cell>
          <cell r="C2440" t="str">
            <v>madeficit_</v>
          </cell>
          <cell r="D2440">
            <v>-3.9570744037628174</v>
          </cell>
        </row>
        <row r="2441">
          <cell r="A2441" t="str">
            <v>BGD</v>
          </cell>
          <cell r="B2441">
            <v>2009</v>
          </cell>
          <cell r="C2441" t="str">
            <v>masrvfc</v>
          </cell>
          <cell r="D2441">
            <v>5.0799703598022461</v>
          </cell>
        </row>
        <row r="2442">
          <cell r="A2442" t="str">
            <v>BGD</v>
          </cell>
          <cell r="B2442">
            <v>2018</v>
          </cell>
          <cell r="C2442" t="str">
            <v>mainvz</v>
          </cell>
          <cell r="D2442">
            <v>12.132901191711426</v>
          </cell>
        </row>
        <row r="2443">
          <cell r="A2443" t="str">
            <v>BGD</v>
          </cell>
          <cell r="B2443">
            <v>2017</v>
          </cell>
          <cell r="C2443" t="str">
            <v>madeficit_</v>
          </cell>
          <cell r="D2443">
            <v>-2.9077050685882568</v>
          </cell>
        </row>
        <row r="2444">
          <cell r="A2444" t="str">
            <v>BGD</v>
          </cell>
          <cell r="B2444">
            <v>2018</v>
          </cell>
          <cell r="C2444" t="str">
            <v>mapanusatls</v>
          </cell>
          <cell r="D2444">
            <v>82.099998474121094</v>
          </cell>
        </row>
        <row r="2445">
          <cell r="A2445" t="str">
            <v>BGD</v>
          </cell>
          <cell r="B2445">
            <v>2009</v>
          </cell>
          <cell r="C2445" t="str">
            <v>mareer</v>
          </cell>
          <cell r="D2445">
            <v>71.347892761230469</v>
          </cell>
        </row>
        <row r="2446">
          <cell r="A2446" t="str">
            <v>BGD</v>
          </cell>
          <cell r="B2446">
            <v>2009</v>
          </cell>
          <cell r="C2446" t="str">
            <v>macab_</v>
          </cell>
          <cell r="D2446">
            <v>1.9683780670166016</v>
          </cell>
        </row>
        <row r="2447">
          <cell r="A2447" t="str">
            <v>BGD</v>
          </cell>
          <cell r="B2447">
            <v>2018</v>
          </cell>
          <cell r="C2447" t="str">
            <v>mar_indfc</v>
          </cell>
          <cell r="D2447">
            <v>33.853347778320313</v>
          </cell>
        </row>
        <row r="2448">
          <cell r="A2448" t="str">
            <v>BGD</v>
          </cell>
          <cell r="B2448">
            <v>2009</v>
          </cell>
          <cell r="C2448" t="str">
            <v>mainvz</v>
          </cell>
          <cell r="D2448">
            <v>7.4339084625244141</v>
          </cell>
        </row>
        <row r="2449">
          <cell r="A2449" t="str">
            <v>BGD</v>
          </cell>
          <cell r="B2449">
            <v>2017</v>
          </cell>
          <cell r="C2449" t="str">
            <v>mataxfc</v>
          </cell>
          <cell r="D2449">
            <v>7.6398935317993164</v>
          </cell>
        </row>
        <row r="2450">
          <cell r="A2450" t="str">
            <v>BGD</v>
          </cell>
          <cell r="B2450">
            <v>2009</v>
          </cell>
          <cell r="C2450" t="str">
            <v>maagrfc</v>
          </cell>
          <cell r="D2450">
            <v>3.4660885334014893</v>
          </cell>
        </row>
        <row r="2451">
          <cell r="A2451" t="str">
            <v>BGD</v>
          </cell>
          <cell r="B2451">
            <v>2018</v>
          </cell>
          <cell r="C2451" t="str">
            <v>mataxfc</v>
          </cell>
          <cell r="D2451">
            <v>6.7535429000854492</v>
          </cell>
        </row>
        <row r="2452">
          <cell r="A2452" t="str">
            <v>BGD</v>
          </cell>
          <cell r="B2452">
            <v>2023</v>
          </cell>
          <cell r="C2452" t="str">
            <v>magdpz</v>
          </cell>
          <cell r="D2452">
            <v>5.775115966796875</v>
          </cell>
        </row>
        <row r="2453">
          <cell r="A2453" t="str">
            <v>BGD</v>
          </cell>
          <cell r="B2453">
            <v>2005</v>
          </cell>
          <cell r="C2453" t="str">
            <v>mar_expz</v>
          </cell>
          <cell r="D2453">
            <v>11.613689422607422</v>
          </cell>
        </row>
        <row r="2454">
          <cell r="A2454" t="str">
            <v>BGD</v>
          </cell>
          <cell r="B2454">
            <v>2006</v>
          </cell>
          <cell r="C2454" t="str">
            <v>mainvz</v>
          </cell>
          <cell r="D2454">
            <v>9.8905401229858398</v>
          </cell>
        </row>
        <row r="2455">
          <cell r="A2455" t="str">
            <v>BGD</v>
          </cell>
          <cell r="B2455">
            <v>2020</v>
          </cell>
          <cell r="C2455" t="str">
            <v>mar_con</v>
          </cell>
          <cell r="D2455">
            <v>65.768844604492188</v>
          </cell>
        </row>
        <row r="2456">
          <cell r="A2456" t="str">
            <v>BGD</v>
          </cell>
          <cell r="B2456">
            <v>2019</v>
          </cell>
          <cell r="C2456" t="str">
            <v>macab_</v>
          </cell>
          <cell r="D2456">
            <v>-1.2783459424972534</v>
          </cell>
        </row>
        <row r="2457">
          <cell r="A2457" t="str">
            <v>BGD</v>
          </cell>
          <cell r="B2457">
            <v>2025</v>
          </cell>
          <cell r="C2457" t="str">
            <v>mar_taxfc</v>
          </cell>
          <cell r="D2457">
            <v>3.3755903244018555</v>
          </cell>
        </row>
        <row r="2458">
          <cell r="A2458" t="str">
            <v>BGD</v>
          </cell>
          <cell r="B2458">
            <v>2012</v>
          </cell>
          <cell r="C2458" t="str">
            <v>masrvfc</v>
          </cell>
          <cell r="D2458">
            <v>6.5760564804077148</v>
          </cell>
        </row>
        <row r="2459">
          <cell r="A2459" t="str">
            <v>BGD</v>
          </cell>
          <cell r="B2459">
            <v>2008</v>
          </cell>
          <cell r="C2459" t="str">
            <v>maimpz</v>
          </cell>
          <cell r="D2459">
            <v>-1.9012324810028076</v>
          </cell>
        </row>
        <row r="2460">
          <cell r="A2460" t="str">
            <v>BGD</v>
          </cell>
          <cell r="B2460">
            <v>2019</v>
          </cell>
          <cell r="C2460" t="str">
            <v>mafdi_</v>
          </cell>
          <cell r="D2460">
            <v>-0.74821674823760986</v>
          </cell>
        </row>
        <row r="2461">
          <cell r="A2461" t="str">
            <v>BGD</v>
          </cell>
          <cell r="B2461">
            <v>2014</v>
          </cell>
          <cell r="C2461" t="str">
            <v>maindfc</v>
          </cell>
          <cell r="D2461">
            <v>8.1600141525268555</v>
          </cell>
        </row>
        <row r="2462">
          <cell r="A2462" t="str">
            <v>BGD</v>
          </cell>
          <cell r="B2462">
            <v>2011</v>
          </cell>
          <cell r="C2462" t="str">
            <v>maconz</v>
          </cell>
          <cell r="D2462">
            <v>6.4916787147521973</v>
          </cell>
        </row>
        <row r="2463">
          <cell r="A2463" t="str">
            <v>BGD</v>
          </cell>
          <cell r="B2463">
            <v>2011</v>
          </cell>
          <cell r="C2463" t="str">
            <v>mafdi_</v>
          </cell>
          <cell r="D2463">
            <v>0.50304853916168213</v>
          </cell>
        </row>
        <row r="2464">
          <cell r="A2464" t="str">
            <v>BGD</v>
          </cell>
          <cell r="B2464">
            <v>2014</v>
          </cell>
          <cell r="C2464" t="str">
            <v>mar_agrfc</v>
          </cell>
          <cell r="D2464">
            <v>16.497093200683594</v>
          </cell>
        </row>
        <row r="2465">
          <cell r="A2465" t="str">
            <v>BGD</v>
          </cell>
          <cell r="B2465">
            <v>2013</v>
          </cell>
          <cell r="C2465" t="str">
            <v>mainvz</v>
          </cell>
          <cell r="D2465">
            <v>5.1984968185424805</v>
          </cell>
        </row>
        <row r="2466">
          <cell r="A2466" t="str">
            <v>BGD</v>
          </cell>
          <cell r="B2466">
            <v>2026</v>
          </cell>
          <cell r="C2466" t="str">
            <v>maindfc</v>
          </cell>
          <cell r="D2466">
            <v>6.8000001907348633</v>
          </cell>
        </row>
        <row r="2467">
          <cell r="A2467" t="str">
            <v>BGD</v>
          </cell>
          <cell r="B2467">
            <v>2016</v>
          </cell>
          <cell r="C2467" t="str">
            <v>mafdi_</v>
          </cell>
          <cell r="D2467">
            <v>-0.48470214009284973</v>
          </cell>
        </row>
        <row r="2468">
          <cell r="A2468" t="str">
            <v>BGD</v>
          </cell>
          <cell r="B2468">
            <v>2005</v>
          </cell>
          <cell r="C2468" t="str">
            <v>matfpz</v>
          </cell>
          <cell r="D2468">
            <v>0.38971781730651855</v>
          </cell>
        </row>
        <row r="2469">
          <cell r="A2469" t="str">
            <v>BGD</v>
          </cell>
          <cell r="B2469">
            <v>2023</v>
          </cell>
          <cell r="C2469" t="str">
            <v>mar_taxfc</v>
          </cell>
          <cell r="D2469">
            <v>3.4449348449707031</v>
          </cell>
        </row>
        <row r="2470">
          <cell r="A2470" t="str">
            <v>BGD</v>
          </cell>
          <cell r="B2470">
            <v>2016</v>
          </cell>
          <cell r="C2470" t="str">
            <v>madebt_</v>
          </cell>
          <cell r="D2470">
            <v>26.279766082763672</v>
          </cell>
        </row>
        <row r="2471">
          <cell r="A2471" t="str">
            <v>BGD</v>
          </cell>
          <cell r="B2471">
            <v>2008</v>
          </cell>
          <cell r="C2471" t="str">
            <v>masrvfc</v>
          </cell>
          <cell r="D2471">
            <v>5.7623825073242188</v>
          </cell>
        </row>
        <row r="2472">
          <cell r="A2472" t="str">
            <v>BGD</v>
          </cell>
          <cell r="B2472">
            <v>2023</v>
          </cell>
          <cell r="C2472" t="str">
            <v>mar_srvfc</v>
          </cell>
          <cell r="D2472">
            <v>51.052085876464844</v>
          </cell>
        </row>
        <row r="2473">
          <cell r="A2473" t="str">
            <v>BGD</v>
          </cell>
          <cell r="B2473">
            <v>2020</v>
          </cell>
          <cell r="C2473" t="str">
            <v>macab_</v>
          </cell>
          <cell r="D2473">
            <v>-1.4532884359359741</v>
          </cell>
        </row>
        <row r="2474">
          <cell r="A2474" t="str">
            <v>BGD</v>
          </cell>
          <cell r="B2474">
            <v>2013</v>
          </cell>
          <cell r="C2474" t="str">
            <v>maindfc</v>
          </cell>
          <cell r="D2474">
            <v>9.6393585205078125</v>
          </cell>
        </row>
        <row r="2475">
          <cell r="A2475" t="str">
            <v>BGD</v>
          </cell>
          <cell r="B2475">
            <v>2005</v>
          </cell>
          <cell r="C2475" t="str">
            <v>mac_labz</v>
          </cell>
          <cell r="D2475">
            <v>0</v>
          </cell>
        </row>
        <row r="2476">
          <cell r="A2476" t="str">
            <v>BGD</v>
          </cell>
          <cell r="B2476">
            <v>2007</v>
          </cell>
          <cell r="C2476" t="str">
            <v>mar_expz</v>
          </cell>
          <cell r="D2476">
            <v>14.416007995605469</v>
          </cell>
        </row>
        <row r="2477">
          <cell r="A2477" t="str">
            <v>BGD</v>
          </cell>
          <cell r="B2477">
            <v>2005</v>
          </cell>
          <cell r="C2477" t="str">
            <v>macpiz</v>
          </cell>
          <cell r="D2477">
            <v>6.4849114418029785</v>
          </cell>
        </row>
        <row r="2478">
          <cell r="A2478" t="str">
            <v>BGD</v>
          </cell>
          <cell r="B2478">
            <v>2019</v>
          </cell>
          <cell r="C2478" t="str">
            <v>maagrfc</v>
          </cell>
          <cell r="D2478">
            <v>3.2605776786804199</v>
          </cell>
        </row>
        <row r="2479">
          <cell r="A2479" t="str">
            <v>BGD</v>
          </cell>
          <cell r="B2479">
            <v>2014</v>
          </cell>
          <cell r="C2479" t="str">
            <v>malabz</v>
          </cell>
          <cell r="D2479">
            <v>2.2154991626739502</v>
          </cell>
        </row>
        <row r="2480">
          <cell r="A2480" t="str">
            <v>BGD</v>
          </cell>
          <cell r="B2480">
            <v>2009</v>
          </cell>
          <cell r="C2480" t="str">
            <v>mar_srvfc</v>
          </cell>
          <cell r="D2480">
            <v>55.099784851074219</v>
          </cell>
        </row>
        <row r="2481">
          <cell r="A2481" t="str">
            <v>BGD</v>
          </cell>
          <cell r="B2481">
            <v>2020</v>
          </cell>
          <cell r="C2481" t="str">
            <v>mapanusatls</v>
          </cell>
          <cell r="D2481">
            <v>84.776565551757813</v>
          </cell>
        </row>
        <row r="2482">
          <cell r="A2482" t="str">
            <v>BGD</v>
          </cell>
          <cell r="B2482">
            <v>2025</v>
          </cell>
          <cell r="C2482" t="str">
            <v>mareer</v>
          </cell>
          <cell r="D2482">
            <v>101.94125366210938</v>
          </cell>
        </row>
        <row r="2483">
          <cell r="A2483" t="str">
            <v>BGD</v>
          </cell>
          <cell r="B2483">
            <v>2021</v>
          </cell>
          <cell r="C2483" t="str">
            <v>madebt_</v>
          </cell>
          <cell r="D2483">
            <v>32.41473388671875</v>
          </cell>
        </row>
        <row r="2484">
          <cell r="A2484" t="str">
            <v>BGD</v>
          </cell>
          <cell r="B2484">
            <v>2005</v>
          </cell>
          <cell r="C2484" t="str">
            <v>maexpz</v>
          </cell>
          <cell r="D2484">
            <v>43.001266479492188</v>
          </cell>
        </row>
        <row r="2485">
          <cell r="A2485" t="str">
            <v>BGD</v>
          </cell>
          <cell r="B2485">
            <v>2020</v>
          </cell>
          <cell r="C2485" t="str">
            <v>mac_labz</v>
          </cell>
          <cell r="D2485">
            <v>1.2130024433135986</v>
          </cell>
        </row>
        <row r="2486">
          <cell r="A2486" t="str">
            <v>BGD</v>
          </cell>
          <cell r="B2486">
            <v>2015</v>
          </cell>
          <cell r="C2486" t="str">
            <v>maimpz</v>
          </cell>
          <cell r="D2486">
            <v>3.2027051448822021</v>
          </cell>
        </row>
        <row r="2487">
          <cell r="A2487" t="str">
            <v>BGD</v>
          </cell>
          <cell r="B2487">
            <v>2007</v>
          </cell>
          <cell r="C2487" t="str">
            <v>mar_impz</v>
          </cell>
          <cell r="D2487">
            <v>22.097509384155273</v>
          </cell>
        </row>
        <row r="2488">
          <cell r="A2488" t="str">
            <v>BGD</v>
          </cell>
          <cell r="B2488">
            <v>2021</v>
          </cell>
          <cell r="C2488" t="str">
            <v>magdpz</v>
          </cell>
          <cell r="D2488">
            <v>6.9386711120605469</v>
          </cell>
        </row>
        <row r="2489">
          <cell r="A2489" t="str">
            <v>BGD</v>
          </cell>
          <cell r="B2489">
            <v>2014</v>
          </cell>
          <cell r="C2489" t="str">
            <v>mataxfc</v>
          </cell>
          <cell r="D2489">
            <v>4.1237149238586426</v>
          </cell>
        </row>
        <row r="2490">
          <cell r="A2490" t="str">
            <v>BGD</v>
          </cell>
          <cell r="B2490">
            <v>2006</v>
          </cell>
          <cell r="C2490" t="str">
            <v>madebt_</v>
          </cell>
          <cell r="D2490">
            <v>35.090404510498047</v>
          </cell>
        </row>
        <row r="2491">
          <cell r="A2491" t="str">
            <v>BGD</v>
          </cell>
          <cell r="B2491">
            <v>2010</v>
          </cell>
          <cell r="C2491" t="str">
            <v>mar_taxfc</v>
          </cell>
          <cell r="D2491">
            <v>5.0678071975708008</v>
          </cell>
        </row>
        <row r="2492">
          <cell r="A2492" t="str">
            <v>BGD</v>
          </cell>
          <cell r="B2492">
            <v>2010</v>
          </cell>
          <cell r="C2492" t="str">
            <v>mac_labz</v>
          </cell>
          <cell r="D2492">
            <v>1.2949632406234741</v>
          </cell>
        </row>
        <row r="2493">
          <cell r="A2493" t="str">
            <v>BGD</v>
          </cell>
          <cell r="B2493">
            <v>2019</v>
          </cell>
          <cell r="C2493" t="str">
            <v>mar_agrfc</v>
          </cell>
          <cell r="D2493">
            <v>12.561358451843262</v>
          </cell>
        </row>
        <row r="2494">
          <cell r="A2494" t="str">
            <v>BGD</v>
          </cell>
          <cell r="B2494">
            <v>2011</v>
          </cell>
          <cell r="C2494" t="str">
            <v>magovz</v>
          </cell>
          <cell r="D2494">
            <v>6.7362689971923828</v>
          </cell>
        </row>
        <row r="2495">
          <cell r="A2495" t="str">
            <v>BGD</v>
          </cell>
          <cell r="B2495">
            <v>2005</v>
          </cell>
          <cell r="C2495" t="str">
            <v>mataxfc</v>
          </cell>
          <cell r="D2495">
            <v>11.126607894897461</v>
          </cell>
        </row>
        <row r="2496">
          <cell r="A2496" t="str">
            <v>BGD</v>
          </cell>
          <cell r="B2496">
            <v>2023</v>
          </cell>
          <cell r="C2496" t="str">
            <v>maindfc</v>
          </cell>
          <cell r="D2496">
            <v>8.3673315048217773</v>
          </cell>
        </row>
        <row r="2497">
          <cell r="A2497" t="str">
            <v>BGD</v>
          </cell>
          <cell r="B2497">
            <v>2006</v>
          </cell>
          <cell r="C2497" t="str">
            <v>maconz</v>
          </cell>
          <cell r="D2497">
            <v>7.0476489067077637</v>
          </cell>
        </row>
        <row r="2498">
          <cell r="A2498" t="str">
            <v>BGD</v>
          </cell>
          <cell r="B2498">
            <v>2006</v>
          </cell>
          <cell r="C2498" t="str">
            <v>magovz</v>
          </cell>
          <cell r="D2498">
            <v>8.1465940475463867</v>
          </cell>
        </row>
        <row r="2499">
          <cell r="A2499" t="str">
            <v>BGD</v>
          </cell>
          <cell r="B2499">
            <v>2019</v>
          </cell>
          <cell r="C2499" t="str">
            <v>mac_labz</v>
          </cell>
          <cell r="D2499">
            <v>1.2265474796295166</v>
          </cell>
        </row>
        <row r="2500">
          <cell r="A2500" t="str">
            <v>BGD</v>
          </cell>
          <cell r="B2500">
            <v>2006</v>
          </cell>
          <cell r="C2500" t="str">
            <v>madeficit_</v>
          </cell>
          <cell r="D2500">
            <v>-2.0905225276947021</v>
          </cell>
        </row>
        <row r="2501">
          <cell r="A2501" t="str">
            <v>BGD</v>
          </cell>
          <cell r="B2501">
            <v>2022</v>
          </cell>
          <cell r="C2501" t="str">
            <v>macab_</v>
          </cell>
          <cell r="D2501">
            <v>-3.9545199871063232</v>
          </cell>
        </row>
        <row r="2502">
          <cell r="A2502" t="str">
            <v>BGD</v>
          </cell>
          <cell r="B2502">
            <v>2022</v>
          </cell>
          <cell r="C2502" t="str">
            <v>mar_taxfc</v>
          </cell>
          <cell r="D2502">
            <v>3.9045474529266357</v>
          </cell>
        </row>
        <row r="2503">
          <cell r="A2503" t="str">
            <v>BGD</v>
          </cell>
          <cell r="B2503">
            <v>2021</v>
          </cell>
          <cell r="C2503" t="str">
            <v>mar_srvfc</v>
          </cell>
          <cell r="D2503">
            <v>51.916007995605469</v>
          </cell>
        </row>
        <row r="2504">
          <cell r="A2504" t="str">
            <v>BGD</v>
          </cell>
          <cell r="B2504">
            <v>2005</v>
          </cell>
          <cell r="C2504" t="str">
            <v>magap_</v>
          </cell>
          <cell r="D2504">
            <v>-0.9821661114692688</v>
          </cell>
        </row>
        <row r="2505">
          <cell r="A2505" t="str">
            <v>BGD</v>
          </cell>
          <cell r="B2505">
            <v>2006</v>
          </cell>
          <cell r="C2505" t="str">
            <v>mar_con</v>
          </cell>
          <cell r="D2505">
            <v>77.551078796386719</v>
          </cell>
        </row>
        <row r="2506">
          <cell r="A2506" t="str">
            <v>BGD</v>
          </cell>
          <cell r="B2506">
            <v>2019</v>
          </cell>
          <cell r="C2506" t="str">
            <v>maimpz</v>
          </cell>
          <cell r="D2506">
            <v>0.50548511743545532</v>
          </cell>
        </row>
        <row r="2507">
          <cell r="A2507" t="str">
            <v>BGD</v>
          </cell>
          <cell r="B2507">
            <v>2018</v>
          </cell>
          <cell r="C2507" t="str">
            <v>mac_tfpz</v>
          </cell>
          <cell r="D2507">
            <v>1.1167453527450562</v>
          </cell>
        </row>
        <row r="2508">
          <cell r="A2508" t="str">
            <v>BGD</v>
          </cell>
          <cell r="B2508">
            <v>2025</v>
          </cell>
          <cell r="C2508" t="str">
            <v>mar_impz</v>
          </cell>
          <cell r="D2508">
            <v>15.770821571350098</v>
          </cell>
        </row>
        <row r="2509">
          <cell r="A2509" t="str">
            <v>BGD</v>
          </cell>
          <cell r="B2509">
            <v>2013</v>
          </cell>
          <cell r="C2509" t="str">
            <v>mar_impz</v>
          </cell>
          <cell r="D2509">
            <v>21.729379653930664</v>
          </cell>
        </row>
        <row r="2510">
          <cell r="A2510" t="str">
            <v>BGD</v>
          </cell>
          <cell r="B2510">
            <v>2006</v>
          </cell>
          <cell r="C2510" t="str">
            <v>mar_impz</v>
          </cell>
          <cell r="D2510">
            <v>20.396673202514648</v>
          </cell>
        </row>
        <row r="2511">
          <cell r="A2511" t="str">
            <v>BGD</v>
          </cell>
          <cell r="B2511">
            <v>2010</v>
          </cell>
          <cell r="C2511" t="str">
            <v>maimpz</v>
          </cell>
          <cell r="D2511">
            <v>0.68645495176315308</v>
          </cell>
        </row>
        <row r="2512">
          <cell r="A2512" t="str">
            <v>BGD</v>
          </cell>
          <cell r="B2512">
            <v>2013</v>
          </cell>
          <cell r="C2512" t="str">
            <v>mac_labz</v>
          </cell>
          <cell r="D2512">
            <v>1.5635823011398315</v>
          </cell>
        </row>
        <row r="2513">
          <cell r="A2513" t="str">
            <v>BGD</v>
          </cell>
          <cell r="B2513">
            <v>2024</v>
          </cell>
          <cell r="C2513" t="str">
            <v>maimpz</v>
          </cell>
          <cell r="D2513">
            <v>-12.199999809265137</v>
          </cell>
        </row>
        <row r="2514">
          <cell r="A2514" t="str">
            <v>BGD</v>
          </cell>
          <cell r="B2514">
            <v>2022</v>
          </cell>
          <cell r="C2514" t="str">
            <v>mainvz</v>
          </cell>
          <cell r="D2514">
            <v>11.653372764587402</v>
          </cell>
        </row>
        <row r="2515">
          <cell r="A2515" t="str">
            <v>BGD</v>
          </cell>
          <cell r="B2515">
            <v>2006</v>
          </cell>
          <cell r="C2515" t="str">
            <v>mar_srvfc</v>
          </cell>
          <cell r="D2515">
            <v>55.594402313232422</v>
          </cell>
        </row>
        <row r="2516">
          <cell r="A2516" t="str">
            <v>BGD</v>
          </cell>
          <cell r="B2516">
            <v>2006</v>
          </cell>
          <cell r="C2516" t="str">
            <v>mataxfc</v>
          </cell>
          <cell r="D2516">
            <v>-1.699738621711731</v>
          </cell>
        </row>
        <row r="2517">
          <cell r="A2517" t="str">
            <v>BGD</v>
          </cell>
          <cell r="B2517">
            <v>2025</v>
          </cell>
          <cell r="C2517" t="str">
            <v>mar_con</v>
          </cell>
          <cell r="D2517">
            <v>61.261253356933594</v>
          </cell>
        </row>
        <row r="2518">
          <cell r="A2518" t="str">
            <v>BGD</v>
          </cell>
          <cell r="B2518">
            <v>2010</v>
          </cell>
          <cell r="C2518" t="str">
            <v>mainvz</v>
          </cell>
          <cell r="D2518">
            <v>8.4887666702270508</v>
          </cell>
        </row>
        <row r="2519">
          <cell r="A2519" t="str">
            <v>BGD</v>
          </cell>
          <cell r="B2519">
            <v>2015</v>
          </cell>
          <cell r="C2519" t="str">
            <v>mar_srvfc</v>
          </cell>
          <cell r="D2519">
            <v>53.577785491943359</v>
          </cell>
        </row>
        <row r="2520">
          <cell r="A2520" t="str">
            <v>BGD</v>
          </cell>
          <cell r="B2520">
            <v>2019</v>
          </cell>
          <cell r="C2520" t="str">
            <v>mapanusatls</v>
          </cell>
          <cell r="D2520">
            <v>84.029998779296875</v>
          </cell>
        </row>
        <row r="2521">
          <cell r="A2521" t="str">
            <v>BGD</v>
          </cell>
          <cell r="B2521">
            <v>2007</v>
          </cell>
          <cell r="C2521" t="str">
            <v>mar_srvfc</v>
          </cell>
          <cell r="D2521">
            <v>55.238956451416016</v>
          </cell>
        </row>
        <row r="2522">
          <cell r="A2522" t="str">
            <v>BGD</v>
          </cell>
          <cell r="B2522">
            <v>2007</v>
          </cell>
          <cell r="C2522" t="str">
            <v>mar_indfc</v>
          </cell>
          <cell r="D2522">
            <v>25.837390899658203</v>
          </cell>
        </row>
        <row r="2523">
          <cell r="A2523" t="str">
            <v>BGD</v>
          </cell>
          <cell r="B2523">
            <v>2019</v>
          </cell>
          <cell r="C2523" t="str">
            <v>madeficit_</v>
          </cell>
          <cell r="D2523">
            <v>-4.6802077293395996</v>
          </cell>
        </row>
        <row r="2524">
          <cell r="A2524" t="str">
            <v>BGD</v>
          </cell>
          <cell r="B2524">
            <v>2010</v>
          </cell>
          <cell r="C2524" t="str">
            <v>maexpz</v>
          </cell>
          <cell r="D2524">
            <v>0.9415321946144104</v>
          </cell>
        </row>
        <row r="2525">
          <cell r="A2525" t="str">
            <v>BGD</v>
          </cell>
          <cell r="B2525">
            <v>2025</v>
          </cell>
          <cell r="C2525" t="str">
            <v>maindfc</v>
          </cell>
          <cell r="D2525">
            <v>7.1999998092651367</v>
          </cell>
        </row>
        <row r="2526">
          <cell r="A2526" t="str">
            <v>BGD</v>
          </cell>
          <cell r="B2526">
            <v>2005</v>
          </cell>
          <cell r="C2526" t="str">
            <v>mar_impz</v>
          </cell>
          <cell r="D2526">
            <v>18.408859252929688</v>
          </cell>
        </row>
        <row r="2527">
          <cell r="A2527" t="str">
            <v>BGD</v>
          </cell>
          <cell r="B2527">
            <v>2023</v>
          </cell>
          <cell r="C2527" t="str">
            <v>malabz</v>
          </cell>
          <cell r="D2527">
            <v>1.3583593368530273</v>
          </cell>
        </row>
        <row r="2528">
          <cell r="A2528" t="str">
            <v>BGD</v>
          </cell>
          <cell r="B2528">
            <v>2018</v>
          </cell>
          <cell r="C2528" t="str">
            <v>mar_srvfc</v>
          </cell>
          <cell r="D2528">
            <v>53.007118225097656</v>
          </cell>
        </row>
        <row r="2529">
          <cell r="A2529" t="str">
            <v>BGD</v>
          </cell>
          <cell r="B2529">
            <v>2008</v>
          </cell>
          <cell r="C2529" t="str">
            <v>mar_impz</v>
          </cell>
          <cell r="D2529">
            <v>20.447702407836914</v>
          </cell>
        </row>
        <row r="2530">
          <cell r="A2530" t="str">
            <v>BGD</v>
          </cell>
          <cell r="B2530">
            <v>2009</v>
          </cell>
          <cell r="C2530" t="str">
            <v>macpiz</v>
          </cell>
          <cell r="D2530">
            <v>7.6011052131652832</v>
          </cell>
        </row>
        <row r="2531">
          <cell r="A2531" t="str">
            <v>BGD</v>
          </cell>
          <cell r="B2531">
            <v>2005</v>
          </cell>
          <cell r="C2531" t="str">
            <v>madeficit_</v>
          </cell>
          <cell r="D2531">
            <v>-2.3147082328796387</v>
          </cell>
        </row>
        <row r="2532">
          <cell r="A2532" t="str">
            <v>BGD</v>
          </cell>
          <cell r="B2532">
            <v>2008</v>
          </cell>
          <cell r="C2532" t="str">
            <v>matfpz</v>
          </cell>
          <cell r="D2532">
            <v>0.62327045202255249</v>
          </cell>
        </row>
        <row r="2533">
          <cell r="A2533" t="str">
            <v>BGD</v>
          </cell>
          <cell r="B2533">
            <v>2012</v>
          </cell>
          <cell r="C2533" t="str">
            <v>matfpz</v>
          </cell>
          <cell r="D2533">
            <v>0.7703784704208374</v>
          </cell>
        </row>
        <row r="2534">
          <cell r="A2534" t="str">
            <v>BGD</v>
          </cell>
          <cell r="B2534">
            <v>2020</v>
          </cell>
          <cell r="C2534" t="str">
            <v>matfpz</v>
          </cell>
          <cell r="D2534">
            <v>1.1362149715423584</v>
          </cell>
        </row>
        <row r="2535">
          <cell r="A2535" t="str">
            <v>BGD</v>
          </cell>
          <cell r="B2535">
            <v>2015</v>
          </cell>
          <cell r="C2535" t="str">
            <v>mar_agrfc</v>
          </cell>
          <cell r="D2535">
            <v>16.000452041625977</v>
          </cell>
        </row>
        <row r="2536">
          <cell r="A2536" t="str">
            <v>BGD</v>
          </cell>
          <cell r="B2536">
            <v>2026</v>
          </cell>
          <cell r="C2536" t="str">
            <v>mac_tfpz</v>
          </cell>
          <cell r="D2536">
            <v>1.0130168199539185</v>
          </cell>
        </row>
        <row r="2537">
          <cell r="A2537" t="str">
            <v>BGD</v>
          </cell>
          <cell r="B2537">
            <v>2023</v>
          </cell>
          <cell r="C2537" t="str">
            <v>madebt_</v>
          </cell>
          <cell r="D2537">
            <v>34.953357696533203</v>
          </cell>
        </row>
        <row r="2538">
          <cell r="A2538" t="str">
            <v>BGD</v>
          </cell>
          <cell r="B2538">
            <v>2025</v>
          </cell>
          <cell r="C2538" t="str">
            <v>madeficit_</v>
          </cell>
          <cell r="D2538">
            <v>-4.4088025093078613</v>
          </cell>
        </row>
        <row r="2539">
          <cell r="A2539" t="str">
            <v>BGD</v>
          </cell>
          <cell r="B2539">
            <v>2009</v>
          </cell>
          <cell r="C2539" t="str">
            <v>maexpz</v>
          </cell>
          <cell r="D2539">
            <v>2.8504479676485062E-2</v>
          </cell>
        </row>
        <row r="2540">
          <cell r="A2540" t="str">
            <v>BGD</v>
          </cell>
          <cell r="B2540">
            <v>2019</v>
          </cell>
          <cell r="C2540" t="str">
            <v>mainvz</v>
          </cell>
          <cell r="D2540">
            <v>6.8802800178527832</v>
          </cell>
        </row>
        <row r="2541">
          <cell r="A2541" t="str">
            <v>BGD</v>
          </cell>
          <cell r="B2541">
            <v>2009</v>
          </cell>
          <cell r="C2541" t="str">
            <v>malabz</v>
          </cell>
          <cell r="D2541">
            <v>1.3762415647506714</v>
          </cell>
        </row>
        <row r="2542">
          <cell r="A2542" t="str">
            <v>BGD</v>
          </cell>
          <cell r="B2542">
            <v>2010</v>
          </cell>
          <cell r="C2542" t="str">
            <v>maagrfc</v>
          </cell>
          <cell r="D2542">
            <v>6.151947021484375</v>
          </cell>
        </row>
        <row r="2543">
          <cell r="A2543" t="str">
            <v>BGD</v>
          </cell>
          <cell r="B2543">
            <v>2010</v>
          </cell>
          <cell r="C2543" t="str">
            <v>mac_tfpz</v>
          </cell>
          <cell r="D2543">
            <v>0.68978667259216309</v>
          </cell>
        </row>
        <row r="2544">
          <cell r="A2544" t="str">
            <v>BGD</v>
          </cell>
          <cell r="B2544">
            <v>2010</v>
          </cell>
          <cell r="C2544" t="str">
            <v>macab_</v>
          </cell>
          <cell r="D2544">
            <v>2.6973021030426025</v>
          </cell>
        </row>
        <row r="2545">
          <cell r="A2545" t="str">
            <v>BGD</v>
          </cell>
          <cell r="B2545">
            <v>2007</v>
          </cell>
          <cell r="C2545" t="str">
            <v>mar_taxfc</v>
          </cell>
          <cell r="D2545">
            <v>5.5866379737854004</v>
          </cell>
        </row>
        <row r="2546">
          <cell r="A2546" t="str">
            <v>BGD</v>
          </cell>
          <cell r="B2546">
            <v>2015</v>
          </cell>
          <cell r="C2546" t="str">
            <v>maconz</v>
          </cell>
          <cell r="D2546">
            <v>5.8171296119689941</v>
          </cell>
        </row>
        <row r="2547">
          <cell r="A2547" t="str">
            <v>BGD</v>
          </cell>
          <cell r="B2547">
            <v>2023</v>
          </cell>
          <cell r="C2547" t="str">
            <v>maconz</v>
          </cell>
          <cell r="D2547">
            <v>1.9849662780761719</v>
          </cell>
        </row>
        <row r="2548">
          <cell r="A2548" t="str">
            <v>BGD</v>
          </cell>
          <cell r="B2548">
            <v>2025</v>
          </cell>
          <cell r="C2548" t="str">
            <v>mafdi_</v>
          </cell>
          <cell r="D2548">
            <v>-0.38686466217041016</v>
          </cell>
        </row>
        <row r="2549">
          <cell r="A2549" t="str">
            <v>BGD</v>
          </cell>
          <cell r="B2549">
            <v>2021</v>
          </cell>
          <cell r="C2549" t="str">
            <v>mar_taxfc</v>
          </cell>
          <cell r="D2549">
            <v>3.9688141345977783</v>
          </cell>
        </row>
        <row r="2550">
          <cell r="A2550" t="str">
            <v>BGD</v>
          </cell>
          <cell r="B2550">
            <v>2020</v>
          </cell>
          <cell r="C2550" t="str">
            <v>maimpz</v>
          </cell>
          <cell r="D2550">
            <v>-11.409562110900879</v>
          </cell>
        </row>
        <row r="2551">
          <cell r="A2551" t="str">
            <v>BGD</v>
          </cell>
          <cell r="B2551">
            <v>2018</v>
          </cell>
          <cell r="C2551" t="str">
            <v>maagrfc</v>
          </cell>
          <cell r="D2551">
            <v>3.5445399284362793</v>
          </cell>
        </row>
        <row r="2552">
          <cell r="A2552" t="str">
            <v>BGD</v>
          </cell>
          <cell r="B2552">
            <v>2010</v>
          </cell>
          <cell r="C2552" t="str">
            <v>mar_con</v>
          </cell>
          <cell r="D2552">
            <v>73.648048400878906</v>
          </cell>
        </row>
        <row r="2553">
          <cell r="A2553" t="str">
            <v>BGD</v>
          </cell>
          <cell r="B2553">
            <v>2010</v>
          </cell>
          <cell r="C2553" t="str">
            <v>mareer</v>
          </cell>
          <cell r="D2553">
            <v>74.866584777832031</v>
          </cell>
        </row>
        <row r="2554">
          <cell r="A2554" t="str">
            <v>BGD</v>
          </cell>
          <cell r="B2554">
            <v>2023</v>
          </cell>
          <cell r="C2554" t="str">
            <v>maagrfc</v>
          </cell>
          <cell r="D2554">
            <v>3.3714392185211182</v>
          </cell>
        </row>
        <row r="2555">
          <cell r="A2555" t="str">
            <v>BGD</v>
          </cell>
          <cell r="B2555">
            <v>2010</v>
          </cell>
          <cell r="C2555" t="str">
            <v>masrvfc</v>
          </cell>
          <cell r="D2555">
            <v>5.5288295745849609</v>
          </cell>
        </row>
        <row r="2556">
          <cell r="A2556" t="str">
            <v>BGD</v>
          </cell>
          <cell r="B2556">
            <v>2022</v>
          </cell>
          <cell r="C2556" t="str">
            <v>mar_srvfc</v>
          </cell>
          <cell r="D2556">
            <v>51.475456237792969</v>
          </cell>
        </row>
        <row r="2557">
          <cell r="A2557" t="str">
            <v>BGD</v>
          </cell>
          <cell r="B2557">
            <v>2011</v>
          </cell>
          <cell r="C2557" t="str">
            <v>mar_agrfc</v>
          </cell>
          <cell r="D2557">
            <v>18.005117416381836</v>
          </cell>
        </row>
        <row r="2558">
          <cell r="A2558" t="str">
            <v>BTN</v>
          </cell>
          <cell r="B2558">
            <v>2024</v>
          </cell>
          <cell r="C2558" t="str">
            <v>matfpz</v>
          </cell>
          <cell r="D2558">
            <v>2.0391292572021484</v>
          </cell>
        </row>
        <row r="2559">
          <cell r="A2559" t="str">
            <v>BTN</v>
          </cell>
          <cell r="B2559">
            <v>2022</v>
          </cell>
          <cell r="C2559" t="str">
            <v>madebt_</v>
          </cell>
          <cell r="D2559">
            <v>118.79157257080078</v>
          </cell>
        </row>
        <row r="2560">
          <cell r="A2560" t="str">
            <v>BTN</v>
          </cell>
          <cell r="B2560">
            <v>2006</v>
          </cell>
          <cell r="C2560" t="str">
            <v>mar_con</v>
          </cell>
          <cell r="D2560">
            <v>37.147659301757813</v>
          </cell>
        </row>
        <row r="2561">
          <cell r="A2561" t="str">
            <v>BTN</v>
          </cell>
          <cell r="B2561">
            <v>2011</v>
          </cell>
          <cell r="C2561" t="str">
            <v>maexpz</v>
          </cell>
          <cell r="D2561">
            <v>5.2854695320129395</v>
          </cell>
        </row>
        <row r="2562">
          <cell r="A2562" t="str">
            <v>BTN</v>
          </cell>
          <cell r="B2562">
            <v>2020</v>
          </cell>
          <cell r="C2562" t="str">
            <v>matfpz</v>
          </cell>
          <cell r="D2562">
            <v>-7.5605301856994629</v>
          </cell>
        </row>
        <row r="2563">
          <cell r="A2563" t="str">
            <v>BTN</v>
          </cell>
          <cell r="B2563">
            <v>2026</v>
          </cell>
          <cell r="C2563" t="str">
            <v>matfpz</v>
          </cell>
          <cell r="D2563">
            <v>2.5303959846496582</v>
          </cell>
        </row>
        <row r="2564">
          <cell r="A2564" t="str">
            <v>BTN</v>
          </cell>
          <cell r="B2564">
            <v>2009</v>
          </cell>
          <cell r="C2564" t="str">
            <v>magdpz</v>
          </cell>
          <cell r="D2564">
            <v>6.1330828666687012</v>
          </cell>
        </row>
        <row r="2565">
          <cell r="A2565" t="str">
            <v>BTN</v>
          </cell>
          <cell r="B2565">
            <v>2017</v>
          </cell>
          <cell r="C2565" t="str">
            <v>malabz</v>
          </cell>
          <cell r="D2565">
            <v>1.6957764625549316</v>
          </cell>
        </row>
        <row r="2566">
          <cell r="A2566" t="str">
            <v>BTN</v>
          </cell>
          <cell r="B2566">
            <v>2017</v>
          </cell>
          <cell r="C2566" t="str">
            <v>macpiz</v>
          </cell>
          <cell r="D2566">
            <v>4.3141975402832031</v>
          </cell>
        </row>
        <row r="2567">
          <cell r="A2567" t="str">
            <v>BTN</v>
          </cell>
          <cell r="B2567">
            <v>2014</v>
          </cell>
          <cell r="C2567" t="str">
            <v>mapanusatls</v>
          </cell>
          <cell r="D2567">
            <v>61.471157073974609</v>
          </cell>
        </row>
        <row r="2568">
          <cell r="A2568" t="str">
            <v>BTN</v>
          </cell>
          <cell r="B2568">
            <v>2023</v>
          </cell>
          <cell r="C2568" t="str">
            <v>magdpz</v>
          </cell>
          <cell r="D2568">
            <v>4.5805368423461914</v>
          </cell>
        </row>
        <row r="2569">
          <cell r="A2569" t="str">
            <v>BTN</v>
          </cell>
          <cell r="B2569">
            <v>2017</v>
          </cell>
          <cell r="C2569" t="str">
            <v>mac_labz</v>
          </cell>
          <cell r="D2569">
            <v>1.1870435476303101</v>
          </cell>
        </row>
        <row r="2570">
          <cell r="A2570" t="str">
            <v>BTN</v>
          </cell>
          <cell r="B2570">
            <v>2016</v>
          </cell>
          <cell r="C2570" t="str">
            <v>mac_tfpz</v>
          </cell>
          <cell r="D2570">
            <v>0.74089479446411133</v>
          </cell>
        </row>
        <row r="2571">
          <cell r="A2571" t="str">
            <v>BTN</v>
          </cell>
          <cell r="B2571">
            <v>2007</v>
          </cell>
          <cell r="C2571" t="str">
            <v>mar_agrfc</v>
          </cell>
          <cell r="D2571">
            <v>20.476272583007813</v>
          </cell>
        </row>
        <row r="2572">
          <cell r="A2572" t="str">
            <v>BTN</v>
          </cell>
          <cell r="B2572">
            <v>2017</v>
          </cell>
          <cell r="C2572" t="str">
            <v>mafdi_</v>
          </cell>
        </row>
        <row r="2573">
          <cell r="A2573" t="str">
            <v>BTN</v>
          </cell>
          <cell r="B2573">
            <v>2019</v>
          </cell>
          <cell r="C2573" t="str">
            <v>mac_labz</v>
          </cell>
          <cell r="D2573">
            <v>1.2404031753540039</v>
          </cell>
        </row>
        <row r="2574">
          <cell r="A2574" t="str">
            <v>BTN</v>
          </cell>
          <cell r="B2574">
            <v>2017</v>
          </cell>
          <cell r="C2574" t="str">
            <v>mar_impz</v>
          </cell>
          <cell r="D2574">
            <v>49.411067962646484</v>
          </cell>
        </row>
        <row r="2575">
          <cell r="A2575" t="str">
            <v>BTN</v>
          </cell>
          <cell r="B2575">
            <v>2019</v>
          </cell>
          <cell r="C2575" t="str">
            <v>mar_srvfc</v>
          </cell>
          <cell r="D2575">
            <v>50.009944915771484</v>
          </cell>
        </row>
        <row r="2576">
          <cell r="A2576" t="str">
            <v>BTN</v>
          </cell>
          <cell r="B2576">
            <v>2015</v>
          </cell>
          <cell r="C2576" t="str">
            <v>masrvfc</v>
          </cell>
          <cell r="D2576">
            <v>8.2189769744873047</v>
          </cell>
        </row>
        <row r="2577">
          <cell r="A2577" t="str">
            <v>BTN</v>
          </cell>
          <cell r="B2577">
            <v>2010</v>
          </cell>
          <cell r="C2577" t="str">
            <v>matfpz</v>
          </cell>
          <cell r="D2577">
            <v>1.9669626951217651</v>
          </cell>
        </row>
        <row r="2578">
          <cell r="A2578" t="str">
            <v>BTN</v>
          </cell>
          <cell r="B2578">
            <v>2007</v>
          </cell>
          <cell r="C2578" t="str">
            <v>macpiz</v>
          </cell>
          <cell r="D2578">
            <v>5.2457451820373535</v>
          </cell>
        </row>
        <row r="2579">
          <cell r="A2579" t="str">
            <v>BTN</v>
          </cell>
          <cell r="B2579">
            <v>2022</v>
          </cell>
          <cell r="C2579" t="str">
            <v>maexpz</v>
          </cell>
          <cell r="D2579">
            <v>-3.554379940032959</v>
          </cell>
        </row>
        <row r="2580">
          <cell r="A2580" t="str">
            <v>BTN</v>
          </cell>
          <cell r="B2580">
            <v>2024</v>
          </cell>
          <cell r="C2580" t="str">
            <v>magdpz</v>
          </cell>
          <cell r="D2580">
            <v>4.8606619834899902</v>
          </cell>
        </row>
        <row r="2581">
          <cell r="A2581" t="str">
            <v>BTN</v>
          </cell>
          <cell r="B2581">
            <v>2012</v>
          </cell>
          <cell r="C2581" t="str">
            <v>maconz</v>
          </cell>
          <cell r="D2581">
            <v>1.5200357437133789</v>
          </cell>
        </row>
        <row r="2582">
          <cell r="A2582" t="str">
            <v>BTN</v>
          </cell>
          <cell r="B2582">
            <v>2015</v>
          </cell>
          <cell r="C2582" t="str">
            <v>maindfc</v>
          </cell>
          <cell r="D2582">
            <v>6.3207302093505859</v>
          </cell>
        </row>
        <row r="2583">
          <cell r="A2583" t="str">
            <v>BTN</v>
          </cell>
          <cell r="B2583">
            <v>2023</v>
          </cell>
          <cell r="C2583" t="str">
            <v>maindfc</v>
          </cell>
          <cell r="D2583">
            <v>5.5985798835754395</v>
          </cell>
        </row>
        <row r="2584">
          <cell r="A2584" t="str">
            <v>BTN</v>
          </cell>
          <cell r="B2584">
            <v>2006</v>
          </cell>
          <cell r="C2584" t="str">
            <v>mapanusatls</v>
          </cell>
          <cell r="D2584">
            <v>46.055999755859375</v>
          </cell>
        </row>
        <row r="2585">
          <cell r="A2585" t="str">
            <v>BTN</v>
          </cell>
          <cell r="B2585">
            <v>2014</v>
          </cell>
          <cell r="C2585" t="str">
            <v>mar_expz</v>
          </cell>
          <cell r="D2585">
            <v>36.809066772460938</v>
          </cell>
        </row>
        <row r="2586">
          <cell r="A2586" t="str">
            <v>BTN</v>
          </cell>
          <cell r="B2586">
            <v>2007</v>
          </cell>
          <cell r="C2586" t="str">
            <v>mac_tfpz</v>
          </cell>
          <cell r="D2586">
            <v>2.239349365234375</v>
          </cell>
        </row>
        <row r="2587">
          <cell r="A2587" t="str">
            <v>BTN</v>
          </cell>
          <cell r="B2587">
            <v>2016</v>
          </cell>
          <cell r="C2587" t="str">
            <v>magovz</v>
          </cell>
          <cell r="D2587">
            <v>7.3368854522705078</v>
          </cell>
        </row>
        <row r="2588">
          <cell r="A2588" t="str">
            <v>BTN</v>
          </cell>
          <cell r="B2588">
            <v>2026</v>
          </cell>
          <cell r="C2588" t="str">
            <v>mataxfc</v>
          </cell>
          <cell r="D2588">
            <v>6.02459716796875</v>
          </cell>
        </row>
        <row r="2589">
          <cell r="A2589" t="str">
            <v>BTN</v>
          </cell>
          <cell r="B2589">
            <v>2008</v>
          </cell>
          <cell r="C2589" t="str">
            <v>magdpz</v>
          </cell>
          <cell r="D2589">
            <v>9.8861904144287109</v>
          </cell>
        </row>
        <row r="2590">
          <cell r="A2590" t="str">
            <v>BTN</v>
          </cell>
          <cell r="B2590">
            <v>2005</v>
          </cell>
          <cell r="C2590" t="str">
            <v>mar_srvfc</v>
          </cell>
          <cell r="D2590">
            <v>41.464801788330078</v>
          </cell>
        </row>
        <row r="2591">
          <cell r="A2591" t="str">
            <v>BTN</v>
          </cell>
          <cell r="B2591">
            <v>2011</v>
          </cell>
          <cell r="C2591" t="str">
            <v>mar_impz</v>
          </cell>
          <cell r="D2591">
            <v>68.700897216796875</v>
          </cell>
        </row>
        <row r="2592">
          <cell r="A2592" t="str">
            <v>BTN</v>
          </cell>
          <cell r="B2592">
            <v>2007</v>
          </cell>
          <cell r="C2592" t="str">
            <v>masrvfc</v>
          </cell>
          <cell r="D2592">
            <v>6.7051949501037598</v>
          </cell>
        </row>
        <row r="2593">
          <cell r="A2593" t="str">
            <v>BTN</v>
          </cell>
          <cell r="B2593">
            <v>2016</v>
          </cell>
          <cell r="C2593" t="str">
            <v>mar_agrfc</v>
          </cell>
          <cell r="D2593">
            <v>14.074955940246582</v>
          </cell>
        </row>
        <row r="2594">
          <cell r="A2594" t="str">
            <v>BTN</v>
          </cell>
          <cell r="B2594">
            <v>2007</v>
          </cell>
          <cell r="C2594" t="str">
            <v>mar_indfc</v>
          </cell>
          <cell r="D2594">
            <v>38.565055847167969</v>
          </cell>
        </row>
        <row r="2595">
          <cell r="A2595" t="str">
            <v>BTN</v>
          </cell>
          <cell r="B2595">
            <v>2017</v>
          </cell>
          <cell r="C2595" t="str">
            <v>mainvz</v>
          </cell>
          <cell r="D2595">
            <v>4.4386215209960938</v>
          </cell>
        </row>
        <row r="2596">
          <cell r="A2596" t="str">
            <v>BTN</v>
          </cell>
          <cell r="B2596">
            <v>2011</v>
          </cell>
          <cell r="C2596" t="str">
            <v>magdpz</v>
          </cell>
          <cell r="D2596">
            <v>10.017487525939941</v>
          </cell>
        </row>
        <row r="2597">
          <cell r="A2597" t="str">
            <v>BTN</v>
          </cell>
          <cell r="B2597">
            <v>2020</v>
          </cell>
          <cell r="C2597" t="str">
            <v>maexpz</v>
          </cell>
          <cell r="D2597">
            <v>0.58497899770736694</v>
          </cell>
        </row>
        <row r="2598">
          <cell r="A2598" t="str">
            <v>BTN</v>
          </cell>
          <cell r="B2598">
            <v>2021</v>
          </cell>
          <cell r="C2598" t="str">
            <v>matfpz</v>
          </cell>
          <cell r="D2598">
            <v>-4.0833697319030762</v>
          </cell>
        </row>
        <row r="2599">
          <cell r="A2599" t="str">
            <v>BTN</v>
          </cell>
          <cell r="B2599">
            <v>2024</v>
          </cell>
          <cell r="C2599" t="str">
            <v>mar_taxfc</v>
          </cell>
          <cell r="D2599">
            <v>2.381758451461792</v>
          </cell>
        </row>
        <row r="2600">
          <cell r="A2600" t="str">
            <v>BTN</v>
          </cell>
          <cell r="B2600">
            <v>2016</v>
          </cell>
          <cell r="C2600" t="str">
            <v>matfpz</v>
          </cell>
          <cell r="D2600">
            <v>0.74089479446411133</v>
          </cell>
        </row>
        <row r="2601">
          <cell r="A2601" t="str">
            <v>BTN</v>
          </cell>
          <cell r="B2601">
            <v>2019</v>
          </cell>
          <cell r="C2601" t="str">
            <v>maindfc</v>
          </cell>
          <cell r="D2601">
            <v>-2.693493127822876</v>
          </cell>
        </row>
        <row r="2602">
          <cell r="A2602" t="str">
            <v>BTN</v>
          </cell>
          <cell r="B2602">
            <v>2015</v>
          </cell>
          <cell r="C2602" t="str">
            <v>mareer</v>
          </cell>
          <cell r="D2602">
            <v>100</v>
          </cell>
        </row>
        <row r="2603">
          <cell r="A2603" t="str">
            <v>BTN</v>
          </cell>
          <cell r="B2603">
            <v>2016</v>
          </cell>
          <cell r="C2603" t="str">
            <v>magdpz</v>
          </cell>
          <cell r="D2603">
            <v>7.5141496658325195</v>
          </cell>
        </row>
        <row r="2604">
          <cell r="A2604" t="str">
            <v>BTN</v>
          </cell>
          <cell r="B2604">
            <v>2020</v>
          </cell>
          <cell r="C2604" t="str">
            <v>malabz</v>
          </cell>
          <cell r="D2604">
            <v>1.6604455709457397</v>
          </cell>
        </row>
        <row r="2605">
          <cell r="A2605" t="str">
            <v>BTN</v>
          </cell>
          <cell r="B2605">
            <v>2012</v>
          </cell>
          <cell r="C2605" t="str">
            <v>maagrfc</v>
          </cell>
          <cell r="D2605">
            <v>2.3924520015716553</v>
          </cell>
        </row>
        <row r="2606">
          <cell r="A2606" t="str">
            <v>BTN</v>
          </cell>
          <cell r="B2606">
            <v>2015</v>
          </cell>
          <cell r="C2606" t="str">
            <v>mac_tfpz</v>
          </cell>
          <cell r="D2606">
            <v>0.8355252742767334</v>
          </cell>
        </row>
        <row r="2607">
          <cell r="A2607" t="str">
            <v>BTN</v>
          </cell>
          <cell r="B2607">
            <v>2013</v>
          </cell>
          <cell r="C2607" t="str">
            <v>mapanusatls</v>
          </cell>
          <cell r="D2607">
            <v>54.85772705078125</v>
          </cell>
        </row>
        <row r="2608">
          <cell r="A2608" t="str">
            <v>BTN</v>
          </cell>
          <cell r="B2608">
            <v>2023</v>
          </cell>
          <cell r="C2608" t="str">
            <v>mar_impz</v>
          </cell>
          <cell r="D2608">
            <v>50.476879119873047</v>
          </cell>
        </row>
        <row r="2609">
          <cell r="A2609" t="str">
            <v>BTN</v>
          </cell>
          <cell r="B2609">
            <v>2022</v>
          </cell>
          <cell r="C2609" t="str">
            <v>maconz</v>
          </cell>
          <cell r="D2609">
            <v>1.5234674215316772</v>
          </cell>
        </row>
        <row r="2610">
          <cell r="A2610" t="str">
            <v>BTN</v>
          </cell>
          <cell r="B2610">
            <v>2010</v>
          </cell>
          <cell r="C2610" t="str">
            <v>magdpz</v>
          </cell>
          <cell r="D2610">
            <v>9.8782691955566406</v>
          </cell>
        </row>
        <row r="2611">
          <cell r="A2611" t="str">
            <v>BTN</v>
          </cell>
          <cell r="B2611">
            <v>2023</v>
          </cell>
          <cell r="C2611" t="str">
            <v>maagrfc</v>
          </cell>
          <cell r="D2611">
            <v>0.346670001745224</v>
          </cell>
        </row>
        <row r="2612">
          <cell r="A2612" t="str">
            <v>BTN</v>
          </cell>
          <cell r="B2612">
            <v>2006</v>
          </cell>
          <cell r="C2612" t="str">
            <v>maconz</v>
          </cell>
          <cell r="D2612">
            <v>-11.536075592041016</v>
          </cell>
        </row>
        <row r="2613">
          <cell r="A2613" t="str">
            <v>BTN</v>
          </cell>
          <cell r="B2613">
            <v>2008</v>
          </cell>
          <cell r="C2613" t="str">
            <v>maindfc</v>
          </cell>
          <cell r="D2613">
            <v>19.395538330078125</v>
          </cell>
        </row>
        <row r="2614">
          <cell r="A2614" t="str">
            <v>BTN</v>
          </cell>
          <cell r="B2614">
            <v>2014</v>
          </cell>
          <cell r="C2614" t="str">
            <v>mar_indfc</v>
          </cell>
          <cell r="D2614">
            <v>42.326206207275391</v>
          </cell>
        </row>
        <row r="2615">
          <cell r="A2615" t="str">
            <v>BTN</v>
          </cell>
          <cell r="B2615">
            <v>2020</v>
          </cell>
          <cell r="C2615" t="str">
            <v>macab_</v>
          </cell>
          <cell r="D2615">
            <v>-14.789276123046875</v>
          </cell>
        </row>
        <row r="2616">
          <cell r="A2616" t="str">
            <v>BTN</v>
          </cell>
          <cell r="B2616">
            <v>2020</v>
          </cell>
          <cell r="C2616" t="str">
            <v>madebt_</v>
          </cell>
          <cell r="D2616">
            <v>114.93871307373047</v>
          </cell>
        </row>
        <row r="2617">
          <cell r="A2617" t="str">
            <v>BTN</v>
          </cell>
          <cell r="B2617">
            <v>2020</v>
          </cell>
          <cell r="C2617" t="str">
            <v>maagrfc</v>
          </cell>
          <cell r="D2617">
            <v>2.8710248470306396</v>
          </cell>
        </row>
        <row r="2618">
          <cell r="A2618" t="str">
            <v>BTN</v>
          </cell>
          <cell r="B2618">
            <v>2017</v>
          </cell>
          <cell r="C2618" t="str">
            <v>madebt_</v>
          </cell>
          <cell r="D2618">
            <v>104.82834625244141</v>
          </cell>
        </row>
        <row r="2619">
          <cell r="A2619" t="str">
            <v>BTN</v>
          </cell>
          <cell r="B2619">
            <v>2017</v>
          </cell>
          <cell r="C2619" t="str">
            <v>maexpz</v>
          </cell>
          <cell r="D2619">
            <v>0.42716604471206665</v>
          </cell>
        </row>
        <row r="2620">
          <cell r="A2620" t="str">
            <v>BTN</v>
          </cell>
          <cell r="B2620">
            <v>2006</v>
          </cell>
          <cell r="C2620" t="str">
            <v>mareer</v>
          </cell>
          <cell r="D2620">
            <v>115.21905517578125</v>
          </cell>
        </row>
        <row r="2621">
          <cell r="A2621" t="str">
            <v>BTN</v>
          </cell>
          <cell r="B2621">
            <v>2019</v>
          </cell>
          <cell r="C2621" t="str">
            <v>mar_indfc</v>
          </cell>
          <cell r="D2621">
            <v>36.747348785400391</v>
          </cell>
        </row>
        <row r="2622">
          <cell r="A2622" t="str">
            <v>BTN</v>
          </cell>
          <cell r="B2622">
            <v>2016</v>
          </cell>
          <cell r="C2622" t="str">
            <v>mareer</v>
          </cell>
          <cell r="D2622">
            <v>101.63526916503906</v>
          </cell>
        </row>
        <row r="2623">
          <cell r="A2623" t="str">
            <v>BTN</v>
          </cell>
          <cell r="B2623">
            <v>2011</v>
          </cell>
          <cell r="C2623" t="str">
            <v>malabz</v>
          </cell>
          <cell r="D2623">
            <v>1.889453649520874</v>
          </cell>
        </row>
        <row r="2624">
          <cell r="A2624" t="str">
            <v>BTN</v>
          </cell>
          <cell r="B2624">
            <v>2024</v>
          </cell>
          <cell r="C2624" t="str">
            <v>mapanusatls</v>
          </cell>
          <cell r="D2624">
            <v>82.578330993652344</v>
          </cell>
        </row>
        <row r="2625">
          <cell r="A2625" t="str">
            <v>BTN</v>
          </cell>
          <cell r="B2625">
            <v>2022</v>
          </cell>
          <cell r="C2625" t="str">
            <v>mafdi_</v>
          </cell>
        </row>
        <row r="2626">
          <cell r="A2626" t="str">
            <v>BTN</v>
          </cell>
          <cell r="B2626">
            <v>2019</v>
          </cell>
          <cell r="C2626" t="str">
            <v>macpiz</v>
          </cell>
          <cell r="D2626">
            <v>2.8212394714355469</v>
          </cell>
        </row>
        <row r="2627">
          <cell r="A2627" t="str">
            <v>BTN</v>
          </cell>
          <cell r="B2627">
            <v>2024</v>
          </cell>
          <cell r="C2627" t="str">
            <v>mainvz</v>
          </cell>
          <cell r="D2627">
            <v>-0.46868786215782166</v>
          </cell>
        </row>
        <row r="2628">
          <cell r="A2628" t="str">
            <v>BTN</v>
          </cell>
          <cell r="B2628">
            <v>2005</v>
          </cell>
          <cell r="C2628" t="str">
            <v>mac_tfpz</v>
          </cell>
          <cell r="D2628">
            <v>1.9756748676300049</v>
          </cell>
        </row>
        <row r="2629">
          <cell r="A2629" t="str">
            <v>BTN</v>
          </cell>
          <cell r="B2629">
            <v>2018</v>
          </cell>
          <cell r="C2629" t="str">
            <v>mapanusatls</v>
          </cell>
          <cell r="D2629">
            <v>65.156707763671875</v>
          </cell>
        </row>
        <row r="2630">
          <cell r="A2630" t="str">
            <v>BTN</v>
          </cell>
          <cell r="B2630">
            <v>2019</v>
          </cell>
          <cell r="C2630" t="str">
            <v>malabz</v>
          </cell>
          <cell r="D2630">
            <v>1.7720046043395996</v>
          </cell>
        </row>
        <row r="2631">
          <cell r="A2631" t="str">
            <v>BTN</v>
          </cell>
          <cell r="B2631">
            <v>2009</v>
          </cell>
          <cell r="C2631" t="str">
            <v>mar_taxfc</v>
          </cell>
          <cell r="D2631">
            <v>4.1350193023681641</v>
          </cell>
        </row>
        <row r="2632">
          <cell r="A2632" t="str">
            <v>BTN</v>
          </cell>
          <cell r="B2632">
            <v>2022</v>
          </cell>
          <cell r="C2632" t="str">
            <v>mar_agrfc</v>
          </cell>
          <cell r="D2632">
            <v>13.798357009887695</v>
          </cell>
        </row>
        <row r="2633">
          <cell r="A2633" t="str">
            <v>BTN</v>
          </cell>
          <cell r="B2633">
            <v>2006</v>
          </cell>
          <cell r="C2633" t="str">
            <v>mac_tfpz</v>
          </cell>
          <cell r="D2633">
            <v>2.127138614654541</v>
          </cell>
        </row>
        <row r="2634">
          <cell r="A2634" t="str">
            <v>BTN</v>
          </cell>
          <cell r="B2634">
            <v>2007</v>
          </cell>
          <cell r="C2634" t="str">
            <v>maexpz</v>
          </cell>
          <cell r="D2634">
            <v>30.029535293579102</v>
          </cell>
        </row>
        <row r="2635">
          <cell r="A2635" t="str">
            <v>BTN</v>
          </cell>
          <cell r="B2635">
            <v>2009</v>
          </cell>
          <cell r="C2635" t="str">
            <v>malabz</v>
          </cell>
          <cell r="D2635">
            <v>2.1190719604492188</v>
          </cell>
        </row>
        <row r="2636">
          <cell r="A2636" t="str">
            <v>BTN</v>
          </cell>
          <cell r="B2636">
            <v>2015</v>
          </cell>
          <cell r="C2636" t="str">
            <v>mafdi_</v>
          </cell>
        </row>
        <row r="2637">
          <cell r="A2637" t="str">
            <v>BTN</v>
          </cell>
          <cell r="B2637">
            <v>2018</v>
          </cell>
          <cell r="C2637" t="str">
            <v>mainvz</v>
          </cell>
          <cell r="D2637">
            <v>-0.72160458564758301</v>
          </cell>
        </row>
        <row r="2638">
          <cell r="A2638" t="str">
            <v>BTN</v>
          </cell>
          <cell r="B2638">
            <v>2023</v>
          </cell>
          <cell r="C2638" t="str">
            <v>macab_</v>
          </cell>
          <cell r="D2638">
            <v>-34.340248107910156</v>
          </cell>
        </row>
        <row r="2639">
          <cell r="A2639" t="str">
            <v>BTN</v>
          </cell>
          <cell r="B2639">
            <v>2012</v>
          </cell>
          <cell r="C2639" t="str">
            <v>mar_impz</v>
          </cell>
          <cell r="D2639">
            <v>63.927391052246094</v>
          </cell>
        </row>
        <row r="2640">
          <cell r="A2640" t="str">
            <v>BTN</v>
          </cell>
          <cell r="B2640">
            <v>2014</v>
          </cell>
          <cell r="C2640" t="str">
            <v>mafdi_</v>
          </cell>
        </row>
        <row r="2641">
          <cell r="A2641" t="str">
            <v>BTN</v>
          </cell>
          <cell r="B2641">
            <v>2007</v>
          </cell>
          <cell r="C2641" t="str">
            <v>magovz</v>
          </cell>
          <cell r="D2641">
            <v>8.9497766494750977</v>
          </cell>
        </row>
        <row r="2642">
          <cell r="A2642" t="str">
            <v>BTN</v>
          </cell>
          <cell r="B2642">
            <v>2013</v>
          </cell>
          <cell r="C2642" t="str">
            <v>maindfc</v>
          </cell>
          <cell r="D2642">
            <v>5.627537727355957</v>
          </cell>
        </row>
        <row r="2643">
          <cell r="A2643" t="str">
            <v>BTN</v>
          </cell>
          <cell r="B2643">
            <v>2022</v>
          </cell>
          <cell r="C2643" t="str">
            <v>maindfc</v>
          </cell>
          <cell r="D2643">
            <v>4.7859921455383301</v>
          </cell>
        </row>
        <row r="2644">
          <cell r="A2644" t="str">
            <v>BTN</v>
          </cell>
          <cell r="B2644">
            <v>2025</v>
          </cell>
          <cell r="C2644" t="str">
            <v>maindfc</v>
          </cell>
          <cell r="D2644">
            <v>9.1000003814697266</v>
          </cell>
        </row>
        <row r="2645">
          <cell r="A2645" t="str">
            <v>BTN</v>
          </cell>
          <cell r="B2645">
            <v>2008</v>
          </cell>
          <cell r="C2645" t="str">
            <v>magovz</v>
          </cell>
          <cell r="D2645">
            <v>2.8848557472229004</v>
          </cell>
        </row>
        <row r="2646">
          <cell r="A2646" t="str">
            <v>BTN</v>
          </cell>
          <cell r="B2646">
            <v>2023</v>
          </cell>
          <cell r="C2646" t="str">
            <v>mar_taxfc</v>
          </cell>
          <cell r="D2646">
            <v>2.381758451461792</v>
          </cell>
        </row>
        <row r="2647">
          <cell r="A2647" t="str">
            <v>BTN</v>
          </cell>
          <cell r="B2647">
            <v>2015</v>
          </cell>
          <cell r="C2647" t="str">
            <v>macpiz</v>
          </cell>
          <cell r="D2647">
            <v>6.6705608367919922</v>
          </cell>
        </row>
        <row r="2648">
          <cell r="A2648" t="str">
            <v>BTN</v>
          </cell>
          <cell r="B2648">
            <v>2013</v>
          </cell>
          <cell r="C2648" t="str">
            <v>masrvfc</v>
          </cell>
          <cell r="D2648">
            <v>0.33209198713302612</v>
          </cell>
        </row>
        <row r="2649">
          <cell r="A2649" t="str">
            <v>BTN</v>
          </cell>
          <cell r="B2649">
            <v>2016</v>
          </cell>
          <cell r="C2649" t="str">
            <v>mar_taxfc</v>
          </cell>
          <cell r="D2649">
            <v>6.596381664276123</v>
          </cell>
        </row>
        <row r="2650">
          <cell r="A2650" t="str">
            <v>BTN</v>
          </cell>
          <cell r="B2650">
            <v>2021</v>
          </cell>
          <cell r="C2650" t="str">
            <v>masrvfc</v>
          </cell>
          <cell r="D2650">
            <v>-1.1854206323623657</v>
          </cell>
        </row>
        <row r="2651">
          <cell r="A2651" t="str">
            <v>BTN</v>
          </cell>
          <cell r="B2651">
            <v>2025</v>
          </cell>
          <cell r="C2651" t="str">
            <v>mac_tfpz</v>
          </cell>
          <cell r="D2651">
            <v>2.3235359191894531</v>
          </cell>
        </row>
        <row r="2652">
          <cell r="A2652" t="str">
            <v>BTN</v>
          </cell>
          <cell r="B2652">
            <v>2009</v>
          </cell>
          <cell r="C2652" t="str">
            <v>mac_tfpz</v>
          </cell>
          <cell r="D2652">
            <v>2.1578679084777832</v>
          </cell>
        </row>
        <row r="2653">
          <cell r="A2653" t="str">
            <v>BTN</v>
          </cell>
          <cell r="B2653">
            <v>2016</v>
          </cell>
          <cell r="C2653" t="str">
            <v>mar_expz</v>
          </cell>
          <cell r="D2653">
            <v>29.576692581176758</v>
          </cell>
        </row>
        <row r="2654">
          <cell r="A2654" t="str">
            <v>BTN</v>
          </cell>
          <cell r="B2654">
            <v>2017</v>
          </cell>
          <cell r="C2654" t="str">
            <v>masrvfc</v>
          </cell>
          <cell r="D2654">
            <v>8.8920602798461914</v>
          </cell>
        </row>
        <row r="2655">
          <cell r="A2655" t="str">
            <v>BTN</v>
          </cell>
          <cell r="B2655">
            <v>2009</v>
          </cell>
          <cell r="C2655" t="str">
            <v>mainvz</v>
          </cell>
          <cell r="D2655">
            <v>23.004465103149414</v>
          </cell>
        </row>
        <row r="2656">
          <cell r="A2656" t="str">
            <v>BTN</v>
          </cell>
          <cell r="B2656">
            <v>2019</v>
          </cell>
          <cell r="C2656" t="str">
            <v>mar_impz</v>
          </cell>
          <cell r="D2656">
            <v>45.322650909423828</v>
          </cell>
        </row>
        <row r="2657">
          <cell r="A2657" t="str">
            <v>BTN</v>
          </cell>
          <cell r="B2657">
            <v>2005</v>
          </cell>
          <cell r="C2657" t="str">
            <v>maimpz</v>
          </cell>
          <cell r="D2657">
            <v>19.784341812133789</v>
          </cell>
        </row>
        <row r="2658">
          <cell r="A2658" t="str">
            <v>BTN</v>
          </cell>
          <cell r="B2658">
            <v>2014</v>
          </cell>
          <cell r="C2658" t="str">
            <v>magovz</v>
          </cell>
          <cell r="D2658">
            <v>-4.2023525238037109</v>
          </cell>
        </row>
        <row r="2659">
          <cell r="A2659" t="str">
            <v>BTN</v>
          </cell>
          <cell r="B2659">
            <v>2026</v>
          </cell>
          <cell r="C2659" t="str">
            <v>madebt_</v>
          </cell>
          <cell r="D2659">
            <v>108.44237518310547</v>
          </cell>
        </row>
        <row r="2660">
          <cell r="A2660" t="str">
            <v>BTN</v>
          </cell>
          <cell r="B2660">
            <v>2018</v>
          </cell>
          <cell r="C2660" t="str">
            <v>mafdi_</v>
          </cell>
        </row>
        <row r="2661">
          <cell r="A2661" t="str">
            <v>BTN</v>
          </cell>
          <cell r="B2661">
            <v>2011</v>
          </cell>
          <cell r="C2661" t="str">
            <v>mapanusatls</v>
          </cell>
          <cell r="D2661">
            <v>45.332958221435547</v>
          </cell>
        </row>
        <row r="2662">
          <cell r="A2662" t="str">
            <v>BTN</v>
          </cell>
          <cell r="B2662">
            <v>2016</v>
          </cell>
          <cell r="C2662" t="str">
            <v>mar_srvfc</v>
          </cell>
          <cell r="D2662">
            <v>43.845733642578125</v>
          </cell>
        </row>
        <row r="2663">
          <cell r="A2663" t="str">
            <v>BTN</v>
          </cell>
          <cell r="B2663">
            <v>2015</v>
          </cell>
          <cell r="C2663" t="str">
            <v>maconz</v>
          </cell>
          <cell r="D2663">
            <v>20.056962966918945</v>
          </cell>
        </row>
        <row r="2664">
          <cell r="A2664" t="str">
            <v>BTN</v>
          </cell>
          <cell r="B2664">
            <v>2020</v>
          </cell>
          <cell r="C2664" t="str">
            <v>mar_srvfc</v>
          </cell>
          <cell r="D2664">
            <v>52.029300689697266</v>
          </cell>
        </row>
        <row r="2665">
          <cell r="A2665" t="str">
            <v>BTN</v>
          </cell>
          <cell r="B2665">
            <v>2010</v>
          </cell>
          <cell r="C2665" t="str">
            <v>mac_labz</v>
          </cell>
          <cell r="D2665">
            <v>1.3999658823013306</v>
          </cell>
        </row>
        <row r="2666">
          <cell r="A2666" t="str">
            <v>BTN</v>
          </cell>
          <cell r="B2666">
            <v>2024</v>
          </cell>
          <cell r="C2666" t="str">
            <v>masrvfc</v>
          </cell>
          <cell r="D2666">
            <v>5.5705609321594238</v>
          </cell>
        </row>
        <row r="2667">
          <cell r="A2667" t="str">
            <v>BTN</v>
          </cell>
          <cell r="B2667">
            <v>2010</v>
          </cell>
          <cell r="C2667" t="str">
            <v>macab_</v>
          </cell>
          <cell r="D2667">
            <v>-21.08837890625</v>
          </cell>
        </row>
        <row r="2668">
          <cell r="A2668" t="str">
            <v>BTN</v>
          </cell>
          <cell r="B2668">
            <v>2010</v>
          </cell>
          <cell r="C2668" t="str">
            <v>madebt_</v>
          </cell>
          <cell r="D2668">
            <v>56.454093933105469</v>
          </cell>
        </row>
        <row r="2669">
          <cell r="A2669" t="str">
            <v>BTN</v>
          </cell>
          <cell r="B2669">
            <v>2023</v>
          </cell>
          <cell r="C2669" t="str">
            <v>malabz</v>
          </cell>
          <cell r="D2669">
            <v>1.3158153295516968</v>
          </cell>
        </row>
        <row r="2670">
          <cell r="A2670" t="str">
            <v>BTN</v>
          </cell>
          <cell r="B2670">
            <v>2018</v>
          </cell>
          <cell r="C2670" t="str">
            <v>maagrfc</v>
          </cell>
          <cell r="D2670">
            <v>3.0016753673553467</v>
          </cell>
        </row>
        <row r="2671">
          <cell r="A2671" t="str">
            <v>BTN</v>
          </cell>
          <cell r="B2671">
            <v>2007</v>
          </cell>
          <cell r="C2671" t="str">
            <v>maagrfc</v>
          </cell>
          <cell r="D2671">
            <v>1.7168949842453003</v>
          </cell>
        </row>
        <row r="2672">
          <cell r="A2672" t="str">
            <v>BTN</v>
          </cell>
          <cell r="B2672">
            <v>2006</v>
          </cell>
          <cell r="C2672" t="str">
            <v>matfpz</v>
          </cell>
          <cell r="D2672">
            <v>2.127138614654541</v>
          </cell>
        </row>
        <row r="2673">
          <cell r="A2673" t="str">
            <v>BTN</v>
          </cell>
          <cell r="B2673">
            <v>2010</v>
          </cell>
          <cell r="C2673" t="str">
            <v>macpiz</v>
          </cell>
          <cell r="D2673">
            <v>4.8260436058044434</v>
          </cell>
        </row>
        <row r="2674">
          <cell r="A2674" t="str">
            <v>BTN</v>
          </cell>
          <cell r="B2674">
            <v>2008</v>
          </cell>
          <cell r="C2674" t="str">
            <v>mar_impz</v>
          </cell>
          <cell r="D2674">
            <v>57.367385864257813</v>
          </cell>
        </row>
        <row r="2675">
          <cell r="A2675" t="str">
            <v>BTN</v>
          </cell>
          <cell r="B2675">
            <v>2016</v>
          </cell>
          <cell r="C2675" t="str">
            <v>maconz</v>
          </cell>
          <cell r="D2675">
            <v>3.813894510269165</v>
          </cell>
        </row>
        <row r="2676">
          <cell r="A2676" t="str">
            <v>BTN</v>
          </cell>
          <cell r="B2676">
            <v>2026</v>
          </cell>
          <cell r="C2676" t="str">
            <v>mapanusatls</v>
          </cell>
          <cell r="D2676">
            <v>80.679618835449219</v>
          </cell>
        </row>
        <row r="2677">
          <cell r="A2677" t="str">
            <v>BTN</v>
          </cell>
          <cell r="B2677">
            <v>2016</v>
          </cell>
          <cell r="C2677" t="str">
            <v>mar_con</v>
          </cell>
          <cell r="D2677">
            <v>51.098789215087891</v>
          </cell>
        </row>
        <row r="2678">
          <cell r="A2678" t="str">
            <v>BTN</v>
          </cell>
          <cell r="B2678">
            <v>2022</v>
          </cell>
          <cell r="C2678" t="str">
            <v>mac_labz</v>
          </cell>
          <cell r="D2678">
            <v>0.98457890748977661</v>
          </cell>
        </row>
        <row r="2679">
          <cell r="A2679" t="str">
            <v>BTN</v>
          </cell>
          <cell r="B2679">
            <v>2009</v>
          </cell>
          <cell r="C2679" t="str">
            <v>mar_con</v>
          </cell>
          <cell r="D2679">
            <v>40.137828826904297</v>
          </cell>
        </row>
        <row r="2680">
          <cell r="A2680" t="str">
            <v>BTN</v>
          </cell>
          <cell r="B2680">
            <v>2008</v>
          </cell>
          <cell r="C2680" t="str">
            <v>mapanusatls</v>
          </cell>
          <cell r="D2680">
            <v>40.369998931884766</v>
          </cell>
        </row>
        <row r="2681">
          <cell r="A2681" t="str">
            <v>BTN</v>
          </cell>
          <cell r="B2681">
            <v>2020</v>
          </cell>
          <cell r="C2681" t="str">
            <v>magdpz</v>
          </cell>
          <cell r="D2681">
            <v>-2.4550213813781738</v>
          </cell>
        </row>
        <row r="2682">
          <cell r="A2682" t="str">
            <v>BTN</v>
          </cell>
          <cell r="B2682">
            <v>2006</v>
          </cell>
          <cell r="C2682" t="str">
            <v>masrvfc</v>
          </cell>
          <cell r="D2682">
            <v>10.022482872009277</v>
          </cell>
        </row>
        <row r="2683">
          <cell r="A2683" t="str">
            <v>BTN</v>
          </cell>
          <cell r="B2683">
            <v>2025</v>
          </cell>
          <cell r="C2683" t="str">
            <v>magap_</v>
          </cell>
          <cell r="D2683">
            <v>-0.81169557571411133</v>
          </cell>
        </row>
        <row r="2684">
          <cell r="A2684" t="str">
            <v>BTN</v>
          </cell>
          <cell r="B2684">
            <v>2007</v>
          </cell>
          <cell r="C2684" t="str">
            <v>maindfc</v>
          </cell>
          <cell r="D2684">
            <v>23.755210876464844</v>
          </cell>
        </row>
        <row r="2685">
          <cell r="A2685" t="str">
            <v>BTN</v>
          </cell>
          <cell r="B2685">
            <v>2024</v>
          </cell>
          <cell r="C2685" t="str">
            <v>mafdi_</v>
          </cell>
        </row>
        <row r="2686">
          <cell r="A2686" t="str">
            <v>BTN</v>
          </cell>
          <cell r="B2686">
            <v>2024</v>
          </cell>
          <cell r="C2686" t="str">
            <v>magap_</v>
          </cell>
          <cell r="D2686">
            <v>-1.1915042400360107</v>
          </cell>
        </row>
        <row r="2687">
          <cell r="A2687" t="str">
            <v>BTN</v>
          </cell>
          <cell r="B2687">
            <v>2023</v>
          </cell>
          <cell r="C2687" t="str">
            <v>madebt_</v>
          </cell>
          <cell r="D2687">
            <v>116.45173645019531</v>
          </cell>
        </row>
        <row r="2688">
          <cell r="A2688" t="str">
            <v>BTN</v>
          </cell>
          <cell r="B2688">
            <v>2015</v>
          </cell>
          <cell r="C2688" t="str">
            <v>magdpz</v>
          </cell>
          <cell r="D2688">
            <v>6.1545071601867676</v>
          </cell>
        </row>
        <row r="2689">
          <cell r="A2689" t="str">
            <v>BTN</v>
          </cell>
          <cell r="B2689">
            <v>2006</v>
          </cell>
          <cell r="C2689" t="str">
            <v>madebt_</v>
          </cell>
          <cell r="D2689">
            <v>80.124351501464844</v>
          </cell>
        </row>
        <row r="2690">
          <cell r="A2690" t="str">
            <v>BTN</v>
          </cell>
          <cell r="B2690">
            <v>2022</v>
          </cell>
          <cell r="C2690" t="str">
            <v>maagrfc</v>
          </cell>
          <cell r="D2690">
            <v>0.1317252516746521</v>
          </cell>
        </row>
        <row r="2691">
          <cell r="A2691" t="str">
            <v>BTN</v>
          </cell>
          <cell r="B2691">
            <v>2017</v>
          </cell>
          <cell r="C2691" t="str">
            <v>magovz</v>
          </cell>
          <cell r="D2691">
            <v>4.2977156639099121</v>
          </cell>
        </row>
        <row r="2692">
          <cell r="A2692" t="str">
            <v>BTN</v>
          </cell>
          <cell r="B2692">
            <v>2024</v>
          </cell>
          <cell r="C2692" t="str">
            <v>mar_con</v>
          </cell>
          <cell r="D2692">
            <v>47.313560485839844</v>
          </cell>
        </row>
        <row r="2693">
          <cell r="A2693" t="str">
            <v>BTN</v>
          </cell>
          <cell r="B2693">
            <v>2021</v>
          </cell>
          <cell r="C2693" t="str">
            <v>malabz</v>
          </cell>
          <cell r="D2693">
            <v>1.5296802520751953</v>
          </cell>
        </row>
        <row r="2694">
          <cell r="A2694" t="str">
            <v>BTN</v>
          </cell>
          <cell r="B2694">
            <v>2026</v>
          </cell>
          <cell r="C2694" t="str">
            <v>maagrfc</v>
          </cell>
          <cell r="D2694">
            <v>1.7000000476837158</v>
          </cell>
        </row>
        <row r="2695">
          <cell r="A2695" t="str">
            <v>BTN</v>
          </cell>
          <cell r="B2695">
            <v>2024</v>
          </cell>
          <cell r="C2695" t="str">
            <v>mar_expz</v>
          </cell>
          <cell r="D2695">
            <v>27.102472305297852</v>
          </cell>
        </row>
        <row r="2696">
          <cell r="A2696" t="str">
            <v>BTN</v>
          </cell>
          <cell r="B2696">
            <v>2013</v>
          </cell>
          <cell r="C2696" t="str">
            <v>maimpz</v>
          </cell>
          <cell r="D2696">
            <v>-4.553555965423584</v>
          </cell>
        </row>
        <row r="2697">
          <cell r="A2697" t="str">
            <v>BTN</v>
          </cell>
          <cell r="B2697">
            <v>2017</v>
          </cell>
          <cell r="C2697" t="str">
            <v>maconz</v>
          </cell>
          <cell r="D2697">
            <v>-1.076410174369812</v>
          </cell>
        </row>
        <row r="2698">
          <cell r="A2698" t="str">
            <v>BTN</v>
          </cell>
          <cell r="B2698">
            <v>2019</v>
          </cell>
          <cell r="C2698" t="str">
            <v>mar_con</v>
          </cell>
          <cell r="D2698">
            <v>47.717689514160156</v>
          </cell>
        </row>
        <row r="2699">
          <cell r="A2699" t="str">
            <v>BTN</v>
          </cell>
          <cell r="B2699">
            <v>2026</v>
          </cell>
          <cell r="C2699" t="str">
            <v>mac_labz</v>
          </cell>
          <cell r="D2699">
            <v>0.84228509664535522</v>
          </cell>
        </row>
        <row r="2700">
          <cell r="A2700" t="str">
            <v>BTN</v>
          </cell>
          <cell r="B2700">
            <v>2020</v>
          </cell>
          <cell r="C2700" t="str">
            <v>macpiz</v>
          </cell>
          <cell r="D2700">
            <v>3.0391385555267334</v>
          </cell>
        </row>
        <row r="2701">
          <cell r="A2701" t="str">
            <v>BTN</v>
          </cell>
          <cell r="B2701">
            <v>2008</v>
          </cell>
          <cell r="C2701" t="str">
            <v>maagrfc</v>
          </cell>
          <cell r="D2701">
            <v>0.74818938970565796</v>
          </cell>
        </row>
        <row r="2702">
          <cell r="A2702" t="str">
            <v>BTN</v>
          </cell>
          <cell r="B2702">
            <v>2012</v>
          </cell>
          <cell r="C2702" t="str">
            <v>mar_indfc</v>
          </cell>
          <cell r="D2702">
            <v>41.06842041015625</v>
          </cell>
        </row>
        <row r="2703">
          <cell r="A2703" t="str">
            <v>BTN</v>
          </cell>
          <cell r="B2703">
            <v>2011</v>
          </cell>
          <cell r="C2703" t="str">
            <v>magovz</v>
          </cell>
          <cell r="D2703">
            <v>5.4945902824401855</v>
          </cell>
        </row>
        <row r="2704">
          <cell r="A2704" t="str">
            <v>BTN</v>
          </cell>
          <cell r="B2704">
            <v>2020</v>
          </cell>
          <cell r="C2704" t="str">
            <v>mapanusatls</v>
          </cell>
          <cell r="D2704">
            <v>72.470634460449219</v>
          </cell>
        </row>
        <row r="2705">
          <cell r="A2705" t="str">
            <v>BTN</v>
          </cell>
          <cell r="B2705">
            <v>2026</v>
          </cell>
          <cell r="C2705" t="str">
            <v>mar_srvfc</v>
          </cell>
          <cell r="D2705">
            <v>52.708900451660156</v>
          </cell>
        </row>
        <row r="2706">
          <cell r="A2706" t="str">
            <v>BTN</v>
          </cell>
          <cell r="B2706">
            <v>2024</v>
          </cell>
          <cell r="C2706" t="str">
            <v>mar_indfc</v>
          </cell>
          <cell r="D2706">
            <v>33.240169525146484</v>
          </cell>
        </row>
        <row r="2707">
          <cell r="A2707" t="str">
            <v>BTN</v>
          </cell>
          <cell r="B2707">
            <v>2024</v>
          </cell>
          <cell r="C2707" t="str">
            <v>madeficit_</v>
          </cell>
          <cell r="D2707">
            <v>-4.0505399703979492</v>
          </cell>
        </row>
        <row r="2708">
          <cell r="A2708" t="str">
            <v>BTN</v>
          </cell>
          <cell r="B2708">
            <v>2019</v>
          </cell>
          <cell r="C2708" t="str">
            <v>mar_taxfc</v>
          </cell>
          <cell r="D2708">
            <v>5.1045708656311035</v>
          </cell>
        </row>
        <row r="2709">
          <cell r="A2709" t="str">
            <v>BTN</v>
          </cell>
          <cell r="B2709">
            <v>2014</v>
          </cell>
          <cell r="C2709" t="str">
            <v>magdpz</v>
          </cell>
          <cell r="D2709">
            <v>3.705214262008667</v>
          </cell>
        </row>
        <row r="2710">
          <cell r="A2710" t="str">
            <v>BTN</v>
          </cell>
          <cell r="B2710">
            <v>2008</v>
          </cell>
          <cell r="C2710" t="str">
            <v>mar_taxfc</v>
          </cell>
          <cell r="D2710">
            <v>4.2742466926574707</v>
          </cell>
        </row>
        <row r="2711">
          <cell r="A2711" t="str">
            <v>BTN</v>
          </cell>
          <cell r="B2711">
            <v>2009</v>
          </cell>
          <cell r="C2711" t="str">
            <v>magovz</v>
          </cell>
          <cell r="D2711">
            <v>11.128389358520508</v>
          </cell>
        </row>
        <row r="2712">
          <cell r="A2712" t="str">
            <v>BTN</v>
          </cell>
          <cell r="B2712">
            <v>2026</v>
          </cell>
          <cell r="C2712" t="str">
            <v>maindfc</v>
          </cell>
          <cell r="D2712">
            <v>9.6000003814697266</v>
          </cell>
        </row>
        <row r="2713">
          <cell r="A2713" t="str">
            <v>BTN</v>
          </cell>
          <cell r="B2713">
            <v>2005</v>
          </cell>
          <cell r="C2713" t="str">
            <v>mar_con</v>
          </cell>
          <cell r="D2713">
            <v>44.623157501220703</v>
          </cell>
        </row>
        <row r="2714">
          <cell r="A2714" t="str">
            <v>BTN</v>
          </cell>
          <cell r="B2714">
            <v>2012</v>
          </cell>
          <cell r="C2714" t="str">
            <v>mac_labz</v>
          </cell>
          <cell r="D2714">
            <v>1.2364262342453003</v>
          </cell>
        </row>
        <row r="2715">
          <cell r="A2715" t="str">
            <v>BTN</v>
          </cell>
          <cell r="B2715">
            <v>2010</v>
          </cell>
          <cell r="C2715" t="str">
            <v>mafdi_</v>
          </cell>
        </row>
        <row r="2716">
          <cell r="A2716" t="str">
            <v>BTN</v>
          </cell>
          <cell r="B2716">
            <v>2014</v>
          </cell>
          <cell r="C2716" t="str">
            <v>madebt_</v>
          </cell>
          <cell r="D2716">
            <v>91.195358276367188</v>
          </cell>
        </row>
        <row r="2717">
          <cell r="A2717" t="str">
            <v>BTN</v>
          </cell>
          <cell r="B2717">
            <v>2019</v>
          </cell>
          <cell r="C2717" t="str">
            <v>mac_tfpz</v>
          </cell>
          <cell r="D2717">
            <v>0.51935416460037231</v>
          </cell>
        </row>
        <row r="2718">
          <cell r="A2718" t="str">
            <v>BTN</v>
          </cell>
          <cell r="B2718">
            <v>2021</v>
          </cell>
          <cell r="C2718" t="str">
            <v>mar_impz</v>
          </cell>
          <cell r="D2718">
            <v>44.870719909667969</v>
          </cell>
        </row>
        <row r="2719">
          <cell r="A2719" t="str">
            <v>BTN</v>
          </cell>
          <cell r="B2719">
            <v>2012</v>
          </cell>
          <cell r="C2719" t="str">
            <v>matfpz</v>
          </cell>
          <cell r="D2719">
            <v>1.4078752994537354</v>
          </cell>
        </row>
        <row r="2720">
          <cell r="A2720" t="str">
            <v>BTN</v>
          </cell>
          <cell r="B2720">
            <v>2009</v>
          </cell>
          <cell r="C2720" t="str">
            <v>mar_impz</v>
          </cell>
          <cell r="D2720">
            <v>58.715290069580078</v>
          </cell>
        </row>
        <row r="2721">
          <cell r="A2721" t="str">
            <v>BTN</v>
          </cell>
          <cell r="B2721">
            <v>2006</v>
          </cell>
          <cell r="C2721" t="str">
            <v>macab_</v>
          </cell>
          <cell r="D2721">
            <v>-4.2848939895629883</v>
          </cell>
        </row>
        <row r="2722">
          <cell r="A2722" t="str">
            <v>BTN</v>
          </cell>
          <cell r="B2722">
            <v>2021</v>
          </cell>
          <cell r="C2722" t="str">
            <v>madebt_</v>
          </cell>
          <cell r="D2722">
            <v>123.27619171142578</v>
          </cell>
        </row>
        <row r="2723">
          <cell r="A2723" t="str">
            <v>BTN</v>
          </cell>
          <cell r="B2723">
            <v>2025</v>
          </cell>
          <cell r="C2723" t="str">
            <v>macpiz</v>
          </cell>
          <cell r="D2723">
            <v>4.0999965667724609</v>
          </cell>
        </row>
        <row r="2724">
          <cell r="A2724" t="str">
            <v>BTN</v>
          </cell>
          <cell r="B2724">
            <v>2021</v>
          </cell>
          <cell r="C2724" t="str">
            <v>magovz</v>
          </cell>
          <cell r="D2724">
            <v>5.4349493980407715</v>
          </cell>
        </row>
        <row r="2725">
          <cell r="A2725" t="str">
            <v>BTN</v>
          </cell>
          <cell r="B2725">
            <v>2009</v>
          </cell>
          <cell r="C2725" t="str">
            <v>mar_expz</v>
          </cell>
          <cell r="D2725">
            <v>46.996982574462891</v>
          </cell>
        </row>
        <row r="2726">
          <cell r="A2726" t="str">
            <v>BTN</v>
          </cell>
          <cell r="B2726">
            <v>2021</v>
          </cell>
          <cell r="C2726" t="str">
            <v>mar_con</v>
          </cell>
          <cell r="D2726">
            <v>51.045097351074219</v>
          </cell>
        </row>
        <row r="2727">
          <cell r="A2727" t="str">
            <v>BTN</v>
          </cell>
          <cell r="B2727">
            <v>2020</v>
          </cell>
          <cell r="C2727" t="str">
            <v>mareer</v>
          </cell>
          <cell r="D2727">
            <v>109.52278137207031</v>
          </cell>
        </row>
        <row r="2728">
          <cell r="A2728" t="str">
            <v>BTN</v>
          </cell>
          <cell r="B2728">
            <v>2019</v>
          </cell>
          <cell r="C2728" t="str">
            <v>matfpz</v>
          </cell>
          <cell r="D2728">
            <v>0.51935416460037231</v>
          </cell>
        </row>
        <row r="2729">
          <cell r="A2729" t="str">
            <v>BTN</v>
          </cell>
          <cell r="B2729">
            <v>2012</v>
          </cell>
          <cell r="C2729" t="str">
            <v>mapanusatls</v>
          </cell>
          <cell r="D2729">
            <v>50.270038604736328</v>
          </cell>
        </row>
        <row r="2730">
          <cell r="A2730" t="str">
            <v>BTN</v>
          </cell>
          <cell r="B2730">
            <v>2014</v>
          </cell>
          <cell r="C2730" t="str">
            <v>mareer</v>
          </cell>
          <cell r="D2730">
            <v>91.156379699707031</v>
          </cell>
        </row>
        <row r="2731">
          <cell r="A2731" t="str">
            <v>BTN</v>
          </cell>
          <cell r="B2731">
            <v>2024</v>
          </cell>
          <cell r="C2731" t="str">
            <v>mac_tfpz</v>
          </cell>
          <cell r="D2731">
            <v>2.0391292572021484</v>
          </cell>
        </row>
        <row r="2732">
          <cell r="A2732" t="str">
            <v>BTN</v>
          </cell>
          <cell r="B2732">
            <v>2018</v>
          </cell>
          <cell r="C2732" t="str">
            <v>mar_taxfc</v>
          </cell>
          <cell r="D2732">
            <v>5.4089770317077637</v>
          </cell>
        </row>
        <row r="2733">
          <cell r="A2733" t="str">
            <v>BTN</v>
          </cell>
          <cell r="B2733">
            <v>2022</v>
          </cell>
          <cell r="C2733" t="str">
            <v>magovz</v>
          </cell>
          <cell r="D2733">
            <v>1.8893604278564453</v>
          </cell>
        </row>
        <row r="2734">
          <cell r="A2734" t="str">
            <v>BTN</v>
          </cell>
          <cell r="B2734">
            <v>2026</v>
          </cell>
          <cell r="C2734" t="str">
            <v>masrvfc</v>
          </cell>
          <cell r="D2734">
            <v>4.7270097732543945</v>
          </cell>
        </row>
        <row r="2735">
          <cell r="A2735" t="str">
            <v>BTN</v>
          </cell>
          <cell r="B2735">
            <v>2015</v>
          </cell>
          <cell r="C2735" t="str">
            <v>mapanusatls</v>
          </cell>
          <cell r="D2735">
            <v>62.042110443115234</v>
          </cell>
        </row>
        <row r="2736">
          <cell r="A2736" t="str">
            <v>BTN</v>
          </cell>
          <cell r="B2736">
            <v>2014</v>
          </cell>
          <cell r="C2736" t="str">
            <v>madeficit_</v>
          </cell>
          <cell r="D2736">
            <v>2.4945082664489746</v>
          </cell>
        </row>
        <row r="2737">
          <cell r="A2737" t="str">
            <v>BTN</v>
          </cell>
          <cell r="B2737">
            <v>2013</v>
          </cell>
          <cell r="C2737" t="str">
            <v>mar_srvfc</v>
          </cell>
          <cell r="D2737">
            <v>42.613021850585938</v>
          </cell>
        </row>
        <row r="2738">
          <cell r="A2738" t="str">
            <v>BTN</v>
          </cell>
          <cell r="B2738">
            <v>2018</v>
          </cell>
          <cell r="C2738" t="str">
            <v>madebt_</v>
          </cell>
          <cell r="D2738">
            <v>107.29480743408203</v>
          </cell>
        </row>
        <row r="2739">
          <cell r="A2739" t="str">
            <v>BTN</v>
          </cell>
          <cell r="B2739">
            <v>2014</v>
          </cell>
          <cell r="C2739" t="str">
            <v>mar_srvfc</v>
          </cell>
          <cell r="D2739">
            <v>42.744739532470703</v>
          </cell>
        </row>
        <row r="2740">
          <cell r="A2740" t="str">
            <v>BTN</v>
          </cell>
          <cell r="B2740">
            <v>2022</v>
          </cell>
          <cell r="C2740" t="str">
            <v>mainvz</v>
          </cell>
          <cell r="D2740">
            <v>25.364963531494141</v>
          </cell>
        </row>
        <row r="2741">
          <cell r="A2741" t="str">
            <v>BTN</v>
          </cell>
          <cell r="B2741">
            <v>2006</v>
          </cell>
          <cell r="C2741" t="str">
            <v>mar_expz</v>
          </cell>
          <cell r="D2741">
            <v>48.954044342041016</v>
          </cell>
        </row>
        <row r="2742">
          <cell r="A2742" t="str">
            <v>BTN</v>
          </cell>
          <cell r="B2742">
            <v>2011</v>
          </cell>
          <cell r="C2742" t="str">
            <v>macab_</v>
          </cell>
          <cell r="D2742">
            <v>-28.063156127929688</v>
          </cell>
        </row>
        <row r="2743">
          <cell r="A2743" t="str">
            <v>BTN</v>
          </cell>
          <cell r="B2743">
            <v>2009</v>
          </cell>
          <cell r="C2743" t="str">
            <v>mar_agrfc</v>
          </cell>
          <cell r="D2743">
            <v>17.975337982177734</v>
          </cell>
        </row>
        <row r="2744">
          <cell r="A2744" t="str">
            <v>BTN</v>
          </cell>
          <cell r="B2744">
            <v>2010</v>
          </cell>
          <cell r="C2744" t="str">
            <v>mar_indfc</v>
          </cell>
          <cell r="D2744">
            <v>40.913368225097656</v>
          </cell>
        </row>
        <row r="2745">
          <cell r="A2745" t="str">
            <v>BTN</v>
          </cell>
          <cell r="B2745">
            <v>2007</v>
          </cell>
          <cell r="C2745" t="str">
            <v>macab_</v>
          </cell>
          <cell r="D2745">
            <v>7.8567914962768555</v>
          </cell>
        </row>
        <row r="2746">
          <cell r="A2746" t="str">
            <v>BTN</v>
          </cell>
          <cell r="B2746">
            <v>2023</v>
          </cell>
          <cell r="C2746" t="str">
            <v>mar_expz</v>
          </cell>
          <cell r="D2746">
            <v>26.39531135559082</v>
          </cell>
        </row>
        <row r="2747">
          <cell r="A2747" t="str">
            <v>BTN</v>
          </cell>
          <cell r="B2747">
            <v>2020</v>
          </cell>
          <cell r="C2747" t="str">
            <v>mataxfc</v>
          </cell>
          <cell r="D2747">
            <v>-31.161211013793945</v>
          </cell>
        </row>
        <row r="2748">
          <cell r="A2748" t="str">
            <v>BTN</v>
          </cell>
          <cell r="B2748">
            <v>2007</v>
          </cell>
          <cell r="C2748" t="str">
            <v>mar_expz</v>
          </cell>
          <cell r="D2748">
            <v>57.337791442871094</v>
          </cell>
        </row>
        <row r="2749">
          <cell r="A2749" t="str">
            <v>BTN</v>
          </cell>
          <cell r="B2749">
            <v>2012</v>
          </cell>
          <cell r="C2749" t="str">
            <v>mataxfc</v>
          </cell>
          <cell r="D2749">
            <v>29.521707534790039</v>
          </cell>
        </row>
        <row r="2750">
          <cell r="A2750" t="str">
            <v>BTN</v>
          </cell>
          <cell r="B2750">
            <v>2021</v>
          </cell>
          <cell r="C2750" t="str">
            <v>mainvz</v>
          </cell>
          <cell r="D2750">
            <v>-3.4388260841369629</v>
          </cell>
        </row>
        <row r="2751">
          <cell r="A2751" t="str">
            <v>BTN</v>
          </cell>
          <cell r="B2751">
            <v>2021</v>
          </cell>
          <cell r="C2751" t="str">
            <v>maexpz</v>
          </cell>
          <cell r="D2751">
            <v>-10.448375701904297</v>
          </cell>
        </row>
        <row r="2752">
          <cell r="A2752" t="str">
            <v>BTN</v>
          </cell>
          <cell r="B2752">
            <v>2005</v>
          </cell>
          <cell r="C2752" t="str">
            <v>mainvz</v>
          </cell>
          <cell r="D2752">
            <v>-5.673624575138092E-2</v>
          </cell>
        </row>
        <row r="2753">
          <cell r="A2753" t="str">
            <v>BTN</v>
          </cell>
          <cell r="B2753">
            <v>2011</v>
          </cell>
          <cell r="C2753" t="str">
            <v>mar_expz</v>
          </cell>
          <cell r="D2753">
            <v>41.958221435546875</v>
          </cell>
        </row>
        <row r="2754">
          <cell r="A2754" t="str">
            <v>BTN</v>
          </cell>
          <cell r="B2754">
            <v>2014</v>
          </cell>
          <cell r="C2754" t="str">
            <v>mar_impz</v>
          </cell>
          <cell r="D2754">
            <v>56.421779632568359</v>
          </cell>
        </row>
        <row r="2755">
          <cell r="A2755" t="str">
            <v>BTN</v>
          </cell>
          <cell r="B2755">
            <v>2011</v>
          </cell>
          <cell r="C2755" t="str">
            <v>maimpz</v>
          </cell>
          <cell r="D2755">
            <v>15.916367530822754</v>
          </cell>
        </row>
        <row r="2756">
          <cell r="A2756" t="str">
            <v>BTN</v>
          </cell>
          <cell r="B2756">
            <v>2025</v>
          </cell>
          <cell r="C2756" t="str">
            <v>maimpz</v>
          </cell>
          <cell r="D2756">
            <v>-3.9000000953674316</v>
          </cell>
        </row>
        <row r="2757">
          <cell r="A2757" t="str">
            <v>BTN</v>
          </cell>
          <cell r="B2757">
            <v>2016</v>
          </cell>
          <cell r="C2757" t="str">
            <v>maagrfc</v>
          </cell>
          <cell r="D2757">
            <v>4.8755764961242676</v>
          </cell>
        </row>
        <row r="2758">
          <cell r="A2758" t="str">
            <v>BTN</v>
          </cell>
          <cell r="B2758">
            <v>2014</v>
          </cell>
          <cell r="C2758" t="str">
            <v>mac_labz</v>
          </cell>
          <cell r="D2758">
            <v>1.1034703254699707</v>
          </cell>
        </row>
        <row r="2759">
          <cell r="A2759" t="str">
            <v>BTN</v>
          </cell>
          <cell r="B2759">
            <v>2025</v>
          </cell>
          <cell r="C2759" t="str">
            <v>mar_con</v>
          </cell>
          <cell r="D2759">
            <v>45.705669403076172</v>
          </cell>
        </row>
        <row r="2760">
          <cell r="A2760" t="str">
            <v>BTN</v>
          </cell>
          <cell r="B2760">
            <v>2010</v>
          </cell>
          <cell r="C2760" t="str">
            <v>maagrfc</v>
          </cell>
          <cell r="D2760">
            <v>2.074833869934082</v>
          </cell>
        </row>
        <row r="2761">
          <cell r="A2761" t="str">
            <v>BTN</v>
          </cell>
          <cell r="B2761">
            <v>2021</v>
          </cell>
          <cell r="C2761" t="str">
            <v>mar_agrfc</v>
          </cell>
          <cell r="D2761">
            <v>14.458268165588379</v>
          </cell>
        </row>
        <row r="2762">
          <cell r="A2762" t="str">
            <v>BTN</v>
          </cell>
          <cell r="B2762">
            <v>2015</v>
          </cell>
          <cell r="C2762" t="str">
            <v>mac_labz</v>
          </cell>
          <cell r="D2762">
            <v>1.078671932220459</v>
          </cell>
        </row>
        <row r="2763">
          <cell r="A2763" t="str">
            <v>BTN</v>
          </cell>
          <cell r="B2763">
            <v>2024</v>
          </cell>
          <cell r="C2763" t="str">
            <v>mataxfc</v>
          </cell>
          <cell r="D2763">
            <v>4.8606619834899902</v>
          </cell>
        </row>
        <row r="2764">
          <cell r="A2764" t="str">
            <v>BTN</v>
          </cell>
          <cell r="B2764">
            <v>2006</v>
          </cell>
          <cell r="C2764" t="str">
            <v>mainvz</v>
          </cell>
          <cell r="D2764">
            <v>-5.0334696769714355</v>
          </cell>
        </row>
        <row r="2765">
          <cell r="A2765" t="str">
            <v>BTN</v>
          </cell>
          <cell r="B2765">
            <v>2019</v>
          </cell>
          <cell r="C2765" t="str">
            <v>maagrfc</v>
          </cell>
          <cell r="D2765">
            <v>2.2906970977783203</v>
          </cell>
        </row>
        <row r="2766">
          <cell r="A2766" t="str">
            <v>BTN</v>
          </cell>
          <cell r="B2766">
            <v>2005</v>
          </cell>
          <cell r="C2766" t="str">
            <v>mareer</v>
          </cell>
          <cell r="D2766">
            <v>0</v>
          </cell>
        </row>
        <row r="2767">
          <cell r="A2767" t="str">
            <v>BTN</v>
          </cell>
          <cell r="B2767">
            <v>2017</v>
          </cell>
          <cell r="C2767" t="str">
            <v>maimpz</v>
          </cell>
          <cell r="D2767">
            <v>-5.3398618698120117</v>
          </cell>
        </row>
        <row r="2768">
          <cell r="A2768" t="str">
            <v>BTN</v>
          </cell>
          <cell r="B2768">
            <v>2007</v>
          </cell>
          <cell r="C2768" t="str">
            <v>madebt_</v>
          </cell>
          <cell r="D2768">
            <v>67.25238037109375</v>
          </cell>
        </row>
        <row r="2769">
          <cell r="A2769" t="str">
            <v>BTN</v>
          </cell>
          <cell r="B2769">
            <v>2007</v>
          </cell>
          <cell r="C2769" t="str">
            <v>mapanusatls</v>
          </cell>
          <cell r="D2769">
            <v>44.189998626708984</v>
          </cell>
        </row>
        <row r="2770">
          <cell r="A2770" t="str">
            <v>BTN</v>
          </cell>
          <cell r="B2770">
            <v>2010</v>
          </cell>
          <cell r="C2770" t="str">
            <v>maconz</v>
          </cell>
          <cell r="D2770">
            <v>2.2056796550750732</v>
          </cell>
        </row>
        <row r="2771">
          <cell r="A2771" t="str">
            <v>BTN</v>
          </cell>
          <cell r="B2771">
            <v>2020</v>
          </cell>
          <cell r="C2771" t="str">
            <v>mac_labz</v>
          </cell>
          <cell r="D2771">
            <v>1.1623119115829468</v>
          </cell>
        </row>
        <row r="2772">
          <cell r="A2772" t="str">
            <v>BTN</v>
          </cell>
          <cell r="B2772">
            <v>2021</v>
          </cell>
          <cell r="C2772" t="str">
            <v>mar_taxfc</v>
          </cell>
          <cell r="D2772">
            <v>2.4739270210266113</v>
          </cell>
        </row>
        <row r="2773">
          <cell r="A2773" t="str">
            <v>BTN</v>
          </cell>
          <cell r="B2773">
            <v>2008</v>
          </cell>
          <cell r="C2773" t="str">
            <v>madeficit_</v>
          </cell>
          <cell r="D2773">
            <v>-2.5663487911224365</v>
          </cell>
        </row>
        <row r="2774">
          <cell r="A2774" t="str">
            <v>BTN</v>
          </cell>
          <cell r="B2774">
            <v>2005</v>
          </cell>
          <cell r="C2774" t="str">
            <v>maindfc</v>
          </cell>
          <cell r="D2774">
            <v>2.8937807083129883</v>
          </cell>
        </row>
        <row r="2775">
          <cell r="A2775" t="str">
            <v>BTN</v>
          </cell>
          <cell r="B2775">
            <v>2008</v>
          </cell>
          <cell r="C2775" t="str">
            <v>macpiz</v>
          </cell>
          <cell r="D2775">
            <v>6.2998466491699219</v>
          </cell>
        </row>
        <row r="2776">
          <cell r="A2776" t="str">
            <v>BTN</v>
          </cell>
          <cell r="B2776">
            <v>2026</v>
          </cell>
          <cell r="C2776" t="str">
            <v>mafdi_</v>
          </cell>
        </row>
        <row r="2777">
          <cell r="A2777" t="str">
            <v>BTN</v>
          </cell>
          <cell r="B2777">
            <v>2026</v>
          </cell>
          <cell r="C2777" t="str">
            <v>maexpz</v>
          </cell>
          <cell r="D2777">
            <v>9.7399997711181641</v>
          </cell>
        </row>
        <row r="2778">
          <cell r="A2778" t="str">
            <v>BTN</v>
          </cell>
          <cell r="B2778">
            <v>2015</v>
          </cell>
          <cell r="C2778" t="str">
            <v>magap_</v>
          </cell>
          <cell r="D2778">
            <v>-2.1570003032684326</v>
          </cell>
        </row>
        <row r="2779">
          <cell r="A2779" t="str">
            <v>BTN</v>
          </cell>
          <cell r="B2779">
            <v>2010</v>
          </cell>
          <cell r="C2779" t="str">
            <v>mareer</v>
          </cell>
          <cell r="D2779">
            <v>116.86048889160156</v>
          </cell>
        </row>
        <row r="2780">
          <cell r="A2780" t="str">
            <v>BTN</v>
          </cell>
          <cell r="B2780">
            <v>2008</v>
          </cell>
          <cell r="C2780" t="str">
            <v>madebt_</v>
          </cell>
          <cell r="D2780">
            <v>60.565139770507813</v>
          </cell>
        </row>
        <row r="2781">
          <cell r="A2781" t="str">
            <v>BTN</v>
          </cell>
          <cell r="B2781">
            <v>2019</v>
          </cell>
          <cell r="C2781" t="str">
            <v>mainvz</v>
          </cell>
          <cell r="D2781">
            <v>-4.3309969902038574</v>
          </cell>
        </row>
        <row r="2782">
          <cell r="A2782" t="str">
            <v>BTN</v>
          </cell>
          <cell r="B2782">
            <v>2013</v>
          </cell>
          <cell r="C2782" t="str">
            <v>maconz</v>
          </cell>
          <cell r="D2782">
            <v>14.432726860046387</v>
          </cell>
        </row>
        <row r="2783">
          <cell r="A2783" t="str">
            <v>BTN</v>
          </cell>
          <cell r="B2783">
            <v>2024</v>
          </cell>
          <cell r="C2783" t="str">
            <v>mareer</v>
          </cell>
          <cell r="D2783">
            <v>112.19580841064453</v>
          </cell>
        </row>
        <row r="2784">
          <cell r="A2784" t="str">
            <v>BTN</v>
          </cell>
          <cell r="B2784">
            <v>2013</v>
          </cell>
          <cell r="C2784" t="str">
            <v>mar_expz</v>
          </cell>
          <cell r="D2784">
            <v>38.478794097900391</v>
          </cell>
        </row>
        <row r="2785">
          <cell r="A2785" t="str">
            <v>BTN</v>
          </cell>
          <cell r="B2785">
            <v>2010</v>
          </cell>
          <cell r="C2785" t="str">
            <v>maexpz</v>
          </cell>
          <cell r="D2785">
            <v>2.5066895484924316</v>
          </cell>
        </row>
        <row r="2786">
          <cell r="A2786" t="str">
            <v>BTN</v>
          </cell>
          <cell r="B2786">
            <v>2021</v>
          </cell>
          <cell r="C2786" t="str">
            <v>mar_expz</v>
          </cell>
          <cell r="D2786">
            <v>28.919618606567383</v>
          </cell>
        </row>
        <row r="2787">
          <cell r="A2787" t="str">
            <v>BTN</v>
          </cell>
          <cell r="B2787">
            <v>2017</v>
          </cell>
          <cell r="C2787" t="str">
            <v>matfpz</v>
          </cell>
          <cell r="D2787">
            <v>0.65364187955856323</v>
          </cell>
        </row>
        <row r="2788">
          <cell r="A2788" t="str">
            <v>BTN</v>
          </cell>
          <cell r="B2788">
            <v>2022</v>
          </cell>
          <cell r="C2788" t="str">
            <v>mataxfc</v>
          </cell>
          <cell r="D2788">
            <v>1.011643648147583</v>
          </cell>
        </row>
        <row r="2789">
          <cell r="A2789" t="str">
            <v>BTN</v>
          </cell>
          <cell r="B2789">
            <v>2022</v>
          </cell>
          <cell r="C2789" t="str">
            <v>matfpz</v>
          </cell>
          <cell r="D2789">
            <v>3.3005595207214355</v>
          </cell>
        </row>
        <row r="2790">
          <cell r="A2790" t="str">
            <v>BTN</v>
          </cell>
          <cell r="B2790">
            <v>2026</v>
          </cell>
          <cell r="C2790" t="str">
            <v>mar_impz</v>
          </cell>
          <cell r="D2790">
            <v>39.214725494384766</v>
          </cell>
        </row>
        <row r="2791">
          <cell r="A2791" t="str">
            <v>BTN</v>
          </cell>
          <cell r="B2791">
            <v>2008</v>
          </cell>
          <cell r="C2791" t="str">
            <v>mareer</v>
          </cell>
          <cell r="D2791">
            <v>128.60675048828125</v>
          </cell>
        </row>
        <row r="2792">
          <cell r="A2792" t="str">
            <v>BTN</v>
          </cell>
          <cell r="B2792">
            <v>2013</v>
          </cell>
          <cell r="C2792" t="str">
            <v>madeficit_</v>
          </cell>
          <cell r="D2792">
            <v>-4.6204400062561035</v>
          </cell>
        </row>
        <row r="2793">
          <cell r="A2793" t="str">
            <v>BTN</v>
          </cell>
          <cell r="B2793">
            <v>2026</v>
          </cell>
          <cell r="C2793" t="str">
            <v>macab_</v>
          </cell>
          <cell r="D2793">
            <v>-9.6391086578369141</v>
          </cell>
        </row>
        <row r="2794">
          <cell r="A2794" t="str">
            <v>BTN</v>
          </cell>
          <cell r="B2794">
            <v>2008</v>
          </cell>
          <cell r="C2794" t="str">
            <v>mac_labz</v>
          </cell>
          <cell r="D2794">
            <v>1.5642892122268677</v>
          </cell>
        </row>
        <row r="2795">
          <cell r="A2795" t="str">
            <v>BTN</v>
          </cell>
          <cell r="B2795">
            <v>2005</v>
          </cell>
          <cell r="C2795" t="str">
            <v>mataxfc</v>
          </cell>
          <cell r="D2795">
            <v>13.986679077148438</v>
          </cell>
        </row>
        <row r="2796">
          <cell r="A2796" t="str">
            <v>BTN</v>
          </cell>
          <cell r="B2796">
            <v>2019</v>
          </cell>
          <cell r="C2796" t="str">
            <v>mapanusatls</v>
          </cell>
          <cell r="D2796">
            <v>70.531684875488281</v>
          </cell>
        </row>
        <row r="2797">
          <cell r="A2797" t="str">
            <v>BTN</v>
          </cell>
          <cell r="B2797">
            <v>2023</v>
          </cell>
          <cell r="C2797" t="str">
            <v>mapanusatls</v>
          </cell>
          <cell r="D2797">
            <v>81.480461120605469</v>
          </cell>
        </row>
        <row r="2798">
          <cell r="A2798" t="str">
            <v>BTN</v>
          </cell>
          <cell r="B2798">
            <v>2026</v>
          </cell>
          <cell r="C2798" t="str">
            <v>maconz</v>
          </cell>
          <cell r="D2798">
            <v>2.25</v>
          </cell>
        </row>
        <row r="2799">
          <cell r="A2799" t="str">
            <v>BTN</v>
          </cell>
          <cell r="B2799">
            <v>2016</v>
          </cell>
          <cell r="C2799" t="str">
            <v>maindfc</v>
          </cell>
          <cell r="D2799">
            <v>7.9498858451843262</v>
          </cell>
        </row>
        <row r="2800">
          <cell r="A2800" t="str">
            <v>BTN</v>
          </cell>
          <cell r="B2800">
            <v>2024</v>
          </cell>
          <cell r="C2800" t="str">
            <v>maimpz</v>
          </cell>
          <cell r="D2800">
            <v>-4</v>
          </cell>
        </row>
        <row r="2801">
          <cell r="A2801" t="str">
            <v>BTN</v>
          </cell>
          <cell r="B2801">
            <v>2023</v>
          </cell>
          <cell r="C2801" t="str">
            <v>maimpz</v>
          </cell>
          <cell r="D2801">
            <v>8.9171199798583984</v>
          </cell>
        </row>
        <row r="2802">
          <cell r="A2802" t="str">
            <v>BTN</v>
          </cell>
          <cell r="B2802">
            <v>2017</v>
          </cell>
          <cell r="C2802" t="str">
            <v>macab_</v>
          </cell>
          <cell r="D2802">
            <v>-21.306621551513672</v>
          </cell>
        </row>
        <row r="2803">
          <cell r="A2803" t="str">
            <v>BTN</v>
          </cell>
          <cell r="B2803">
            <v>2014</v>
          </cell>
          <cell r="C2803" t="str">
            <v>magap_</v>
          </cell>
          <cell r="D2803">
            <v>-3.0729689598083496</v>
          </cell>
        </row>
        <row r="2804">
          <cell r="A2804" t="str">
            <v>BTN</v>
          </cell>
          <cell r="B2804">
            <v>2020</v>
          </cell>
          <cell r="C2804" t="str">
            <v>magovz</v>
          </cell>
          <cell r="D2804">
            <v>6.9688353538513184</v>
          </cell>
        </row>
        <row r="2805">
          <cell r="A2805" t="str">
            <v>BTN</v>
          </cell>
          <cell r="B2805">
            <v>2010</v>
          </cell>
          <cell r="C2805" t="str">
            <v>mar_con</v>
          </cell>
          <cell r="D2805">
            <v>37.335079193115234</v>
          </cell>
        </row>
        <row r="2806">
          <cell r="A2806" t="str">
            <v>BTN</v>
          </cell>
          <cell r="B2806">
            <v>2024</v>
          </cell>
          <cell r="C2806" t="str">
            <v>maindfc</v>
          </cell>
          <cell r="D2806">
            <v>4.9602599143981934</v>
          </cell>
        </row>
        <row r="2807">
          <cell r="A2807" t="str">
            <v>BTN</v>
          </cell>
          <cell r="B2807">
            <v>2018</v>
          </cell>
          <cell r="C2807" t="str">
            <v>maindfc</v>
          </cell>
          <cell r="D2807">
            <v>-0.64479392766952515</v>
          </cell>
        </row>
        <row r="2808">
          <cell r="A2808" t="str">
            <v>BTN</v>
          </cell>
          <cell r="B2808">
            <v>2005</v>
          </cell>
          <cell r="C2808" t="str">
            <v>macpiz</v>
          </cell>
          <cell r="D2808">
            <v>4.8226070404052734</v>
          </cell>
        </row>
        <row r="2809">
          <cell r="A2809" t="str">
            <v>BTN</v>
          </cell>
          <cell r="B2809">
            <v>2023</v>
          </cell>
          <cell r="C2809" t="str">
            <v>mar_con</v>
          </cell>
          <cell r="D2809">
            <v>48.6405029296875</v>
          </cell>
        </row>
        <row r="2810">
          <cell r="A2810" t="str">
            <v>BTN</v>
          </cell>
          <cell r="B2810">
            <v>2006</v>
          </cell>
          <cell r="C2810" t="str">
            <v>mac_labz</v>
          </cell>
          <cell r="D2810">
            <v>1.8795373439788818</v>
          </cell>
        </row>
        <row r="2811">
          <cell r="A2811" t="str">
            <v>BTN</v>
          </cell>
          <cell r="B2811">
            <v>2006</v>
          </cell>
          <cell r="C2811" t="str">
            <v>maimpz</v>
          </cell>
          <cell r="D2811">
            <v>4.9749946594238281</v>
          </cell>
        </row>
        <row r="2812">
          <cell r="A2812" t="str">
            <v>BTN</v>
          </cell>
          <cell r="B2812">
            <v>2023</v>
          </cell>
          <cell r="C2812" t="str">
            <v>maconz</v>
          </cell>
          <cell r="D2812">
            <v>2.8959400653839111</v>
          </cell>
        </row>
        <row r="2813">
          <cell r="A2813" t="str">
            <v>BTN</v>
          </cell>
          <cell r="B2813">
            <v>2010</v>
          </cell>
          <cell r="C2813" t="str">
            <v>magovz</v>
          </cell>
          <cell r="D2813">
            <v>13.569179534912109</v>
          </cell>
        </row>
        <row r="2814">
          <cell r="A2814" t="str">
            <v>BTN</v>
          </cell>
          <cell r="B2814">
            <v>2018</v>
          </cell>
          <cell r="C2814" t="str">
            <v>maconz</v>
          </cell>
          <cell r="D2814">
            <v>5.2790064811706543</v>
          </cell>
        </row>
        <row r="2815">
          <cell r="A2815" t="str">
            <v>BTN</v>
          </cell>
          <cell r="B2815">
            <v>2018</v>
          </cell>
          <cell r="C2815" t="str">
            <v>magap_</v>
          </cell>
          <cell r="D2815">
            <v>-0.38639658689498901</v>
          </cell>
        </row>
        <row r="2816">
          <cell r="A2816" t="str">
            <v>BTN</v>
          </cell>
          <cell r="B2816">
            <v>2008</v>
          </cell>
          <cell r="C2816" t="str">
            <v>mar_indfc</v>
          </cell>
          <cell r="D2816">
            <v>41.828384399414063</v>
          </cell>
        </row>
        <row r="2817">
          <cell r="A2817" t="str">
            <v>BTN</v>
          </cell>
          <cell r="B2817">
            <v>2020</v>
          </cell>
          <cell r="C2817" t="str">
            <v>maindfc</v>
          </cell>
          <cell r="D2817">
            <v>-7.8218517303466797</v>
          </cell>
        </row>
        <row r="2818">
          <cell r="A2818" t="str">
            <v>BTN</v>
          </cell>
          <cell r="B2818">
            <v>2022</v>
          </cell>
          <cell r="C2818" t="str">
            <v>madeficit_</v>
          </cell>
          <cell r="D2818">
            <v>-6.9514541625976563</v>
          </cell>
        </row>
        <row r="2819">
          <cell r="A2819" t="str">
            <v>BTN</v>
          </cell>
          <cell r="B2819">
            <v>2011</v>
          </cell>
          <cell r="C2819" t="str">
            <v>maindfc</v>
          </cell>
          <cell r="D2819">
            <v>8.5083417892456055</v>
          </cell>
        </row>
        <row r="2820">
          <cell r="A2820" t="str">
            <v>BTN</v>
          </cell>
          <cell r="B2820">
            <v>2005</v>
          </cell>
          <cell r="C2820" t="str">
            <v>magovz</v>
          </cell>
          <cell r="D2820">
            <v>4.9330687522888184</v>
          </cell>
        </row>
        <row r="2821">
          <cell r="A2821" t="str">
            <v>BTN</v>
          </cell>
          <cell r="B2821">
            <v>2010</v>
          </cell>
          <cell r="C2821" t="str">
            <v>mainvz</v>
          </cell>
          <cell r="D2821">
            <v>37.153884887695313</v>
          </cell>
        </row>
        <row r="2822">
          <cell r="A2822" t="str">
            <v>BTN</v>
          </cell>
          <cell r="B2822">
            <v>2026</v>
          </cell>
          <cell r="C2822" t="str">
            <v>mainvz</v>
          </cell>
          <cell r="D2822">
            <v>3.1913454532623291</v>
          </cell>
        </row>
        <row r="2823">
          <cell r="A2823" t="str">
            <v>BTN</v>
          </cell>
          <cell r="B2823">
            <v>2022</v>
          </cell>
          <cell r="C2823" t="str">
            <v>mar_indfc</v>
          </cell>
          <cell r="D2823">
            <v>32.888473510742188</v>
          </cell>
        </row>
        <row r="2824">
          <cell r="A2824" t="str">
            <v>BTN</v>
          </cell>
          <cell r="B2824">
            <v>2009</v>
          </cell>
          <cell r="C2824" t="str">
            <v>maagrfc</v>
          </cell>
          <cell r="D2824">
            <v>1.9367871284484863</v>
          </cell>
        </row>
        <row r="2825">
          <cell r="A2825" t="str">
            <v>BTN</v>
          </cell>
          <cell r="B2825">
            <v>2025</v>
          </cell>
          <cell r="C2825" t="str">
            <v>mar_taxfc</v>
          </cell>
          <cell r="D2825">
            <v>2.381758451461792</v>
          </cell>
        </row>
        <row r="2826">
          <cell r="A2826" t="str">
            <v>BTN</v>
          </cell>
          <cell r="B2826">
            <v>2008</v>
          </cell>
          <cell r="C2826" t="str">
            <v>mainvz</v>
          </cell>
          <cell r="D2826">
            <v>3.8986666202545166</v>
          </cell>
        </row>
        <row r="2827">
          <cell r="A2827" t="str">
            <v>BTN</v>
          </cell>
          <cell r="B2827">
            <v>2017</v>
          </cell>
          <cell r="C2827" t="str">
            <v>magap_</v>
          </cell>
          <cell r="D2827">
            <v>1.0247646570205688</v>
          </cell>
        </row>
        <row r="2828">
          <cell r="A2828" t="str">
            <v>BTN</v>
          </cell>
          <cell r="B2828">
            <v>2026</v>
          </cell>
          <cell r="C2828" t="str">
            <v>mar_con</v>
          </cell>
          <cell r="D2828">
            <v>44.078495025634766</v>
          </cell>
        </row>
        <row r="2829">
          <cell r="A2829" t="str">
            <v>BTN</v>
          </cell>
          <cell r="B2829">
            <v>2015</v>
          </cell>
          <cell r="C2829" t="str">
            <v>mainvz</v>
          </cell>
          <cell r="D2829">
            <v>3.3776893615722656</v>
          </cell>
        </row>
        <row r="2830">
          <cell r="A2830" t="str">
            <v>BTN</v>
          </cell>
          <cell r="B2830">
            <v>2014</v>
          </cell>
          <cell r="C2830" t="str">
            <v>mar_agrfc</v>
          </cell>
          <cell r="D2830">
            <v>14.92905330657959</v>
          </cell>
        </row>
        <row r="2831">
          <cell r="A2831" t="str">
            <v>BTN</v>
          </cell>
          <cell r="B2831">
            <v>2026</v>
          </cell>
          <cell r="C2831" t="str">
            <v>magdpz</v>
          </cell>
          <cell r="D2831">
            <v>6.02459716796875</v>
          </cell>
        </row>
        <row r="2832">
          <cell r="A2832" t="str">
            <v>BTN</v>
          </cell>
          <cell r="B2832">
            <v>2020</v>
          </cell>
          <cell r="C2832" t="str">
            <v>mac_tfpz</v>
          </cell>
          <cell r="D2832">
            <v>-7.5605301856994629</v>
          </cell>
        </row>
        <row r="2833">
          <cell r="A2833" t="str">
            <v>BTN</v>
          </cell>
          <cell r="B2833">
            <v>2018</v>
          </cell>
          <cell r="C2833" t="str">
            <v>magdpz</v>
          </cell>
          <cell r="D2833">
            <v>3.5046846866607666</v>
          </cell>
        </row>
        <row r="2834">
          <cell r="A2834" t="str">
            <v>BTN</v>
          </cell>
          <cell r="B2834">
            <v>2025</v>
          </cell>
          <cell r="C2834" t="str">
            <v>mapanusatls</v>
          </cell>
          <cell r="D2834">
            <v>80.0625</v>
          </cell>
        </row>
        <row r="2835">
          <cell r="A2835" t="str">
            <v>BTN</v>
          </cell>
          <cell r="B2835">
            <v>2024</v>
          </cell>
          <cell r="C2835" t="str">
            <v>maexpz</v>
          </cell>
          <cell r="D2835">
            <v>7.6700000762939453</v>
          </cell>
        </row>
        <row r="2836">
          <cell r="A2836" t="str">
            <v>BTN</v>
          </cell>
          <cell r="B2836">
            <v>2013</v>
          </cell>
          <cell r="C2836" t="str">
            <v>macpiz</v>
          </cell>
          <cell r="D2836">
            <v>8.1090116500854492</v>
          </cell>
        </row>
        <row r="2837">
          <cell r="A2837" t="str">
            <v>BTN</v>
          </cell>
          <cell r="B2837">
            <v>2019</v>
          </cell>
          <cell r="C2837" t="str">
            <v>mar_agrfc</v>
          </cell>
          <cell r="D2837">
            <v>13.242709159851074</v>
          </cell>
        </row>
        <row r="2838">
          <cell r="A2838" t="str">
            <v>BTN</v>
          </cell>
          <cell r="B2838">
            <v>2019</v>
          </cell>
          <cell r="C2838" t="str">
            <v>macab_</v>
          </cell>
          <cell r="D2838">
            <v>-19.187501907348633</v>
          </cell>
        </row>
        <row r="2839">
          <cell r="A2839" t="str">
            <v>BTN</v>
          </cell>
          <cell r="B2839">
            <v>2020</v>
          </cell>
          <cell r="C2839" t="str">
            <v>mafdi_</v>
          </cell>
        </row>
        <row r="2840">
          <cell r="A2840" t="str">
            <v>BTN</v>
          </cell>
          <cell r="B2840">
            <v>2011</v>
          </cell>
          <cell r="C2840" t="str">
            <v>mataxfc</v>
          </cell>
          <cell r="D2840">
            <v>34.421363830566406</v>
          </cell>
        </row>
        <row r="2841">
          <cell r="A2841" t="str">
            <v>BTN</v>
          </cell>
          <cell r="B2841">
            <v>2011</v>
          </cell>
          <cell r="C2841" t="str">
            <v>mac_tfpz</v>
          </cell>
          <cell r="D2841">
            <v>1.7013117074966431</v>
          </cell>
        </row>
        <row r="2842">
          <cell r="A2842" t="str">
            <v>BTN</v>
          </cell>
          <cell r="B2842">
            <v>2023</v>
          </cell>
          <cell r="C2842" t="str">
            <v>madeficit_</v>
          </cell>
          <cell r="D2842">
            <v>-4.7162714004516602</v>
          </cell>
        </row>
        <row r="2843">
          <cell r="A2843" t="str">
            <v>BTN</v>
          </cell>
          <cell r="B2843">
            <v>2017</v>
          </cell>
          <cell r="C2843" t="str">
            <v>mareer</v>
          </cell>
          <cell r="D2843">
            <v>103.0704345703125</v>
          </cell>
        </row>
        <row r="2844">
          <cell r="A2844" t="str">
            <v>BTN</v>
          </cell>
          <cell r="B2844">
            <v>2006</v>
          </cell>
          <cell r="C2844" t="str">
            <v>magdpz</v>
          </cell>
          <cell r="D2844">
            <v>6.2661776542663574</v>
          </cell>
        </row>
        <row r="2845">
          <cell r="A2845" t="str">
            <v>BTN</v>
          </cell>
          <cell r="B2845">
            <v>2022</v>
          </cell>
          <cell r="C2845" t="str">
            <v>mac_tfpz</v>
          </cell>
          <cell r="D2845">
            <v>3.3005595207214355</v>
          </cell>
        </row>
        <row r="2846">
          <cell r="A2846" t="str">
            <v>BTN</v>
          </cell>
          <cell r="B2846">
            <v>2016</v>
          </cell>
          <cell r="C2846" t="str">
            <v>mar_indfc</v>
          </cell>
          <cell r="D2846">
            <v>42.079307556152344</v>
          </cell>
        </row>
        <row r="2847">
          <cell r="A2847" t="str">
            <v>BTN</v>
          </cell>
          <cell r="B2847">
            <v>2023</v>
          </cell>
          <cell r="C2847" t="str">
            <v>mafdi_</v>
          </cell>
        </row>
        <row r="2848">
          <cell r="A2848" t="str">
            <v>BTN</v>
          </cell>
          <cell r="B2848">
            <v>2016</v>
          </cell>
          <cell r="C2848" t="str">
            <v>madeficit_</v>
          </cell>
          <cell r="D2848">
            <v>-2.3437485694885254</v>
          </cell>
        </row>
        <row r="2849">
          <cell r="A2849" t="str">
            <v>BTN</v>
          </cell>
          <cell r="B2849">
            <v>2012</v>
          </cell>
          <cell r="C2849" t="str">
            <v>mafdi_</v>
          </cell>
        </row>
        <row r="2850">
          <cell r="A2850" t="str">
            <v>BTN</v>
          </cell>
          <cell r="B2850">
            <v>2020</v>
          </cell>
          <cell r="C2850" t="str">
            <v>maconz</v>
          </cell>
          <cell r="D2850">
            <v>0.58756530284881592</v>
          </cell>
        </row>
        <row r="2851">
          <cell r="A2851" t="str">
            <v>BTN</v>
          </cell>
          <cell r="B2851">
            <v>2012</v>
          </cell>
          <cell r="C2851" t="str">
            <v>masrvfc</v>
          </cell>
          <cell r="D2851">
            <v>5.6330604553222656</v>
          </cell>
        </row>
        <row r="2852">
          <cell r="A2852" t="str">
            <v>BTN</v>
          </cell>
          <cell r="B2852">
            <v>2014</v>
          </cell>
          <cell r="C2852" t="str">
            <v>maagrfc</v>
          </cell>
          <cell r="D2852">
            <v>2.0997798442840576</v>
          </cell>
        </row>
        <row r="2853">
          <cell r="A2853" t="str">
            <v>BTN</v>
          </cell>
          <cell r="B2853">
            <v>2007</v>
          </cell>
          <cell r="C2853" t="str">
            <v>magdpz</v>
          </cell>
          <cell r="D2853">
            <v>11.017037391662598</v>
          </cell>
        </row>
        <row r="2854">
          <cell r="A2854" t="str">
            <v>BTN</v>
          </cell>
          <cell r="B2854">
            <v>2005</v>
          </cell>
          <cell r="C2854" t="str">
            <v>maexpz</v>
          </cell>
          <cell r="D2854">
            <v>31.44111442565918</v>
          </cell>
        </row>
        <row r="2855">
          <cell r="A2855" t="str">
            <v>BTN</v>
          </cell>
          <cell r="B2855">
            <v>2010</v>
          </cell>
          <cell r="C2855" t="str">
            <v>maindfc</v>
          </cell>
          <cell r="D2855">
            <v>8.3850460052490234</v>
          </cell>
        </row>
        <row r="2856">
          <cell r="A2856" t="str">
            <v>BTN</v>
          </cell>
          <cell r="B2856">
            <v>2012</v>
          </cell>
          <cell r="C2856" t="str">
            <v>malabz</v>
          </cell>
          <cell r="D2856">
            <v>1.7663232088088989</v>
          </cell>
        </row>
        <row r="2857">
          <cell r="A2857" t="str">
            <v>BTN</v>
          </cell>
          <cell r="B2857">
            <v>2019</v>
          </cell>
          <cell r="C2857" t="str">
            <v>madeficit_</v>
          </cell>
          <cell r="D2857">
            <v>-1.4856666326522827</v>
          </cell>
        </row>
        <row r="2858">
          <cell r="A2858" t="str">
            <v>BTN</v>
          </cell>
          <cell r="B2858">
            <v>2006</v>
          </cell>
          <cell r="C2858" t="str">
            <v>maindfc</v>
          </cell>
          <cell r="D2858">
            <v>5.6247920989990234</v>
          </cell>
        </row>
        <row r="2859">
          <cell r="A2859" t="str">
            <v>BTN</v>
          </cell>
          <cell r="B2859">
            <v>2005</v>
          </cell>
          <cell r="C2859" t="str">
            <v>maconz</v>
          </cell>
          <cell r="D2859">
            <v>15.593961715698242</v>
          </cell>
        </row>
        <row r="2860">
          <cell r="A2860" t="str">
            <v>BTN</v>
          </cell>
          <cell r="B2860">
            <v>2025</v>
          </cell>
          <cell r="C2860" t="str">
            <v>mar_srvfc</v>
          </cell>
          <cell r="D2860">
            <v>53.361972808837891</v>
          </cell>
        </row>
        <row r="2861">
          <cell r="A2861" t="str">
            <v>BTN</v>
          </cell>
          <cell r="B2861">
            <v>2012</v>
          </cell>
          <cell r="C2861" t="str">
            <v>magap_</v>
          </cell>
          <cell r="D2861">
            <v>4.1850838661193848</v>
          </cell>
        </row>
        <row r="2862">
          <cell r="A2862" t="str">
            <v>BTN</v>
          </cell>
          <cell r="B2862">
            <v>2025</v>
          </cell>
          <cell r="C2862" t="str">
            <v>mar_impz</v>
          </cell>
          <cell r="D2862">
            <v>41.997226715087891</v>
          </cell>
        </row>
        <row r="2863">
          <cell r="A2863" t="str">
            <v>BTN</v>
          </cell>
          <cell r="B2863">
            <v>2012</v>
          </cell>
          <cell r="C2863" t="str">
            <v>mainvz</v>
          </cell>
          <cell r="D2863">
            <v>7.9093437194824219</v>
          </cell>
        </row>
        <row r="2864">
          <cell r="A2864" t="str">
            <v>BTN</v>
          </cell>
          <cell r="B2864">
            <v>2016</v>
          </cell>
          <cell r="C2864" t="str">
            <v>magap_</v>
          </cell>
          <cell r="D2864">
            <v>0.32131844758987427</v>
          </cell>
        </row>
        <row r="2865">
          <cell r="A2865" t="str">
            <v>BTN</v>
          </cell>
          <cell r="B2865">
            <v>2005</v>
          </cell>
          <cell r="C2865" t="str">
            <v>mafdi_</v>
          </cell>
          <cell r="D2865">
            <v>0</v>
          </cell>
        </row>
        <row r="2866">
          <cell r="A2866" t="str">
            <v>BTN</v>
          </cell>
          <cell r="B2866">
            <v>2011</v>
          </cell>
          <cell r="C2866" t="str">
            <v>madebt_</v>
          </cell>
          <cell r="D2866">
            <v>63.620372772216797</v>
          </cell>
        </row>
        <row r="2867">
          <cell r="A2867" t="str">
            <v>BTN</v>
          </cell>
          <cell r="B2867">
            <v>2005</v>
          </cell>
          <cell r="C2867" t="str">
            <v>mac_labz</v>
          </cell>
          <cell r="D2867">
            <v>0</v>
          </cell>
        </row>
        <row r="2868">
          <cell r="A2868" t="str">
            <v>BTN</v>
          </cell>
          <cell r="B2868">
            <v>2023</v>
          </cell>
          <cell r="C2868" t="str">
            <v>magap_</v>
          </cell>
          <cell r="D2868">
            <v>-0.7411046028137207</v>
          </cell>
        </row>
        <row r="2869">
          <cell r="A2869" t="str">
            <v>BTN</v>
          </cell>
          <cell r="B2869">
            <v>2023</v>
          </cell>
          <cell r="C2869" t="str">
            <v>mac_tfpz</v>
          </cell>
          <cell r="D2869">
            <v>2.4422774314880371</v>
          </cell>
        </row>
        <row r="2870">
          <cell r="A2870" t="str">
            <v>BTN</v>
          </cell>
          <cell r="B2870">
            <v>2026</v>
          </cell>
          <cell r="C2870" t="str">
            <v>magap_</v>
          </cell>
          <cell r="D2870">
            <v>-0.16579745709896088</v>
          </cell>
        </row>
        <row r="2871">
          <cell r="A2871" t="str">
            <v>BTN</v>
          </cell>
          <cell r="B2871">
            <v>2005</v>
          </cell>
          <cell r="C2871" t="str">
            <v>magdpz</v>
          </cell>
          <cell r="D2871">
            <v>6.0679469108581543</v>
          </cell>
        </row>
        <row r="2872">
          <cell r="A2872" t="str">
            <v>BTN</v>
          </cell>
          <cell r="B2872">
            <v>2025</v>
          </cell>
          <cell r="C2872" t="str">
            <v>mar_agrfc</v>
          </cell>
          <cell r="D2872">
            <v>12.342770576477051</v>
          </cell>
        </row>
        <row r="2873">
          <cell r="A2873" t="str">
            <v>BTN</v>
          </cell>
          <cell r="B2873">
            <v>2018</v>
          </cell>
          <cell r="C2873" t="str">
            <v>mataxfc</v>
          </cell>
          <cell r="D2873">
            <v>-4.5388779640197754</v>
          </cell>
        </row>
        <row r="2874">
          <cell r="A2874" t="str">
            <v>BTN</v>
          </cell>
          <cell r="B2874">
            <v>2020</v>
          </cell>
          <cell r="C2874" t="str">
            <v>magap_</v>
          </cell>
          <cell r="D2874">
            <v>1.9331169128417969</v>
          </cell>
        </row>
        <row r="2875">
          <cell r="A2875" t="str">
            <v>BTN</v>
          </cell>
          <cell r="B2875">
            <v>2009</v>
          </cell>
          <cell r="C2875" t="str">
            <v>maindfc</v>
          </cell>
          <cell r="D2875">
            <v>4.6607575416564941</v>
          </cell>
        </row>
        <row r="2876">
          <cell r="A2876" t="str">
            <v>BTN</v>
          </cell>
          <cell r="B2876">
            <v>2012</v>
          </cell>
          <cell r="C2876" t="str">
            <v>madeficit_</v>
          </cell>
          <cell r="D2876">
            <v>-2.141542911529541</v>
          </cell>
        </row>
        <row r="2877">
          <cell r="A2877" t="str">
            <v>BTN</v>
          </cell>
          <cell r="B2877">
            <v>2010</v>
          </cell>
          <cell r="C2877" t="str">
            <v>mar_expz</v>
          </cell>
          <cell r="D2877">
            <v>43.844020843505859</v>
          </cell>
        </row>
        <row r="2878">
          <cell r="A2878" t="str">
            <v>BTN</v>
          </cell>
          <cell r="B2878">
            <v>2021</v>
          </cell>
          <cell r="C2878" t="str">
            <v>mac_tfpz</v>
          </cell>
          <cell r="D2878">
            <v>-4.0833697319030762</v>
          </cell>
        </row>
        <row r="2879">
          <cell r="A2879" t="str">
            <v>BTN</v>
          </cell>
          <cell r="B2879">
            <v>2010</v>
          </cell>
          <cell r="C2879" t="str">
            <v>masrvfc</v>
          </cell>
          <cell r="D2879">
            <v>12.97754955291748</v>
          </cell>
        </row>
        <row r="2880">
          <cell r="A2880" t="str">
            <v>BTN</v>
          </cell>
          <cell r="B2880">
            <v>2012</v>
          </cell>
          <cell r="C2880" t="str">
            <v>mar_taxfc</v>
          </cell>
          <cell r="D2880">
            <v>7.3750367164611816</v>
          </cell>
        </row>
        <row r="2881">
          <cell r="A2881" t="str">
            <v>BTN</v>
          </cell>
          <cell r="B2881">
            <v>2020</v>
          </cell>
          <cell r="C2881" t="str">
            <v>mar_con</v>
          </cell>
          <cell r="D2881">
            <v>49.206081390380859</v>
          </cell>
        </row>
        <row r="2882">
          <cell r="A2882" t="str">
            <v>BTN</v>
          </cell>
          <cell r="B2882">
            <v>2023</v>
          </cell>
          <cell r="C2882" t="str">
            <v>mareer</v>
          </cell>
          <cell r="D2882">
            <v>147.04615783691406</v>
          </cell>
        </row>
        <row r="2883">
          <cell r="A2883" t="str">
            <v>BTN</v>
          </cell>
          <cell r="B2883">
            <v>2012</v>
          </cell>
          <cell r="C2883" t="str">
            <v>macpiz</v>
          </cell>
          <cell r="D2883">
            <v>10.115082740783691</v>
          </cell>
        </row>
        <row r="2884">
          <cell r="A2884" t="str">
            <v>BTN</v>
          </cell>
          <cell r="B2884">
            <v>2016</v>
          </cell>
          <cell r="C2884" t="str">
            <v>mapanusatls</v>
          </cell>
          <cell r="D2884">
            <v>66.3466796875</v>
          </cell>
        </row>
        <row r="2885">
          <cell r="A2885" t="str">
            <v>BTN</v>
          </cell>
          <cell r="B2885">
            <v>2018</v>
          </cell>
          <cell r="C2885" t="str">
            <v>magovz</v>
          </cell>
          <cell r="D2885">
            <v>4.0091648101806641</v>
          </cell>
        </row>
        <row r="2886">
          <cell r="A2886" t="str">
            <v>BTN</v>
          </cell>
          <cell r="B2886">
            <v>2018</v>
          </cell>
          <cell r="C2886" t="str">
            <v>mar_impz</v>
          </cell>
          <cell r="D2886">
            <v>47.875415802001953</v>
          </cell>
        </row>
        <row r="2887">
          <cell r="A2887" t="str">
            <v>BTN</v>
          </cell>
          <cell r="B2887">
            <v>2006</v>
          </cell>
          <cell r="C2887" t="str">
            <v>mar_taxfc</v>
          </cell>
          <cell r="D2887">
            <v>4.9227824211120605</v>
          </cell>
        </row>
        <row r="2888">
          <cell r="A2888" t="str">
            <v>BTN</v>
          </cell>
          <cell r="B2888">
            <v>2011</v>
          </cell>
          <cell r="C2888" t="str">
            <v>magap_</v>
          </cell>
          <cell r="D2888">
            <v>6.258542537689209</v>
          </cell>
        </row>
        <row r="2889">
          <cell r="A2889" t="str">
            <v>BTN</v>
          </cell>
          <cell r="B2889">
            <v>2005</v>
          </cell>
          <cell r="C2889" t="str">
            <v>mar_expz</v>
          </cell>
          <cell r="D2889">
            <v>36.056472778320313</v>
          </cell>
        </row>
        <row r="2890">
          <cell r="A2890" t="str">
            <v>BTN</v>
          </cell>
          <cell r="B2890">
            <v>2015</v>
          </cell>
          <cell r="C2890" t="str">
            <v>mar_taxfc</v>
          </cell>
          <cell r="D2890">
            <v>7.2203545570373535</v>
          </cell>
        </row>
        <row r="2891">
          <cell r="A2891" t="str">
            <v>BTN</v>
          </cell>
          <cell r="B2891">
            <v>2026</v>
          </cell>
          <cell r="C2891" t="str">
            <v>magovz</v>
          </cell>
          <cell r="D2891">
            <v>1.4271999597549438</v>
          </cell>
        </row>
        <row r="2892">
          <cell r="A2892" t="str">
            <v>BTN</v>
          </cell>
          <cell r="B2892">
            <v>2007</v>
          </cell>
          <cell r="C2892" t="str">
            <v>mar_srvfc</v>
          </cell>
          <cell r="D2892">
            <v>40.958671569824219</v>
          </cell>
        </row>
        <row r="2893">
          <cell r="A2893" t="str">
            <v>BTN</v>
          </cell>
          <cell r="B2893">
            <v>2025</v>
          </cell>
          <cell r="C2893" t="str">
            <v>maexpz</v>
          </cell>
          <cell r="D2893">
            <v>9.3356399536132813</v>
          </cell>
        </row>
        <row r="2894">
          <cell r="A2894" t="str">
            <v>BTN</v>
          </cell>
          <cell r="B2894">
            <v>2008</v>
          </cell>
          <cell r="C2894" t="str">
            <v>mar_srvfc</v>
          </cell>
          <cell r="D2894">
            <v>39.431289672851563</v>
          </cell>
        </row>
        <row r="2895">
          <cell r="A2895" t="str">
            <v>BTN</v>
          </cell>
          <cell r="B2895">
            <v>2017</v>
          </cell>
          <cell r="C2895" t="str">
            <v>mapanusatls</v>
          </cell>
          <cell r="D2895">
            <v>66.434478759765625</v>
          </cell>
        </row>
        <row r="2896">
          <cell r="A2896" t="str">
            <v>BTN</v>
          </cell>
          <cell r="B2896">
            <v>2016</v>
          </cell>
          <cell r="C2896" t="str">
            <v>macab_</v>
          </cell>
          <cell r="D2896">
            <v>-27.361440658569336</v>
          </cell>
        </row>
        <row r="2897">
          <cell r="A2897" t="str">
            <v>BTN</v>
          </cell>
          <cell r="B2897">
            <v>2019</v>
          </cell>
          <cell r="C2897" t="str">
            <v>magdpz</v>
          </cell>
          <cell r="D2897">
            <v>4.6478972434997559</v>
          </cell>
        </row>
        <row r="2898">
          <cell r="A2898" t="str">
            <v>BTN</v>
          </cell>
          <cell r="B2898">
            <v>2026</v>
          </cell>
          <cell r="C2898" t="str">
            <v>mareer</v>
          </cell>
          <cell r="D2898">
            <v>124.12117767333984</v>
          </cell>
        </row>
        <row r="2899">
          <cell r="A2899" t="str">
            <v>BTN</v>
          </cell>
          <cell r="B2899">
            <v>2008</v>
          </cell>
          <cell r="C2899" t="str">
            <v>mataxfc</v>
          </cell>
          <cell r="D2899">
            <v>5.5250139236450195</v>
          </cell>
        </row>
        <row r="2900">
          <cell r="A2900" t="str">
            <v>BTN</v>
          </cell>
          <cell r="B2900">
            <v>2013</v>
          </cell>
          <cell r="C2900" t="str">
            <v>macab_</v>
          </cell>
          <cell r="D2900">
            <v>-23.877124786376953</v>
          </cell>
        </row>
        <row r="2901">
          <cell r="A2901" t="str">
            <v>BTN</v>
          </cell>
          <cell r="B2901">
            <v>2024</v>
          </cell>
          <cell r="C2901" t="str">
            <v>mar_agrfc</v>
          </cell>
          <cell r="D2901">
            <v>12.845658302307129</v>
          </cell>
        </row>
        <row r="2902">
          <cell r="A2902" t="str">
            <v>BTN</v>
          </cell>
          <cell r="B2902">
            <v>2006</v>
          </cell>
          <cell r="C2902" t="str">
            <v>mar_srvfc</v>
          </cell>
          <cell r="D2902">
            <v>42.803062438964844</v>
          </cell>
        </row>
        <row r="2903">
          <cell r="A2903" t="str">
            <v>BTN</v>
          </cell>
          <cell r="B2903">
            <v>2013</v>
          </cell>
          <cell r="C2903" t="str">
            <v>mataxfc</v>
          </cell>
          <cell r="D2903">
            <v>10.816952705383301</v>
          </cell>
        </row>
        <row r="2904">
          <cell r="A2904" t="str">
            <v>BTN</v>
          </cell>
          <cell r="B2904">
            <v>2012</v>
          </cell>
          <cell r="C2904" t="str">
            <v>mar_expz</v>
          </cell>
          <cell r="D2904">
            <v>39.486949920654297</v>
          </cell>
        </row>
        <row r="2905">
          <cell r="A2905" t="str">
            <v>BTN</v>
          </cell>
          <cell r="B2905">
            <v>2025</v>
          </cell>
          <cell r="C2905" t="str">
            <v>matfpz</v>
          </cell>
          <cell r="D2905">
            <v>2.3235359191894531</v>
          </cell>
        </row>
        <row r="2906">
          <cell r="A2906" t="str">
            <v>BTN</v>
          </cell>
          <cell r="B2906">
            <v>2005</v>
          </cell>
          <cell r="C2906" t="str">
            <v>mar_taxfc</v>
          </cell>
          <cell r="D2906">
            <v>5.2351751327514648</v>
          </cell>
        </row>
        <row r="2907">
          <cell r="A2907" t="str">
            <v>BTN</v>
          </cell>
          <cell r="B2907">
            <v>2008</v>
          </cell>
          <cell r="C2907" t="str">
            <v>masrvfc</v>
          </cell>
          <cell r="D2907">
            <v>5.9756426811218262</v>
          </cell>
        </row>
        <row r="2908">
          <cell r="A2908" t="str">
            <v>BTN</v>
          </cell>
          <cell r="B2908">
            <v>2009</v>
          </cell>
          <cell r="C2908" t="str">
            <v>matfpz</v>
          </cell>
          <cell r="D2908">
            <v>2.1578679084777832</v>
          </cell>
        </row>
        <row r="2909">
          <cell r="A2909" t="str">
            <v>BTN</v>
          </cell>
          <cell r="B2909">
            <v>2009</v>
          </cell>
          <cell r="C2909" t="str">
            <v>mataxfc</v>
          </cell>
          <cell r="D2909">
            <v>2.8132326602935791</v>
          </cell>
        </row>
        <row r="2910">
          <cell r="A2910" t="str">
            <v>BTN</v>
          </cell>
          <cell r="B2910">
            <v>2024</v>
          </cell>
          <cell r="C2910" t="str">
            <v>maconz</v>
          </cell>
          <cell r="D2910">
            <v>2</v>
          </cell>
        </row>
        <row r="2911">
          <cell r="A2911" t="str">
            <v>BTN</v>
          </cell>
          <cell r="B2911">
            <v>2018</v>
          </cell>
          <cell r="C2911" t="str">
            <v>mac_tfpz</v>
          </cell>
          <cell r="D2911">
            <v>0.57654076814651489</v>
          </cell>
        </row>
        <row r="2912">
          <cell r="A2912" t="str">
            <v>BTN</v>
          </cell>
          <cell r="B2912">
            <v>2015</v>
          </cell>
          <cell r="C2912" t="str">
            <v>mar_con</v>
          </cell>
          <cell r="D2912">
            <v>52.920112609863281</v>
          </cell>
        </row>
        <row r="2913">
          <cell r="A2913" t="str">
            <v>BTN</v>
          </cell>
          <cell r="B2913">
            <v>2012</v>
          </cell>
          <cell r="C2913" t="str">
            <v>mac_tfpz</v>
          </cell>
          <cell r="D2913">
            <v>1.4078752994537354</v>
          </cell>
        </row>
        <row r="2914">
          <cell r="A2914" t="str">
            <v>BTN</v>
          </cell>
          <cell r="B2914">
            <v>2012</v>
          </cell>
          <cell r="C2914" t="str">
            <v>magdpz</v>
          </cell>
          <cell r="D2914">
            <v>6.6378164291381836</v>
          </cell>
        </row>
        <row r="2915">
          <cell r="A2915" t="str">
            <v>BTN</v>
          </cell>
          <cell r="B2915">
            <v>2025</v>
          </cell>
          <cell r="C2915" t="str">
            <v>magdpz</v>
          </cell>
          <cell r="D2915">
            <v>5.7435588836669922</v>
          </cell>
        </row>
        <row r="2916">
          <cell r="A2916" t="str">
            <v>BTN</v>
          </cell>
          <cell r="B2916">
            <v>2026</v>
          </cell>
          <cell r="C2916" t="str">
            <v>mar_expz</v>
          </cell>
          <cell r="D2916">
            <v>29.005146026611328</v>
          </cell>
        </row>
        <row r="2917">
          <cell r="A2917" t="str">
            <v>BTN</v>
          </cell>
          <cell r="B2917">
            <v>2024</v>
          </cell>
          <cell r="C2917" t="str">
            <v>madebt_</v>
          </cell>
          <cell r="D2917">
            <v>109.91453552246094</v>
          </cell>
        </row>
        <row r="2918">
          <cell r="A2918" t="str">
            <v>BTN</v>
          </cell>
          <cell r="B2918">
            <v>2016</v>
          </cell>
          <cell r="C2918" t="str">
            <v>malabz</v>
          </cell>
          <cell r="D2918">
            <v>1.5163753032684326</v>
          </cell>
        </row>
        <row r="2919">
          <cell r="A2919" t="str">
            <v>BTN</v>
          </cell>
          <cell r="B2919">
            <v>2025</v>
          </cell>
          <cell r="C2919" t="str">
            <v>macab_</v>
          </cell>
          <cell r="D2919">
            <v>-9.6595869064331055</v>
          </cell>
        </row>
        <row r="2920">
          <cell r="A2920" t="str">
            <v>BTN</v>
          </cell>
          <cell r="B2920">
            <v>2010</v>
          </cell>
          <cell r="C2920" t="str">
            <v>mapanusatls</v>
          </cell>
          <cell r="D2920">
            <v>46.652667999267578</v>
          </cell>
        </row>
        <row r="2921">
          <cell r="A2921" t="str">
            <v>BTN</v>
          </cell>
          <cell r="B2921">
            <v>2018</v>
          </cell>
          <cell r="C2921" t="str">
            <v>maimpz</v>
          </cell>
          <cell r="D2921">
            <v>0.28784376382827759</v>
          </cell>
        </row>
        <row r="2922">
          <cell r="A2922" t="str">
            <v>BTN</v>
          </cell>
          <cell r="B2922">
            <v>2017</v>
          </cell>
          <cell r="C2922" t="str">
            <v>mar_indfc</v>
          </cell>
          <cell r="D2922">
            <v>41.47857666015625</v>
          </cell>
        </row>
        <row r="2923">
          <cell r="A2923" t="str">
            <v>BTN</v>
          </cell>
          <cell r="B2923">
            <v>2017</v>
          </cell>
          <cell r="C2923" t="str">
            <v>magdpz</v>
          </cell>
          <cell r="D2923">
            <v>5.8551030158996582</v>
          </cell>
        </row>
        <row r="2924">
          <cell r="A2924" t="str">
            <v>BTN</v>
          </cell>
          <cell r="B2924">
            <v>2016</v>
          </cell>
          <cell r="C2924" t="str">
            <v>masrvfc</v>
          </cell>
          <cell r="D2924">
            <v>9.4264030456542969</v>
          </cell>
        </row>
        <row r="2925">
          <cell r="A2925" t="str">
            <v>BTN</v>
          </cell>
          <cell r="B2925">
            <v>2020</v>
          </cell>
          <cell r="C2925" t="str">
            <v>mainvz</v>
          </cell>
          <cell r="D2925">
            <v>-14.469231605529785</v>
          </cell>
        </row>
        <row r="2926">
          <cell r="A2926" t="str">
            <v>BTN</v>
          </cell>
          <cell r="B2926">
            <v>2020</v>
          </cell>
          <cell r="C2926" t="str">
            <v>mar_agrfc</v>
          </cell>
          <cell r="D2926">
            <v>13.759082794189453</v>
          </cell>
        </row>
        <row r="2927">
          <cell r="A2927" t="str">
            <v>BTN</v>
          </cell>
          <cell r="B2927">
            <v>2008</v>
          </cell>
          <cell r="C2927" t="str">
            <v>mac_tfpz</v>
          </cell>
          <cell r="D2927">
            <v>2.2550456523895264</v>
          </cell>
        </row>
        <row r="2928">
          <cell r="A2928" t="str">
            <v>BTN</v>
          </cell>
          <cell r="B2928">
            <v>2013</v>
          </cell>
          <cell r="C2928" t="str">
            <v>mac_labz</v>
          </cell>
          <cell r="D2928">
            <v>1.1534914970397949</v>
          </cell>
        </row>
        <row r="2929">
          <cell r="A2929" t="str">
            <v>BTN</v>
          </cell>
          <cell r="B2929">
            <v>2008</v>
          </cell>
          <cell r="C2929" t="str">
            <v>malabz</v>
          </cell>
          <cell r="D2929">
            <v>2.234699010848999</v>
          </cell>
        </row>
        <row r="2930">
          <cell r="A2930" t="str">
            <v>BTN</v>
          </cell>
          <cell r="B2930">
            <v>2009</v>
          </cell>
          <cell r="C2930" t="str">
            <v>macab_</v>
          </cell>
          <cell r="D2930">
            <v>-5.8507285118103027</v>
          </cell>
        </row>
        <row r="2931">
          <cell r="A2931" t="str">
            <v>BTN</v>
          </cell>
          <cell r="B2931">
            <v>2006</v>
          </cell>
          <cell r="C2931" t="str">
            <v>mafdi_</v>
          </cell>
        </row>
        <row r="2932">
          <cell r="A2932" t="str">
            <v>BTN</v>
          </cell>
          <cell r="B2932">
            <v>2026</v>
          </cell>
          <cell r="C2932" t="str">
            <v>mac_tfpz</v>
          </cell>
          <cell r="D2932">
            <v>2.5303959846496582</v>
          </cell>
        </row>
        <row r="2933">
          <cell r="A2933" t="str">
            <v>BTN</v>
          </cell>
          <cell r="B2933">
            <v>2019</v>
          </cell>
          <cell r="C2933" t="str">
            <v>maimpz</v>
          </cell>
          <cell r="D2933">
            <v>-0.93203139305114746</v>
          </cell>
        </row>
        <row r="2934">
          <cell r="A2934" t="str">
            <v>BTN</v>
          </cell>
          <cell r="B2934">
            <v>2013</v>
          </cell>
          <cell r="C2934" t="str">
            <v>maexpz</v>
          </cell>
          <cell r="D2934">
            <v>0.69569343328475952</v>
          </cell>
        </row>
        <row r="2935">
          <cell r="A2935" t="str">
            <v>BTN</v>
          </cell>
          <cell r="B2935">
            <v>2014</v>
          </cell>
          <cell r="C2935" t="str">
            <v>mainvz</v>
          </cell>
          <cell r="D2935">
            <v>-9.356745719909668</v>
          </cell>
        </row>
        <row r="2936">
          <cell r="A2936" t="str">
            <v>BTN</v>
          </cell>
          <cell r="B2936">
            <v>2014</v>
          </cell>
          <cell r="C2936" t="str">
            <v>mac_tfpz</v>
          </cell>
          <cell r="D2936">
            <v>0.96018904447555542</v>
          </cell>
        </row>
        <row r="2937">
          <cell r="A2937" t="str">
            <v>BTN</v>
          </cell>
          <cell r="B2937">
            <v>2017</v>
          </cell>
          <cell r="C2937" t="str">
            <v>maindfc</v>
          </cell>
          <cell r="D2937">
            <v>5.0383901596069336</v>
          </cell>
        </row>
        <row r="2938">
          <cell r="A2938" t="str">
            <v>BTN</v>
          </cell>
          <cell r="B2938">
            <v>2011</v>
          </cell>
          <cell r="C2938" t="str">
            <v>madeficit_</v>
          </cell>
          <cell r="D2938">
            <v>-3.0867857933044434</v>
          </cell>
        </row>
        <row r="2939">
          <cell r="A2939" t="str">
            <v>BTN</v>
          </cell>
          <cell r="B2939">
            <v>2013</v>
          </cell>
          <cell r="C2939" t="str">
            <v>mar_impz</v>
          </cell>
          <cell r="D2939">
            <v>59.04779052734375</v>
          </cell>
        </row>
        <row r="2940">
          <cell r="A2940" t="str">
            <v>BTN</v>
          </cell>
          <cell r="B2940">
            <v>2015</v>
          </cell>
          <cell r="C2940" t="str">
            <v>madebt_</v>
          </cell>
          <cell r="D2940">
            <v>91.540824890136719</v>
          </cell>
        </row>
        <row r="2941">
          <cell r="A2941" t="str">
            <v>BTN</v>
          </cell>
          <cell r="B2941">
            <v>2009</v>
          </cell>
          <cell r="C2941" t="str">
            <v>macpiz</v>
          </cell>
          <cell r="D2941">
            <v>7.1269769668579102</v>
          </cell>
        </row>
        <row r="2942">
          <cell r="A2942" t="str">
            <v>BTN</v>
          </cell>
          <cell r="B2942">
            <v>2018</v>
          </cell>
          <cell r="C2942" t="str">
            <v>mac_labz</v>
          </cell>
          <cell r="D2942">
            <v>1.2953474521636963</v>
          </cell>
        </row>
        <row r="2943">
          <cell r="A2943" t="str">
            <v>BTN</v>
          </cell>
          <cell r="B2943">
            <v>2023</v>
          </cell>
          <cell r="C2943" t="str">
            <v>macpiz</v>
          </cell>
          <cell r="D2943">
            <v>4.5999994277954102</v>
          </cell>
        </row>
        <row r="2944">
          <cell r="A2944" t="str">
            <v>BTN</v>
          </cell>
          <cell r="B2944">
            <v>2012</v>
          </cell>
          <cell r="C2944" t="str">
            <v>mareer</v>
          </cell>
          <cell r="D2944">
            <v>113.86077880859375</v>
          </cell>
        </row>
        <row r="2945">
          <cell r="A2945" t="str">
            <v>BTN</v>
          </cell>
          <cell r="B2945">
            <v>2019</v>
          </cell>
          <cell r="C2945" t="str">
            <v>magap_</v>
          </cell>
          <cell r="D2945">
            <v>-0.20089982450008392</v>
          </cell>
        </row>
        <row r="2946">
          <cell r="A2946" t="str">
            <v>BTN</v>
          </cell>
          <cell r="B2946">
            <v>2022</v>
          </cell>
          <cell r="C2946" t="str">
            <v>mar_impz</v>
          </cell>
          <cell r="D2946">
            <v>48.467121124267578</v>
          </cell>
        </row>
        <row r="2947">
          <cell r="A2947" t="str">
            <v>BTN</v>
          </cell>
          <cell r="B2947">
            <v>2018</v>
          </cell>
          <cell r="C2947" t="str">
            <v>maexpz</v>
          </cell>
          <cell r="D2947">
            <v>3.2599680423736572</v>
          </cell>
        </row>
        <row r="2948">
          <cell r="A2948" t="str">
            <v>BTN</v>
          </cell>
          <cell r="B2948">
            <v>2007</v>
          </cell>
          <cell r="C2948" t="str">
            <v>madeficit_</v>
          </cell>
          <cell r="D2948">
            <v>0.79275387525558472</v>
          </cell>
        </row>
        <row r="2949">
          <cell r="A2949" t="str">
            <v>BTN</v>
          </cell>
          <cell r="B2949">
            <v>2006</v>
          </cell>
          <cell r="C2949" t="str">
            <v>macpiz</v>
          </cell>
          <cell r="D2949">
            <v>4.9300055503845215</v>
          </cell>
        </row>
        <row r="2950">
          <cell r="A2950" t="str">
            <v>BTN</v>
          </cell>
          <cell r="B2950">
            <v>2014</v>
          </cell>
          <cell r="C2950" t="str">
            <v>matfpz</v>
          </cell>
          <cell r="D2950">
            <v>0.96018904447555542</v>
          </cell>
        </row>
        <row r="2951">
          <cell r="A2951" t="str">
            <v>BTN</v>
          </cell>
          <cell r="B2951">
            <v>2025</v>
          </cell>
          <cell r="C2951" t="str">
            <v>maagrfc</v>
          </cell>
          <cell r="D2951">
            <v>1.6038600206375122</v>
          </cell>
        </row>
        <row r="2952">
          <cell r="A2952" t="str">
            <v>BTN</v>
          </cell>
          <cell r="B2952">
            <v>2020</v>
          </cell>
          <cell r="C2952" t="str">
            <v>masrvfc</v>
          </cell>
          <cell r="D2952">
            <v>3.0082573890686035</v>
          </cell>
        </row>
        <row r="2953">
          <cell r="A2953" t="str">
            <v>BTN</v>
          </cell>
          <cell r="B2953">
            <v>2009</v>
          </cell>
          <cell r="C2953" t="str">
            <v>mar_srvfc</v>
          </cell>
          <cell r="D2953">
            <v>40.831611633300781</v>
          </cell>
        </row>
        <row r="2954">
          <cell r="A2954" t="str">
            <v>BTN</v>
          </cell>
          <cell r="B2954">
            <v>2016</v>
          </cell>
          <cell r="C2954" t="str">
            <v>mainvz</v>
          </cell>
          <cell r="D2954">
            <v>10.986773490905762</v>
          </cell>
        </row>
        <row r="2955">
          <cell r="A2955" t="str">
            <v>BTN</v>
          </cell>
          <cell r="B2955">
            <v>2014</v>
          </cell>
          <cell r="C2955" t="str">
            <v>macpiz</v>
          </cell>
          <cell r="D2955">
            <v>9.5994243621826172</v>
          </cell>
        </row>
        <row r="2956">
          <cell r="A2956" t="str">
            <v>BTN</v>
          </cell>
          <cell r="B2956">
            <v>2013</v>
          </cell>
          <cell r="C2956" t="str">
            <v>magdpz</v>
          </cell>
          <cell r="D2956">
            <v>3.3339576721191406</v>
          </cell>
        </row>
        <row r="2957">
          <cell r="A2957" t="str">
            <v>BTN</v>
          </cell>
          <cell r="B2957">
            <v>2025</v>
          </cell>
          <cell r="C2957" t="str">
            <v>maconz</v>
          </cell>
          <cell r="D2957">
            <v>2.1500000953674316</v>
          </cell>
        </row>
        <row r="2958">
          <cell r="A2958" t="str">
            <v>BTN</v>
          </cell>
          <cell r="B2958">
            <v>2005</v>
          </cell>
          <cell r="C2958" t="str">
            <v>macab_</v>
          </cell>
          <cell r="D2958">
            <v>0</v>
          </cell>
        </row>
        <row r="2959">
          <cell r="A2959" t="str">
            <v>BTN</v>
          </cell>
          <cell r="B2959">
            <v>2024</v>
          </cell>
          <cell r="C2959" t="str">
            <v>mac_labz</v>
          </cell>
          <cell r="D2959">
            <v>0.88617116212844849</v>
          </cell>
        </row>
        <row r="2960">
          <cell r="A2960" t="str">
            <v>BTN</v>
          </cell>
          <cell r="B2960">
            <v>2021</v>
          </cell>
          <cell r="C2960" t="str">
            <v>maconz</v>
          </cell>
          <cell r="D2960">
            <v>0.32167991995811462</v>
          </cell>
        </row>
        <row r="2961">
          <cell r="A2961" t="str">
            <v>BTN</v>
          </cell>
          <cell r="B2961">
            <v>2014</v>
          </cell>
          <cell r="C2961" t="str">
            <v>mar_con</v>
          </cell>
          <cell r="D2961">
            <v>46.792022705078125</v>
          </cell>
        </row>
        <row r="2962">
          <cell r="A2962" t="str">
            <v>BTN</v>
          </cell>
          <cell r="B2962">
            <v>2018</v>
          </cell>
          <cell r="C2962" t="str">
            <v>macab_</v>
          </cell>
          <cell r="D2962">
            <v>-17.420515060424805</v>
          </cell>
        </row>
        <row r="2963">
          <cell r="A2963" t="str">
            <v>BTN</v>
          </cell>
          <cell r="B2963">
            <v>2006</v>
          </cell>
          <cell r="C2963" t="str">
            <v>maexpz</v>
          </cell>
          <cell r="D2963">
            <v>44.278091430664063</v>
          </cell>
        </row>
        <row r="2964">
          <cell r="A2964" t="str">
            <v>BTN</v>
          </cell>
          <cell r="B2964">
            <v>2012</v>
          </cell>
          <cell r="C2964" t="str">
            <v>madebt_</v>
          </cell>
          <cell r="D2964">
            <v>72.808479309082031</v>
          </cell>
        </row>
        <row r="2965">
          <cell r="A2965" t="str">
            <v>BTN</v>
          </cell>
          <cell r="B2965">
            <v>2018</v>
          </cell>
          <cell r="C2965" t="str">
            <v>masrvfc</v>
          </cell>
          <cell r="D2965">
            <v>8.5577116012573242</v>
          </cell>
        </row>
        <row r="2966">
          <cell r="A2966" t="str">
            <v>BTN</v>
          </cell>
          <cell r="B2966">
            <v>2007</v>
          </cell>
          <cell r="C2966" t="str">
            <v>mar_taxfc</v>
          </cell>
          <cell r="D2966">
            <v>4.4587702751159668</v>
          </cell>
        </row>
        <row r="2967">
          <cell r="A2967" t="str">
            <v>BTN</v>
          </cell>
          <cell r="B2967">
            <v>2023</v>
          </cell>
          <cell r="C2967" t="str">
            <v>matfpz</v>
          </cell>
          <cell r="D2967">
            <v>2.4422774314880371</v>
          </cell>
        </row>
        <row r="2968">
          <cell r="A2968" t="str">
            <v>BTN</v>
          </cell>
          <cell r="B2968">
            <v>2011</v>
          </cell>
          <cell r="C2968" t="str">
            <v>mar_indfc</v>
          </cell>
          <cell r="D2968">
            <v>40.791248321533203</v>
          </cell>
        </row>
        <row r="2969">
          <cell r="A2969" t="str">
            <v>BTN</v>
          </cell>
          <cell r="B2969">
            <v>2016</v>
          </cell>
          <cell r="C2969" t="str">
            <v>maimpz</v>
          </cell>
          <cell r="D2969">
            <v>2.9067833423614502</v>
          </cell>
        </row>
        <row r="2970">
          <cell r="A2970" t="str">
            <v>BTN</v>
          </cell>
          <cell r="B2970">
            <v>2017</v>
          </cell>
          <cell r="C2970" t="str">
            <v>maagrfc</v>
          </cell>
          <cell r="D2970">
            <v>3.8418788909912109</v>
          </cell>
        </row>
        <row r="2971">
          <cell r="A2971" t="str">
            <v>BTN</v>
          </cell>
          <cell r="B2971">
            <v>2009</v>
          </cell>
          <cell r="C2971" t="str">
            <v>mapanusatls</v>
          </cell>
          <cell r="D2971">
            <v>47.779998779296875</v>
          </cell>
        </row>
        <row r="2972">
          <cell r="A2972" t="str">
            <v>BTN</v>
          </cell>
          <cell r="B2972">
            <v>2023</v>
          </cell>
          <cell r="C2972" t="str">
            <v>maexpz</v>
          </cell>
          <cell r="D2972">
            <v>3.7462399005889893</v>
          </cell>
        </row>
        <row r="2973">
          <cell r="A2973" t="str">
            <v>BTN</v>
          </cell>
          <cell r="B2973">
            <v>2018</v>
          </cell>
          <cell r="C2973" t="str">
            <v>mareer</v>
          </cell>
          <cell r="D2973">
            <v>112.24560546875</v>
          </cell>
        </row>
        <row r="2974">
          <cell r="A2974" t="str">
            <v>BTN</v>
          </cell>
          <cell r="B2974">
            <v>2025</v>
          </cell>
          <cell r="C2974" t="str">
            <v>madebt_</v>
          </cell>
          <cell r="D2974">
            <v>99.383354187011719</v>
          </cell>
        </row>
        <row r="2975">
          <cell r="A2975" t="str">
            <v>BTN</v>
          </cell>
          <cell r="B2975">
            <v>2022</v>
          </cell>
          <cell r="C2975" t="str">
            <v>mar_srvfc</v>
          </cell>
          <cell r="D2975">
            <v>53.31317138671875</v>
          </cell>
        </row>
        <row r="2976">
          <cell r="A2976" t="str">
            <v>BTN</v>
          </cell>
          <cell r="B2976">
            <v>2020</v>
          </cell>
          <cell r="C2976" t="str">
            <v>mar_taxfc</v>
          </cell>
          <cell r="D2976">
            <v>3.5490493774414063</v>
          </cell>
        </row>
        <row r="2977">
          <cell r="A2977" t="str">
            <v>BTN</v>
          </cell>
          <cell r="B2977">
            <v>2016</v>
          </cell>
          <cell r="C2977" t="str">
            <v>madebt_</v>
          </cell>
          <cell r="D2977">
            <v>109.10807037353516</v>
          </cell>
        </row>
        <row r="2978">
          <cell r="A2978" t="str">
            <v>BTN</v>
          </cell>
          <cell r="B2978">
            <v>2019</v>
          </cell>
          <cell r="C2978" t="str">
            <v>masrvfc</v>
          </cell>
          <cell r="D2978">
            <v>12.200627326965332</v>
          </cell>
        </row>
        <row r="2979">
          <cell r="A2979" t="str">
            <v>BTN</v>
          </cell>
          <cell r="B2979">
            <v>2021</v>
          </cell>
          <cell r="C2979" t="str">
            <v>mac_labz</v>
          </cell>
          <cell r="D2979">
            <v>1.0707762241363525</v>
          </cell>
        </row>
        <row r="2980">
          <cell r="A2980" t="str">
            <v>BTN</v>
          </cell>
          <cell r="B2980">
            <v>2019</v>
          </cell>
          <cell r="C2980" t="str">
            <v>mareer</v>
          </cell>
          <cell r="D2980">
            <v>105.58573150634766</v>
          </cell>
        </row>
        <row r="2981">
          <cell r="A2981" t="str">
            <v>BTN</v>
          </cell>
          <cell r="B2981">
            <v>2005</v>
          </cell>
          <cell r="C2981" t="str">
            <v>maagrfc</v>
          </cell>
          <cell r="D2981">
            <v>1.6336570978164673</v>
          </cell>
        </row>
        <row r="2982">
          <cell r="A2982" t="str">
            <v>BTN</v>
          </cell>
          <cell r="B2982">
            <v>2025</v>
          </cell>
          <cell r="C2982" t="str">
            <v>mac_labz</v>
          </cell>
          <cell r="D2982">
            <v>0.86437642574310303</v>
          </cell>
        </row>
        <row r="2983">
          <cell r="A2983" t="str">
            <v>BTN</v>
          </cell>
          <cell r="B2983">
            <v>2013</v>
          </cell>
          <cell r="C2983" t="str">
            <v>mar_taxfc</v>
          </cell>
          <cell r="D2983">
            <v>7.9515714645385742</v>
          </cell>
        </row>
        <row r="2984">
          <cell r="A2984" t="str">
            <v>BTN</v>
          </cell>
          <cell r="B2984">
            <v>2011</v>
          </cell>
          <cell r="C2984" t="str">
            <v>mar_srvfc</v>
          </cell>
          <cell r="D2984">
            <v>43.501964569091797</v>
          </cell>
        </row>
        <row r="2985">
          <cell r="A2985" t="str">
            <v>BTN</v>
          </cell>
          <cell r="B2985">
            <v>2026</v>
          </cell>
          <cell r="C2985" t="str">
            <v>macpiz</v>
          </cell>
          <cell r="D2985">
            <v>4.0000028610229492</v>
          </cell>
        </row>
        <row r="2986">
          <cell r="A2986" t="str">
            <v>BTN</v>
          </cell>
          <cell r="B2986">
            <v>2025</v>
          </cell>
          <cell r="C2986" t="str">
            <v>magovz</v>
          </cell>
          <cell r="D2986">
            <v>0.91501998901367188</v>
          </cell>
        </row>
        <row r="2987">
          <cell r="A2987" t="str">
            <v>BTN</v>
          </cell>
          <cell r="B2987">
            <v>2014</v>
          </cell>
          <cell r="C2987" t="str">
            <v>malabz</v>
          </cell>
          <cell r="D2987">
            <v>1.5763862133026123</v>
          </cell>
        </row>
        <row r="2988">
          <cell r="A2988" t="str">
            <v>BTN</v>
          </cell>
          <cell r="B2988">
            <v>2009</v>
          </cell>
          <cell r="C2988" t="str">
            <v>mafdi_</v>
          </cell>
        </row>
        <row r="2989">
          <cell r="A2989" t="str">
            <v>BTN</v>
          </cell>
          <cell r="B2989">
            <v>2023</v>
          </cell>
          <cell r="C2989" t="str">
            <v>masrvfc</v>
          </cell>
          <cell r="D2989">
            <v>5.0483107566833496</v>
          </cell>
        </row>
        <row r="2990">
          <cell r="A2990" t="str">
            <v>BTN</v>
          </cell>
          <cell r="B2990">
            <v>2025</v>
          </cell>
          <cell r="C2990" t="str">
            <v>mainvz</v>
          </cell>
          <cell r="D2990">
            <v>0.41260188817977905</v>
          </cell>
        </row>
        <row r="2991">
          <cell r="A2991" t="str">
            <v>BTN</v>
          </cell>
          <cell r="B2991">
            <v>2005</v>
          </cell>
          <cell r="C2991" t="str">
            <v>madebt_</v>
          </cell>
          <cell r="D2991">
            <v>80.840599060058594</v>
          </cell>
        </row>
        <row r="2992">
          <cell r="A2992" t="str">
            <v>BTN</v>
          </cell>
          <cell r="B2992">
            <v>2025</v>
          </cell>
          <cell r="C2992" t="str">
            <v>malabz</v>
          </cell>
          <cell r="D2992">
            <v>1.23482346534729</v>
          </cell>
        </row>
        <row r="2993">
          <cell r="A2993" t="str">
            <v>BTN</v>
          </cell>
          <cell r="B2993">
            <v>2009</v>
          </cell>
          <cell r="C2993" t="str">
            <v>mar_indfc</v>
          </cell>
          <cell r="D2993">
            <v>41.193046569824219</v>
          </cell>
        </row>
        <row r="2994">
          <cell r="A2994" t="str">
            <v>BTN</v>
          </cell>
          <cell r="B2994">
            <v>2015</v>
          </cell>
          <cell r="C2994" t="str">
            <v>mar_indfc</v>
          </cell>
          <cell r="D2994">
            <v>42.154777526855469</v>
          </cell>
        </row>
        <row r="2995">
          <cell r="A2995" t="str">
            <v>BTN</v>
          </cell>
          <cell r="B2995">
            <v>2024</v>
          </cell>
          <cell r="C2995" t="str">
            <v>macab_</v>
          </cell>
          <cell r="D2995">
            <v>-15.731094360351563</v>
          </cell>
        </row>
        <row r="2996">
          <cell r="A2996" t="str">
            <v>BTN</v>
          </cell>
          <cell r="B2996">
            <v>2007</v>
          </cell>
          <cell r="C2996" t="str">
            <v>mar_con</v>
          </cell>
          <cell r="D2996">
            <v>35.804294586181641</v>
          </cell>
        </row>
        <row r="2997">
          <cell r="A2997" t="str">
            <v>BTN</v>
          </cell>
          <cell r="B2997">
            <v>2020</v>
          </cell>
          <cell r="C2997" t="str">
            <v>mar_indfc</v>
          </cell>
          <cell r="D2997">
            <v>34.211612701416016</v>
          </cell>
        </row>
        <row r="2998">
          <cell r="A2998" t="str">
            <v>BTN</v>
          </cell>
          <cell r="B2998">
            <v>2026</v>
          </cell>
          <cell r="C2998" t="str">
            <v>mar_agrfc</v>
          </cell>
          <cell r="D2998">
            <v>11.839325904846191</v>
          </cell>
        </row>
        <row r="2999">
          <cell r="A2999" t="str">
            <v>BTN</v>
          </cell>
          <cell r="B2999">
            <v>2005</v>
          </cell>
          <cell r="C2999" t="str">
            <v>mar_indfc</v>
          </cell>
          <cell r="D2999">
            <v>35.064311981201172</v>
          </cell>
        </row>
        <row r="3000">
          <cell r="A3000" t="str">
            <v>BTN</v>
          </cell>
          <cell r="B3000">
            <v>2025</v>
          </cell>
          <cell r="C3000" t="str">
            <v>mareer</v>
          </cell>
          <cell r="D3000">
            <v>116.88979339599609</v>
          </cell>
        </row>
        <row r="3001">
          <cell r="A3001" t="str">
            <v>BTN</v>
          </cell>
          <cell r="B3001">
            <v>2019</v>
          </cell>
          <cell r="C3001" t="str">
            <v>maconz</v>
          </cell>
          <cell r="D3001">
            <v>2.8086006641387939</v>
          </cell>
        </row>
        <row r="3002">
          <cell r="A3002" t="str">
            <v>BTN</v>
          </cell>
          <cell r="B3002">
            <v>2025</v>
          </cell>
          <cell r="C3002" t="str">
            <v>masrvfc</v>
          </cell>
          <cell r="D3002">
            <v>4.6605134010314941</v>
          </cell>
        </row>
        <row r="3003">
          <cell r="A3003" t="str">
            <v>BTN</v>
          </cell>
          <cell r="B3003">
            <v>2025</v>
          </cell>
          <cell r="C3003" t="str">
            <v>mataxfc</v>
          </cell>
          <cell r="D3003">
            <v>5.7435588836669922</v>
          </cell>
        </row>
        <row r="3004">
          <cell r="A3004" t="str">
            <v>BTN</v>
          </cell>
          <cell r="B3004">
            <v>2025</v>
          </cell>
          <cell r="C3004" t="str">
            <v>mar_expz</v>
          </cell>
          <cell r="D3004">
            <v>28.023136138916016</v>
          </cell>
        </row>
        <row r="3005">
          <cell r="A3005" t="str">
            <v>BTN</v>
          </cell>
          <cell r="B3005">
            <v>2026</v>
          </cell>
          <cell r="C3005" t="str">
            <v>madeficit_</v>
          </cell>
          <cell r="D3005">
            <v>-2.3221697807312012</v>
          </cell>
        </row>
        <row r="3006">
          <cell r="A3006" t="str">
            <v>BTN</v>
          </cell>
          <cell r="B3006">
            <v>2018</v>
          </cell>
          <cell r="C3006" t="str">
            <v>mar_srvfc</v>
          </cell>
          <cell r="D3006">
            <v>46.778640747070313</v>
          </cell>
        </row>
        <row r="3007">
          <cell r="A3007" t="str">
            <v>BTN</v>
          </cell>
          <cell r="B3007">
            <v>2010</v>
          </cell>
          <cell r="C3007" t="str">
            <v>mar_taxfc</v>
          </cell>
          <cell r="D3007">
            <v>4.8529243469238281</v>
          </cell>
        </row>
        <row r="3008">
          <cell r="A3008" t="str">
            <v>BTN</v>
          </cell>
          <cell r="B3008">
            <v>2018</v>
          </cell>
          <cell r="C3008" t="str">
            <v>mar_expz</v>
          </cell>
          <cell r="D3008">
            <v>27.993743896484375</v>
          </cell>
        </row>
        <row r="3009">
          <cell r="A3009" t="str">
            <v>BTN</v>
          </cell>
          <cell r="B3009">
            <v>2011</v>
          </cell>
          <cell r="C3009" t="str">
            <v>mar_taxfc</v>
          </cell>
          <cell r="D3009">
            <v>5.9939136505126953</v>
          </cell>
        </row>
        <row r="3010">
          <cell r="A3010" t="str">
            <v>BTN</v>
          </cell>
          <cell r="B3010">
            <v>2005</v>
          </cell>
          <cell r="C3010" t="str">
            <v>mar_impz</v>
          </cell>
          <cell r="D3010">
            <v>63.65838623046875</v>
          </cell>
        </row>
        <row r="3011">
          <cell r="A3011" t="str">
            <v>BTN</v>
          </cell>
          <cell r="B3011">
            <v>2014</v>
          </cell>
          <cell r="C3011" t="str">
            <v>masrvfc</v>
          </cell>
          <cell r="D3011">
            <v>4.1479325294494629</v>
          </cell>
        </row>
        <row r="3012">
          <cell r="A3012" t="str">
            <v>BTN</v>
          </cell>
          <cell r="B3012">
            <v>2022</v>
          </cell>
          <cell r="C3012" t="str">
            <v>mareer</v>
          </cell>
          <cell r="D3012">
            <v>122.506591796875</v>
          </cell>
        </row>
        <row r="3013">
          <cell r="A3013" t="str">
            <v>BTN</v>
          </cell>
          <cell r="B3013">
            <v>2008</v>
          </cell>
          <cell r="C3013" t="str">
            <v>mar_con</v>
          </cell>
          <cell r="D3013">
            <v>41.478389739990234</v>
          </cell>
        </row>
        <row r="3014">
          <cell r="A3014" t="str">
            <v>BTN</v>
          </cell>
          <cell r="B3014">
            <v>2014</v>
          </cell>
          <cell r="C3014" t="str">
            <v>maconz</v>
          </cell>
          <cell r="D3014">
            <v>30.138540267944336</v>
          </cell>
        </row>
        <row r="3015">
          <cell r="A3015" t="str">
            <v>BTN</v>
          </cell>
          <cell r="B3015">
            <v>2014</v>
          </cell>
          <cell r="C3015" t="str">
            <v>maindfc</v>
          </cell>
          <cell r="D3015">
            <v>4.1242489814758301</v>
          </cell>
        </row>
        <row r="3016">
          <cell r="A3016" t="str">
            <v>BTN</v>
          </cell>
          <cell r="B3016">
            <v>2026</v>
          </cell>
          <cell r="C3016" t="str">
            <v>maimpz</v>
          </cell>
          <cell r="D3016">
            <v>-1</v>
          </cell>
        </row>
        <row r="3017">
          <cell r="A3017" t="str">
            <v>BTN</v>
          </cell>
          <cell r="B3017">
            <v>2015</v>
          </cell>
          <cell r="C3017" t="str">
            <v>maimpz</v>
          </cell>
          <cell r="D3017">
            <v>8.6131010055541992</v>
          </cell>
        </row>
        <row r="3018">
          <cell r="A3018" t="str">
            <v>BTN</v>
          </cell>
          <cell r="B3018">
            <v>2011</v>
          </cell>
          <cell r="C3018" t="str">
            <v>mar_agrfc</v>
          </cell>
          <cell r="D3018">
            <v>15.706788063049316</v>
          </cell>
        </row>
        <row r="3019">
          <cell r="A3019" t="str">
            <v>BTN</v>
          </cell>
          <cell r="B3019">
            <v>2019</v>
          </cell>
          <cell r="C3019" t="str">
            <v>magovz</v>
          </cell>
          <cell r="D3019">
            <v>6.7423195838928223</v>
          </cell>
        </row>
        <row r="3020">
          <cell r="A3020" t="str">
            <v>BTN</v>
          </cell>
          <cell r="B3020">
            <v>2005</v>
          </cell>
          <cell r="C3020" t="str">
            <v>matfpz</v>
          </cell>
          <cell r="D3020">
            <v>1.9756748676300049</v>
          </cell>
        </row>
        <row r="3021">
          <cell r="A3021" t="str">
            <v>BTN</v>
          </cell>
          <cell r="B3021">
            <v>2018</v>
          </cell>
          <cell r="C3021" t="str">
            <v>mar_agrfc</v>
          </cell>
          <cell r="D3021">
            <v>13.587113380432129</v>
          </cell>
        </row>
        <row r="3022">
          <cell r="A3022" t="str">
            <v>BTN</v>
          </cell>
          <cell r="B3022">
            <v>2018</v>
          </cell>
          <cell r="C3022" t="str">
            <v>mar_indfc</v>
          </cell>
          <cell r="D3022">
            <v>39.634246826171875</v>
          </cell>
        </row>
        <row r="3023">
          <cell r="A3023" t="str">
            <v>BTN</v>
          </cell>
          <cell r="B3023">
            <v>2026</v>
          </cell>
          <cell r="C3023" t="str">
            <v>malabz</v>
          </cell>
          <cell r="D3023">
            <v>1.2032643556594849</v>
          </cell>
        </row>
        <row r="3024">
          <cell r="A3024" t="str">
            <v>BTN</v>
          </cell>
          <cell r="B3024">
            <v>2011</v>
          </cell>
          <cell r="C3024" t="str">
            <v>mainvz</v>
          </cell>
          <cell r="D3024">
            <v>25.257488250732422</v>
          </cell>
        </row>
        <row r="3025">
          <cell r="A3025" t="str">
            <v>BTN</v>
          </cell>
          <cell r="B3025">
            <v>2006</v>
          </cell>
          <cell r="C3025" t="str">
            <v>maagrfc</v>
          </cell>
          <cell r="D3025">
            <v>1.9363247156143188</v>
          </cell>
        </row>
        <row r="3026">
          <cell r="A3026" t="str">
            <v>BTN</v>
          </cell>
          <cell r="B3026">
            <v>2018</v>
          </cell>
          <cell r="C3026" t="str">
            <v>malabz</v>
          </cell>
          <cell r="D3026">
            <v>1.8504962921142578</v>
          </cell>
        </row>
        <row r="3027">
          <cell r="A3027" t="str">
            <v>BTN</v>
          </cell>
          <cell r="B3027">
            <v>2011</v>
          </cell>
          <cell r="C3027" t="str">
            <v>masrvfc</v>
          </cell>
          <cell r="D3027">
            <v>11.997819900512695</v>
          </cell>
        </row>
        <row r="3028">
          <cell r="A3028" t="str">
            <v>BTN</v>
          </cell>
          <cell r="B3028">
            <v>2016</v>
          </cell>
          <cell r="C3028" t="str">
            <v>mar_impz</v>
          </cell>
          <cell r="D3028">
            <v>55.254661560058594</v>
          </cell>
        </row>
        <row r="3029">
          <cell r="A3029" t="str">
            <v>BTN</v>
          </cell>
          <cell r="B3029">
            <v>2014</v>
          </cell>
          <cell r="C3029" t="str">
            <v>maexpz</v>
          </cell>
          <cell r="D3029">
            <v>-0.79491257667541504</v>
          </cell>
        </row>
        <row r="3030">
          <cell r="A3030" t="str">
            <v>BTN</v>
          </cell>
          <cell r="B3030">
            <v>2015</v>
          </cell>
          <cell r="C3030" t="str">
            <v>maexpz</v>
          </cell>
          <cell r="D3030">
            <v>-4.2636117935180664</v>
          </cell>
        </row>
        <row r="3031">
          <cell r="A3031" t="str">
            <v>BTN</v>
          </cell>
          <cell r="B3031">
            <v>2026</v>
          </cell>
          <cell r="C3031" t="str">
            <v>mar_indfc</v>
          </cell>
          <cell r="D3031">
            <v>35.451774597167969</v>
          </cell>
        </row>
        <row r="3032">
          <cell r="A3032" t="str">
            <v>BTN</v>
          </cell>
          <cell r="B3032">
            <v>2016</v>
          </cell>
          <cell r="C3032" t="str">
            <v>mataxfc</v>
          </cell>
          <cell r="D3032">
            <v>-1.202118992805481</v>
          </cell>
        </row>
        <row r="3033">
          <cell r="A3033" t="str">
            <v>BTN</v>
          </cell>
          <cell r="B3033">
            <v>2020</v>
          </cell>
          <cell r="C3033" t="str">
            <v>maimpz</v>
          </cell>
          <cell r="D3033">
            <v>-6.161961555480957</v>
          </cell>
        </row>
        <row r="3034">
          <cell r="A3034" t="str">
            <v>BTN</v>
          </cell>
          <cell r="B3034">
            <v>2009</v>
          </cell>
          <cell r="C3034" t="str">
            <v>madebt_</v>
          </cell>
          <cell r="D3034">
            <v>61.036792755126953</v>
          </cell>
        </row>
        <row r="3035">
          <cell r="A3035" t="str">
            <v>BTN</v>
          </cell>
          <cell r="B3035">
            <v>2008</v>
          </cell>
          <cell r="C3035" t="str">
            <v>mar_expz</v>
          </cell>
          <cell r="D3035">
            <v>53.237380981445313</v>
          </cell>
        </row>
        <row r="3036">
          <cell r="A3036" t="str">
            <v>BTN</v>
          </cell>
          <cell r="B3036">
            <v>2007</v>
          </cell>
          <cell r="C3036" t="str">
            <v>matfpz</v>
          </cell>
          <cell r="D3036">
            <v>2.239349365234375</v>
          </cell>
        </row>
        <row r="3037">
          <cell r="A3037" t="str">
            <v>BTN</v>
          </cell>
          <cell r="B3037">
            <v>2022</v>
          </cell>
          <cell r="C3037" t="str">
            <v>magap_</v>
          </cell>
          <cell r="D3037">
            <v>-2.1569216623902321E-2</v>
          </cell>
        </row>
        <row r="3038">
          <cell r="A3038" t="str">
            <v>BTN</v>
          </cell>
          <cell r="B3038">
            <v>2025</v>
          </cell>
          <cell r="C3038" t="str">
            <v>mar_indfc</v>
          </cell>
          <cell r="D3038">
            <v>34.295253753662109</v>
          </cell>
        </row>
        <row r="3039">
          <cell r="A3039" t="str">
            <v>BTN</v>
          </cell>
          <cell r="B3039">
            <v>2010</v>
          </cell>
          <cell r="C3039" t="str">
            <v>mar_srvfc</v>
          </cell>
          <cell r="D3039">
            <v>42.272762298583984</v>
          </cell>
        </row>
        <row r="3040">
          <cell r="A3040" t="str">
            <v>BTN</v>
          </cell>
          <cell r="B3040">
            <v>2010</v>
          </cell>
          <cell r="C3040" t="str">
            <v>magap_</v>
          </cell>
          <cell r="D3040">
            <v>4.3410263061523438</v>
          </cell>
        </row>
        <row r="3041">
          <cell r="A3041" t="str">
            <v>BTN</v>
          </cell>
          <cell r="B3041">
            <v>2023</v>
          </cell>
          <cell r="C3041" t="str">
            <v>magovz</v>
          </cell>
          <cell r="D3041">
            <v>-1.2471799850463867</v>
          </cell>
        </row>
        <row r="3042">
          <cell r="A3042" t="str">
            <v>BTN</v>
          </cell>
          <cell r="B3042">
            <v>2021</v>
          </cell>
          <cell r="C3042" t="str">
            <v>madeficit_</v>
          </cell>
          <cell r="D3042">
            <v>-5.7603926658630371</v>
          </cell>
        </row>
        <row r="3043">
          <cell r="A3043" t="str">
            <v>BTN</v>
          </cell>
          <cell r="B3043">
            <v>2007</v>
          </cell>
          <cell r="C3043" t="str">
            <v>mar_impz</v>
          </cell>
          <cell r="D3043">
            <v>59.110641479492188</v>
          </cell>
        </row>
        <row r="3044">
          <cell r="A3044" t="str">
            <v>BTN</v>
          </cell>
          <cell r="B3044">
            <v>2007</v>
          </cell>
          <cell r="C3044" t="str">
            <v>mafdi_</v>
          </cell>
        </row>
        <row r="3045">
          <cell r="A3045" t="str">
            <v>BTN</v>
          </cell>
          <cell r="B3045">
            <v>2011</v>
          </cell>
          <cell r="C3045" t="str">
            <v>maconz</v>
          </cell>
          <cell r="D3045">
            <v>4.2229690551757813</v>
          </cell>
        </row>
        <row r="3046">
          <cell r="A3046" t="str">
            <v>BTN</v>
          </cell>
          <cell r="B3046">
            <v>2011</v>
          </cell>
          <cell r="C3046" t="str">
            <v>matfpz</v>
          </cell>
          <cell r="D3046">
            <v>1.7013117074966431</v>
          </cell>
        </row>
        <row r="3047">
          <cell r="A3047" t="str">
            <v>BTN</v>
          </cell>
          <cell r="B3047">
            <v>2022</v>
          </cell>
          <cell r="C3047" t="str">
            <v>magdpz</v>
          </cell>
          <cell r="D3047">
            <v>4.8261880874633789</v>
          </cell>
        </row>
        <row r="3048">
          <cell r="A3048" t="str">
            <v>BTN</v>
          </cell>
          <cell r="B3048">
            <v>2018</v>
          </cell>
          <cell r="C3048" t="str">
            <v>madeficit_</v>
          </cell>
          <cell r="D3048">
            <v>-1.5189510583877563</v>
          </cell>
        </row>
        <row r="3049">
          <cell r="A3049" t="str">
            <v>BTN</v>
          </cell>
          <cell r="B3049">
            <v>2022</v>
          </cell>
          <cell r="C3049" t="str">
            <v>mar_taxfc</v>
          </cell>
          <cell r="D3049">
            <v>2.381758451461792</v>
          </cell>
        </row>
        <row r="3050">
          <cell r="A3050" t="str">
            <v>BTN</v>
          </cell>
          <cell r="B3050">
            <v>2018</v>
          </cell>
          <cell r="C3050" t="str">
            <v>macpiz</v>
          </cell>
          <cell r="D3050">
            <v>3.6605877876281738</v>
          </cell>
        </row>
        <row r="3051">
          <cell r="A3051" t="str">
            <v>BTN</v>
          </cell>
          <cell r="B3051">
            <v>2017</v>
          </cell>
          <cell r="C3051" t="str">
            <v>mar_con</v>
          </cell>
          <cell r="D3051">
            <v>47.752780914306641</v>
          </cell>
        </row>
        <row r="3052">
          <cell r="A3052" t="str">
            <v>BTN</v>
          </cell>
          <cell r="B3052">
            <v>2017</v>
          </cell>
          <cell r="C3052" t="str">
            <v>mar_taxfc</v>
          </cell>
          <cell r="D3052">
            <v>5.8915896415710449</v>
          </cell>
        </row>
        <row r="3053">
          <cell r="A3053" t="str">
            <v>BTN</v>
          </cell>
          <cell r="B3053">
            <v>2013</v>
          </cell>
          <cell r="C3053" t="str">
            <v>mar_indfc</v>
          </cell>
          <cell r="D3053">
            <v>42.205371856689453</v>
          </cell>
        </row>
        <row r="3054">
          <cell r="A3054" t="str">
            <v>BTN</v>
          </cell>
          <cell r="B3054">
            <v>2015</v>
          </cell>
          <cell r="C3054" t="str">
            <v>mar_agrfc</v>
          </cell>
          <cell r="D3054">
            <v>14.513530731201172</v>
          </cell>
        </row>
        <row r="3055">
          <cell r="A3055" t="str">
            <v>BTN</v>
          </cell>
          <cell r="B3055">
            <v>2012</v>
          </cell>
          <cell r="C3055" t="str">
            <v>maimpz</v>
          </cell>
          <cell r="D3055">
            <v>-0.77164417505264282</v>
          </cell>
        </row>
        <row r="3056">
          <cell r="A3056" t="str">
            <v>BTN</v>
          </cell>
          <cell r="B3056">
            <v>2023</v>
          </cell>
          <cell r="C3056" t="str">
            <v>mar_indfc</v>
          </cell>
          <cell r="D3056">
            <v>33.208625793457031</v>
          </cell>
        </row>
        <row r="3057">
          <cell r="A3057" t="str">
            <v>BTN</v>
          </cell>
          <cell r="B3057">
            <v>2015</v>
          </cell>
          <cell r="C3057" t="str">
            <v>magovz</v>
          </cell>
          <cell r="D3057">
            <v>6.6356735229492188</v>
          </cell>
        </row>
        <row r="3058">
          <cell r="A3058" t="str">
            <v>BTN</v>
          </cell>
          <cell r="B3058">
            <v>2012</v>
          </cell>
          <cell r="C3058" t="str">
            <v>maindfc</v>
          </cell>
          <cell r="D3058">
            <v>5.9814457893371582</v>
          </cell>
        </row>
        <row r="3059">
          <cell r="A3059" t="str">
            <v>BTN</v>
          </cell>
          <cell r="B3059">
            <v>2021</v>
          </cell>
          <cell r="C3059" t="str">
            <v>mar_indfc</v>
          </cell>
          <cell r="D3059">
            <v>32.930706024169922</v>
          </cell>
        </row>
        <row r="3060">
          <cell r="A3060" t="str">
            <v>BTN</v>
          </cell>
          <cell r="B3060">
            <v>2019</v>
          </cell>
          <cell r="C3060" t="str">
            <v>mar_expz</v>
          </cell>
          <cell r="D3060">
            <v>30.286592483520508</v>
          </cell>
        </row>
        <row r="3061">
          <cell r="A3061" t="str">
            <v>BTN</v>
          </cell>
          <cell r="B3061">
            <v>2006</v>
          </cell>
          <cell r="C3061" t="str">
            <v>mataxfc</v>
          </cell>
          <cell r="D3061">
            <v>0.22259321808815002</v>
          </cell>
        </row>
        <row r="3062">
          <cell r="A3062" t="str">
            <v>BTN</v>
          </cell>
          <cell r="B3062">
            <v>2012</v>
          </cell>
          <cell r="C3062" t="str">
            <v>macab_</v>
          </cell>
          <cell r="D3062">
            <v>-20.118930816650391</v>
          </cell>
        </row>
        <row r="3063">
          <cell r="A3063" t="str">
            <v>BTN</v>
          </cell>
          <cell r="B3063">
            <v>2013</v>
          </cell>
          <cell r="C3063" t="str">
            <v>magap_</v>
          </cell>
          <cell r="D3063">
            <v>-0.39679381251335144</v>
          </cell>
        </row>
        <row r="3064">
          <cell r="A3064" t="str">
            <v>BTN</v>
          </cell>
          <cell r="B3064">
            <v>2016</v>
          </cell>
          <cell r="C3064" t="str">
            <v>macpiz</v>
          </cell>
          <cell r="D3064">
            <v>3.2795071601867676</v>
          </cell>
        </row>
        <row r="3065">
          <cell r="A3065" t="str">
            <v>BTN</v>
          </cell>
          <cell r="B3065">
            <v>2013</v>
          </cell>
          <cell r="C3065" t="str">
            <v>mareer</v>
          </cell>
          <cell r="D3065">
            <v>105.92576599121094</v>
          </cell>
        </row>
        <row r="3066">
          <cell r="A3066" t="str">
            <v>BTN</v>
          </cell>
          <cell r="B3066">
            <v>2005</v>
          </cell>
          <cell r="C3066" t="str">
            <v>malabz</v>
          </cell>
          <cell r="D3066">
            <v>0</v>
          </cell>
        </row>
        <row r="3067">
          <cell r="A3067" t="str">
            <v>BTN</v>
          </cell>
          <cell r="B3067">
            <v>2007</v>
          </cell>
          <cell r="C3067" t="str">
            <v>magap_</v>
          </cell>
          <cell r="D3067">
            <v>-2.4918510913848877</v>
          </cell>
        </row>
        <row r="3068">
          <cell r="A3068" t="str">
            <v>BTN</v>
          </cell>
          <cell r="B3068">
            <v>2010</v>
          </cell>
          <cell r="C3068" t="str">
            <v>madeficit_</v>
          </cell>
          <cell r="D3068">
            <v>0.99503135681152344</v>
          </cell>
        </row>
        <row r="3069">
          <cell r="A3069" t="str">
            <v>BTN</v>
          </cell>
          <cell r="B3069">
            <v>2012</v>
          </cell>
          <cell r="C3069" t="str">
            <v>mar_agrfc</v>
          </cell>
          <cell r="D3069">
            <v>15.277998924255371</v>
          </cell>
        </row>
        <row r="3070">
          <cell r="A3070" t="str">
            <v>BTN</v>
          </cell>
          <cell r="B3070">
            <v>2016</v>
          </cell>
          <cell r="C3070" t="str">
            <v>mafdi_</v>
          </cell>
        </row>
        <row r="3071">
          <cell r="A3071" t="str">
            <v>BTN</v>
          </cell>
          <cell r="B3071">
            <v>2010</v>
          </cell>
          <cell r="C3071" t="str">
            <v>mar_impz</v>
          </cell>
          <cell r="D3071">
            <v>65.20477294921875</v>
          </cell>
        </row>
        <row r="3072">
          <cell r="A3072" t="str">
            <v>BTN</v>
          </cell>
          <cell r="B3072">
            <v>2006</v>
          </cell>
          <cell r="C3072" t="str">
            <v>mar_agrfc</v>
          </cell>
          <cell r="D3072">
            <v>22.447725296020508</v>
          </cell>
        </row>
        <row r="3073">
          <cell r="A3073" t="str">
            <v>BTN</v>
          </cell>
          <cell r="B3073">
            <v>2009</v>
          </cell>
          <cell r="C3073" t="str">
            <v>masrvfc</v>
          </cell>
          <cell r="D3073">
            <v>10.049130439758301</v>
          </cell>
        </row>
        <row r="3074">
          <cell r="A3074" t="str">
            <v>BTN</v>
          </cell>
          <cell r="B3074">
            <v>2017</v>
          </cell>
          <cell r="C3074" t="str">
            <v>mar_srvfc</v>
          </cell>
          <cell r="D3074">
            <v>44.805442810058594</v>
          </cell>
        </row>
        <row r="3075">
          <cell r="A3075" t="str">
            <v>BTN</v>
          </cell>
          <cell r="B3075">
            <v>2012</v>
          </cell>
          <cell r="C3075" t="str">
            <v>mar_con</v>
          </cell>
          <cell r="D3075">
            <v>33.671257019042969</v>
          </cell>
        </row>
        <row r="3076">
          <cell r="A3076" t="str">
            <v>BTN</v>
          </cell>
          <cell r="B3076">
            <v>2012</v>
          </cell>
          <cell r="C3076" t="str">
            <v>maexpz</v>
          </cell>
          <cell r="D3076">
            <v>0.35702243447303772</v>
          </cell>
        </row>
        <row r="3077">
          <cell r="A3077" t="str">
            <v>BTN</v>
          </cell>
          <cell r="B3077">
            <v>2024</v>
          </cell>
          <cell r="C3077" t="str">
            <v>mar_srvfc</v>
          </cell>
          <cell r="D3077">
            <v>53.914173126220703</v>
          </cell>
        </row>
        <row r="3078">
          <cell r="A3078" t="str">
            <v>BTN</v>
          </cell>
          <cell r="B3078">
            <v>2007</v>
          </cell>
          <cell r="C3078" t="str">
            <v>mac_labz</v>
          </cell>
          <cell r="D3078">
            <v>1.6136074066162109</v>
          </cell>
        </row>
        <row r="3079">
          <cell r="A3079" t="str">
            <v>BTN</v>
          </cell>
          <cell r="B3079">
            <v>2006</v>
          </cell>
          <cell r="C3079" t="str">
            <v>magap_</v>
          </cell>
          <cell r="D3079">
            <v>-6.1048450469970703</v>
          </cell>
        </row>
        <row r="3080">
          <cell r="A3080" t="str">
            <v>BTN</v>
          </cell>
          <cell r="B3080">
            <v>2025</v>
          </cell>
          <cell r="C3080" t="str">
            <v>madeficit_</v>
          </cell>
          <cell r="D3080">
            <v>-0.39492809772491455</v>
          </cell>
        </row>
        <row r="3081">
          <cell r="A3081" t="str">
            <v>BTN</v>
          </cell>
          <cell r="B3081">
            <v>2014</v>
          </cell>
          <cell r="C3081" t="str">
            <v>macab_</v>
          </cell>
          <cell r="D3081">
            <v>-24.977594375610352</v>
          </cell>
        </row>
        <row r="3082">
          <cell r="A3082" t="str">
            <v>BTN</v>
          </cell>
          <cell r="B3082">
            <v>2009</v>
          </cell>
          <cell r="C3082" t="str">
            <v>madeficit_</v>
          </cell>
          <cell r="D3082">
            <v>-0.80131733417510986</v>
          </cell>
        </row>
        <row r="3083">
          <cell r="A3083" t="str">
            <v>BTN</v>
          </cell>
          <cell r="B3083">
            <v>2016</v>
          </cell>
          <cell r="C3083" t="str">
            <v>mac_labz</v>
          </cell>
          <cell r="D3083">
            <v>1.0614626407623291</v>
          </cell>
        </row>
        <row r="3084">
          <cell r="A3084" t="str">
            <v>BTN</v>
          </cell>
          <cell r="B3084">
            <v>2017</v>
          </cell>
          <cell r="C3084" t="str">
            <v>mac_tfpz</v>
          </cell>
          <cell r="D3084">
            <v>0.65364187955856323</v>
          </cell>
        </row>
        <row r="3085">
          <cell r="A3085" t="str">
            <v>BTN</v>
          </cell>
          <cell r="B3085">
            <v>2015</v>
          </cell>
          <cell r="C3085" t="str">
            <v>matfpz</v>
          </cell>
          <cell r="D3085">
            <v>0.8355252742767334</v>
          </cell>
        </row>
        <row r="3086">
          <cell r="A3086" t="str">
            <v>BTN</v>
          </cell>
          <cell r="B3086">
            <v>2008</v>
          </cell>
          <cell r="C3086" t="str">
            <v>maconz</v>
          </cell>
          <cell r="D3086">
            <v>27.300432205200195</v>
          </cell>
        </row>
        <row r="3087">
          <cell r="A3087" t="str">
            <v>BTN</v>
          </cell>
          <cell r="B3087">
            <v>2008</v>
          </cell>
          <cell r="C3087" t="str">
            <v>maexpz</v>
          </cell>
          <cell r="D3087">
            <v>2.0278704166412354</v>
          </cell>
        </row>
        <row r="3088">
          <cell r="A3088" t="str">
            <v>BTN</v>
          </cell>
          <cell r="B3088">
            <v>2006</v>
          </cell>
          <cell r="C3088" t="str">
            <v>mar_indfc</v>
          </cell>
          <cell r="D3088">
            <v>34.749214172363281</v>
          </cell>
        </row>
        <row r="3089">
          <cell r="A3089" t="str">
            <v>BTN</v>
          </cell>
          <cell r="B3089">
            <v>2008</v>
          </cell>
          <cell r="C3089" t="str">
            <v>mafdi_</v>
          </cell>
        </row>
        <row r="3090">
          <cell r="A3090" t="str">
            <v>BTN</v>
          </cell>
          <cell r="B3090">
            <v>2013</v>
          </cell>
          <cell r="C3090" t="str">
            <v>mar_con</v>
          </cell>
          <cell r="D3090">
            <v>37.287776947021484</v>
          </cell>
        </row>
        <row r="3091">
          <cell r="A3091" t="str">
            <v>BTN</v>
          </cell>
          <cell r="B3091">
            <v>2008</v>
          </cell>
          <cell r="C3091" t="str">
            <v>magap_</v>
          </cell>
          <cell r="D3091">
            <v>0.97496205568313599</v>
          </cell>
        </row>
        <row r="3092">
          <cell r="A3092" t="str">
            <v>BTN</v>
          </cell>
          <cell r="B3092">
            <v>2024</v>
          </cell>
          <cell r="C3092" t="str">
            <v>malabz</v>
          </cell>
          <cell r="D3092">
            <v>1.2659587860107422</v>
          </cell>
        </row>
        <row r="3093">
          <cell r="A3093" t="str">
            <v>BTN</v>
          </cell>
          <cell r="B3093">
            <v>2021</v>
          </cell>
          <cell r="C3093" t="str">
            <v>maimpz</v>
          </cell>
          <cell r="D3093">
            <v>-0.47475412487983704</v>
          </cell>
        </row>
        <row r="3094">
          <cell r="A3094" t="str">
            <v>BTN</v>
          </cell>
          <cell r="B3094">
            <v>2008</v>
          </cell>
          <cell r="C3094" t="str">
            <v>mar_agrfc</v>
          </cell>
          <cell r="D3094">
            <v>18.740327835083008</v>
          </cell>
        </row>
        <row r="3095">
          <cell r="A3095" t="str">
            <v>BTN</v>
          </cell>
          <cell r="B3095">
            <v>2005</v>
          </cell>
          <cell r="C3095" t="str">
            <v>magap_</v>
          </cell>
          <cell r="D3095">
            <v>-4.7222709655761719</v>
          </cell>
        </row>
        <row r="3096">
          <cell r="A3096" t="str">
            <v>BTN</v>
          </cell>
          <cell r="B3096">
            <v>2005</v>
          </cell>
          <cell r="C3096" t="str">
            <v>masrvfc</v>
          </cell>
          <cell r="D3096">
            <v>10.719564437866211</v>
          </cell>
        </row>
        <row r="3097">
          <cell r="A3097" t="str">
            <v>BTN</v>
          </cell>
          <cell r="B3097">
            <v>2017</v>
          </cell>
          <cell r="C3097" t="str">
            <v>mar_agrfc</v>
          </cell>
          <cell r="D3097">
            <v>13.715977668762207</v>
          </cell>
        </row>
        <row r="3098">
          <cell r="A3098" t="str">
            <v>BTN</v>
          </cell>
          <cell r="B3098">
            <v>2007</v>
          </cell>
          <cell r="C3098" t="str">
            <v>mataxfc</v>
          </cell>
          <cell r="D3098">
            <v>0.99944472312927246</v>
          </cell>
        </row>
        <row r="3099">
          <cell r="A3099" t="str">
            <v>BTN</v>
          </cell>
          <cell r="B3099">
            <v>2006</v>
          </cell>
          <cell r="C3099" t="str">
            <v>madeficit_</v>
          </cell>
          <cell r="D3099">
            <v>-7.3501773178577423E-2</v>
          </cell>
        </row>
        <row r="3100">
          <cell r="A3100" t="str">
            <v>BTN</v>
          </cell>
          <cell r="B3100">
            <v>2008</v>
          </cell>
          <cell r="C3100" t="str">
            <v>matfpz</v>
          </cell>
          <cell r="D3100">
            <v>2.2550456523895264</v>
          </cell>
        </row>
        <row r="3101">
          <cell r="A3101" t="str">
            <v>BTN</v>
          </cell>
          <cell r="B3101">
            <v>2021</v>
          </cell>
          <cell r="C3101" t="str">
            <v>macpiz</v>
          </cell>
          <cell r="D3101">
            <v>8.2105998992919922</v>
          </cell>
        </row>
        <row r="3102">
          <cell r="A3102" t="str">
            <v>BTN</v>
          </cell>
          <cell r="B3102">
            <v>2006</v>
          </cell>
          <cell r="C3102" t="str">
            <v>mar_impz</v>
          </cell>
          <cell r="D3102">
            <v>62.884906768798828</v>
          </cell>
        </row>
        <row r="3103">
          <cell r="A3103" t="str">
            <v>BTN</v>
          </cell>
          <cell r="B3103">
            <v>2009</v>
          </cell>
          <cell r="C3103" t="str">
            <v>mac_labz</v>
          </cell>
          <cell r="D3103">
            <v>1.4833502769470215</v>
          </cell>
        </row>
        <row r="3104">
          <cell r="A3104" t="str">
            <v>BTN</v>
          </cell>
          <cell r="B3104">
            <v>2009</v>
          </cell>
          <cell r="C3104" t="str">
            <v>maconz</v>
          </cell>
          <cell r="D3104">
            <v>2.702911376953125</v>
          </cell>
        </row>
        <row r="3105">
          <cell r="A3105" t="str">
            <v>BTN</v>
          </cell>
          <cell r="B3105">
            <v>2009</v>
          </cell>
          <cell r="C3105" t="str">
            <v>maexpz</v>
          </cell>
          <cell r="D3105">
            <v>-6.3076615333557129</v>
          </cell>
        </row>
        <row r="3106">
          <cell r="A3106" t="str">
            <v>BTN</v>
          </cell>
          <cell r="B3106">
            <v>2013</v>
          </cell>
          <cell r="C3106" t="str">
            <v>mar_agrfc</v>
          </cell>
          <cell r="D3106">
            <v>15.181607246398926</v>
          </cell>
        </row>
        <row r="3107">
          <cell r="A3107" t="str">
            <v>BTN</v>
          </cell>
          <cell r="B3107">
            <v>2013</v>
          </cell>
          <cell r="C3107" t="str">
            <v>maagrfc</v>
          </cell>
          <cell r="D3107">
            <v>2.1336112022399902</v>
          </cell>
        </row>
        <row r="3108">
          <cell r="A3108" t="str">
            <v>BTN</v>
          </cell>
          <cell r="B3108">
            <v>2015</v>
          </cell>
          <cell r="C3108" t="str">
            <v>mataxfc</v>
          </cell>
          <cell r="D3108">
            <v>-1.4952332973480225</v>
          </cell>
        </row>
        <row r="3109">
          <cell r="A3109" t="str">
            <v>BTN</v>
          </cell>
          <cell r="B3109">
            <v>2009</v>
          </cell>
          <cell r="C3109" t="str">
            <v>magap_</v>
          </cell>
          <cell r="D3109">
            <v>1.201829195022583</v>
          </cell>
        </row>
        <row r="3110">
          <cell r="A3110" t="str">
            <v>BTN</v>
          </cell>
          <cell r="B3110">
            <v>2010</v>
          </cell>
          <cell r="C3110" t="str">
            <v>mar_agrfc</v>
          </cell>
          <cell r="D3110">
            <v>16.813871383666992</v>
          </cell>
        </row>
        <row r="3111">
          <cell r="A3111" t="str">
            <v>BTN</v>
          </cell>
          <cell r="B3111">
            <v>2006</v>
          </cell>
          <cell r="C3111" t="str">
            <v>malabz</v>
          </cell>
          <cell r="D3111">
            <v>2.6850533485412598</v>
          </cell>
        </row>
        <row r="3112">
          <cell r="A3112" t="str">
            <v>BTN</v>
          </cell>
          <cell r="B3112">
            <v>2024</v>
          </cell>
          <cell r="C3112" t="str">
            <v>maagrfc</v>
          </cell>
          <cell r="D3112">
            <v>1.7394700050354004</v>
          </cell>
        </row>
        <row r="3113">
          <cell r="A3113" t="str">
            <v>BTN</v>
          </cell>
          <cell r="B3113">
            <v>2011</v>
          </cell>
          <cell r="C3113" t="str">
            <v>maagrfc</v>
          </cell>
          <cell r="D3113">
            <v>1.6672376394271851</v>
          </cell>
        </row>
        <row r="3114">
          <cell r="A3114" t="str">
            <v>BTN</v>
          </cell>
          <cell r="B3114">
            <v>2023</v>
          </cell>
          <cell r="C3114" t="str">
            <v>mainvz</v>
          </cell>
          <cell r="D3114">
            <v>13.290750503540039</v>
          </cell>
        </row>
        <row r="3115">
          <cell r="A3115" t="str">
            <v>BTN</v>
          </cell>
          <cell r="B3115">
            <v>2023</v>
          </cell>
          <cell r="C3115" t="str">
            <v>mar_agrfc</v>
          </cell>
          <cell r="D3115">
            <v>13.239741325378418</v>
          </cell>
        </row>
        <row r="3116">
          <cell r="A3116" t="str">
            <v>BTN</v>
          </cell>
          <cell r="B3116">
            <v>2024</v>
          </cell>
          <cell r="C3116" t="str">
            <v>magovz</v>
          </cell>
          <cell r="D3116">
            <v>0.5</v>
          </cell>
        </row>
        <row r="3117">
          <cell r="A3117" t="str">
            <v>BTN</v>
          </cell>
          <cell r="B3117">
            <v>2011</v>
          </cell>
          <cell r="C3117" t="str">
            <v>mafdi_</v>
          </cell>
        </row>
        <row r="3118">
          <cell r="A3118" t="str">
            <v>BTN</v>
          </cell>
          <cell r="B3118">
            <v>2013</v>
          </cell>
          <cell r="C3118" t="str">
            <v>malabz</v>
          </cell>
          <cell r="D3118">
            <v>1.6478449106216431</v>
          </cell>
        </row>
        <row r="3119">
          <cell r="A3119" t="str">
            <v>BTN</v>
          </cell>
          <cell r="B3119">
            <v>2017</v>
          </cell>
          <cell r="C3119" t="str">
            <v>mar_expz</v>
          </cell>
          <cell r="D3119">
            <v>28.060087203979492</v>
          </cell>
        </row>
        <row r="3120">
          <cell r="A3120" t="str">
            <v>BTN</v>
          </cell>
          <cell r="B3120">
            <v>2019</v>
          </cell>
          <cell r="C3120" t="str">
            <v>mafdi_</v>
          </cell>
        </row>
        <row r="3121">
          <cell r="A3121" t="str">
            <v>BTN</v>
          </cell>
          <cell r="B3121">
            <v>2023</v>
          </cell>
          <cell r="C3121" t="str">
            <v>mac_labz</v>
          </cell>
          <cell r="D3121">
            <v>0.92107069492340088</v>
          </cell>
        </row>
        <row r="3122">
          <cell r="A3122" t="str">
            <v>BTN</v>
          </cell>
          <cell r="B3122">
            <v>2016</v>
          </cell>
          <cell r="C3122" t="str">
            <v>maexpz</v>
          </cell>
          <cell r="D3122">
            <v>-4.2096343040466309</v>
          </cell>
        </row>
        <row r="3123">
          <cell r="A3123" t="str">
            <v>BTN</v>
          </cell>
          <cell r="B3123">
            <v>2005</v>
          </cell>
          <cell r="C3123" t="str">
            <v>madeficit_</v>
          </cell>
          <cell r="D3123">
            <v>-6.9616451263427734</v>
          </cell>
        </row>
        <row r="3124">
          <cell r="A3124" t="str">
            <v>BTN</v>
          </cell>
          <cell r="B3124">
            <v>2022</v>
          </cell>
          <cell r="C3124" t="str">
            <v>masrvfc</v>
          </cell>
          <cell r="D3124">
            <v>6.3208250999450684</v>
          </cell>
        </row>
        <row r="3125">
          <cell r="A3125" t="str">
            <v>BTN</v>
          </cell>
          <cell r="B3125">
            <v>2024</v>
          </cell>
          <cell r="C3125" t="str">
            <v>macpiz</v>
          </cell>
          <cell r="D3125">
            <v>4.9000020027160645</v>
          </cell>
        </row>
        <row r="3126">
          <cell r="A3126" t="str">
            <v>BTN</v>
          </cell>
          <cell r="B3126">
            <v>2014</v>
          </cell>
          <cell r="C3126" t="str">
            <v>maimpz</v>
          </cell>
          <cell r="D3126">
            <v>-0.90683513879776001</v>
          </cell>
        </row>
        <row r="3127">
          <cell r="A3127" t="str">
            <v>BTN</v>
          </cell>
          <cell r="B3127">
            <v>2024</v>
          </cell>
          <cell r="C3127" t="str">
            <v>mar_impz</v>
          </cell>
          <cell r="D3127">
            <v>46.211612701416016</v>
          </cell>
        </row>
        <row r="3128">
          <cell r="A3128" t="str">
            <v>BTN</v>
          </cell>
          <cell r="B3128">
            <v>2011</v>
          </cell>
          <cell r="C3128" t="str">
            <v>mac_labz</v>
          </cell>
          <cell r="D3128">
            <v>1.3226176500320435</v>
          </cell>
        </row>
        <row r="3129">
          <cell r="A3129" t="str">
            <v>BTN</v>
          </cell>
          <cell r="B3129">
            <v>2022</v>
          </cell>
          <cell r="C3129" t="str">
            <v>mar_con</v>
          </cell>
          <cell r="D3129">
            <v>49.436836242675781</v>
          </cell>
        </row>
        <row r="3130">
          <cell r="A3130" t="str">
            <v>BTN</v>
          </cell>
          <cell r="B3130">
            <v>2018</v>
          </cell>
          <cell r="C3130" t="str">
            <v>mar_con</v>
          </cell>
          <cell r="D3130">
            <v>48.571380615234375</v>
          </cell>
        </row>
        <row r="3131">
          <cell r="A3131" t="str">
            <v>BTN</v>
          </cell>
          <cell r="B3131">
            <v>2023</v>
          </cell>
          <cell r="C3131" t="str">
            <v>mataxfc</v>
          </cell>
          <cell r="D3131">
            <v>4.5805368423461914</v>
          </cell>
        </row>
        <row r="3132">
          <cell r="A3132" t="str">
            <v>BTN</v>
          </cell>
          <cell r="B3132">
            <v>2022</v>
          </cell>
          <cell r="C3132" t="str">
            <v>mapanusatls</v>
          </cell>
          <cell r="D3132">
            <v>75.45306396484375</v>
          </cell>
        </row>
        <row r="3133">
          <cell r="A3133" t="str">
            <v>BTN</v>
          </cell>
          <cell r="B3133">
            <v>2013</v>
          </cell>
          <cell r="C3133" t="str">
            <v>magovz</v>
          </cell>
          <cell r="D3133">
            <v>-5.4149413108825684</v>
          </cell>
        </row>
        <row r="3134">
          <cell r="A3134" t="str">
            <v>BTN</v>
          </cell>
          <cell r="B3134">
            <v>2007</v>
          </cell>
          <cell r="C3134" t="str">
            <v>mareer</v>
          </cell>
          <cell r="D3134">
            <v>109.91355895996094</v>
          </cell>
        </row>
        <row r="3135">
          <cell r="A3135" t="str">
            <v>BTN</v>
          </cell>
          <cell r="B3135">
            <v>2013</v>
          </cell>
          <cell r="C3135" t="str">
            <v>matfpz</v>
          </cell>
          <cell r="D3135">
            <v>1.1482416391372681</v>
          </cell>
        </row>
        <row r="3136">
          <cell r="A3136" t="str">
            <v>BTN</v>
          </cell>
          <cell r="B3136">
            <v>2015</v>
          </cell>
          <cell r="C3136" t="str">
            <v>malabz</v>
          </cell>
          <cell r="D3136">
            <v>1.5409599542617798</v>
          </cell>
        </row>
        <row r="3137">
          <cell r="A3137" t="str">
            <v>BTN</v>
          </cell>
          <cell r="B3137">
            <v>2015</v>
          </cell>
          <cell r="C3137" t="str">
            <v>mar_impz</v>
          </cell>
          <cell r="D3137">
            <v>57.728534698486328</v>
          </cell>
        </row>
        <row r="3138">
          <cell r="A3138" t="str">
            <v>BTN</v>
          </cell>
          <cell r="B3138">
            <v>2010</v>
          </cell>
          <cell r="C3138" t="str">
            <v>malabz</v>
          </cell>
          <cell r="D3138">
            <v>1.9999512434005737</v>
          </cell>
        </row>
        <row r="3139">
          <cell r="A3139" t="str">
            <v>BTN</v>
          </cell>
          <cell r="B3139">
            <v>2023</v>
          </cell>
          <cell r="C3139" t="str">
            <v>mar_srvfc</v>
          </cell>
          <cell r="D3139">
            <v>53.551631927490234</v>
          </cell>
        </row>
        <row r="3140">
          <cell r="A3140" t="str">
            <v>BTN</v>
          </cell>
          <cell r="B3140">
            <v>2006</v>
          </cell>
          <cell r="C3140" t="str">
            <v>magovz</v>
          </cell>
          <cell r="D3140">
            <v>8.4219226837158203</v>
          </cell>
        </row>
        <row r="3141">
          <cell r="A3141" t="str">
            <v>BTN</v>
          </cell>
          <cell r="B3141">
            <v>2011</v>
          </cell>
          <cell r="C3141" t="str">
            <v>mareer</v>
          </cell>
          <cell r="D3141">
            <v>120.27960968017578</v>
          </cell>
        </row>
        <row r="3142">
          <cell r="A3142" t="str">
            <v>BTN</v>
          </cell>
          <cell r="B3142">
            <v>2022</v>
          </cell>
          <cell r="C3142" t="str">
            <v>mar_expz</v>
          </cell>
          <cell r="D3142">
            <v>26.607574462890625</v>
          </cell>
        </row>
        <row r="3143">
          <cell r="A3143" t="str">
            <v>BTN</v>
          </cell>
          <cell r="B3143">
            <v>2026</v>
          </cell>
          <cell r="C3143" t="str">
            <v>mar_taxfc</v>
          </cell>
          <cell r="D3143">
            <v>2.381758451461792</v>
          </cell>
        </row>
        <row r="3144">
          <cell r="A3144" t="str">
            <v>BTN</v>
          </cell>
          <cell r="B3144">
            <v>2015</v>
          </cell>
          <cell r="C3144" t="str">
            <v>macab_</v>
          </cell>
          <cell r="D3144">
            <v>-27.023958206176758</v>
          </cell>
        </row>
        <row r="3145">
          <cell r="A3145" t="str">
            <v>BTN</v>
          </cell>
          <cell r="B3145">
            <v>2008</v>
          </cell>
          <cell r="C3145" t="str">
            <v>macab_</v>
          </cell>
          <cell r="D3145">
            <v>-8.2082481384277344</v>
          </cell>
        </row>
        <row r="3146">
          <cell r="A3146" t="str">
            <v>BTN</v>
          </cell>
          <cell r="B3146">
            <v>2020</v>
          </cell>
          <cell r="C3146" t="str">
            <v>madeficit_</v>
          </cell>
          <cell r="D3146">
            <v>-1.8067078590393066</v>
          </cell>
        </row>
        <row r="3147">
          <cell r="A3147" t="str">
            <v>BTN</v>
          </cell>
          <cell r="B3147">
            <v>2010</v>
          </cell>
          <cell r="C3147" t="str">
            <v>maimpz</v>
          </cell>
          <cell r="D3147">
            <v>22.022514343261719</v>
          </cell>
        </row>
        <row r="3148">
          <cell r="A3148" t="str">
            <v>BTN</v>
          </cell>
          <cell r="B3148">
            <v>2022</v>
          </cell>
          <cell r="C3148" t="str">
            <v>macab_</v>
          </cell>
          <cell r="D3148">
            <v>-28.087884902954102</v>
          </cell>
        </row>
        <row r="3149">
          <cell r="A3149" t="str">
            <v>BTN</v>
          </cell>
          <cell r="B3149">
            <v>2017</v>
          </cell>
          <cell r="C3149" t="str">
            <v>mataxfc</v>
          </cell>
          <cell r="D3149">
            <v>-4.825737476348877</v>
          </cell>
        </row>
        <row r="3150">
          <cell r="A3150" t="str">
            <v>BTN</v>
          </cell>
          <cell r="B3150">
            <v>2008</v>
          </cell>
          <cell r="C3150" t="str">
            <v>maimpz</v>
          </cell>
          <cell r="D3150">
            <v>6.6454944610595703</v>
          </cell>
        </row>
        <row r="3151">
          <cell r="A3151" t="str">
            <v>BTN</v>
          </cell>
          <cell r="B3151">
            <v>2007</v>
          </cell>
          <cell r="C3151" t="str">
            <v>mainvz</v>
          </cell>
          <cell r="D3151">
            <v>-6.5979228019714355</v>
          </cell>
        </row>
        <row r="3152">
          <cell r="A3152" t="str">
            <v>BTN</v>
          </cell>
          <cell r="B3152">
            <v>2007</v>
          </cell>
          <cell r="C3152" t="str">
            <v>malabz</v>
          </cell>
          <cell r="D3152">
            <v>2.3051533699035645</v>
          </cell>
        </row>
        <row r="3153">
          <cell r="A3153" t="str">
            <v>BTN</v>
          </cell>
          <cell r="B3153">
            <v>2013</v>
          </cell>
          <cell r="C3153" t="str">
            <v>mac_tfpz</v>
          </cell>
          <cell r="D3153">
            <v>1.1482416391372681</v>
          </cell>
        </row>
        <row r="3154">
          <cell r="A3154" t="str">
            <v>BTN</v>
          </cell>
          <cell r="B3154">
            <v>2020</v>
          </cell>
          <cell r="C3154" t="str">
            <v>mar_expz</v>
          </cell>
          <cell r="D3154">
            <v>31.230478286743164</v>
          </cell>
        </row>
        <row r="3155">
          <cell r="A3155" t="str">
            <v>BTN</v>
          </cell>
          <cell r="B3155">
            <v>2022</v>
          </cell>
          <cell r="C3155" t="str">
            <v>malabz</v>
          </cell>
          <cell r="D3155">
            <v>1.4065413475036621</v>
          </cell>
        </row>
        <row r="3156">
          <cell r="A3156" t="str">
            <v>BTN</v>
          </cell>
          <cell r="B3156">
            <v>2015</v>
          </cell>
          <cell r="C3156" t="str">
            <v>madeficit_</v>
          </cell>
          <cell r="D3156">
            <v>-0.49730676412582397</v>
          </cell>
        </row>
        <row r="3157">
          <cell r="A3157" t="str">
            <v>BTN</v>
          </cell>
          <cell r="B3157">
            <v>2022</v>
          </cell>
          <cell r="C3157" t="str">
            <v>macpiz</v>
          </cell>
          <cell r="D3157">
            <v>5.313988208770752</v>
          </cell>
        </row>
        <row r="3158">
          <cell r="A3158" t="str">
            <v>BTN</v>
          </cell>
          <cell r="B3158">
            <v>2017</v>
          </cell>
          <cell r="C3158" t="str">
            <v>madeficit_</v>
          </cell>
          <cell r="D3158">
            <v>-4.5242066383361816</v>
          </cell>
        </row>
        <row r="3159">
          <cell r="A3159" t="str">
            <v>BTN</v>
          </cell>
          <cell r="B3159">
            <v>2013</v>
          </cell>
          <cell r="C3159" t="str">
            <v>mafdi_</v>
          </cell>
        </row>
        <row r="3160">
          <cell r="A3160" t="str">
            <v>BTN</v>
          </cell>
          <cell r="B3160">
            <v>2018</v>
          </cell>
          <cell r="C3160" t="str">
            <v>matfpz</v>
          </cell>
          <cell r="D3160">
            <v>0.57654076814651489</v>
          </cell>
        </row>
        <row r="3161">
          <cell r="A3161" t="str">
            <v>BTN</v>
          </cell>
          <cell r="B3161">
            <v>2020</v>
          </cell>
          <cell r="C3161" t="str">
            <v>mar_impz</v>
          </cell>
          <cell r="D3161">
            <v>43.60028076171875</v>
          </cell>
        </row>
        <row r="3162">
          <cell r="A3162" t="str">
            <v>BTN</v>
          </cell>
          <cell r="B3162">
            <v>2009</v>
          </cell>
          <cell r="C3162" t="str">
            <v>maimpz</v>
          </cell>
          <cell r="D3162">
            <v>8.6267871856689453</v>
          </cell>
        </row>
        <row r="3163">
          <cell r="A3163" t="str">
            <v>BTN</v>
          </cell>
          <cell r="B3163">
            <v>2005</v>
          </cell>
          <cell r="C3163" t="str">
            <v>mar_agrfc</v>
          </cell>
          <cell r="D3163">
            <v>23.470888137817383</v>
          </cell>
        </row>
        <row r="3164">
          <cell r="A3164" t="str">
            <v>BTN</v>
          </cell>
          <cell r="B3164">
            <v>2010</v>
          </cell>
          <cell r="C3164" t="str">
            <v>mac_tfpz</v>
          </cell>
          <cell r="D3164">
            <v>1.9669626951217651</v>
          </cell>
        </row>
        <row r="3165">
          <cell r="A3165" t="str">
            <v>BTN</v>
          </cell>
          <cell r="B3165">
            <v>2009</v>
          </cell>
          <cell r="C3165" t="str">
            <v>mareer</v>
          </cell>
          <cell r="D3165">
            <v>118.78697967529297</v>
          </cell>
        </row>
        <row r="3166">
          <cell r="A3166" t="str">
            <v>BTN</v>
          </cell>
          <cell r="B3166">
            <v>2005</v>
          </cell>
          <cell r="C3166" t="str">
            <v>mapanusatls</v>
          </cell>
          <cell r="D3166">
            <v>43.583999633789063</v>
          </cell>
        </row>
        <row r="3167">
          <cell r="A3167" t="str">
            <v>BTN</v>
          </cell>
          <cell r="B3167">
            <v>2013</v>
          </cell>
          <cell r="C3167" t="str">
            <v>mainvz</v>
          </cell>
          <cell r="D3167">
            <v>-5.0042209625244141</v>
          </cell>
        </row>
        <row r="3168">
          <cell r="A3168" t="str">
            <v>BTN</v>
          </cell>
          <cell r="B3168">
            <v>2021</v>
          </cell>
          <cell r="C3168" t="str">
            <v>mataxfc</v>
          </cell>
          <cell r="D3168">
            <v>-31.881183624267578</v>
          </cell>
        </row>
        <row r="3169">
          <cell r="A3169" t="str">
            <v>BTN</v>
          </cell>
          <cell r="B3169">
            <v>2012</v>
          </cell>
          <cell r="C3169" t="str">
            <v>mar_srvfc</v>
          </cell>
          <cell r="D3169">
            <v>43.653579711914063</v>
          </cell>
        </row>
        <row r="3170">
          <cell r="A3170" t="str">
            <v>BTN</v>
          </cell>
          <cell r="B3170">
            <v>2021</v>
          </cell>
          <cell r="C3170" t="str">
            <v>mareer</v>
          </cell>
          <cell r="D3170">
            <v>109.77842712402344</v>
          </cell>
        </row>
        <row r="3171">
          <cell r="A3171" t="str">
            <v>BTN</v>
          </cell>
          <cell r="B3171">
            <v>2019</v>
          </cell>
          <cell r="C3171" t="str">
            <v>madebt_</v>
          </cell>
          <cell r="D3171">
            <v>99.737098693847656</v>
          </cell>
        </row>
        <row r="3172">
          <cell r="A3172" t="str">
            <v>BTN</v>
          </cell>
          <cell r="B3172">
            <v>2007</v>
          </cell>
          <cell r="C3172" t="str">
            <v>maimpz</v>
          </cell>
          <cell r="D3172">
            <v>4.353950023651123</v>
          </cell>
        </row>
        <row r="3173">
          <cell r="A3173" t="str">
            <v>BTN</v>
          </cell>
          <cell r="B3173">
            <v>2013</v>
          </cell>
          <cell r="C3173" t="str">
            <v>madebt_</v>
          </cell>
          <cell r="D3173">
            <v>93.909072875976563</v>
          </cell>
        </row>
        <row r="3174">
          <cell r="A3174" t="str">
            <v>BTN</v>
          </cell>
          <cell r="B3174">
            <v>2022</v>
          </cell>
          <cell r="C3174" t="str">
            <v>maimpz</v>
          </cell>
          <cell r="D3174">
            <v>13.228036880493164</v>
          </cell>
        </row>
        <row r="3175">
          <cell r="A3175" t="str">
            <v>BTN</v>
          </cell>
          <cell r="B3175">
            <v>2011</v>
          </cell>
          <cell r="C3175" t="str">
            <v>mar_con</v>
          </cell>
          <cell r="D3175">
            <v>35.368675231933594</v>
          </cell>
        </row>
        <row r="3176">
          <cell r="A3176" t="str">
            <v>BTN</v>
          </cell>
          <cell r="B3176">
            <v>2007</v>
          </cell>
          <cell r="C3176" t="str">
            <v>maconz</v>
          </cell>
          <cell r="D3176">
            <v>7.0023493766784668</v>
          </cell>
        </row>
        <row r="3177">
          <cell r="A3177" t="str">
            <v>BTN</v>
          </cell>
          <cell r="B3177">
            <v>2021</v>
          </cell>
          <cell r="C3177" t="str">
            <v>macab_</v>
          </cell>
          <cell r="D3177">
            <v>-11.068662643432617</v>
          </cell>
        </row>
        <row r="3178">
          <cell r="A3178" t="str">
            <v>BTN</v>
          </cell>
          <cell r="B3178">
            <v>2019</v>
          </cell>
          <cell r="C3178" t="str">
            <v>mataxfc</v>
          </cell>
          <cell r="D3178">
            <v>-0.95545154809951782</v>
          </cell>
        </row>
        <row r="3179">
          <cell r="A3179" t="str">
            <v>BTN</v>
          </cell>
          <cell r="B3179">
            <v>2015</v>
          </cell>
          <cell r="C3179" t="str">
            <v>mar_expz</v>
          </cell>
          <cell r="D3179">
            <v>33.196582794189453</v>
          </cell>
        </row>
        <row r="3180">
          <cell r="A3180" t="str">
            <v>BTN</v>
          </cell>
          <cell r="B3180">
            <v>2021</v>
          </cell>
          <cell r="C3180" t="str">
            <v>mar_srvfc</v>
          </cell>
          <cell r="D3180">
            <v>52.61102294921875</v>
          </cell>
        </row>
        <row r="3181">
          <cell r="A3181" t="str">
            <v>BTN</v>
          </cell>
          <cell r="B3181">
            <v>2014</v>
          </cell>
          <cell r="C3181" t="str">
            <v>mataxfc</v>
          </cell>
          <cell r="D3181">
            <v>2.1736900806427002</v>
          </cell>
        </row>
        <row r="3182">
          <cell r="A3182" t="str">
            <v>BTN</v>
          </cell>
          <cell r="B3182">
            <v>2015</v>
          </cell>
          <cell r="C3182" t="str">
            <v>mar_srvfc</v>
          </cell>
          <cell r="D3182">
            <v>43.331691741943359</v>
          </cell>
        </row>
        <row r="3183">
          <cell r="A3183" t="str">
            <v>BTN</v>
          </cell>
          <cell r="B3183">
            <v>2015</v>
          </cell>
          <cell r="C3183" t="str">
            <v>maagrfc</v>
          </cell>
          <cell r="D3183">
            <v>3.7818219661712646</v>
          </cell>
        </row>
        <row r="3184">
          <cell r="A3184" t="str">
            <v>BTN</v>
          </cell>
          <cell r="B3184">
            <v>2011</v>
          </cell>
          <cell r="C3184" t="str">
            <v>macpiz</v>
          </cell>
          <cell r="D3184">
            <v>8.552215576171875</v>
          </cell>
        </row>
        <row r="3185">
          <cell r="A3185" t="str">
            <v>BTN</v>
          </cell>
          <cell r="B3185">
            <v>2025</v>
          </cell>
          <cell r="C3185" t="str">
            <v>mafdi_</v>
          </cell>
        </row>
        <row r="3186">
          <cell r="A3186" t="str">
            <v>BTN</v>
          </cell>
          <cell r="B3186">
            <v>2019</v>
          </cell>
          <cell r="C3186" t="str">
            <v>maexpz</v>
          </cell>
          <cell r="D3186">
            <v>13.21916389465332</v>
          </cell>
        </row>
        <row r="3187">
          <cell r="A3187" t="str">
            <v>BTN</v>
          </cell>
          <cell r="B3187">
            <v>2021</v>
          </cell>
          <cell r="C3187" t="str">
            <v>maagrfc</v>
          </cell>
          <cell r="D3187">
            <v>2.6878488063812256</v>
          </cell>
        </row>
        <row r="3188">
          <cell r="A3188" t="str">
            <v>BTN</v>
          </cell>
          <cell r="B3188">
            <v>2014</v>
          </cell>
          <cell r="C3188" t="str">
            <v>mar_taxfc</v>
          </cell>
          <cell r="D3188">
            <v>7.824953556060791</v>
          </cell>
        </row>
        <row r="3189">
          <cell r="A3189" t="str">
            <v>BTN</v>
          </cell>
          <cell r="B3189">
            <v>2021</v>
          </cell>
          <cell r="C3189" t="str">
            <v>mapanusatls</v>
          </cell>
          <cell r="D3189">
            <v>73.71588134765625</v>
          </cell>
        </row>
        <row r="3190">
          <cell r="A3190" t="str">
            <v>BTN</v>
          </cell>
          <cell r="B3190">
            <v>2010</v>
          </cell>
          <cell r="C3190" t="str">
            <v>mataxfc</v>
          </cell>
          <cell r="D3190">
            <v>28.071952819824219</v>
          </cell>
        </row>
        <row r="3191">
          <cell r="A3191" t="str">
            <v>BTN</v>
          </cell>
          <cell r="B3191">
            <v>2012</v>
          </cell>
          <cell r="C3191" t="str">
            <v>magovz</v>
          </cell>
          <cell r="D3191">
            <v>1.3760128021240234</v>
          </cell>
        </row>
        <row r="3192">
          <cell r="A3192" t="str">
            <v>BTN</v>
          </cell>
          <cell r="B3192">
            <v>2021</v>
          </cell>
          <cell r="C3192" t="str">
            <v>maindfc</v>
          </cell>
          <cell r="D3192">
            <v>-5.9367985725402832</v>
          </cell>
        </row>
        <row r="3193">
          <cell r="A3193" t="str">
            <v>BTN</v>
          </cell>
          <cell r="B3193">
            <v>2021</v>
          </cell>
          <cell r="C3193" t="str">
            <v>magdpz</v>
          </cell>
          <cell r="D3193">
            <v>-3.2926390171051025</v>
          </cell>
        </row>
        <row r="3194">
          <cell r="A3194" t="str">
            <v>BTN</v>
          </cell>
          <cell r="B3194">
            <v>2021</v>
          </cell>
          <cell r="C3194" t="str">
            <v>magap_</v>
          </cell>
          <cell r="D3194">
            <v>0.46719276905059814</v>
          </cell>
        </row>
        <row r="3195">
          <cell r="A3195" t="str">
            <v>BTN</v>
          </cell>
          <cell r="B3195">
            <v>2021</v>
          </cell>
          <cell r="C3195" t="str">
            <v>mafdi_</v>
          </cell>
        </row>
        <row r="3196">
          <cell r="A3196" t="str">
            <v>IND</v>
          </cell>
          <cell r="B3196">
            <v>2008</v>
          </cell>
          <cell r="C3196" t="str">
            <v>mapanusatls</v>
          </cell>
          <cell r="D3196">
            <v>45.990001678466797</v>
          </cell>
        </row>
        <row r="3197">
          <cell r="A3197" t="str">
            <v>IND</v>
          </cell>
          <cell r="B3197">
            <v>2018</v>
          </cell>
          <cell r="C3197" t="str">
            <v>mataxfc</v>
          </cell>
          <cell r="D3197">
            <v>13.391839027404785</v>
          </cell>
        </row>
        <row r="3198">
          <cell r="A3198" t="str">
            <v>IND</v>
          </cell>
          <cell r="B3198">
            <v>2008</v>
          </cell>
          <cell r="C3198" t="str">
            <v>mainvz</v>
          </cell>
          <cell r="D3198">
            <v>3.1993401050567627</v>
          </cell>
        </row>
        <row r="3199">
          <cell r="A3199" t="str">
            <v>IND</v>
          </cell>
          <cell r="B3199">
            <v>2011</v>
          </cell>
          <cell r="C3199" t="str">
            <v>magovz</v>
          </cell>
          <cell r="D3199">
            <v>6.530672550201416</v>
          </cell>
        </row>
        <row r="3200">
          <cell r="A3200" t="str">
            <v>IND</v>
          </cell>
          <cell r="B3200">
            <v>2005</v>
          </cell>
          <cell r="C3200" t="str">
            <v>mar_agrfc</v>
          </cell>
          <cell r="D3200">
            <v>21.912132263183594</v>
          </cell>
        </row>
        <row r="3201">
          <cell r="A3201" t="str">
            <v>IND</v>
          </cell>
          <cell r="B3201">
            <v>2023</v>
          </cell>
          <cell r="C3201" t="str">
            <v>mac_tfpz</v>
          </cell>
          <cell r="D3201">
            <v>3.2243516445159912</v>
          </cell>
        </row>
        <row r="3202">
          <cell r="A3202" t="str">
            <v>IND</v>
          </cell>
          <cell r="B3202">
            <v>2010</v>
          </cell>
          <cell r="C3202" t="str">
            <v>mar_con</v>
          </cell>
          <cell r="D3202">
            <v>55.066207885742188</v>
          </cell>
        </row>
        <row r="3203">
          <cell r="A3203" t="str">
            <v>IND</v>
          </cell>
          <cell r="B3203">
            <v>2014</v>
          </cell>
          <cell r="C3203" t="str">
            <v>masrvfc</v>
          </cell>
          <cell r="D3203">
            <v>9.8105926513671875</v>
          </cell>
        </row>
        <row r="3204">
          <cell r="A3204" t="str">
            <v>IND</v>
          </cell>
          <cell r="B3204">
            <v>2016</v>
          </cell>
          <cell r="C3204" t="str">
            <v>maconz</v>
          </cell>
          <cell r="D3204">
            <v>8.1301240921020508</v>
          </cell>
        </row>
        <row r="3205">
          <cell r="A3205" t="str">
            <v>IND</v>
          </cell>
          <cell r="B3205">
            <v>2005</v>
          </cell>
          <cell r="C3205" t="str">
            <v>maconz</v>
          </cell>
          <cell r="D3205">
            <v>7.4556951522827148</v>
          </cell>
        </row>
        <row r="3206">
          <cell r="A3206" t="str">
            <v>IND</v>
          </cell>
          <cell r="B3206">
            <v>2025</v>
          </cell>
          <cell r="C3206" t="str">
            <v>magovz</v>
          </cell>
          <cell r="D3206">
            <v>5.934730052947998</v>
          </cell>
        </row>
        <row r="3207">
          <cell r="A3207" t="str">
            <v>IND</v>
          </cell>
          <cell r="B3207">
            <v>2008</v>
          </cell>
          <cell r="C3207" t="str">
            <v>magap_</v>
          </cell>
          <cell r="D3207">
            <v>-1.1473845243453979</v>
          </cell>
        </row>
        <row r="3208">
          <cell r="A3208" t="str">
            <v>IND</v>
          </cell>
          <cell r="B3208">
            <v>2020</v>
          </cell>
          <cell r="C3208" t="str">
            <v>mar_agrfc</v>
          </cell>
          <cell r="D3208">
            <v>16.348672866821289</v>
          </cell>
        </row>
        <row r="3209">
          <cell r="A3209" t="str">
            <v>IND</v>
          </cell>
          <cell r="B3209">
            <v>2026</v>
          </cell>
          <cell r="C3209" t="str">
            <v>macab_</v>
          </cell>
          <cell r="D3209">
            <v>-1.5004563331604004</v>
          </cell>
        </row>
        <row r="3210">
          <cell r="A3210" t="str">
            <v>IND</v>
          </cell>
          <cell r="B3210">
            <v>2007</v>
          </cell>
          <cell r="C3210" t="str">
            <v>mac_labz</v>
          </cell>
          <cell r="D3210">
            <v>1.4889988899230957</v>
          </cell>
        </row>
        <row r="3211">
          <cell r="A3211" t="str">
            <v>IND</v>
          </cell>
          <cell r="B3211">
            <v>2007</v>
          </cell>
          <cell r="C3211" t="str">
            <v>magdpz</v>
          </cell>
          <cell r="D3211">
            <v>7.6608152389526367</v>
          </cell>
        </row>
        <row r="3212">
          <cell r="A3212" t="str">
            <v>IND</v>
          </cell>
          <cell r="B3212">
            <v>2010</v>
          </cell>
          <cell r="C3212" t="str">
            <v>madebt_</v>
          </cell>
          <cell r="D3212">
            <v>66.882728576660156</v>
          </cell>
        </row>
        <row r="3213">
          <cell r="A3213" t="str">
            <v>IND</v>
          </cell>
          <cell r="B3213">
            <v>2016</v>
          </cell>
          <cell r="C3213" t="str">
            <v>mar_impz</v>
          </cell>
          <cell r="D3213">
            <v>21.29957389831543</v>
          </cell>
        </row>
        <row r="3214">
          <cell r="A3214" t="str">
            <v>IND</v>
          </cell>
          <cell r="B3214">
            <v>2024</v>
          </cell>
          <cell r="C3214" t="str">
            <v>maagrfc</v>
          </cell>
          <cell r="D3214">
            <v>2.0999999046325684</v>
          </cell>
        </row>
        <row r="3215">
          <cell r="A3215" t="str">
            <v>IND</v>
          </cell>
          <cell r="B3215">
            <v>2020</v>
          </cell>
          <cell r="C3215" t="str">
            <v>mainvz</v>
          </cell>
          <cell r="D3215">
            <v>-7.0961151123046875</v>
          </cell>
        </row>
        <row r="3216">
          <cell r="A3216" t="str">
            <v>IND</v>
          </cell>
          <cell r="B3216">
            <v>2014</v>
          </cell>
          <cell r="C3216" t="str">
            <v>mainvz</v>
          </cell>
          <cell r="D3216">
            <v>2.6032474040985107</v>
          </cell>
        </row>
        <row r="3217">
          <cell r="A3217" t="str">
            <v>IND</v>
          </cell>
          <cell r="B3217">
            <v>2016</v>
          </cell>
          <cell r="C3217" t="str">
            <v>mar_taxfc</v>
          </cell>
          <cell r="D3217">
            <v>8.6501054763793945</v>
          </cell>
        </row>
        <row r="3218">
          <cell r="A3218" t="str">
            <v>IND</v>
          </cell>
          <cell r="B3218">
            <v>2008</v>
          </cell>
          <cell r="C3218" t="str">
            <v>mar_srvfc</v>
          </cell>
          <cell r="D3218">
            <v>47.944778442382813</v>
          </cell>
        </row>
        <row r="3219">
          <cell r="A3219" t="str">
            <v>IND</v>
          </cell>
          <cell r="B3219">
            <v>2013</v>
          </cell>
          <cell r="C3219" t="str">
            <v>mar_srvfc</v>
          </cell>
          <cell r="D3219">
            <v>51.086078643798828</v>
          </cell>
        </row>
        <row r="3220">
          <cell r="A3220" t="str">
            <v>IND</v>
          </cell>
          <cell r="B3220">
            <v>2016</v>
          </cell>
          <cell r="C3220" t="str">
            <v>macpiz</v>
          </cell>
          <cell r="D3220">
            <v>4.5247960090637207</v>
          </cell>
        </row>
        <row r="3221">
          <cell r="A3221" t="str">
            <v>IND</v>
          </cell>
          <cell r="B3221">
            <v>2011</v>
          </cell>
          <cell r="C3221" t="str">
            <v>masrvfc</v>
          </cell>
          <cell r="D3221">
            <v>5.8640093803405762</v>
          </cell>
        </row>
        <row r="3222">
          <cell r="A3222" t="str">
            <v>IND</v>
          </cell>
          <cell r="B3222">
            <v>2017</v>
          </cell>
          <cell r="C3222" t="str">
            <v>mac_tfpz</v>
          </cell>
          <cell r="D3222">
            <v>2.2026424407958984</v>
          </cell>
        </row>
        <row r="3223">
          <cell r="A3223" t="str">
            <v>IND</v>
          </cell>
          <cell r="B3223">
            <v>2006</v>
          </cell>
          <cell r="C3223" t="str">
            <v>mapanusatls</v>
          </cell>
          <cell r="D3223">
            <v>45.310001373291016</v>
          </cell>
        </row>
        <row r="3224">
          <cell r="A3224" t="str">
            <v>IND</v>
          </cell>
          <cell r="B3224">
            <v>2016</v>
          </cell>
          <cell r="C3224" t="str">
            <v>mar_agrfc</v>
          </cell>
          <cell r="D3224">
            <v>15.236237525939941</v>
          </cell>
        </row>
        <row r="3225">
          <cell r="A3225" t="str">
            <v>IND</v>
          </cell>
          <cell r="B3225">
            <v>2006</v>
          </cell>
          <cell r="C3225" t="str">
            <v>mac_tfpz</v>
          </cell>
          <cell r="D3225">
            <v>2.037203311920166</v>
          </cell>
        </row>
        <row r="3226">
          <cell r="A3226" t="str">
            <v>IND</v>
          </cell>
          <cell r="B3226">
            <v>2008</v>
          </cell>
          <cell r="C3226" t="str">
            <v>madeficit_</v>
          </cell>
          <cell r="D3226">
            <v>-8.4715652465820313</v>
          </cell>
        </row>
        <row r="3227">
          <cell r="A3227" t="str">
            <v>IND</v>
          </cell>
          <cell r="B3227">
            <v>2024</v>
          </cell>
          <cell r="C3227" t="str">
            <v>mac_labz</v>
          </cell>
          <cell r="D3227">
            <v>1.0432610511779785</v>
          </cell>
        </row>
        <row r="3228">
          <cell r="A3228" t="str">
            <v>IND</v>
          </cell>
          <cell r="B3228">
            <v>2015</v>
          </cell>
          <cell r="C3228" t="str">
            <v>magap_</v>
          </cell>
          <cell r="D3228">
            <v>-0.19733573496341705</v>
          </cell>
        </row>
        <row r="3229">
          <cell r="A3229" t="str">
            <v>IND</v>
          </cell>
          <cell r="B3229">
            <v>2017</v>
          </cell>
          <cell r="C3229" t="str">
            <v>magdpz</v>
          </cell>
          <cell r="D3229">
            <v>6.7953834533691406</v>
          </cell>
        </row>
        <row r="3230">
          <cell r="A3230" t="str">
            <v>IND</v>
          </cell>
          <cell r="B3230">
            <v>2025</v>
          </cell>
          <cell r="C3230" t="str">
            <v>madeficit_</v>
          </cell>
          <cell r="D3230">
            <v>-8.8336143493652344</v>
          </cell>
        </row>
        <row r="3231">
          <cell r="A3231" t="str">
            <v>IND</v>
          </cell>
          <cell r="B3231">
            <v>2024</v>
          </cell>
          <cell r="C3231" t="str">
            <v>magovz</v>
          </cell>
          <cell r="D3231">
            <v>5.8055696487426758</v>
          </cell>
        </row>
        <row r="3232">
          <cell r="A3232" t="str">
            <v>IND</v>
          </cell>
          <cell r="B3232">
            <v>2014</v>
          </cell>
          <cell r="C3232" t="str">
            <v>mar_taxfc</v>
          </cell>
          <cell r="D3232">
            <v>8.3971338272094727</v>
          </cell>
        </row>
        <row r="3233">
          <cell r="A3233" t="str">
            <v>IND</v>
          </cell>
          <cell r="B3233">
            <v>2013</v>
          </cell>
          <cell r="C3233" t="str">
            <v>mataxfc</v>
          </cell>
          <cell r="D3233">
            <v>10.645779609680176</v>
          </cell>
        </row>
        <row r="3234">
          <cell r="A3234" t="str">
            <v>IND</v>
          </cell>
          <cell r="B3234">
            <v>2023</v>
          </cell>
          <cell r="C3234" t="str">
            <v>maconz</v>
          </cell>
          <cell r="D3234">
            <v>3.7999999523162842</v>
          </cell>
        </row>
        <row r="3235">
          <cell r="A3235" t="str">
            <v>IND</v>
          </cell>
          <cell r="B3235">
            <v>2024</v>
          </cell>
          <cell r="C3235" t="str">
            <v>mapanusatls</v>
          </cell>
          <cell r="D3235">
            <v>82.872894287109375</v>
          </cell>
        </row>
        <row r="3236">
          <cell r="A3236" t="str">
            <v>IND</v>
          </cell>
          <cell r="B3236">
            <v>2007</v>
          </cell>
          <cell r="C3236" t="str">
            <v>mataxfc</v>
          </cell>
          <cell r="D3236">
            <v>11.478486061096191</v>
          </cell>
        </row>
        <row r="3237">
          <cell r="A3237" t="str">
            <v>IND</v>
          </cell>
          <cell r="B3237">
            <v>2022</v>
          </cell>
          <cell r="C3237" t="str">
            <v>macpiz</v>
          </cell>
          <cell r="D3237">
            <v>6.6531028747558594</v>
          </cell>
        </row>
        <row r="3238">
          <cell r="A3238" t="str">
            <v>IND</v>
          </cell>
          <cell r="B3238">
            <v>2018</v>
          </cell>
          <cell r="C3238" t="str">
            <v>mar_impz</v>
          </cell>
          <cell r="D3238">
            <v>23.939693450927734</v>
          </cell>
        </row>
        <row r="3239">
          <cell r="A3239" t="str">
            <v>IND</v>
          </cell>
          <cell r="B3239">
            <v>2017</v>
          </cell>
          <cell r="C3239" t="str">
            <v>magap_</v>
          </cell>
          <cell r="D3239">
            <v>1.9679666757583618</v>
          </cell>
        </row>
        <row r="3240">
          <cell r="A3240" t="str">
            <v>IND</v>
          </cell>
          <cell r="B3240">
            <v>2020</v>
          </cell>
          <cell r="C3240" t="str">
            <v>mac_labz</v>
          </cell>
          <cell r="D3240">
            <v>1.1356152296066284</v>
          </cell>
        </row>
        <row r="3241">
          <cell r="A3241" t="str">
            <v>IND</v>
          </cell>
          <cell r="B3241">
            <v>2009</v>
          </cell>
          <cell r="C3241" t="str">
            <v>mareer</v>
          </cell>
          <cell r="D3241">
            <v>96.770088195800781</v>
          </cell>
        </row>
        <row r="3242">
          <cell r="A3242" t="str">
            <v>IND</v>
          </cell>
          <cell r="B3242">
            <v>2015</v>
          </cell>
          <cell r="C3242" t="str">
            <v>mar_srvfc</v>
          </cell>
          <cell r="D3242">
            <v>53.035427093505859</v>
          </cell>
        </row>
        <row r="3243">
          <cell r="A3243" t="str">
            <v>IND</v>
          </cell>
          <cell r="B3243">
            <v>2025</v>
          </cell>
          <cell r="C3243" t="str">
            <v>maimpz</v>
          </cell>
          <cell r="D3243">
            <v>7.0999999046325684</v>
          </cell>
        </row>
        <row r="3244">
          <cell r="A3244" t="str">
            <v>IND</v>
          </cell>
          <cell r="B3244">
            <v>2023</v>
          </cell>
          <cell r="C3244" t="str">
            <v>madebt_</v>
          </cell>
          <cell r="D3244">
            <v>84.205848693847656</v>
          </cell>
        </row>
        <row r="3245">
          <cell r="A3245" t="str">
            <v>IND</v>
          </cell>
          <cell r="B3245">
            <v>2005</v>
          </cell>
          <cell r="C3245" t="str">
            <v>mareer</v>
          </cell>
          <cell r="D3245">
            <v>0</v>
          </cell>
        </row>
        <row r="3246">
          <cell r="A3246" t="str">
            <v>IND</v>
          </cell>
          <cell r="B3246">
            <v>2010</v>
          </cell>
          <cell r="C3246" t="str">
            <v>mafdi_</v>
          </cell>
          <cell r="D3246">
            <v>-0.55853492021560669</v>
          </cell>
        </row>
        <row r="3247">
          <cell r="A3247" t="str">
            <v>IND</v>
          </cell>
          <cell r="B3247">
            <v>2009</v>
          </cell>
          <cell r="C3247" t="str">
            <v>maexpz</v>
          </cell>
          <cell r="D3247">
            <v>-4.8342251777648926</v>
          </cell>
        </row>
        <row r="3248">
          <cell r="A3248" t="str">
            <v>IND</v>
          </cell>
          <cell r="B3248">
            <v>2012</v>
          </cell>
          <cell r="C3248" t="str">
            <v>mafdi_</v>
          </cell>
          <cell r="D3248">
            <v>-1.0844422578811646</v>
          </cell>
        </row>
        <row r="3249">
          <cell r="A3249" t="str">
            <v>IND</v>
          </cell>
          <cell r="B3249">
            <v>2023</v>
          </cell>
          <cell r="C3249" t="str">
            <v>malabz</v>
          </cell>
          <cell r="D3249">
            <v>1.3561819791793823</v>
          </cell>
        </row>
        <row r="3250">
          <cell r="A3250" t="str">
            <v>IND</v>
          </cell>
          <cell r="B3250">
            <v>2018</v>
          </cell>
          <cell r="C3250" t="str">
            <v>mac_tfpz</v>
          </cell>
          <cell r="D3250">
            <v>2.1465902328491211</v>
          </cell>
        </row>
        <row r="3251">
          <cell r="A3251" t="str">
            <v>IND</v>
          </cell>
          <cell r="B3251">
            <v>2011</v>
          </cell>
          <cell r="C3251" t="str">
            <v>mafdi_</v>
          </cell>
          <cell r="D3251">
            <v>-1.2100518941879272</v>
          </cell>
        </row>
        <row r="3252">
          <cell r="A3252" t="str">
            <v>IND</v>
          </cell>
          <cell r="B3252">
            <v>2015</v>
          </cell>
          <cell r="C3252" t="str">
            <v>mapanusatls</v>
          </cell>
          <cell r="D3252">
            <v>65.461067199707031</v>
          </cell>
        </row>
        <row r="3253">
          <cell r="A3253" t="str">
            <v>IND</v>
          </cell>
          <cell r="B3253">
            <v>2013</v>
          </cell>
          <cell r="C3253" t="str">
            <v>mareer</v>
          </cell>
          <cell r="D3253">
            <v>91.450172424316406</v>
          </cell>
        </row>
        <row r="3254">
          <cell r="A3254" t="str">
            <v>IND</v>
          </cell>
          <cell r="B3254">
            <v>2014</v>
          </cell>
          <cell r="C3254" t="str">
            <v>mafdi_</v>
          </cell>
          <cell r="D3254">
            <v>-1.5324957370758057</v>
          </cell>
        </row>
        <row r="3255">
          <cell r="A3255" t="str">
            <v>IND</v>
          </cell>
          <cell r="B3255">
            <v>2021</v>
          </cell>
          <cell r="C3255" t="str">
            <v>maindfc</v>
          </cell>
          <cell r="D3255">
            <v>12.244123458862305</v>
          </cell>
        </row>
        <row r="3256">
          <cell r="A3256" t="str">
            <v>IND</v>
          </cell>
          <cell r="B3256">
            <v>2016</v>
          </cell>
          <cell r="C3256" t="str">
            <v>mar_expz</v>
          </cell>
          <cell r="D3256">
            <v>20.217611312866211</v>
          </cell>
        </row>
        <row r="3257">
          <cell r="A3257" t="str">
            <v>IND</v>
          </cell>
          <cell r="B3257">
            <v>2018</v>
          </cell>
          <cell r="C3257" t="str">
            <v>madebt_</v>
          </cell>
          <cell r="D3257">
            <v>70.530471801757813</v>
          </cell>
        </row>
        <row r="3258">
          <cell r="A3258" t="str">
            <v>IND</v>
          </cell>
          <cell r="B3258">
            <v>2012</v>
          </cell>
          <cell r="C3258" t="str">
            <v>matfpz</v>
          </cell>
          <cell r="D3258">
            <v>2.0561749935150146</v>
          </cell>
        </row>
        <row r="3259">
          <cell r="A3259" t="str">
            <v>IND</v>
          </cell>
          <cell r="B3259">
            <v>2021</v>
          </cell>
          <cell r="C3259" t="str">
            <v>mar_srvfc</v>
          </cell>
          <cell r="D3259">
            <v>52.785259246826172</v>
          </cell>
        </row>
        <row r="3260">
          <cell r="A3260" t="str">
            <v>IND</v>
          </cell>
          <cell r="B3260">
            <v>2016</v>
          </cell>
          <cell r="C3260" t="str">
            <v>mainvz</v>
          </cell>
          <cell r="D3260">
            <v>8.4584503173828125</v>
          </cell>
        </row>
        <row r="3261">
          <cell r="A3261" t="str">
            <v>IND</v>
          </cell>
          <cell r="B3261">
            <v>2020</v>
          </cell>
          <cell r="C3261" t="str">
            <v>magdpz</v>
          </cell>
          <cell r="D3261">
            <v>-5.7777247428894043</v>
          </cell>
        </row>
        <row r="3262">
          <cell r="A3262" t="str">
            <v>IND</v>
          </cell>
          <cell r="B3262">
            <v>2012</v>
          </cell>
          <cell r="C3262" t="str">
            <v>mataxfc</v>
          </cell>
          <cell r="D3262">
            <v>5.935760498046875</v>
          </cell>
        </row>
        <row r="3263">
          <cell r="A3263" t="str">
            <v>IND</v>
          </cell>
          <cell r="B3263">
            <v>2013</v>
          </cell>
          <cell r="C3263" t="str">
            <v>maimpz</v>
          </cell>
          <cell r="D3263">
            <v>-8.1458005905151367</v>
          </cell>
        </row>
        <row r="3264">
          <cell r="A3264" t="str">
            <v>IND</v>
          </cell>
          <cell r="B3264">
            <v>2016</v>
          </cell>
          <cell r="C3264" t="str">
            <v>malabz</v>
          </cell>
          <cell r="D3264">
            <v>1.9233814477920532</v>
          </cell>
        </row>
        <row r="3265">
          <cell r="A3265" t="str">
            <v>IND</v>
          </cell>
          <cell r="B3265">
            <v>2018</v>
          </cell>
          <cell r="C3265" t="str">
            <v>madeficit_</v>
          </cell>
          <cell r="D3265">
            <v>-5.8346467018127441</v>
          </cell>
        </row>
        <row r="3266">
          <cell r="A3266" t="str">
            <v>IND</v>
          </cell>
          <cell r="B3266">
            <v>2013</v>
          </cell>
          <cell r="C3266" t="str">
            <v>macpiz</v>
          </cell>
          <cell r="D3266">
            <v>9.4313859939575195</v>
          </cell>
        </row>
        <row r="3267">
          <cell r="A3267" t="str">
            <v>IND</v>
          </cell>
          <cell r="B3267">
            <v>2009</v>
          </cell>
          <cell r="C3267" t="str">
            <v>magdpz</v>
          </cell>
          <cell r="D3267">
            <v>7.8618888854980469</v>
          </cell>
        </row>
        <row r="3268">
          <cell r="A3268" t="str">
            <v>IND</v>
          </cell>
          <cell r="B3268">
            <v>2014</v>
          </cell>
          <cell r="C3268" t="str">
            <v>madebt_</v>
          </cell>
          <cell r="D3268">
            <v>66.5753173828125</v>
          </cell>
        </row>
        <row r="3269">
          <cell r="A3269" t="str">
            <v>IND</v>
          </cell>
          <cell r="B3269">
            <v>2017</v>
          </cell>
          <cell r="C3269" t="str">
            <v>mar_impz</v>
          </cell>
          <cell r="D3269">
            <v>23.418575286865234</v>
          </cell>
        </row>
        <row r="3270">
          <cell r="A3270" t="str">
            <v>IND</v>
          </cell>
          <cell r="B3270">
            <v>2014</v>
          </cell>
          <cell r="C3270" t="str">
            <v>macpiz</v>
          </cell>
          <cell r="D3270">
            <v>5.9269161224365234</v>
          </cell>
        </row>
        <row r="3271">
          <cell r="A3271" t="str">
            <v>IND</v>
          </cell>
          <cell r="B3271">
            <v>2022</v>
          </cell>
          <cell r="C3271" t="str">
            <v>mar_con</v>
          </cell>
          <cell r="D3271">
            <v>58.014907836914063</v>
          </cell>
        </row>
        <row r="3272">
          <cell r="A3272" t="str">
            <v>IND</v>
          </cell>
          <cell r="B3272">
            <v>2011</v>
          </cell>
          <cell r="C3272" t="str">
            <v>madebt_</v>
          </cell>
          <cell r="D3272">
            <v>67.357215881347656</v>
          </cell>
        </row>
        <row r="3273">
          <cell r="A3273" t="str">
            <v>IND</v>
          </cell>
          <cell r="B3273">
            <v>2026</v>
          </cell>
          <cell r="C3273" t="str">
            <v>maagrfc</v>
          </cell>
          <cell r="D3273">
            <v>4</v>
          </cell>
        </row>
        <row r="3274">
          <cell r="A3274" t="str">
            <v>IND</v>
          </cell>
          <cell r="B3274">
            <v>2015</v>
          </cell>
          <cell r="C3274" t="str">
            <v>maimpz</v>
          </cell>
          <cell r="D3274">
            <v>-5.850043773651123</v>
          </cell>
        </row>
        <row r="3275">
          <cell r="A3275" t="str">
            <v>IND</v>
          </cell>
          <cell r="B3275">
            <v>2008</v>
          </cell>
          <cell r="C3275" t="str">
            <v>mar_indfc</v>
          </cell>
          <cell r="D3275">
            <v>32.441249847412109</v>
          </cell>
        </row>
        <row r="3276">
          <cell r="A3276" t="str">
            <v>IND</v>
          </cell>
          <cell r="B3276">
            <v>2015</v>
          </cell>
          <cell r="C3276" t="str">
            <v>mafdi_</v>
          </cell>
          <cell r="D3276">
            <v>-1.712165355682373</v>
          </cell>
        </row>
        <row r="3277">
          <cell r="A3277" t="str">
            <v>IND</v>
          </cell>
          <cell r="B3277">
            <v>2007</v>
          </cell>
          <cell r="C3277" t="str">
            <v>maimpz</v>
          </cell>
          <cell r="D3277">
            <v>9.9515867233276367</v>
          </cell>
        </row>
        <row r="3278">
          <cell r="A3278" t="str">
            <v>IND</v>
          </cell>
          <cell r="B3278">
            <v>2022</v>
          </cell>
          <cell r="C3278" t="str">
            <v>malabz</v>
          </cell>
          <cell r="D3278">
            <v>1.1992725133895874</v>
          </cell>
        </row>
        <row r="3279">
          <cell r="A3279" t="str">
            <v>IND</v>
          </cell>
          <cell r="B3279">
            <v>2022</v>
          </cell>
          <cell r="C3279" t="str">
            <v>madebt_</v>
          </cell>
          <cell r="D3279">
            <v>82.469306945800781</v>
          </cell>
        </row>
        <row r="3280">
          <cell r="A3280" t="str">
            <v>IND</v>
          </cell>
          <cell r="B3280">
            <v>2013</v>
          </cell>
          <cell r="C3280" t="str">
            <v>maagrfc</v>
          </cell>
          <cell r="D3280">
            <v>5.5704755783081055</v>
          </cell>
        </row>
        <row r="3281">
          <cell r="A3281" t="str">
            <v>IND</v>
          </cell>
          <cell r="B3281">
            <v>2013</v>
          </cell>
          <cell r="C3281" t="str">
            <v>madeficit_</v>
          </cell>
          <cell r="D3281">
            <v>-6.6738710403442383</v>
          </cell>
        </row>
        <row r="3282">
          <cell r="A3282" t="str">
            <v>IND</v>
          </cell>
          <cell r="B3282">
            <v>2019</v>
          </cell>
          <cell r="C3282" t="str">
            <v>madebt_</v>
          </cell>
          <cell r="D3282">
            <v>75.219810485839844</v>
          </cell>
        </row>
        <row r="3283">
          <cell r="A3283" t="str">
            <v>IND</v>
          </cell>
          <cell r="B3283">
            <v>2020</v>
          </cell>
          <cell r="C3283" t="str">
            <v>magovz</v>
          </cell>
          <cell r="D3283">
            <v>-0.76975387334823608</v>
          </cell>
        </row>
        <row r="3284">
          <cell r="A3284" t="str">
            <v>IND</v>
          </cell>
          <cell r="B3284">
            <v>2008</v>
          </cell>
          <cell r="C3284" t="str">
            <v>mataxfc</v>
          </cell>
          <cell r="D3284">
            <v>-13.159848213195801</v>
          </cell>
        </row>
        <row r="3285">
          <cell r="A3285" t="str">
            <v>IND</v>
          </cell>
          <cell r="B3285">
            <v>2020</v>
          </cell>
          <cell r="C3285" t="str">
            <v>mapanusatls</v>
          </cell>
          <cell r="D3285">
            <v>74.201034545898438</v>
          </cell>
        </row>
        <row r="3286">
          <cell r="A3286" t="str">
            <v>IND</v>
          </cell>
          <cell r="B3286">
            <v>2019</v>
          </cell>
          <cell r="C3286" t="str">
            <v>macab_</v>
          </cell>
          <cell r="D3286">
            <v>-0.86556136608123779</v>
          </cell>
        </row>
        <row r="3287">
          <cell r="A3287" t="str">
            <v>IND</v>
          </cell>
          <cell r="B3287">
            <v>2019</v>
          </cell>
          <cell r="C3287" t="str">
            <v>maindfc</v>
          </cell>
          <cell r="D3287">
            <v>-1.4000327587127686</v>
          </cell>
        </row>
        <row r="3288">
          <cell r="A3288" t="str">
            <v>IND</v>
          </cell>
          <cell r="B3288">
            <v>2009</v>
          </cell>
          <cell r="C3288" t="str">
            <v>maindfc</v>
          </cell>
          <cell r="D3288">
            <v>8.8445730209350586</v>
          </cell>
        </row>
        <row r="3289">
          <cell r="A3289" t="str">
            <v>IND</v>
          </cell>
          <cell r="B3289">
            <v>2016</v>
          </cell>
          <cell r="C3289" t="str">
            <v>macab_</v>
          </cell>
          <cell r="D3289">
            <v>-0.62549281120300293</v>
          </cell>
        </row>
        <row r="3290">
          <cell r="A3290" t="str">
            <v>IND</v>
          </cell>
          <cell r="B3290">
            <v>2006</v>
          </cell>
          <cell r="C3290" t="str">
            <v>malabz</v>
          </cell>
          <cell r="D3290">
            <v>2.1681003570556641</v>
          </cell>
        </row>
        <row r="3291">
          <cell r="A3291" t="str">
            <v>IND</v>
          </cell>
          <cell r="B3291">
            <v>2015</v>
          </cell>
          <cell r="C3291" t="str">
            <v>madeficit_</v>
          </cell>
          <cell r="D3291">
            <v>-6.915616512298584</v>
          </cell>
        </row>
        <row r="3292">
          <cell r="A3292" t="str">
            <v>IND</v>
          </cell>
          <cell r="B3292">
            <v>2009</v>
          </cell>
          <cell r="C3292" t="str">
            <v>magap_</v>
          </cell>
          <cell r="D3292">
            <v>-0.25627347826957703</v>
          </cell>
        </row>
        <row r="3293">
          <cell r="A3293" t="str">
            <v>IND</v>
          </cell>
          <cell r="B3293">
            <v>2006</v>
          </cell>
          <cell r="C3293" t="str">
            <v>mar_con</v>
          </cell>
          <cell r="D3293">
            <v>56.957496643066406</v>
          </cell>
        </row>
        <row r="3294">
          <cell r="A3294" t="str">
            <v>IND</v>
          </cell>
          <cell r="B3294">
            <v>2009</v>
          </cell>
          <cell r="C3294" t="str">
            <v>mar_agrfc</v>
          </cell>
          <cell r="D3294">
            <v>18.193851470947266</v>
          </cell>
        </row>
        <row r="3295">
          <cell r="A3295" t="str">
            <v>IND</v>
          </cell>
          <cell r="B3295">
            <v>2021</v>
          </cell>
          <cell r="C3295" t="str">
            <v>maconz</v>
          </cell>
          <cell r="D3295">
            <v>11.676754951477051</v>
          </cell>
        </row>
        <row r="3296">
          <cell r="A3296" t="str">
            <v>IND</v>
          </cell>
          <cell r="B3296">
            <v>2005</v>
          </cell>
          <cell r="C3296" t="str">
            <v>maindfc</v>
          </cell>
          <cell r="D3296">
            <v>9.5732879638671875</v>
          </cell>
        </row>
        <row r="3297">
          <cell r="A3297" t="str">
            <v>IND</v>
          </cell>
          <cell r="B3297">
            <v>2008</v>
          </cell>
          <cell r="C3297" t="str">
            <v>mar_expz</v>
          </cell>
          <cell r="D3297">
            <v>23.016080856323242</v>
          </cell>
        </row>
        <row r="3298">
          <cell r="A3298" t="str">
            <v>IND</v>
          </cell>
          <cell r="B3298">
            <v>2018</v>
          </cell>
          <cell r="C3298" t="str">
            <v>matfpz</v>
          </cell>
          <cell r="D3298">
            <v>2.1465902328491211</v>
          </cell>
        </row>
        <row r="3299">
          <cell r="A3299" t="str">
            <v>IND</v>
          </cell>
          <cell r="B3299">
            <v>2023</v>
          </cell>
          <cell r="C3299" t="str">
            <v>mar_agrfc</v>
          </cell>
          <cell r="D3299">
            <v>14.466111183166504</v>
          </cell>
        </row>
        <row r="3300">
          <cell r="A3300" t="str">
            <v>IND</v>
          </cell>
          <cell r="B3300">
            <v>2018</v>
          </cell>
          <cell r="C3300" t="str">
            <v>mafdi_</v>
          </cell>
          <cell r="D3300">
            <v>-1.1356953382492065</v>
          </cell>
        </row>
        <row r="3301">
          <cell r="A3301" t="str">
            <v>IND</v>
          </cell>
          <cell r="B3301">
            <v>2008</v>
          </cell>
          <cell r="C3301" t="str">
            <v>macab_</v>
          </cell>
          <cell r="D3301">
            <v>-2.3281664848327637</v>
          </cell>
        </row>
        <row r="3302">
          <cell r="A3302" t="str">
            <v>IND</v>
          </cell>
          <cell r="B3302">
            <v>2019</v>
          </cell>
          <cell r="C3302" t="str">
            <v>mar_expz</v>
          </cell>
          <cell r="D3302">
            <v>19.359912872314453</v>
          </cell>
        </row>
        <row r="3303">
          <cell r="A3303" t="str">
            <v>IND</v>
          </cell>
          <cell r="B3303">
            <v>2008</v>
          </cell>
          <cell r="C3303" t="str">
            <v>maagrfc</v>
          </cell>
          <cell r="D3303">
            <v>-0.24419271945953369</v>
          </cell>
        </row>
        <row r="3304">
          <cell r="A3304" t="str">
            <v>IND</v>
          </cell>
          <cell r="B3304">
            <v>2010</v>
          </cell>
          <cell r="C3304" t="str">
            <v>matfpz</v>
          </cell>
          <cell r="D3304">
            <v>1.9799666404724121</v>
          </cell>
        </row>
        <row r="3305">
          <cell r="A3305" t="str">
            <v>IND</v>
          </cell>
          <cell r="B3305">
            <v>2020</v>
          </cell>
          <cell r="C3305" t="str">
            <v>masrvfc</v>
          </cell>
          <cell r="D3305">
            <v>-8.3515729904174805</v>
          </cell>
        </row>
        <row r="3306">
          <cell r="A3306" t="str">
            <v>IND</v>
          </cell>
          <cell r="B3306">
            <v>2018</v>
          </cell>
          <cell r="C3306" t="str">
            <v>mac_labz</v>
          </cell>
          <cell r="D3306">
            <v>1.2617745399475098</v>
          </cell>
        </row>
        <row r="3307">
          <cell r="A3307" t="str">
            <v>IND</v>
          </cell>
          <cell r="B3307">
            <v>2013</v>
          </cell>
          <cell r="C3307" t="str">
            <v>magap_</v>
          </cell>
          <cell r="D3307">
            <v>-2.4330720901489258</v>
          </cell>
        </row>
        <row r="3308">
          <cell r="A3308" t="str">
            <v>IND</v>
          </cell>
          <cell r="B3308">
            <v>2013</v>
          </cell>
          <cell r="C3308" t="str">
            <v>maindfc</v>
          </cell>
          <cell r="D3308">
            <v>3.7858901023864746</v>
          </cell>
        </row>
        <row r="3309">
          <cell r="A3309" t="str">
            <v>IND</v>
          </cell>
          <cell r="B3309">
            <v>2009</v>
          </cell>
          <cell r="C3309" t="str">
            <v>mar_con</v>
          </cell>
          <cell r="D3309">
            <v>55.983207702636719</v>
          </cell>
        </row>
        <row r="3310">
          <cell r="A3310" t="str">
            <v>IND</v>
          </cell>
          <cell r="B3310">
            <v>2008</v>
          </cell>
          <cell r="C3310" t="str">
            <v>mafdi_</v>
          </cell>
          <cell r="D3310">
            <v>-1.865904688835144</v>
          </cell>
        </row>
        <row r="3311">
          <cell r="A3311" t="str">
            <v>IND</v>
          </cell>
          <cell r="B3311">
            <v>2010</v>
          </cell>
          <cell r="C3311" t="str">
            <v>macpiz</v>
          </cell>
          <cell r="D3311">
            <v>10.983650207519531</v>
          </cell>
        </row>
        <row r="3312">
          <cell r="A3312" t="str">
            <v>IND</v>
          </cell>
          <cell r="B3312">
            <v>2021</v>
          </cell>
          <cell r="C3312" t="str">
            <v>maagrfc</v>
          </cell>
          <cell r="D3312">
            <v>4.6231555938720703</v>
          </cell>
        </row>
        <row r="3313">
          <cell r="A3313" t="str">
            <v>IND</v>
          </cell>
          <cell r="B3313">
            <v>2008</v>
          </cell>
          <cell r="C3313" t="str">
            <v>maimpz</v>
          </cell>
          <cell r="D3313">
            <v>22.448625564575195</v>
          </cell>
        </row>
        <row r="3314">
          <cell r="A3314" t="str">
            <v>IND</v>
          </cell>
          <cell r="B3314">
            <v>2026</v>
          </cell>
          <cell r="C3314" t="str">
            <v>mac_labz</v>
          </cell>
          <cell r="D3314">
            <v>0.97572243213653564</v>
          </cell>
        </row>
        <row r="3315">
          <cell r="A3315" t="str">
            <v>IND</v>
          </cell>
          <cell r="B3315">
            <v>2013</v>
          </cell>
          <cell r="C3315" t="str">
            <v>magovz</v>
          </cell>
          <cell r="D3315">
            <v>0.5709083080291748</v>
          </cell>
        </row>
        <row r="3316">
          <cell r="A3316" t="str">
            <v>IND</v>
          </cell>
          <cell r="B3316">
            <v>2024</v>
          </cell>
          <cell r="C3316" t="str">
            <v>mar_indfc</v>
          </cell>
          <cell r="D3316">
            <v>31.081356048583984</v>
          </cell>
        </row>
        <row r="3317">
          <cell r="A3317" t="str">
            <v>IND</v>
          </cell>
          <cell r="B3317">
            <v>2006</v>
          </cell>
          <cell r="C3317" t="str">
            <v>mar_impz</v>
          </cell>
          <cell r="D3317">
            <v>23.074485778808594</v>
          </cell>
        </row>
        <row r="3318">
          <cell r="A3318" t="str">
            <v>IND</v>
          </cell>
          <cell r="B3318">
            <v>2022</v>
          </cell>
          <cell r="C3318" t="str">
            <v>mar_expz</v>
          </cell>
          <cell r="D3318">
            <v>23.941505432128906</v>
          </cell>
        </row>
        <row r="3319">
          <cell r="A3319" t="str">
            <v>IND</v>
          </cell>
          <cell r="B3319">
            <v>2026</v>
          </cell>
          <cell r="C3319" t="str">
            <v>maimpz</v>
          </cell>
          <cell r="D3319">
            <v>8.5</v>
          </cell>
        </row>
        <row r="3320">
          <cell r="A3320" t="str">
            <v>IND</v>
          </cell>
          <cell r="B3320">
            <v>2011</v>
          </cell>
          <cell r="C3320" t="str">
            <v>mar_expz</v>
          </cell>
          <cell r="D3320">
            <v>24.540410995483398</v>
          </cell>
        </row>
        <row r="3321">
          <cell r="A3321" t="str">
            <v>IND</v>
          </cell>
          <cell r="B3321">
            <v>2005</v>
          </cell>
          <cell r="C3321" t="str">
            <v>maexpz</v>
          </cell>
          <cell r="D3321">
            <v>26.085075378417969</v>
          </cell>
        </row>
        <row r="3322">
          <cell r="A3322" t="str">
            <v>IND</v>
          </cell>
          <cell r="B3322">
            <v>2006</v>
          </cell>
          <cell r="C3322" t="str">
            <v>mareer</v>
          </cell>
          <cell r="D3322">
            <v>92.73992919921875</v>
          </cell>
        </row>
        <row r="3323">
          <cell r="A3323" t="str">
            <v>IND</v>
          </cell>
          <cell r="B3323">
            <v>2018</v>
          </cell>
          <cell r="C3323" t="str">
            <v>maindfc</v>
          </cell>
          <cell r="D3323">
            <v>5.3164114952087402</v>
          </cell>
        </row>
        <row r="3324">
          <cell r="A3324" t="str">
            <v>IND</v>
          </cell>
          <cell r="B3324">
            <v>2026</v>
          </cell>
          <cell r="C3324" t="str">
            <v>maindfc</v>
          </cell>
          <cell r="D3324">
            <v>7.0999999046325684</v>
          </cell>
        </row>
        <row r="3325">
          <cell r="A3325" t="str">
            <v>IND</v>
          </cell>
          <cell r="B3325">
            <v>2010</v>
          </cell>
          <cell r="C3325" t="str">
            <v>mataxfc</v>
          </cell>
          <cell r="D3325">
            <v>14.921598434448242</v>
          </cell>
        </row>
        <row r="3326">
          <cell r="A3326" t="str">
            <v>IND</v>
          </cell>
          <cell r="B3326">
            <v>2018</v>
          </cell>
          <cell r="C3326" t="str">
            <v>macpiz</v>
          </cell>
          <cell r="D3326">
            <v>3.4135801792144775</v>
          </cell>
        </row>
        <row r="3327">
          <cell r="A3327" t="str">
            <v>IND</v>
          </cell>
          <cell r="B3327">
            <v>2013</v>
          </cell>
          <cell r="C3327" t="str">
            <v>magdpz</v>
          </cell>
          <cell r="D3327">
            <v>6.3861083984375</v>
          </cell>
        </row>
        <row r="3328">
          <cell r="A3328" t="str">
            <v>IND</v>
          </cell>
          <cell r="B3328">
            <v>2013</v>
          </cell>
          <cell r="C3328" t="str">
            <v>mar_indfc</v>
          </cell>
          <cell r="D3328">
            <v>31.159500122070313</v>
          </cell>
        </row>
        <row r="3329">
          <cell r="A3329" t="str">
            <v>IND</v>
          </cell>
          <cell r="B3329">
            <v>2009</v>
          </cell>
          <cell r="C3329" t="str">
            <v>maagrfc</v>
          </cell>
          <cell r="D3329">
            <v>-0.88022971153259277</v>
          </cell>
        </row>
        <row r="3330">
          <cell r="A3330" t="str">
            <v>IND</v>
          </cell>
          <cell r="B3330">
            <v>2024</v>
          </cell>
          <cell r="C3330" t="str">
            <v>mar_expz</v>
          </cell>
          <cell r="D3330">
            <v>22.50398063659668</v>
          </cell>
        </row>
        <row r="3331">
          <cell r="A3331" t="str">
            <v>IND</v>
          </cell>
          <cell r="B3331">
            <v>2006</v>
          </cell>
          <cell r="C3331" t="str">
            <v>mataxfc</v>
          </cell>
          <cell r="D3331">
            <v>8.1478729248046875</v>
          </cell>
        </row>
        <row r="3332">
          <cell r="A3332" t="str">
            <v>IND</v>
          </cell>
          <cell r="B3332">
            <v>2019</v>
          </cell>
          <cell r="C3332" t="str">
            <v>maexpz</v>
          </cell>
          <cell r="D3332">
            <v>-3.3849780559539795</v>
          </cell>
        </row>
        <row r="3333">
          <cell r="A3333" t="str">
            <v>IND</v>
          </cell>
          <cell r="B3333">
            <v>2017</v>
          </cell>
          <cell r="C3333" t="str">
            <v>masrvfc</v>
          </cell>
          <cell r="D3333">
            <v>6.3430628776550293</v>
          </cell>
        </row>
        <row r="3334">
          <cell r="A3334" t="str">
            <v>IND</v>
          </cell>
          <cell r="B3334">
            <v>2021</v>
          </cell>
          <cell r="C3334" t="str">
            <v>madeficit_</v>
          </cell>
          <cell r="D3334">
            <v>-9.4525375366210938</v>
          </cell>
        </row>
        <row r="3335">
          <cell r="A3335" t="str">
            <v>IND</v>
          </cell>
          <cell r="B3335">
            <v>2006</v>
          </cell>
          <cell r="C3335" t="str">
            <v>magovz</v>
          </cell>
          <cell r="D3335">
            <v>4.0534000396728516</v>
          </cell>
        </row>
        <row r="3336">
          <cell r="A3336" t="str">
            <v>IND</v>
          </cell>
          <cell r="B3336">
            <v>2020</v>
          </cell>
          <cell r="C3336" t="str">
            <v>mar_taxfc</v>
          </cell>
          <cell r="D3336">
            <v>7.9411783218383789</v>
          </cell>
        </row>
        <row r="3337">
          <cell r="A3337" t="str">
            <v>IND</v>
          </cell>
          <cell r="B3337">
            <v>2006</v>
          </cell>
          <cell r="C3337" t="str">
            <v>mar_indfc</v>
          </cell>
          <cell r="D3337">
            <v>32.346012115478516</v>
          </cell>
        </row>
        <row r="3338">
          <cell r="A3338" t="str">
            <v>IND</v>
          </cell>
          <cell r="B3338">
            <v>2010</v>
          </cell>
          <cell r="C3338" t="str">
            <v>malabz</v>
          </cell>
          <cell r="D3338">
            <v>2.0304522514343262</v>
          </cell>
        </row>
        <row r="3339">
          <cell r="A3339" t="str">
            <v>IND</v>
          </cell>
          <cell r="B3339">
            <v>2012</v>
          </cell>
          <cell r="C3339" t="str">
            <v>maindfc</v>
          </cell>
          <cell r="D3339">
            <v>3.269181489944458</v>
          </cell>
        </row>
        <row r="3340">
          <cell r="A3340" t="str">
            <v>IND</v>
          </cell>
          <cell r="B3340">
            <v>2015</v>
          </cell>
          <cell r="C3340" t="str">
            <v>mac_tfpz</v>
          </cell>
          <cell r="D3340">
            <v>2.236285924911499</v>
          </cell>
        </row>
        <row r="3341">
          <cell r="A3341" t="str">
            <v>IND</v>
          </cell>
          <cell r="B3341">
            <v>2016</v>
          </cell>
          <cell r="C3341" t="str">
            <v>mareer</v>
          </cell>
          <cell r="D3341">
            <v>102.49609375</v>
          </cell>
        </row>
        <row r="3342">
          <cell r="A3342" t="str">
            <v>IND</v>
          </cell>
          <cell r="B3342">
            <v>2010</v>
          </cell>
          <cell r="C3342" t="str">
            <v>mar_agrfc</v>
          </cell>
          <cell r="D3342">
            <v>18.322164535522461</v>
          </cell>
        </row>
        <row r="3343">
          <cell r="A3343" t="str">
            <v>IND</v>
          </cell>
          <cell r="B3343">
            <v>2015</v>
          </cell>
          <cell r="C3343" t="str">
            <v>matfpz</v>
          </cell>
          <cell r="D3343">
            <v>2.236285924911499</v>
          </cell>
        </row>
        <row r="3344">
          <cell r="A3344" t="str">
            <v>IND</v>
          </cell>
          <cell r="B3344">
            <v>2021</v>
          </cell>
          <cell r="C3344" t="str">
            <v>mataxfc</v>
          </cell>
          <cell r="D3344">
            <v>13.645477294921875</v>
          </cell>
        </row>
        <row r="3345">
          <cell r="A3345" t="str">
            <v>IND</v>
          </cell>
          <cell r="B3345">
            <v>2019</v>
          </cell>
          <cell r="C3345" t="str">
            <v>masrvfc</v>
          </cell>
          <cell r="D3345">
            <v>6.4295077323913574</v>
          </cell>
        </row>
        <row r="3346">
          <cell r="A3346" t="str">
            <v>IND</v>
          </cell>
          <cell r="B3346">
            <v>2026</v>
          </cell>
          <cell r="C3346" t="str">
            <v>maexpz</v>
          </cell>
          <cell r="D3346">
            <v>8.1999998092651367</v>
          </cell>
        </row>
        <row r="3347">
          <cell r="A3347" t="str">
            <v>IND</v>
          </cell>
          <cell r="B3347">
            <v>2007</v>
          </cell>
          <cell r="C3347" t="str">
            <v>madeficit_</v>
          </cell>
          <cell r="D3347">
            <v>-4.0645866394042969</v>
          </cell>
        </row>
        <row r="3348">
          <cell r="A3348" t="str">
            <v>IND</v>
          </cell>
          <cell r="B3348">
            <v>2013</v>
          </cell>
          <cell r="C3348" t="str">
            <v>mapanusatls</v>
          </cell>
          <cell r="D3348">
            <v>60.5</v>
          </cell>
        </row>
        <row r="3349">
          <cell r="A3349" t="str">
            <v>IND</v>
          </cell>
          <cell r="B3349">
            <v>2022</v>
          </cell>
          <cell r="C3349" t="str">
            <v>magap_</v>
          </cell>
          <cell r="D3349">
            <v>0.50293141603469849</v>
          </cell>
        </row>
        <row r="3350">
          <cell r="A3350" t="str">
            <v>IND</v>
          </cell>
          <cell r="B3350">
            <v>2024</v>
          </cell>
          <cell r="C3350" t="str">
            <v>mar_impz</v>
          </cell>
          <cell r="D3350">
            <v>24.650915145874023</v>
          </cell>
        </row>
        <row r="3351">
          <cell r="A3351" t="str">
            <v>IND</v>
          </cell>
          <cell r="B3351">
            <v>2012</v>
          </cell>
          <cell r="C3351" t="str">
            <v>mar_con</v>
          </cell>
          <cell r="D3351">
            <v>56.214927673339844</v>
          </cell>
        </row>
        <row r="3352">
          <cell r="A3352" t="str">
            <v>IND</v>
          </cell>
          <cell r="B3352">
            <v>2024</v>
          </cell>
          <cell r="C3352" t="str">
            <v>mac_tfpz</v>
          </cell>
          <cell r="D3352">
            <v>2.9410800933837891</v>
          </cell>
        </row>
        <row r="3353">
          <cell r="A3353" t="str">
            <v>IND</v>
          </cell>
          <cell r="B3353">
            <v>2023</v>
          </cell>
          <cell r="C3353" t="str">
            <v>matfpz</v>
          </cell>
          <cell r="D3353">
            <v>3.2243516445159912</v>
          </cell>
        </row>
        <row r="3354">
          <cell r="A3354" t="str">
            <v>IND</v>
          </cell>
          <cell r="B3354">
            <v>2009</v>
          </cell>
          <cell r="C3354" t="str">
            <v>masrvfc</v>
          </cell>
          <cell r="D3354">
            <v>8.6764688491821289</v>
          </cell>
        </row>
        <row r="3355">
          <cell r="A3355" t="str">
            <v>IND</v>
          </cell>
          <cell r="B3355">
            <v>2012</v>
          </cell>
          <cell r="C3355" t="str">
            <v>madebt_</v>
          </cell>
          <cell r="D3355">
            <v>66.651351928710938</v>
          </cell>
        </row>
        <row r="3356">
          <cell r="A3356" t="str">
            <v>IND</v>
          </cell>
          <cell r="B3356">
            <v>2020</v>
          </cell>
          <cell r="C3356" t="str">
            <v>macpiz</v>
          </cell>
          <cell r="D3356">
            <v>6.1645398139953613</v>
          </cell>
        </row>
        <row r="3357">
          <cell r="A3357" t="str">
            <v>IND</v>
          </cell>
          <cell r="B3357">
            <v>2019</v>
          </cell>
          <cell r="C3357" t="str">
            <v>matfpz</v>
          </cell>
          <cell r="D3357">
            <v>2.0916321277618408</v>
          </cell>
        </row>
        <row r="3358">
          <cell r="A3358" t="str">
            <v>IND</v>
          </cell>
          <cell r="B3358">
            <v>2024</v>
          </cell>
          <cell r="C3358" t="str">
            <v>mareer</v>
          </cell>
          <cell r="D3358">
            <v>104.70857238769531</v>
          </cell>
        </row>
        <row r="3359">
          <cell r="A3359" t="str">
            <v>IND</v>
          </cell>
          <cell r="B3359">
            <v>2010</v>
          </cell>
          <cell r="C3359" t="str">
            <v>maconz</v>
          </cell>
          <cell r="D3359">
            <v>6.7204084396362305</v>
          </cell>
        </row>
        <row r="3360">
          <cell r="A3360" t="str">
            <v>IND</v>
          </cell>
          <cell r="B3360">
            <v>2008</v>
          </cell>
          <cell r="C3360" t="str">
            <v>maconz</v>
          </cell>
          <cell r="D3360">
            <v>4.4521975517272949</v>
          </cell>
        </row>
        <row r="3361">
          <cell r="A3361" t="str">
            <v>IND</v>
          </cell>
          <cell r="B3361">
            <v>2016</v>
          </cell>
          <cell r="C3361" t="str">
            <v>matfpz</v>
          </cell>
          <cell r="D3361">
            <v>2.2388143539428711</v>
          </cell>
        </row>
        <row r="3362">
          <cell r="A3362" t="str">
            <v>IND</v>
          </cell>
          <cell r="B3362">
            <v>2025</v>
          </cell>
          <cell r="C3362" t="str">
            <v>maconz</v>
          </cell>
          <cell r="D3362">
            <v>6.3000001907348633</v>
          </cell>
        </row>
        <row r="3363">
          <cell r="A3363" t="str">
            <v>IND</v>
          </cell>
          <cell r="B3363">
            <v>2017</v>
          </cell>
          <cell r="C3363" t="str">
            <v>mac_labz</v>
          </cell>
          <cell r="D3363">
            <v>1.3288689851760864</v>
          </cell>
        </row>
        <row r="3364">
          <cell r="A3364" t="str">
            <v>IND</v>
          </cell>
          <cell r="B3364">
            <v>2015</v>
          </cell>
          <cell r="C3364" t="str">
            <v>mar_indfc</v>
          </cell>
          <cell r="D3364">
            <v>31.560781478881836</v>
          </cell>
        </row>
        <row r="3365">
          <cell r="A3365" t="str">
            <v>IND</v>
          </cell>
          <cell r="B3365">
            <v>2025</v>
          </cell>
          <cell r="C3365" t="str">
            <v>maagrfc</v>
          </cell>
          <cell r="D3365">
            <v>3.7000000476837158</v>
          </cell>
        </row>
        <row r="3366">
          <cell r="A3366" t="str">
            <v>IND</v>
          </cell>
          <cell r="B3366">
            <v>2025</v>
          </cell>
          <cell r="C3366" t="str">
            <v>mainvz</v>
          </cell>
          <cell r="D3366">
            <v>7.6191635131835938</v>
          </cell>
        </row>
        <row r="3367">
          <cell r="A3367" t="str">
            <v>IND</v>
          </cell>
          <cell r="B3367">
            <v>2014</v>
          </cell>
          <cell r="C3367" t="str">
            <v>mar_impz</v>
          </cell>
          <cell r="D3367">
            <v>25.338886260986328</v>
          </cell>
        </row>
        <row r="3368">
          <cell r="A3368" t="str">
            <v>IND</v>
          </cell>
          <cell r="B3368">
            <v>2015</v>
          </cell>
          <cell r="C3368" t="str">
            <v>macpiz</v>
          </cell>
          <cell r="D3368">
            <v>4.9081473350524902</v>
          </cell>
        </row>
        <row r="3369">
          <cell r="A3369" t="str">
            <v>IND</v>
          </cell>
          <cell r="B3369">
            <v>2019</v>
          </cell>
          <cell r="C3369" t="str">
            <v>mar_srvfc</v>
          </cell>
          <cell r="D3369">
            <v>55.308643341064453</v>
          </cell>
        </row>
        <row r="3370">
          <cell r="A3370" t="str">
            <v>IND</v>
          </cell>
          <cell r="B3370">
            <v>2009</v>
          </cell>
          <cell r="C3370" t="str">
            <v>mar_impz</v>
          </cell>
          <cell r="D3370">
            <v>25.451528549194336</v>
          </cell>
        </row>
        <row r="3371">
          <cell r="A3371" t="str">
            <v>IND</v>
          </cell>
          <cell r="B3371">
            <v>2006</v>
          </cell>
          <cell r="C3371" t="str">
            <v>mar_taxfc</v>
          </cell>
          <cell r="D3371">
            <v>7.2672371864318848</v>
          </cell>
        </row>
        <row r="3372">
          <cell r="A3372" t="str">
            <v>IND</v>
          </cell>
          <cell r="B3372">
            <v>2007</v>
          </cell>
          <cell r="C3372" t="str">
            <v>mainvz</v>
          </cell>
          <cell r="D3372">
            <v>16.328899383544922</v>
          </cell>
        </row>
        <row r="3373">
          <cell r="A3373" t="str">
            <v>IND</v>
          </cell>
          <cell r="B3373">
            <v>2011</v>
          </cell>
          <cell r="C3373" t="str">
            <v>mapanusatls</v>
          </cell>
          <cell r="D3373">
            <v>47.919998168945313</v>
          </cell>
        </row>
        <row r="3374">
          <cell r="A3374" t="str">
            <v>IND</v>
          </cell>
          <cell r="B3374">
            <v>2026</v>
          </cell>
          <cell r="C3374" t="str">
            <v>matfpz</v>
          </cell>
          <cell r="D3374">
            <v>2.8458631038665771</v>
          </cell>
        </row>
        <row r="3375">
          <cell r="A3375" t="str">
            <v>IND</v>
          </cell>
          <cell r="B3375">
            <v>2007</v>
          </cell>
          <cell r="C3375" t="str">
            <v>mar_con</v>
          </cell>
          <cell r="D3375">
            <v>56.756855010986328</v>
          </cell>
        </row>
        <row r="3376">
          <cell r="A3376" t="str">
            <v>IND</v>
          </cell>
          <cell r="B3376">
            <v>2013</v>
          </cell>
          <cell r="C3376" t="str">
            <v>maconz</v>
          </cell>
          <cell r="D3376">
            <v>7.3031702041625977</v>
          </cell>
        </row>
        <row r="3377">
          <cell r="A3377" t="str">
            <v>IND</v>
          </cell>
          <cell r="B3377">
            <v>2014</v>
          </cell>
          <cell r="C3377" t="str">
            <v>mar_indfc</v>
          </cell>
          <cell r="D3377">
            <v>31.114675521850586</v>
          </cell>
        </row>
        <row r="3378">
          <cell r="A3378" t="str">
            <v>IND</v>
          </cell>
          <cell r="B3378">
            <v>2008</v>
          </cell>
          <cell r="C3378" t="str">
            <v>mar_agrfc</v>
          </cell>
          <cell r="D3378">
            <v>19.613971710205078</v>
          </cell>
        </row>
        <row r="3379">
          <cell r="A3379" t="str">
            <v>IND</v>
          </cell>
          <cell r="B3379">
            <v>2012</v>
          </cell>
          <cell r="C3379" t="str">
            <v>mar_expz</v>
          </cell>
          <cell r="D3379">
            <v>24.85435676574707</v>
          </cell>
        </row>
        <row r="3380">
          <cell r="A3380" t="str">
            <v>IND</v>
          </cell>
          <cell r="B3380">
            <v>2009</v>
          </cell>
          <cell r="C3380" t="str">
            <v>mafdi_</v>
          </cell>
          <cell r="D3380">
            <v>-1.3387569189071655</v>
          </cell>
        </row>
        <row r="3381">
          <cell r="A3381" t="str">
            <v>IND</v>
          </cell>
          <cell r="B3381">
            <v>2008</v>
          </cell>
          <cell r="C3381" t="str">
            <v>madebt_</v>
          </cell>
          <cell r="D3381">
            <v>73.728065490722656</v>
          </cell>
        </row>
        <row r="3382">
          <cell r="A3382" t="str">
            <v>IND</v>
          </cell>
          <cell r="B3382">
            <v>2010</v>
          </cell>
          <cell r="C3382" t="str">
            <v>mar_taxfc</v>
          </cell>
          <cell r="D3382">
            <v>7.7450780868530273</v>
          </cell>
        </row>
        <row r="3383">
          <cell r="A3383" t="str">
            <v>IND</v>
          </cell>
          <cell r="B3383">
            <v>2012</v>
          </cell>
          <cell r="C3383" t="str">
            <v>mareer</v>
          </cell>
          <cell r="D3383">
            <v>96.331710815429688</v>
          </cell>
        </row>
        <row r="3384">
          <cell r="A3384" t="str">
            <v>IND</v>
          </cell>
          <cell r="B3384">
            <v>2016</v>
          </cell>
          <cell r="C3384" t="str">
            <v>madeficit_</v>
          </cell>
          <cell r="D3384">
            <v>-6.9174113273620605</v>
          </cell>
        </row>
        <row r="3385">
          <cell r="A3385" t="str">
            <v>IND</v>
          </cell>
          <cell r="B3385">
            <v>2013</v>
          </cell>
          <cell r="C3385" t="str">
            <v>mafdi_</v>
          </cell>
          <cell r="D3385">
            <v>-1.1613729000091553</v>
          </cell>
        </row>
        <row r="3386">
          <cell r="A3386" t="str">
            <v>IND</v>
          </cell>
          <cell r="B3386">
            <v>2025</v>
          </cell>
          <cell r="C3386" t="str">
            <v>mar_con</v>
          </cell>
          <cell r="D3386">
            <v>55.012508392333984</v>
          </cell>
        </row>
        <row r="3387">
          <cell r="A3387" t="str">
            <v>IND</v>
          </cell>
          <cell r="B3387">
            <v>2024</v>
          </cell>
          <cell r="C3387" t="str">
            <v>masrvfc</v>
          </cell>
          <cell r="D3387">
            <v>7.2616119384765625</v>
          </cell>
        </row>
        <row r="3388">
          <cell r="A3388" t="str">
            <v>IND</v>
          </cell>
          <cell r="B3388">
            <v>2022</v>
          </cell>
          <cell r="C3388" t="str">
            <v>mafdi_</v>
          </cell>
          <cell r="D3388">
            <v>-0.83483749628067017</v>
          </cell>
        </row>
        <row r="3389">
          <cell r="A3389" t="str">
            <v>IND</v>
          </cell>
          <cell r="B3389">
            <v>2009</v>
          </cell>
          <cell r="C3389" t="str">
            <v>mac_tfpz</v>
          </cell>
          <cell r="D3389">
            <v>1.9666600227355957</v>
          </cell>
        </row>
        <row r="3390">
          <cell r="A3390" t="str">
            <v>IND</v>
          </cell>
          <cell r="B3390">
            <v>2008</v>
          </cell>
          <cell r="C3390" t="str">
            <v>mac_labz</v>
          </cell>
          <cell r="D3390">
            <v>1.452930212020874</v>
          </cell>
        </row>
        <row r="3391">
          <cell r="A3391" t="str">
            <v>IND</v>
          </cell>
          <cell r="B3391">
            <v>2013</v>
          </cell>
          <cell r="C3391" t="str">
            <v>maexpz</v>
          </cell>
          <cell r="D3391">
            <v>7.7923893928527832</v>
          </cell>
        </row>
        <row r="3392">
          <cell r="A3392" t="str">
            <v>IND</v>
          </cell>
          <cell r="B3392">
            <v>2025</v>
          </cell>
          <cell r="C3392" t="str">
            <v>mar_indfc</v>
          </cell>
          <cell r="D3392">
            <v>31.191225051879883</v>
          </cell>
        </row>
        <row r="3393">
          <cell r="A3393" t="str">
            <v>IND</v>
          </cell>
          <cell r="B3393">
            <v>2025</v>
          </cell>
          <cell r="C3393" t="str">
            <v>malabz</v>
          </cell>
          <cell r="D3393">
            <v>1.4464442729949951</v>
          </cell>
        </row>
        <row r="3394">
          <cell r="A3394" t="str">
            <v>IND</v>
          </cell>
          <cell r="B3394">
            <v>2012</v>
          </cell>
          <cell r="C3394" t="str">
            <v>mac_labz</v>
          </cell>
          <cell r="D3394">
            <v>1.4004642963409424</v>
          </cell>
        </row>
        <row r="3395">
          <cell r="A3395" t="str">
            <v>IND</v>
          </cell>
          <cell r="B3395">
            <v>2011</v>
          </cell>
          <cell r="C3395" t="str">
            <v>mar_con</v>
          </cell>
          <cell r="D3395">
            <v>56.207218170166016</v>
          </cell>
        </row>
        <row r="3396">
          <cell r="A3396" t="str">
            <v>IND</v>
          </cell>
          <cell r="B3396">
            <v>2013</v>
          </cell>
          <cell r="C3396" t="str">
            <v>mac_labz</v>
          </cell>
          <cell r="D3396">
            <v>1.3822033405303955</v>
          </cell>
        </row>
        <row r="3397">
          <cell r="A3397" t="str">
            <v>IND</v>
          </cell>
          <cell r="B3397">
            <v>2006</v>
          </cell>
          <cell r="C3397" t="str">
            <v>matfpz</v>
          </cell>
          <cell r="D3397">
            <v>2.037203311920166</v>
          </cell>
        </row>
        <row r="3398">
          <cell r="A3398" t="str">
            <v>IND</v>
          </cell>
          <cell r="B3398">
            <v>2018</v>
          </cell>
          <cell r="C3398" t="str">
            <v>magovz</v>
          </cell>
          <cell r="D3398">
            <v>6.6998591423034668</v>
          </cell>
        </row>
        <row r="3399">
          <cell r="A3399" t="str">
            <v>IND</v>
          </cell>
          <cell r="B3399">
            <v>2006</v>
          </cell>
          <cell r="C3399" t="str">
            <v>macpiz</v>
          </cell>
          <cell r="D3399">
            <v>7.3482427597045898</v>
          </cell>
        </row>
        <row r="3400">
          <cell r="A3400" t="str">
            <v>IND</v>
          </cell>
          <cell r="B3400">
            <v>2021</v>
          </cell>
          <cell r="C3400" t="str">
            <v>macab_</v>
          </cell>
          <cell r="D3400">
            <v>-1.2217280864715576</v>
          </cell>
        </row>
        <row r="3401">
          <cell r="A3401" t="str">
            <v>IND</v>
          </cell>
          <cell r="B3401">
            <v>2012</v>
          </cell>
          <cell r="C3401" t="str">
            <v>masrvfc</v>
          </cell>
          <cell r="D3401">
            <v>8.3336715698242188</v>
          </cell>
        </row>
        <row r="3402">
          <cell r="A3402" t="str">
            <v>IND</v>
          </cell>
          <cell r="B3402">
            <v>2021</v>
          </cell>
          <cell r="C3402" t="str">
            <v>masrvfc</v>
          </cell>
          <cell r="D3402">
            <v>9.1754989624023438</v>
          </cell>
        </row>
        <row r="3403">
          <cell r="A3403" t="str">
            <v>IND</v>
          </cell>
          <cell r="B3403">
            <v>2024</v>
          </cell>
          <cell r="C3403" t="str">
            <v>mainvz</v>
          </cell>
          <cell r="D3403">
            <v>9.7356739044189453</v>
          </cell>
        </row>
        <row r="3404">
          <cell r="A3404" t="str">
            <v>IND</v>
          </cell>
          <cell r="B3404">
            <v>2007</v>
          </cell>
          <cell r="C3404" t="str">
            <v>magap_</v>
          </cell>
          <cell r="D3404">
            <v>2.9169366359710693</v>
          </cell>
        </row>
        <row r="3405">
          <cell r="A3405" t="str">
            <v>IND</v>
          </cell>
          <cell r="B3405">
            <v>2010</v>
          </cell>
          <cell r="C3405" t="str">
            <v>maexpz</v>
          </cell>
          <cell r="D3405">
            <v>19.47813606262207</v>
          </cell>
        </row>
        <row r="3406">
          <cell r="A3406" t="str">
            <v>IND</v>
          </cell>
          <cell r="B3406">
            <v>2016</v>
          </cell>
          <cell r="C3406" t="str">
            <v>maindfc</v>
          </cell>
          <cell r="D3406">
            <v>7.7200846672058105</v>
          </cell>
        </row>
        <row r="3407">
          <cell r="A3407" t="str">
            <v>IND</v>
          </cell>
          <cell r="B3407">
            <v>2023</v>
          </cell>
          <cell r="C3407" t="str">
            <v>mar_con</v>
          </cell>
          <cell r="D3407">
            <v>56.031623840332031</v>
          </cell>
        </row>
        <row r="3408">
          <cell r="A3408" t="str">
            <v>IND</v>
          </cell>
          <cell r="B3408">
            <v>2010</v>
          </cell>
          <cell r="C3408" t="str">
            <v>maindfc</v>
          </cell>
          <cell r="D3408">
            <v>7.8969821929931641</v>
          </cell>
        </row>
        <row r="3409">
          <cell r="A3409" t="str">
            <v>IND</v>
          </cell>
          <cell r="B3409">
            <v>2008</v>
          </cell>
          <cell r="C3409" t="str">
            <v>matfpz</v>
          </cell>
          <cell r="D3409">
            <v>1.9697611331939697</v>
          </cell>
        </row>
        <row r="3410">
          <cell r="A3410" t="str">
            <v>IND</v>
          </cell>
          <cell r="B3410">
            <v>2022</v>
          </cell>
          <cell r="C3410" t="str">
            <v>matfpz</v>
          </cell>
          <cell r="D3410">
            <v>3.3289980888366699</v>
          </cell>
        </row>
        <row r="3411">
          <cell r="A3411" t="str">
            <v>IND</v>
          </cell>
          <cell r="B3411">
            <v>2007</v>
          </cell>
          <cell r="C3411" t="str">
            <v>maagrfc</v>
          </cell>
          <cell r="D3411">
            <v>5.506474494934082</v>
          </cell>
        </row>
        <row r="3412">
          <cell r="A3412" t="str">
            <v>IND</v>
          </cell>
          <cell r="B3412">
            <v>2024</v>
          </cell>
          <cell r="C3412" t="str">
            <v>malabz</v>
          </cell>
          <cell r="D3412">
            <v>1.490372896194458</v>
          </cell>
        </row>
        <row r="3413">
          <cell r="A3413" t="str">
            <v>IND</v>
          </cell>
          <cell r="B3413">
            <v>2015</v>
          </cell>
          <cell r="C3413" t="str">
            <v>mainvz</v>
          </cell>
          <cell r="D3413">
            <v>6.5308322906494141</v>
          </cell>
        </row>
        <row r="3414">
          <cell r="A3414" t="str">
            <v>IND</v>
          </cell>
          <cell r="B3414">
            <v>2017</v>
          </cell>
          <cell r="C3414" t="str">
            <v>mataxfc</v>
          </cell>
          <cell r="D3414">
            <v>13.317877769470215</v>
          </cell>
        </row>
        <row r="3415">
          <cell r="A3415" t="str">
            <v>IND</v>
          </cell>
          <cell r="B3415">
            <v>2017</v>
          </cell>
          <cell r="C3415" t="str">
            <v>maagrfc</v>
          </cell>
          <cell r="D3415">
            <v>6.605921745300293</v>
          </cell>
        </row>
        <row r="3416">
          <cell r="A3416" t="str">
            <v>IND</v>
          </cell>
          <cell r="B3416">
            <v>2014</v>
          </cell>
          <cell r="C3416" t="str">
            <v>maimpz</v>
          </cell>
          <cell r="D3416">
            <v>0.87123072147369385</v>
          </cell>
        </row>
        <row r="3417">
          <cell r="A3417" t="str">
            <v>IND</v>
          </cell>
          <cell r="B3417">
            <v>2017</v>
          </cell>
          <cell r="C3417" t="str">
            <v>mar_expz</v>
          </cell>
          <cell r="D3417">
            <v>19.795318603515625</v>
          </cell>
        </row>
        <row r="3418">
          <cell r="A3418" t="str">
            <v>IND</v>
          </cell>
          <cell r="B3418">
            <v>2024</v>
          </cell>
          <cell r="C3418" t="str">
            <v>macab_</v>
          </cell>
          <cell r="D3418">
            <v>-1.3610140085220337</v>
          </cell>
        </row>
        <row r="3419">
          <cell r="A3419" t="str">
            <v>IND</v>
          </cell>
          <cell r="B3419">
            <v>2024</v>
          </cell>
          <cell r="C3419" t="str">
            <v>maconz</v>
          </cell>
          <cell r="D3419">
            <v>5.0999999046325684</v>
          </cell>
        </row>
        <row r="3420">
          <cell r="A3420" t="str">
            <v>IND</v>
          </cell>
          <cell r="B3420">
            <v>2006</v>
          </cell>
          <cell r="C3420" t="str">
            <v>mac_labz</v>
          </cell>
          <cell r="D3420">
            <v>1.5176702737808228</v>
          </cell>
        </row>
        <row r="3421">
          <cell r="A3421" t="str">
            <v>IND</v>
          </cell>
          <cell r="B3421">
            <v>2020</v>
          </cell>
          <cell r="C3421" t="str">
            <v>mar_indfc</v>
          </cell>
          <cell r="D3421">
            <v>30.769393920898438</v>
          </cell>
        </row>
        <row r="3422">
          <cell r="A3422" t="str">
            <v>IND</v>
          </cell>
          <cell r="B3422">
            <v>2026</v>
          </cell>
          <cell r="C3422" t="str">
            <v>mar_impz</v>
          </cell>
          <cell r="D3422">
            <v>25.129100799560547</v>
          </cell>
        </row>
        <row r="3423">
          <cell r="A3423" t="str">
            <v>IND</v>
          </cell>
          <cell r="B3423">
            <v>2022</v>
          </cell>
          <cell r="C3423" t="str">
            <v>maagrfc</v>
          </cell>
          <cell r="D3423">
            <v>4.7068657875061035</v>
          </cell>
        </row>
        <row r="3424">
          <cell r="A3424" t="str">
            <v>IND</v>
          </cell>
          <cell r="B3424">
            <v>2007</v>
          </cell>
          <cell r="C3424" t="str">
            <v>maconz</v>
          </cell>
          <cell r="D3424">
            <v>7.2815642356872559</v>
          </cell>
        </row>
        <row r="3425">
          <cell r="A3425" t="str">
            <v>IND</v>
          </cell>
          <cell r="B3425">
            <v>2011</v>
          </cell>
          <cell r="C3425" t="str">
            <v>mar_agrfc</v>
          </cell>
          <cell r="D3425">
            <v>18.52667236328125</v>
          </cell>
        </row>
        <row r="3426">
          <cell r="A3426" t="str">
            <v>IND</v>
          </cell>
          <cell r="B3426">
            <v>2018</v>
          </cell>
          <cell r="C3426" t="str">
            <v>maagrfc</v>
          </cell>
          <cell r="D3426">
            <v>2.096466064453125</v>
          </cell>
        </row>
        <row r="3427">
          <cell r="A3427" t="str">
            <v>IND</v>
          </cell>
          <cell r="B3427">
            <v>2007</v>
          </cell>
          <cell r="C3427" t="str">
            <v>mar_srvfc</v>
          </cell>
          <cell r="D3427">
            <v>46.951171875</v>
          </cell>
        </row>
        <row r="3428">
          <cell r="A3428" t="str">
            <v>IND</v>
          </cell>
          <cell r="B3428">
            <v>2008</v>
          </cell>
          <cell r="C3428" t="str">
            <v>maindfc</v>
          </cell>
          <cell r="D3428">
            <v>3.9992265701293945</v>
          </cell>
        </row>
        <row r="3429">
          <cell r="A3429" t="str">
            <v>IND</v>
          </cell>
          <cell r="B3429">
            <v>2022</v>
          </cell>
          <cell r="C3429" t="str">
            <v>mac_tfpz</v>
          </cell>
          <cell r="D3429">
            <v>3.3289980888366699</v>
          </cell>
        </row>
        <row r="3430">
          <cell r="A3430" t="str">
            <v>IND</v>
          </cell>
          <cell r="B3430">
            <v>2012</v>
          </cell>
          <cell r="C3430" t="str">
            <v>malabz</v>
          </cell>
          <cell r="D3430">
            <v>2.0006632804870605</v>
          </cell>
        </row>
        <row r="3431">
          <cell r="A3431" t="str">
            <v>IND</v>
          </cell>
          <cell r="B3431">
            <v>2010</v>
          </cell>
          <cell r="C3431" t="str">
            <v>mar_indfc</v>
          </cell>
          <cell r="D3431">
            <v>33.004154205322266</v>
          </cell>
        </row>
        <row r="3432">
          <cell r="A3432" t="str">
            <v>IND</v>
          </cell>
          <cell r="B3432">
            <v>2014</v>
          </cell>
          <cell r="C3432" t="str">
            <v>maexpz</v>
          </cell>
          <cell r="D3432">
            <v>1.7775907516479492</v>
          </cell>
        </row>
        <row r="3433">
          <cell r="A3433" t="str">
            <v>IND</v>
          </cell>
          <cell r="B3433">
            <v>2024</v>
          </cell>
          <cell r="C3433" t="str">
            <v>magdpz</v>
          </cell>
          <cell r="D3433">
            <v>6.6229639053344727</v>
          </cell>
        </row>
        <row r="3434">
          <cell r="A3434" t="str">
            <v>IND</v>
          </cell>
          <cell r="B3434">
            <v>2025</v>
          </cell>
          <cell r="C3434" t="str">
            <v>magdpz</v>
          </cell>
          <cell r="D3434">
            <v>6.7227458953857422</v>
          </cell>
        </row>
        <row r="3435">
          <cell r="A3435" t="str">
            <v>IND</v>
          </cell>
          <cell r="B3435">
            <v>2007</v>
          </cell>
          <cell r="C3435" t="str">
            <v>macpiz</v>
          </cell>
          <cell r="D3435">
            <v>6.8802518844604492</v>
          </cell>
        </row>
        <row r="3436">
          <cell r="A3436" t="str">
            <v>IND</v>
          </cell>
          <cell r="B3436">
            <v>2006</v>
          </cell>
          <cell r="C3436" t="str">
            <v>masrvfc</v>
          </cell>
          <cell r="D3436">
            <v>7.0383195877075195</v>
          </cell>
        </row>
        <row r="3437">
          <cell r="A3437" t="str">
            <v>IND</v>
          </cell>
          <cell r="B3437">
            <v>2005</v>
          </cell>
          <cell r="C3437" t="str">
            <v>mafdi_</v>
          </cell>
          <cell r="D3437">
            <v>-0.36837777495384216</v>
          </cell>
        </row>
        <row r="3438">
          <cell r="A3438" t="str">
            <v>IND</v>
          </cell>
          <cell r="B3438">
            <v>2019</v>
          </cell>
          <cell r="C3438" t="str">
            <v>mar_indfc</v>
          </cell>
          <cell r="D3438">
            <v>29.62403678894043</v>
          </cell>
        </row>
        <row r="3439">
          <cell r="A3439" t="str">
            <v>IND</v>
          </cell>
          <cell r="B3439">
            <v>2006</v>
          </cell>
          <cell r="C3439" t="str">
            <v>magap_</v>
          </cell>
          <cell r="D3439">
            <v>2.2658803462982178</v>
          </cell>
        </row>
        <row r="3440">
          <cell r="A3440" t="str">
            <v>IND</v>
          </cell>
          <cell r="B3440">
            <v>2025</v>
          </cell>
          <cell r="C3440" t="str">
            <v>mar_expz</v>
          </cell>
          <cell r="D3440">
            <v>22.604616165161133</v>
          </cell>
        </row>
        <row r="3441">
          <cell r="A3441" t="str">
            <v>IND</v>
          </cell>
          <cell r="B3441">
            <v>2024</v>
          </cell>
          <cell r="C3441" t="str">
            <v>mar_taxfc</v>
          </cell>
          <cell r="D3441">
            <v>9.2399406433105469</v>
          </cell>
        </row>
        <row r="3442">
          <cell r="A3442" t="str">
            <v>IND</v>
          </cell>
          <cell r="B3442">
            <v>2026</v>
          </cell>
          <cell r="C3442" t="str">
            <v>mar_con</v>
          </cell>
          <cell r="D3442">
            <v>55.006546020507813</v>
          </cell>
        </row>
        <row r="3443">
          <cell r="A3443" t="str">
            <v>IND</v>
          </cell>
          <cell r="B3443">
            <v>2010</v>
          </cell>
          <cell r="C3443" t="str">
            <v>magdpz</v>
          </cell>
          <cell r="D3443">
            <v>8.497584342956543</v>
          </cell>
        </row>
        <row r="3444">
          <cell r="A3444" t="str">
            <v>IND</v>
          </cell>
          <cell r="B3444">
            <v>2010</v>
          </cell>
          <cell r="C3444" t="str">
            <v>masrvfc</v>
          </cell>
          <cell r="D3444">
            <v>7.8356661796569824</v>
          </cell>
        </row>
        <row r="3445">
          <cell r="A3445" t="str">
            <v>IND</v>
          </cell>
          <cell r="B3445">
            <v>2024</v>
          </cell>
          <cell r="C3445" t="str">
            <v>madebt_</v>
          </cell>
          <cell r="D3445">
            <v>83.87994384765625</v>
          </cell>
        </row>
        <row r="3446">
          <cell r="A3446" t="str">
            <v>IND</v>
          </cell>
          <cell r="B3446">
            <v>2014</v>
          </cell>
          <cell r="C3446" t="str">
            <v>magovz</v>
          </cell>
          <cell r="D3446">
            <v>7.5856151580810547</v>
          </cell>
        </row>
        <row r="3447">
          <cell r="A3447" t="str">
            <v>IND</v>
          </cell>
          <cell r="B3447">
            <v>2012</v>
          </cell>
          <cell r="C3447" t="str">
            <v>maexpz</v>
          </cell>
          <cell r="D3447">
            <v>6.8054885864257813</v>
          </cell>
        </row>
        <row r="3448">
          <cell r="A3448" t="str">
            <v>IND</v>
          </cell>
          <cell r="B3448">
            <v>2025</v>
          </cell>
          <cell r="C3448" t="str">
            <v>mareer</v>
          </cell>
          <cell r="D3448">
            <v>105.27901458740234</v>
          </cell>
        </row>
        <row r="3449">
          <cell r="A3449" t="str">
            <v>IND</v>
          </cell>
          <cell r="B3449">
            <v>2012</v>
          </cell>
          <cell r="C3449" t="str">
            <v>madeficit_</v>
          </cell>
          <cell r="D3449">
            <v>-6.8824868202209473</v>
          </cell>
        </row>
        <row r="3450">
          <cell r="A3450" t="str">
            <v>IND</v>
          </cell>
          <cell r="B3450">
            <v>2011</v>
          </cell>
          <cell r="C3450" t="str">
            <v>mac_labz</v>
          </cell>
          <cell r="D3450">
            <v>1.416988730430603</v>
          </cell>
        </row>
        <row r="3451">
          <cell r="A3451" t="str">
            <v>IND</v>
          </cell>
          <cell r="B3451">
            <v>2019</v>
          </cell>
          <cell r="C3451" t="str">
            <v>mar_con</v>
          </cell>
          <cell r="D3451">
            <v>56.803726196289063</v>
          </cell>
        </row>
        <row r="3452">
          <cell r="A3452" t="str">
            <v>IND</v>
          </cell>
          <cell r="B3452">
            <v>2025</v>
          </cell>
          <cell r="C3452" t="str">
            <v>macpiz</v>
          </cell>
          <cell r="D3452">
            <v>4.1321201324462891</v>
          </cell>
        </row>
        <row r="3453">
          <cell r="A3453" t="str">
            <v>IND</v>
          </cell>
          <cell r="B3453">
            <v>2026</v>
          </cell>
          <cell r="C3453" t="str">
            <v>magovz</v>
          </cell>
          <cell r="D3453">
            <v>6.1396708488464355</v>
          </cell>
        </row>
        <row r="3454">
          <cell r="A3454" t="str">
            <v>IND</v>
          </cell>
          <cell r="B3454">
            <v>2007</v>
          </cell>
          <cell r="C3454" t="str">
            <v>mar_impz</v>
          </cell>
          <cell r="D3454">
            <v>23.565458297729492</v>
          </cell>
        </row>
        <row r="3455">
          <cell r="A3455" t="str">
            <v>IND</v>
          </cell>
          <cell r="B3455">
            <v>2017</v>
          </cell>
          <cell r="C3455" t="str">
            <v>malabz</v>
          </cell>
          <cell r="D3455">
            <v>1.8983842134475708</v>
          </cell>
        </row>
        <row r="3456">
          <cell r="A3456" t="str">
            <v>IND</v>
          </cell>
          <cell r="B3456">
            <v>2022</v>
          </cell>
          <cell r="C3456" t="str">
            <v>magdpz</v>
          </cell>
          <cell r="D3456">
            <v>6.9870390892028809</v>
          </cell>
        </row>
        <row r="3457">
          <cell r="A3457" t="str">
            <v>IND</v>
          </cell>
          <cell r="B3457">
            <v>2014</v>
          </cell>
          <cell r="C3457" t="str">
            <v>mareer</v>
          </cell>
          <cell r="D3457">
            <v>94.736358642578125</v>
          </cell>
        </row>
        <row r="3458">
          <cell r="A3458" t="str">
            <v>IND</v>
          </cell>
          <cell r="B3458">
            <v>2024</v>
          </cell>
          <cell r="C3458" t="str">
            <v>mar_agrfc</v>
          </cell>
          <cell r="D3458">
            <v>13.852456092834473</v>
          </cell>
        </row>
        <row r="3459">
          <cell r="A3459" t="str">
            <v>IND</v>
          </cell>
          <cell r="B3459">
            <v>2021</v>
          </cell>
          <cell r="C3459" t="str">
            <v>magovz</v>
          </cell>
          <cell r="D3459">
            <v>1.8207591027021408E-2</v>
          </cell>
        </row>
        <row r="3460">
          <cell r="A3460" t="str">
            <v>IND</v>
          </cell>
          <cell r="B3460">
            <v>2021</v>
          </cell>
          <cell r="C3460" t="str">
            <v>madebt_</v>
          </cell>
          <cell r="D3460">
            <v>84.750625610351563</v>
          </cell>
        </row>
        <row r="3461">
          <cell r="A3461" t="str">
            <v>IND</v>
          </cell>
          <cell r="B3461">
            <v>2020</v>
          </cell>
          <cell r="C3461" t="str">
            <v>malabz</v>
          </cell>
          <cell r="D3461">
            <v>1.6223075389862061</v>
          </cell>
        </row>
        <row r="3462">
          <cell r="A3462" t="str">
            <v>IND</v>
          </cell>
          <cell r="B3462">
            <v>2020</v>
          </cell>
          <cell r="C3462" t="str">
            <v>magap_</v>
          </cell>
          <cell r="D3462">
            <v>-1.6554359197616577</v>
          </cell>
        </row>
        <row r="3463">
          <cell r="A3463" t="str">
            <v>IND</v>
          </cell>
          <cell r="B3463">
            <v>2022</v>
          </cell>
          <cell r="C3463" t="str">
            <v>mapanusatls</v>
          </cell>
          <cell r="D3463">
            <v>80.391433715820313</v>
          </cell>
        </row>
        <row r="3464">
          <cell r="A3464" t="str">
            <v>IND</v>
          </cell>
          <cell r="B3464">
            <v>2007</v>
          </cell>
          <cell r="C3464" t="str">
            <v>mar_expz</v>
          </cell>
          <cell r="D3464">
            <v>20.671636581420898</v>
          </cell>
        </row>
        <row r="3465">
          <cell r="A3465" t="str">
            <v>IND</v>
          </cell>
          <cell r="B3465">
            <v>2021</v>
          </cell>
          <cell r="C3465" t="str">
            <v>macpiz</v>
          </cell>
          <cell r="D3465">
            <v>5.5060644149780273</v>
          </cell>
        </row>
        <row r="3466">
          <cell r="A3466" t="str">
            <v>IND</v>
          </cell>
          <cell r="B3466">
            <v>2007</v>
          </cell>
          <cell r="C3466" t="str">
            <v>masrvfc</v>
          </cell>
          <cell r="D3466">
            <v>7.7780451774597168</v>
          </cell>
        </row>
        <row r="3467">
          <cell r="A3467" t="str">
            <v>IND</v>
          </cell>
          <cell r="B3467">
            <v>2019</v>
          </cell>
          <cell r="C3467" t="str">
            <v>macpiz</v>
          </cell>
          <cell r="D3467">
            <v>4.7692952156066895</v>
          </cell>
        </row>
        <row r="3468">
          <cell r="A3468" t="str">
            <v>IND</v>
          </cell>
          <cell r="B3468">
            <v>2020</v>
          </cell>
          <cell r="C3468" t="str">
            <v>mataxfc</v>
          </cell>
          <cell r="D3468">
            <v>-22.410985946655273</v>
          </cell>
        </row>
        <row r="3469">
          <cell r="A3469" t="str">
            <v>IND</v>
          </cell>
          <cell r="B3469">
            <v>2011</v>
          </cell>
          <cell r="C3469" t="str">
            <v>mar_taxfc</v>
          </cell>
          <cell r="D3469">
            <v>7.7634992599487305</v>
          </cell>
        </row>
        <row r="3470">
          <cell r="A3470" t="str">
            <v>IND</v>
          </cell>
          <cell r="B3470">
            <v>2010</v>
          </cell>
          <cell r="C3470" t="str">
            <v>maimpz</v>
          </cell>
          <cell r="D3470">
            <v>15.811891555786133</v>
          </cell>
        </row>
        <row r="3471">
          <cell r="A3471" t="str">
            <v>IND</v>
          </cell>
          <cell r="B3471">
            <v>2022</v>
          </cell>
          <cell r="C3471" t="str">
            <v>mar_srvfc</v>
          </cell>
          <cell r="D3471">
            <v>54.431308746337891</v>
          </cell>
        </row>
        <row r="3472">
          <cell r="A3472" t="str">
            <v>IND</v>
          </cell>
          <cell r="B3472">
            <v>2024</v>
          </cell>
          <cell r="C3472" t="str">
            <v>maimpz</v>
          </cell>
          <cell r="D3472">
            <v>4.9289698600769043</v>
          </cell>
        </row>
        <row r="3473">
          <cell r="A3473" t="str">
            <v>IND</v>
          </cell>
          <cell r="B3473">
            <v>2026</v>
          </cell>
          <cell r="C3473" t="str">
            <v>mar_agrfc</v>
          </cell>
          <cell r="D3473">
            <v>13.105800628662109</v>
          </cell>
        </row>
        <row r="3474">
          <cell r="A3474" t="str">
            <v>IND</v>
          </cell>
          <cell r="B3474">
            <v>2008</v>
          </cell>
          <cell r="C3474" t="str">
            <v>malabz</v>
          </cell>
          <cell r="D3474">
            <v>2.0756144523620605</v>
          </cell>
        </row>
        <row r="3475">
          <cell r="A3475" t="str">
            <v>IND</v>
          </cell>
          <cell r="B3475">
            <v>2023</v>
          </cell>
          <cell r="C3475" t="str">
            <v>mar_srvfc</v>
          </cell>
          <cell r="D3475">
            <v>54.738319396972656</v>
          </cell>
        </row>
        <row r="3476">
          <cell r="A3476" t="str">
            <v>IND</v>
          </cell>
          <cell r="B3476">
            <v>2021</v>
          </cell>
          <cell r="C3476" t="str">
            <v>magdpz</v>
          </cell>
          <cell r="D3476">
            <v>9.6895923614501953</v>
          </cell>
        </row>
        <row r="3477">
          <cell r="A3477" t="str">
            <v>IND</v>
          </cell>
          <cell r="B3477">
            <v>2020</v>
          </cell>
          <cell r="C3477" t="str">
            <v>mar_con</v>
          </cell>
          <cell r="D3477">
            <v>57.098087310791016</v>
          </cell>
        </row>
        <row r="3478">
          <cell r="A3478" t="str">
            <v>IND</v>
          </cell>
          <cell r="B3478">
            <v>2005</v>
          </cell>
          <cell r="C3478" t="str">
            <v>mar_indfc</v>
          </cell>
          <cell r="D3478">
            <v>30.86456298828125</v>
          </cell>
        </row>
        <row r="3479">
          <cell r="A3479" t="str">
            <v>IND</v>
          </cell>
          <cell r="B3479">
            <v>2025</v>
          </cell>
          <cell r="C3479" t="str">
            <v>macab_</v>
          </cell>
          <cell r="D3479">
            <v>-1.5330785512924194</v>
          </cell>
        </row>
        <row r="3480">
          <cell r="A3480" t="str">
            <v>IND</v>
          </cell>
          <cell r="B3480">
            <v>2016</v>
          </cell>
          <cell r="C3480" t="str">
            <v>mapanusatls</v>
          </cell>
          <cell r="D3480">
            <v>67.089599609375</v>
          </cell>
        </row>
        <row r="3481">
          <cell r="A3481" t="str">
            <v>IND</v>
          </cell>
          <cell r="B3481">
            <v>2021</v>
          </cell>
          <cell r="C3481" t="str">
            <v>mac_tfpz</v>
          </cell>
          <cell r="D3481">
            <v>4.1019196510314941</v>
          </cell>
        </row>
        <row r="3482">
          <cell r="A3482" t="str">
            <v>IND</v>
          </cell>
          <cell r="B3482">
            <v>2019</v>
          </cell>
          <cell r="C3482" t="str">
            <v>maconz</v>
          </cell>
          <cell r="D3482">
            <v>5.1688008308410645</v>
          </cell>
        </row>
        <row r="3483">
          <cell r="A3483" t="str">
            <v>IND</v>
          </cell>
          <cell r="B3483">
            <v>2014</v>
          </cell>
          <cell r="C3483" t="str">
            <v>mac_tfpz</v>
          </cell>
          <cell r="D3483">
            <v>2.1936366558074951</v>
          </cell>
        </row>
        <row r="3484">
          <cell r="A3484" t="str">
            <v>IND</v>
          </cell>
          <cell r="B3484">
            <v>2025</v>
          </cell>
          <cell r="C3484" t="str">
            <v>matfpz</v>
          </cell>
          <cell r="D3484">
            <v>2.831721305847168</v>
          </cell>
        </row>
        <row r="3485">
          <cell r="A3485" t="str">
            <v>IND</v>
          </cell>
          <cell r="B3485">
            <v>2010</v>
          </cell>
          <cell r="C3485" t="str">
            <v>magovz</v>
          </cell>
          <cell r="D3485">
            <v>5.2218866348266602</v>
          </cell>
        </row>
        <row r="3486">
          <cell r="A3486" t="str">
            <v>IND</v>
          </cell>
          <cell r="B3486">
            <v>2014</v>
          </cell>
          <cell r="C3486" t="str">
            <v>matfpz</v>
          </cell>
          <cell r="D3486">
            <v>2.1936366558074951</v>
          </cell>
        </row>
        <row r="3487">
          <cell r="A3487" t="str">
            <v>IND</v>
          </cell>
          <cell r="B3487">
            <v>2020</v>
          </cell>
          <cell r="C3487" t="str">
            <v>maconz</v>
          </cell>
          <cell r="D3487">
            <v>-5.2894582748413086</v>
          </cell>
        </row>
        <row r="3488">
          <cell r="A3488" t="str">
            <v>IND</v>
          </cell>
          <cell r="B3488">
            <v>2017</v>
          </cell>
          <cell r="C3488" t="str">
            <v>mar_taxfc</v>
          </cell>
          <cell r="D3488">
            <v>9.2271556854248047</v>
          </cell>
        </row>
        <row r="3489">
          <cell r="A3489" t="str">
            <v>IND</v>
          </cell>
          <cell r="B3489">
            <v>2022</v>
          </cell>
          <cell r="C3489" t="str">
            <v>mataxfc</v>
          </cell>
          <cell r="D3489">
            <v>10.61319637298584</v>
          </cell>
        </row>
        <row r="3490">
          <cell r="A3490" t="str">
            <v>IND</v>
          </cell>
          <cell r="B3490">
            <v>2016</v>
          </cell>
          <cell r="C3490" t="str">
            <v>mataxfc</v>
          </cell>
          <cell r="D3490">
            <v>11.654870986938477</v>
          </cell>
        </row>
        <row r="3491">
          <cell r="A3491" t="str">
            <v>IND</v>
          </cell>
          <cell r="B3491">
            <v>2006</v>
          </cell>
          <cell r="C3491" t="str">
            <v>macab_</v>
          </cell>
          <cell r="D3491">
            <v>-1.0186320543289185</v>
          </cell>
        </row>
        <row r="3492">
          <cell r="A3492" t="str">
            <v>IND</v>
          </cell>
          <cell r="B3492">
            <v>2013</v>
          </cell>
          <cell r="C3492" t="str">
            <v>madebt_</v>
          </cell>
          <cell r="D3492">
            <v>67.059654235839844</v>
          </cell>
        </row>
        <row r="3493">
          <cell r="A3493" t="str">
            <v>IND</v>
          </cell>
          <cell r="B3493">
            <v>2005</v>
          </cell>
          <cell r="C3493" t="str">
            <v>mar_expz</v>
          </cell>
          <cell r="D3493">
            <v>18.868507385253906</v>
          </cell>
        </row>
        <row r="3494">
          <cell r="A3494" t="str">
            <v>IND</v>
          </cell>
          <cell r="B3494">
            <v>2009</v>
          </cell>
          <cell r="C3494" t="str">
            <v>magovz</v>
          </cell>
          <cell r="D3494">
            <v>14.190385818481445</v>
          </cell>
        </row>
        <row r="3495">
          <cell r="A3495" t="str">
            <v>IND</v>
          </cell>
          <cell r="B3495">
            <v>2020</v>
          </cell>
          <cell r="C3495" t="str">
            <v>mafdi_</v>
          </cell>
          <cell r="D3495">
            <v>-1.6427409648895264</v>
          </cell>
        </row>
        <row r="3496">
          <cell r="A3496" t="str">
            <v>IND</v>
          </cell>
          <cell r="B3496">
            <v>2006</v>
          </cell>
          <cell r="C3496" t="str">
            <v>maexpz</v>
          </cell>
          <cell r="D3496">
            <v>20.393804550170898</v>
          </cell>
        </row>
        <row r="3497">
          <cell r="A3497" t="str">
            <v>IND</v>
          </cell>
          <cell r="B3497">
            <v>2020</v>
          </cell>
          <cell r="C3497" t="str">
            <v>mar_srvfc</v>
          </cell>
          <cell r="D3497">
            <v>52.881935119628906</v>
          </cell>
        </row>
        <row r="3498">
          <cell r="A3498" t="str">
            <v>IND</v>
          </cell>
          <cell r="B3498">
            <v>2006</v>
          </cell>
          <cell r="C3498" t="str">
            <v>maindfc</v>
          </cell>
          <cell r="D3498">
            <v>13.240835189819336</v>
          </cell>
        </row>
        <row r="3499">
          <cell r="A3499" t="str">
            <v>IND</v>
          </cell>
          <cell r="B3499">
            <v>2019</v>
          </cell>
          <cell r="C3499" t="str">
            <v>mataxfc</v>
          </cell>
          <cell r="D3499">
            <v>3.1311008930206299</v>
          </cell>
        </row>
        <row r="3500">
          <cell r="A3500" t="str">
            <v>IND</v>
          </cell>
          <cell r="B3500">
            <v>2014</v>
          </cell>
          <cell r="C3500" t="str">
            <v>mar_agrfc</v>
          </cell>
          <cell r="D3500">
            <v>16.533084869384766</v>
          </cell>
        </row>
        <row r="3501">
          <cell r="A3501" t="str">
            <v>IND</v>
          </cell>
          <cell r="B3501">
            <v>2020</v>
          </cell>
          <cell r="C3501" t="str">
            <v>madebt_</v>
          </cell>
          <cell r="D3501">
            <v>89.340927124023438</v>
          </cell>
        </row>
        <row r="3502">
          <cell r="A3502" t="str">
            <v>IND</v>
          </cell>
          <cell r="B3502">
            <v>2008</v>
          </cell>
          <cell r="C3502" t="str">
            <v>magdpz</v>
          </cell>
          <cell r="D3502">
            <v>3.086698055267334</v>
          </cell>
        </row>
        <row r="3503">
          <cell r="A3503" t="str">
            <v>IND</v>
          </cell>
          <cell r="B3503">
            <v>2015</v>
          </cell>
          <cell r="C3503" t="str">
            <v>mar_expz</v>
          </cell>
          <cell r="D3503">
            <v>20.847734451293945</v>
          </cell>
        </row>
        <row r="3504">
          <cell r="A3504" t="str">
            <v>IND</v>
          </cell>
          <cell r="B3504">
            <v>2026</v>
          </cell>
          <cell r="C3504" t="str">
            <v>mataxfc</v>
          </cell>
          <cell r="D3504">
            <v>6.8115782737731934</v>
          </cell>
        </row>
        <row r="3505">
          <cell r="A3505" t="str">
            <v>IND</v>
          </cell>
          <cell r="B3505">
            <v>2023</v>
          </cell>
          <cell r="C3505" t="str">
            <v>mareer</v>
          </cell>
          <cell r="D3505">
            <v>104.60343933105469</v>
          </cell>
        </row>
        <row r="3506">
          <cell r="A3506" t="str">
            <v>IND</v>
          </cell>
          <cell r="B3506">
            <v>2015</v>
          </cell>
          <cell r="C3506" t="str">
            <v>macab_</v>
          </cell>
          <cell r="D3506">
            <v>-1.0498871803283691</v>
          </cell>
        </row>
        <row r="3507">
          <cell r="A3507" t="str">
            <v>IND</v>
          </cell>
          <cell r="B3507">
            <v>2026</v>
          </cell>
          <cell r="C3507" t="str">
            <v>malabz</v>
          </cell>
          <cell r="D3507">
            <v>1.3938891887664795</v>
          </cell>
        </row>
        <row r="3508">
          <cell r="A3508" t="str">
            <v>IND</v>
          </cell>
          <cell r="B3508">
            <v>2005</v>
          </cell>
          <cell r="C3508" t="str">
            <v>madebt_</v>
          </cell>
          <cell r="D3508">
            <v>80.404731750488281</v>
          </cell>
        </row>
        <row r="3509">
          <cell r="A3509" t="str">
            <v>IND</v>
          </cell>
          <cell r="B3509">
            <v>2010</v>
          </cell>
          <cell r="C3509" t="str">
            <v>mareer</v>
          </cell>
          <cell r="D3509">
            <v>105.22976684570313</v>
          </cell>
        </row>
        <row r="3510">
          <cell r="A3510" t="str">
            <v>IND</v>
          </cell>
          <cell r="B3510">
            <v>2022</v>
          </cell>
          <cell r="C3510" t="str">
            <v>mac_labz</v>
          </cell>
          <cell r="D3510">
            <v>0.83949077129364014</v>
          </cell>
        </row>
        <row r="3511">
          <cell r="A3511" t="str">
            <v>IND</v>
          </cell>
          <cell r="B3511">
            <v>2019</v>
          </cell>
          <cell r="C3511" t="str">
            <v>mainvz</v>
          </cell>
          <cell r="D3511">
            <v>1.1467815637588501</v>
          </cell>
        </row>
        <row r="3512">
          <cell r="A3512" t="str">
            <v>IND</v>
          </cell>
          <cell r="B3512">
            <v>2019</v>
          </cell>
          <cell r="C3512" t="str">
            <v>mafdi_</v>
          </cell>
          <cell r="D3512">
            <v>-1.5165126323699951</v>
          </cell>
        </row>
        <row r="3513">
          <cell r="A3513" t="str">
            <v>IND</v>
          </cell>
          <cell r="B3513">
            <v>2009</v>
          </cell>
          <cell r="C3513" t="str">
            <v>malabz</v>
          </cell>
          <cell r="D3513">
            <v>2.0354986190795898</v>
          </cell>
        </row>
        <row r="3514">
          <cell r="A3514" t="str">
            <v>IND</v>
          </cell>
          <cell r="B3514">
            <v>2025</v>
          </cell>
          <cell r="C3514" t="str">
            <v>mac_labz</v>
          </cell>
          <cell r="D3514">
            <v>1.0125110149383545</v>
          </cell>
        </row>
        <row r="3515">
          <cell r="A3515" t="str">
            <v>IND</v>
          </cell>
          <cell r="B3515">
            <v>2014</v>
          </cell>
          <cell r="C3515" t="str">
            <v>mac_labz</v>
          </cell>
          <cell r="D3515">
            <v>1.3593621253967285</v>
          </cell>
        </row>
        <row r="3516">
          <cell r="A3516" t="str">
            <v>IND</v>
          </cell>
          <cell r="B3516">
            <v>2026</v>
          </cell>
          <cell r="C3516" t="str">
            <v>mar_expz</v>
          </cell>
          <cell r="D3516">
            <v>22.898448944091797</v>
          </cell>
        </row>
        <row r="3517">
          <cell r="A3517" t="str">
            <v>IND</v>
          </cell>
          <cell r="B3517">
            <v>2020</v>
          </cell>
          <cell r="C3517" t="str">
            <v>mar_expz</v>
          </cell>
          <cell r="D3517">
            <v>19.117761611938477</v>
          </cell>
        </row>
        <row r="3518">
          <cell r="A3518" t="str">
            <v>IND</v>
          </cell>
          <cell r="B3518">
            <v>2023</v>
          </cell>
          <cell r="C3518" t="str">
            <v>maindfc</v>
          </cell>
          <cell r="D3518">
            <v>8.8315000534057617</v>
          </cell>
        </row>
        <row r="3519">
          <cell r="A3519" t="str">
            <v>IND</v>
          </cell>
          <cell r="B3519">
            <v>2013</v>
          </cell>
          <cell r="C3519" t="str">
            <v>mar_impz</v>
          </cell>
          <cell r="D3519">
            <v>26.981483459472656</v>
          </cell>
        </row>
        <row r="3520">
          <cell r="A3520" t="str">
            <v>IND</v>
          </cell>
          <cell r="B3520">
            <v>2023</v>
          </cell>
          <cell r="C3520" t="str">
            <v>mac_labz</v>
          </cell>
          <cell r="D3520">
            <v>0.94932734966278076</v>
          </cell>
        </row>
        <row r="3521">
          <cell r="A3521" t="str">
            <v>IND</v>
          </cell>
          <cell r="B3521">
            <v>2026</v>
          </cell>
          <cell r="C3521" t="str">
            <v>mar_indfc</v>
          </cell>
          <cell r="D3521">
            <v>31.275449752807617</v>
          </cell>
        </row>
        <row r="3522">
          <cell r="A3522" t="str">
            <v>IND</v>
          </cell>
          <cell r="B3522">
            <v>2023</v>
          </cell>
          <cell r="C3522" t="str">
            <v>maimpz</v>
          </cell>
          <cell r="D3522">
            <v>10.399999618530273</v>
          </cell>
        </row>
        <row r="3523">
          <cell r="A3523" t="str">
            <v>IND</v>
          </cell>
          <cell r="B3523">
            <v>2023</v>
          </cell>
          <cell r="C3523" t="str">
            <v>mataxfc</v>
          </cell>
          <cell r="D3523">
            <v>15.35360050201416</v>
          </cell>
        </row>
        <row r="3524">
          <cell r="A3524" t="str">
            <v>IND</v>
          </cell>
          <cell r="B3524">
            <v>2023</v>
          </cell>
          <cell r="C3524" t="str">
            <v>maexpz</v>
          </cell>
          <cell r="D3524">
            <v>3.0999999046325684</v>
          </cell>
        </row>
        <row r="3525">
          <cell r="A3525" t="str">
            <v>IND</v>
          </cell>
          <cell r="B3525">
            <v>2011</v>
          </cell>
          <cell r="C3525" t="str">
            <v>macpiz</v>
          </cell>
          <cell r="D3525">
            <v>10.835214614868164</v>
          </cell>
        </row>
        <row r="3526">
          <cell r="A3526" t="str">
            <v>IND</v>
          </cell>
          <cell r="B3526">
            <v>2021</v>
          </cell>
          <cell r="C3526" t="str">
            <v>mac_labz</v>
          </cell>
          <cell r="D3526">
            <v>0.9658966064453125</v>
          </cell>
        </row>
        <row r="3527">
          <cell r="A3527" t="str">
            <v>IND</v>
          </cell>
          <cell r="B3527">
            <v>2011</v>
          </cell>
          <cell r="C3527" t="str">
            <v>maimpz</v>
          </cell>
          <cell r="D3527">
            <v>20.411731719970703</v>
          </cell>
        </row>
        <row r="3528">
          <cell r="A3528" t="str">
            <v>IND</v>
          </cell>
          <cell r="B3528">
            <v>2014</v>
          </cell>
          <cell r="C3528" t="str">
            <v>mar_expz</v>
          </cell>
          <cell r="D3528">
            <v>23.862295150756836</v>
          </cell>
        </row>
        <row r="3529">
          <cell r="A3529" t="str">
            <v>IND</v>
          </cell>
          <cell r="B3529">
            <v>2022</v>
          </cell>
          <cell r="C3529" t="str">
            <v>mar_indfc</v>
          </cell>
          <cell r="D3529">
            <v>30.220729827880859</v>
          </cell>
        </row>
        <row r="3530">
          <cell r="A3530" t="str">
            <v>IND</v>
          </cell>
          <cell r="B3530">
            <v>2013</v>
          </cell>
          <cell r="C3530" t="str">
            <v>masrvfc</v>
          </cell>
          <cell r="D3530">
            <v>7.6600022315979004</v>
          </cell>
        </row>
        <row r="3531">
          <cell r="A3531" t="str">
            <v>IND</v>
          </cell>
          <cell r="B3531">
            <v>2011</v>
          </cell>
          <cell r="C3531" t="str">
            <v>mac_tfpz</v>
          </cell>
          <cell r="D3531">
            <v>2.0058891773223877</v>
          </cell>
        </row>
        <row r="3532">
          <cell r="A3532" t="str">
            <v>IND</v>
          </cell>
          <cell r="B3532">
            <v>2013</v>
          </cell>
          <cell r="C3532" t="str">
            <v>mar_con</v>
          </cell>
          <cell r="D3532">
            <v>56.699508666992188</v>
          </cell>
        </row>
        <row r="3533">
          <cell r="A3533" t="str">
            <v>IND</v>
          </cell>
          <cell r="B3533">
            <v>2022</v>
          </cell>
          <cell r="C3533" t="str">
            <v>mainvz</v>
          </cell>
          <cell r="D3533">
            <v>6.624293327331543</v>
          </cell>
        </row>
        <row r="3534">
          <cell r="A3534" t="str">
            <v>IND</v>
          </cell>
          <cell r="B3534">
            <v>2009</v>
          </cell>
          <cell r="C3534" t="str">
            <v>maconz</v>
          </cell>
          <cell r="D3534">
            <v>5.0007772445678711</v>
          </cell>
        </row>
        <row r="3535">
          <cell r="A3535" t="str">
            <v>IND</v>
          </cell>
          <cell r="B3535">
            <v>2007</v>
          </cell>
          <cell r="C3535" t="str">
            <v>mafdi_</v>
          </cell>
          <cell r="D3535">
            <v>-1.307475209236145</v>
          </cell>
        </row>
        <row r="3536">
          <cell r="A3536" t="str">
            <v>IND</v>
          </cell>
          <cell r="B3536">
            <v>2009</v>
          </cell>
          <cell r="C3536" t="str">
            <v>mar_expz</v>
          </cell>
          <cell r="D3536">
            <v>20.306924819946289</v>
          </cell>
        </row>
        <row r="3537">
          <cell r="A3537" t="str">
            <v>IND</v>
          </cell>
          <cell r="B3537">
            <v>2025</v>
          </cell>
          <cell r="C3537" t="str">
            <v>mapanusatls</v>
          </cell>
          <cell r="D3537">
            <v>84.121368408203125</v>
          </cell>
        </row>
        <row r="3538">
          <cell r="A3538" t="str">
            <v>IND</v>
          </cell>
          <cell r="B3538">
            <v>2018</v>
          </cell>
          <cell r="C3538" t="str">
            <v>mar_srvfc</v>
          </cell>
          <cell r="D3538">
            <v>54.017322540283203</v>
          </cell>
        </row>
        <row r="3539">
          <cell r="A3539" t="str">
            <v>IND</v>
          </cell>
          <cell r="B3539">
            <v>2024</v>
          </cell>
          <cell r="C3539" t="str">
            <v>madeficit_</v>
          </cell>
          <cell r="D3539">
            <v>-8.7972145080566406</v>
          </cell>
        </row>
        <row r="3540">
          <cell r="A3540" t="str">
            <v>IND</v>
          </cell>
          <cell r="B3540">
            <v>2022</v>
          </cell>
          <cell r="C3540" t="str">
            <v>maexpz</v>
          </cell>
          <cell r="D3540">
            <v>13.398774147033691</v>
          </cell>
        </row>
        <row r="3541">
          <cell r="A3541" t="str">
            <v>IND</v>
          </cell>
          <cell r="B3541">
            <v>2021</v>
          </cell>
          <cell r="C3541" t="str">
            <v>mar_expz</v>
          </cell>
          <cell r="D3541">
            <v>22.587818145751953</v>
          </cell>
        </row>
        <row r="3542">
          <cell r="A3542" t="str">
            <v>IND</v>
          </cell>
          <cell r="B3542">
            <v>2025</v>
          </cell>
          <cell r="C3542" t="str">
            <v>mar_taxfc</v>
          </cell>
          <cell r="D3542">
            <v>9.2399406433105469</v>
          </cell>
        </row>
        <row r="3543">
          <cell r="A3543" t="str">
            <v>IND</v>
          </cell>
          <cell r="B3543">
            <v>2011</v>
          </cell>
          <cell r="C3543" t="str">
            <v>mareer</v>
          </cell>
          <cell r="D3543">
            <v>101.85409545898438</v>
          </cell>
        </row>
        <row r="3544">
          <cell r="A3544" t="str">
            <v>IND</v>
          </cell>
          <cell r="B3544">
            <v>2017</v>
          </cell>
          <cell r="C3544" t="str">
            <v>madebt_</v>
          </cell>
          <cell r="D3544">
            <v>69.574920654296875</v>
          </cell>
        </row>
        <row r="3545">
          <cell r="A3545" t="str">
            <v>IND</v>
          </cell>
          <cell r="B3545">
            <v>2022</v>
          </cell>
          <cell r="C3545" t="str">
            <v>mar_taxfc</v>
          </cell>
          <cell r="D3545">
            <v>8.5547885894775391</v>
          </cell>
        </row>
        <row r="3546">
          <cell r="A3546" t="str">
            <v>IND</v>
          </cell>
          <cell r="B3546">
            <v>2018</v>
          </cell>
          <cell r="C3546" t="str">
            <v>macab_</v>
          </cell>
          <cell r="D3546">
            <v>-2.1144673824310303</v>
          </cell>
        </row>
        <row r="3547">
          <cell r="A3547" t="str">
            <v>IND</v>
          </cell>
          <cell r="B3547">
            <v>2017</v>
          </cell>
          <cell r="C3547" t="str">
            <v>madeficit_</v>
          </cell>
          <cell r="D3547">
            <v>-5.8343768119812012</v>
          </cell>
        </row>
        <row r="3548">
          <cell r="A3548" t="str">
            <v>IND</v>
          </cell>
          <cell r="B3548">
            <v>2010</v>
          </cell>
          <cell r="C3548" t="str">
            <v>mar_srvfc</v>
          </cell>
          <cell r="D3548">
            <v>48.673683166503906</v>
          </cell>
        </row>
        <row r="3549">
          <cell r="A3549" t="str">
            <v>IND</v>
          </cell>
          <cell r="B3549">
            <v>2011</v>
          </cell>
          <cell r="C3549" t="str">
            <v>mainvz</v>
          </cell>
          <cell r="D3549">
            <v>12.092949867248535</v>
          </cell>
        </row>
        <row r="3550">
          <cell r="A3550" t="str">
            <v>IND</v>
          </cell>
          <cell r="B3550">
            <v>2019</v>
          </cell>
          <cell r="C3550" t="str">
            <v>mapanusatls</v>
          </cell>
          <cell r="D3550">
            <v>70.879081726074219</v>
          </cell>
        </row>
        <row r="3551">
          <cell r="A3551" t="str">
            <v>IND</v>
          </cell>
          <cell r="B3551">
            <v>2017</v>
          </cell>
          <cell r="C3551" t="str">
            <v>macab_</v>
          </cell>
          <cell r="D3551">
            <v>-1.8350340127944946</v>
          </cell>
        </row>
        <row r="3552">
          <cell r="A3552" t="str">
            <v>IND</v>
          </cell>
          <cell r="B3552">
            <v>2026</v>
          </cell>
          <cell r="C3552" t="str">
            <v>mar_srvfc</v>
          </cell>
          <cell r="D3552">
            <v>55.618751525878906</v>
          </cell>
        </row>
        <row r="3553">
          <cell r="A3553" t="str">
            <v>IND</v>
          </cell>
          <cell r="B3553">
            <v>2020</v>
          </cell>
          <cell r="C3553" t="str">
            <v>maexpz</v>
          </cell>
          <cell r="D3553">
            <v>-6.9562382698059082</v>
          </cell>
        </row>
        <row r="3554">
          <cell r="A3554" t="str">
            <v>IND</v>
          </cell>
          <cell r="B3554">
            <v>2007</v>
          </cell>
          <cell r="C3554" t="str">
            <v>maindfc</v>
          </cell>
          <cell r="D3554">
            <v>8.0238723754882813</v>
          </cell>
        </row>
        <row r="3555">
          <cell r="A3555" t="str">
            <v>IND</v>
          </cell>
          <cell r="B3555">
            <v>2018</v>
          </cell>
          <cell r="C3555" t="str">
            <v>magdpz</v>
          </cell>
          <cell r="D3555">
            <v>6.4538512229919434</v>
          </cell>
        </row>
        <row r="3556">
          <cell r="A3556" t="str">
            <v>IND</v>
          </cell>
          <cell r="B3556">
            <v>2009</v>
          </cell>
          <cell r="C3556" t="str">
            <v>mapanusatls</v>
          </cell>
          <cell r="D3556">
            <v>47.439998626708984</v>
          </cell>
        </row>
        <row r="3557">
          <cell r="A3557" t="str">
            <v>IND</v>
          </cell>
          <cell r="B3557">
            <v>2011</v>
          </cell>
          <cell r="C3557" t="str">
            <v>maindfc</v>
          </cell>
          <cell r="D3557">
            <v>3.6264488697052002</v>
          </cell>
        </row>
        <row r="3558">
          <cell r="A3558" t="str">
            <v>IND</v>
          </cell>
          <cell r="B3558">
            <v>2023</v>
          </cell>
          <cell r="C3558" t="str">
            <v>macab_</v>
          </cell>
          <cell r="D3558">
            <v>-1.123023509979248</v>
          </cell>
        </row>
        <row r="3559">
          <cell r="A3559" t="str">
            <v>IND</v>
          </cell>
          <cell r="B3559">
            <v>2023</v>
          </cell>
          <cell r="C3559" t="str">
            <v>mafdi_</v>
          </cell>
          <cell r="D3559">
            <v>-0.79843997955322266</v>
          </cell>
        </row>
        <row r="3560">
          <cell r="A3560" t="str">
            <v>IND</v>
          </cell>
          <cell r="B3560">
            <v>2020</v>
          </cell>
          <cell r="C3560" t="str">
            <v>maimpz</v>
          </cell>
          <cell r="D3560">
            <v>-12.622650146484375</v>
          </cell>
        </row>
        <row r="3561">
          <cell r="A3561" t="str">
            <v>IND</v>
          </cell>
          <cell r="B3561">
            <v>2013</v>
          </cell>
          <cell r="C3561" t="str">
            <v>mar_taxfc</v>
          </cell>
          <cell r="D3561">
            <v>8.1393394470214844</v>
          </cell>
        </row>
        <row r="3562">
          <cell r="A3562" t="str">
            <v>IND</v>
          </cell>
          <cell r="B3562">
            <v>2019</v>
          </cell>
          <cell r="C3562" t="str">
            <v>mar_impz</v>
          </cell>
          <cell r="D3562">
            <v>22.854068756103516</v>
          </cell>
        </row>
        <row r="3563">
          <cell r="A3563" t="str">
            <v>IND</v>
          </cell>
          <cell r="B3563">
            <v>2018</v>
          </cell>
          <cell r="C3563" t="str">
            <v>maimpz</v>
          </cell>
          <cell r="D3563">
            <v>8.8226966857910156</v>
          </cell>
        </row>
        <row r="3564">
          <cell r="A3564" t="str">
            <v>IND</v>
          </cell>
          <cell r="B3564">
            <v>2012</v>
          </cell>
          <cell r="C3564" t="str">
            <v>maconz</v>
          </cell>
          <cell r="D3564">
            <v>5.4708561897277832</v>
          </cell>
        </row>
        <row r="3565">
          <cell r="A3565" t="str">
            <v>IND</v>
          </cell>
          <cell r="B3565">
            <v>2024</v>
          </cell>
          <cell r="C3565" t="str">
            <v>magap_</v>
          </cell>
          <cell r="D3565">
            <v>0.61861288547515869</v>
          </cell>
        </row>
        <row r="3566">
          <cell r="A3566" t="str">
            <v>IND</v>
          </cell>
          <cell r="B3566">
            <v>2017</v>
          </cell>
          <cell r="C3566" t="str">
            <v>mareer</v>
          </cell>
          <cell r="D3566">
            <v>108.64170074462891</v>
          </cell>
        </row>
        <row r="3567">
          <cell r="A3567" t="str">
            <v>IND</v>
          </cell>
          <cell r="B3567">
            <v>2023</v>
          </cell>
          <cell r="C3567" t="str">
            <v>mapanusatls</v>
          </cell>
          <cell r="D3567">
            <v>81.499740600585938</v>
          </cell>
        </row>
        <row r="3568">
          <cell r="A3568" t="str">
            <v>IND</v>
          </cell>
          <cell r="B3568">
            <v>2014</v>
          </cell>
          <cell r="C3568" t="str">
            <v>magdpz</v>
          </cell>
          <cell r="D3568">
            <v>7.4102268218994141</v>
          </cell>
        </row>
        <row r="3569">
          <cell r="A3569" t="str">
            <v>IND</v>
          </cell>
          <cell r="B3569">
            <v>2022</v>
          </cell>
          <cell r="C3569" t="str">
            <v>maimpz</v>
          </cell>
          <cell r="D3569">
            <v>10.589795112609863</v>
          </cell>
        </row>
        <row r="3570">
          <cell r="A3570" t="str">
            <v>IND</v>
          </cell>
          <cell r="B3570">
            <v>2011</v>
          </cell>
          <cell r="C3570" t="str">
            <v>mar_srvfc</v>
          </cell>
          <cell r="D3570">
            <v>48.970046997070313</v>
          </cell>
        </row>
        <row r="3571">
          <cell r="A3571" t="str">
            <v>IND</v>
          </cell>
          <cell r="B3571">
            <v>2025</v>
          </cell>
          <cell r="C3571" t="str">
            <v>magap_</v>
          </cell>
          <cell r="D3571">
            <v>0.37090981006622314</v>
          </cell>
        </row>
        <row r="3572">
          <cell r="A3572" t="str">
            <v>IND</v>
          </cell>
          <cell r="B3572">
            <v>2012</v>
          </cell>
          <cell r="C3572" t="str">
            <v>mac_tfpz</v>
          </cell>
          <cell r="D3572">
            <v>2.0561749935150146</v>
          </cell>
        </row>
        <row r="3573">
          <cell r="A3573" t="str">
            <v>IND</v>
          </cell>
          <cell r="B3573">
            <v>2026</v>
          </cell>
          <cell r="C3573" t="str">
            <v>mar_taxfc</v>
          </cell>
          <cell r="D3573">
            <v>9.2399396896362305</v>
          </cell>
        </row>
        <row r="3574">
          <cell r="A3574" t="str">
            <v>IND</v>
          </cell>
          <cell r="B3574">
            <v>2012</v>
          </cell>
          <cell r="C3574" t="str">
            <v>macpiz</v>
          </cell>
          <cell r="D3574">
            <v>9.9045982360839844</v>
          </cell>
        </row>
        <row r="3575">
          <cell r="A3575" t="str">
            <v>IND</v>
          </cell>
          <cell r="B3575">
            <v>2006</v>
          </cell>
          <cell r="C3575" t="str">
            <v>mar_srvfc</v>
          </cell>
          <cell r="D3575">
            <v>46.779239654541016</v>
          </cell>
        </row>
        <row r="3576">
          <cell r="A3576" t="str">
            <v>IND</v>
          </cell>
          <cell r="B3576">
            <v>2017</v>
          </cell>
          <cell r="C3576" t="str">
            <v>mafdi_</v>
          </cell>
          <cell r="D3576">
            <v>-1.1421034336090088</v>
          </cell>
        </row>
        <row r="3577">
          <cell r="A3577" t="str">
            <v>IND</v>
          </cell>
          <cell r="B3577">
            <v>2017</v>
          </cell>
          <cell r="C3577" t="str">
            <v>mapanusatls</v>
          </cell>
          <cell r="D3577">
            <v>64.447410583496094</v>
          </cell>
        </row>
        <row r="3578">
          <cell r="A3578" t="str">
            <v>IND</v>
          </cell>
          <cell r="B3578">
            <v>2014</v>
          </cell>
          <cell r="C3578" t="str">
            <v>mapanusatls</v>
          </cell>
          <cell r="D3578">
            <v>61.139999389648438</v>
          </cell>
        </row>
        <row r="3579">
          <cell r="A3579" t="str">
            <v>IND</v>
          </cell>
          <cell r="B3579">
            <v>2006</v>
          </cell>
          <cell r="C3579" t="str">
            <v>maconz</v>
          </cell>
          <cell r="D3579">
            <v>4.9357757568359375</v>
          </cell>
        </row>
        <row r="3580">
          <cell r="A3580" t="str">
            <v>IND</v>
          </cell>
          <cell r="B3580">
            <v>2005</v>
          </cell>
          <cell r="C3580" t="str">
            <v>malabz</v>
          </cell>
          <cell r="D3580">
            <v>0</v>
          </cell>
        </row>
        <row r="3581">
          <cell r="A3581" t="str">
            <v>IND</v>
          </cell>
          <cell r="B3581">
            <v>2017</v>
          </cell>
          <cell r="C3581" t="str">
            <v>maimpz</v>
          </cell>
          <cell r="D3581">
            <v>17.41998291015625</v>
          </cell>
        </row>
        <row r="3582">
          <cell r="A3582" t="str">
            <v>IND</v>
          </cell>
          <cell r="B3582">
            <v>2024</v>
          </cell>
          <cell r="C3582" t="str">
            <v>mafdi_</v>
          </cell>
          <cell r="D3582">
            <v>-1.2007900476455688</v>
          </cell>
        </row>
        <row r="3583">
          <cell r="A3583" t="str">
            <v>IND</v>
          </cell>
          <cell r="B3583">
            <v>2026</v>
          </cell>
          <cell r="C3583" t="str">
            <v>mac_tfpz</v>
          </cell>
          <cell r="D3583">
            <v>2.8458631038665771</v>
          </cell>
        </row>
        <row r="3584">
          <cell r="A3584" t="str">
            <v>IND</v>
          </cell>
          <cell r="B3584">
            <v>2006</v>
          </cell>
          <cell r="C3584" t="str">
            <v>mainvz</v>
          </cell>
          <cell r="D3584">
            <v>13.874111175537109</v>
          </cell>
        </row>
        <row r="3585">
          <cell r="A3585" t="str">
            <v>IND</v>
          </cell>
          <cell r="B3585">
            <v>2008</v>
          </cell>
          <cell r="C3585" t="str">
            <v>mareer</v>
          </cell>
          <cell r="D3585">
            <v>89.285682678222656</v>
          </cell>
        </row>
        <row r="3586">
          <cell r="A3586" t="str">
            <v>IND</v>
          </cell>
          <cell r="B3586">
            <v>2014</v>
          </cell>
          <cell r="C3586" t="str">
            <v>magap_</v>
          </cell>
          <cell r="D3586">
            <v>-1.700284481048584</v>
          </cell>
        </row>
        <row r="3587">
          <cell r="A3587" t="str">
            <v>IND</v>
          </cell>
          <cell r="B3587">
            <v>2021</v>
          </cell>
          <cell r="C3587" t="str">
            <v>matfpz</v>
          </cell>
          <cell r="D3587">
            <v>4.1019196510314941</v>
          </cell>
        </row>
        <row r="3588">
          <cell r="A3588" t="str">
            <v>IND</v>
          </cell>
          <cell r="B3588">
            <v>2025</v>
          </cell>
          <cell r="C3588" t="str">
            <v>masrvfc</v>
          </cell>
          <cell r="D3588">
            <v>7.2702121734619141</v>
          </cell>
        </row>
        <row r="3589">
          <cell r="A3589" t="str">
            <v>IND</v>
          </cell>
          <cell r="B3589">
            <v>2019</v>
          </cell>
          <cell r="C3589" t="str">
            <v>magovz</v>
          </cell>
          <cell r="D3589">
            <v>3.9486424922943115</v>
          </cell>
        </row>
        <row r="3590">
          <cell r="A3590" t="str">
            <v>IND</v>
          </cell>
          <cell r="B3590">
            <v>2017</v>
          </cell>
          <cell r="C3590" t="str">
            <v>magovz</v>
          </cell>
          <cell r="D3590">
            <v>11.921171188354492</v>
          </cell>
        </row>
        <row r="3591">
          <cell r="A3591" t="str">
            <v>IND</v>
          </cell>
          <cell r="B3591">
            <v>2011</v>
          </cell>
          <cell r="C3591" t="str">
            <v>maagrfc</v>
          </cell>
          <cell r="D3591">
            <v>6.3978071212768555</v>
          </cell>
        </row>
        <row r="3592">
          <cell r="A3592" t="str">
            <v>IND</v>
          </cell>
          <cell r="B3592">
            <v>2014</v>
          </cell>
          <cell r="C3592" t="str">
            <v>maconz</v>
          </cell>
          <cell r="D3592">
            <v>6.3938660621643066</v>
          </cell>
        </row>
        <row r="3593">
          <cell r="A3593" t="str">
            <v>IND</v>
          </cell>
          <cell r="B3593">
            <v>2019</v>
          </cell>
          <cell r="C3593" t="str">
            <v>maimpz</v>
          </cell>
          <cell r="D3593">
            <v>-0.83895629644393921</v>
          </cell>
        </row>
        <row r="3594">
          <cell r="A3594" t="str">
            <v>IND</v>
          </cell>
          <cell r="B3594">
            <v>2007</v>
          </cell>
          <cell r="C3594" t="str">
            <v>mac_tfpz</v>
          </cell>
          <cell r="D3594">
            <v>2.0027849674224854</v>
          </cell>
        </row>
        <row r="3595">
          <cell r="A3595" t="str">
            <v>IND</v>
          </cell>
          <cell r="B3595">
            <v>2016</v>
          </cell>
          <cell r="C3595" t="str">
            <v>masrvfc</v>
          </cell>
          <cell r="D3595">
            <v>8.4630622863769531</v>
          </cell>
        </row>
        <row r="3596">
          <cell r="A3596" t="str">
            <v>IND</v>
          </cell>
          <cell r="B3596">
            <v>2016</v>
          </cell>
          <cell r="C3596" t="str">
            <v>magap_</v>
          </cell>
          <cell r="D3596">
            <v>1.5840396881103516</v>
          </cell>
        </row>
        <row r="3597">
          <cell r="A3597" t="str">
            <v>IND</v>
          </cell>
          <cell r="B3597">
            <v>2015</v>
          </cell>
          <cell r="C3597" t="str">
            <v>maindfc</v>
          </cell>
          <cell r="D3597">
            <v>9.5773468017578125</v>
          </cell>
        </row>
        <row r="3598">
          <cell r="A3598" t="str">
            <v>IND</v>
          </cell>
          <cell r="B3598">
            <v>2007</v>
          </cell>
          <cell r="C3598" t="str">
            <v>madebt_</v>
          </cell>
          <cell r="D3598">
            <v>72.7305908203125</v>
          </cell>
        </row>
        <row r="3599">
          <cell r="A3599" t="str">
            <v>IND</v>
          </cell>
          <cell r="B3599">
            <v>2011</v>
          </cell>
          <cell r="C3599" t="str">
            <v>mar_impz</v>
          </cell>
          <cell r="D3599">
            <v>31.083469390869141</v>
          </cell>
        </row>
        <row r="3600">
          <cell r="A3600" t="str">
            <v>IND</v>
          </cell>
          <cell r="B3600">
            <v>2013</v>
          </cell>
          <cell r="C3600" t="str">
            <v>mar_expz</v>
          </cell>
          <cell r="D3600">
            <v>25.182897567749023</v>
          </cell>
        </row>
        <row r="3601">
          <cell r="A3601" t="str">
            <v>IND</v>
          </cell>
          <cell r="B3601">
            <v>2025</v>
          </cell>
          <cell r="C3601" t="str">
            <v>mataxfc</v>
          </cell>
          <cell r="D3601">
            <v>6.7227458953857422</v>
          </cell>
        </row>
        <row r="3602">
          <cell r="A3602" t="str">
            <v>IND</v>
          </cell>
          <cell r="B3602">
            <v>2010</v>
          </cell>
          <cell r="C3602" t="str">
            <v>mar_expz</v>
          </cell>
          <cell r="D3602">
            <v>22.362096786499023</v>
          </cell>
        </row>
        <row r="3603">
          <cell r="A3603" t="str">
            <v>IND</v>
          </cell>
          <cell r="B3603">
            <v>2023</v>
          </cell>
          <cell r="C3603" t="str">
            <v>mar_taxfc</v>
          </cell>
          <cell r="D3603">
            <v>9.2399406433105469</v>
          </cell>
        </row>
        <row r="3604">
          <cell r="A3604" t="str">
            <v>IND</v>
          </cell>
          <cell r="B3604">
            <v>2021</v>
          </cell>
          <cell r="C3604" t="str">
            <v>mar_agrfc</v>
          </cell>
          <cell r="D3604">
            <v>15.638333320617676</v>
          </cell>
        </row>
        <row r="3605">
          <cell r="A3605" t="str">
            <v>IND</v>
          </cell>
          <cell r="B3605">
            <v>2017</v>
          </cell>
          <cell r="C3605" t="str">
            <v>mar_agrfc</v>
          </cell>
          <cell r="D3605">
            <v>15.289985656738281</v>
          </cell>
        </row>
        <row r="3606">
          <cell r="A3606" t="str">
            <v>IND</v>
          </cell>
          <cell r="B3606">
            <v>2006</v>
          </cell>
          <cell r="C3606" t="str">
            <v>magdpz</v>
          </cell>
          <cell r="D3606">
            <v>8.0607328414916992</v>
          </cell>
        </row>
        <row r="3607">
          <cell r="A3607" t="str">
            <v>IND</v>
          </cell>
          <cell r="B3607">
            <v>2020</v>
          </cell>
          <cell r="C3607" t="str">
            <v>mac_tfpz</v>
          </cell>
          <cell r="D3607">
            <v>-8.147679328918457</v>
          </cell>
        </row>
        <row r="3608">
          <cell r="A3608" t="str">
            <v>IND</v>
          </cell>
          <cell r="B3608">
            <v>2018</v>
          </cell>
          <cell r="C3608" t="str">
            <v>mainvz</v>
          </cell>
          <cell r="D3608">
            <v>11.203068733215332</v>
          </cell>
        </row>
        <row r="3609">
          <cell r="A3609" t="str">
            <v>IND</v>
          </cell>
          <cell r="B3609">
            <v>2023</v>
          </cell>
          <cell r="C3609" t="str">
            <v>madeficit_</v>
          </cell>
          <cell r="D3609">
            <v>-8.7972145080566406</v>
          </cell>
        </row>
        <row r="3610">
          <cell r="A3610" t="str">
            <v>IND</v>
          </cell>
          <cell r="B3610">
            <v>2010</v>
          </cell>
          <cell r="C3610" t="str">
            <v>magap_</v>
          </cell>
          <cell r="D3610">
            <v>1.3045206069946289</v>
          </cell>
        </row>
        <row r="3611">
          <cell r="A3611" t="str">
            <v>IND</v>
          </cell>
          <cell r="B3611">
            <v>2016</v>
          </cell>
          <cell r="C3611" t="str">
            <v>mar_indfc</v>
          </cell>
          <cell r="D3611">
            <v>31.487138748168945</v>
          </cell>
        </row>
        <row r="3612">
          <cell r="A3612" t="str">
            <v>IND</v>
          </cell>
          <cell r="B3612">
            <v>2008</v>
          </cell>
          <cell r="C3612" t="str">
            <v>mar_impz</v>
          </cell>
          <cell r="D3612">
            <v>27.99156379699707</v>
          </cell>
        </row>
        <row r="3613">
          <cell r="A3613" t="str">
            <v>IND</v>
          </cell>
          <cell r="B3613">
            <v>2015</v>
          </cell>
          <cell r="C3613" t="str">
            <v>masrvfc</v>
          </cell>
          <cell r="D3613">
            <v>9.4382410049438477</v>
          </cell>
        </row>
        <row r="3614">
          <cell r="A3614" t="str">
            <v>IND</v>
          </cell>
          <cell r="B3614">
            <v>2016</v>
          </cell>
          <cell r="C3614" t="str">
            <v>maexpz</v>
          </cell>
          <cell r="D3614">
            <v>4.984257698059082</v>
          </cell>
        </row>
        <row r="3615">
          <cell r="A3615" t="str">
            <v>IND</v>
          </cell>
          <cell r="B3615">
            <v>2020</v>
          </cell>
          <cell r="C3615" t="str">
            <v>mar_impz</v>
          </cell>
          <cell r="D3615">
            <v>21.193798065185547</v>
          </cell>
        </row>
        <row r="3616">
          <cell r="A3616" t="str">
            <v>IND</v>
          </cell>
          <cell r="B3616">
            <v>2018</v>
          </cell>
          <cell r="C3616" t="str">
            <v>mar_indfc</v>
          </cell>
          <cell r="D3616">
            <v>31.229825973510742</v>
          </cell>
        </row>
        <row r="3617">
          <cell r="A3617" t="str">
            <v>IND</v>
          </cell>
          <cell r="B3617">
            <v>2026</v>
          </cell>
          <cell r="C3617" t="str">
            <v>mainvz</v>
          </cell>
          <cell r="D3617">
            <v>7.3643379211425781</v>
          </cell>
        </row>
        <row r="3618">
          <cell r="A3618" t="str">
            <v>IND</v>
          </cell>
          <cell r="B3618">
            <v>2018</v>
          </cell>
          <cell r="C3618" t="str">
            <v>mareer</v>
          </cell>
          <cell r="D3618">
            <v>102.07356262207031</v>
          </cell>
        </row>
        <row r="3619">
          <cell r="A3619" t="str">
            <v>IND</v>
          </cell>
          <cell r="B3619">
            <v>2024</v>
          </cell>
          <cell r="C3619" t="str">
            <v>mar_con</v>
          </cell>
          <cell r="D3619">
            <v>55.231288909912109</v>
          </cell>
        </row>
        <row r="3620">
          <cell r="A3620" t="str">
            <v>IND</v>
          </cell>
          <cell r="B3620">
            <v>2025</v>
          </cell>
          <cell r="C3620" t="str">
            <v>madebt_</v>
          </cell>
          <cell r="D3620">
            <v>83.900039672851563</v>
          </cell>
        </row>
        <row r="3621">
          <cell r="A3621" t="str">
            <v>IND</v>
          </cell>
          <cell r="B3621">
            <v>2017</v>
          </cell>
          <cell r="C3621" t="str">
            <v>maindfc</v>
          </cell>
          <cell r="D3621">
            <v>5.8605422973632813</v>
          </cell>
        </row>
        <row r="3622">
          <cell r="A3622" t="str">
            <v>IND</v>
          </cell>
          <cell r="B3622">
            <v>2024</v>
          </cell>
          <cell r="C3622" t="str">
            <v>maindfc</v>
          </cell>
          <cell r="D3622">
            <v>7.6124300956726074</v>
          </cell>
        </row>
        <row r="3623">
          <cell r="A3623" t="str">
            <v>IND</v>
          </cell>
          <cell r="B3623">
            <v>2012</v>
          </cell>
          <cell r="C3623" t="str">
            <v>macab_</v>
          </cell>
          <cell r="D3623">
            <v>-4.8064603805541992</v>
          </cell>
        </row>
        <row r="3624">
          <cell r="A3624" t="str">
            <v>IND</v>
          </cell>
          <cell r="B3624">
            <v>2012</v>
          </cell>
          <cell r="C3624" t="str">
            <v>mapanusatls</v>
          </cell>
          <cell r="D3624">
            <v>54.409999847412109</v>
          </cell>
        </row>
        <row r="3625">
          <cell r="A3625" t="str">
            <v>IND</v>
          </cell>
          <cell r="B3625">
            <v>2018</v>
          </cell>
          <cell r="C3625" t="str">
            <v>magap_</v>
          </cell>
          <cell r="D3625">
            <v>2.0845279693603516</v>
          </cell>
        </row>
        <row r="3626">
          <cell r="A3626" t="str">
            <v>IND</v>
          </cell>
          <cell r="B3626">
            <v>2008</v>
          </cell>
          <cell r="C3626" t="str">
            <v>masrvfc</v>
          </cell>
          <cell r="D3626">
            <v>6.5199151039123535</v>
          </cell>
        </row>
        <row r="3627">
          <cell r="A3627" t="str">
            <v>IND</v>
          </cell>
          <cell r="B3627">
            <v>2019</v>
          </cell>
          <cell r="C3627" t="str">
            <v>mareer</v>
          </cell>
          <cell r="D3627">
            <v>105.64633178710938</v>
          </cell>
        </row>
        <row r="3628">
          <cell r="A3628" t="str">
            <v>IND</v>
          </cell>
          <cell r="B3628">
            <v>2019</v>
          </cell>
          <cell r="C3628" t="str">
            <v>magdpz</v>
          </cell>
          <cell r="D3628">
            <v>3.8714368343353271</v>
          </cell>
        </row>
        <row r="3629">
          <cell r="A3629" t="str">
            <v>IND</v>
          </cell>
          <cell r="B3629">
            <v>2007</v>
          </cell>
          <cell r="C3629" t="str">
            <v>maexpz</v>
          </cell>
          <cell r="D3629">
            <v>5.8665390014648438</v>
          </cell>
        </row>
        <row r="3630">
          <cell r="A3630" t="str">
            <v>IND</v>
          </cell>
          <cell r="B3630">
            <v>2007</v>
          </cell>
          <cell r="C3630" t="str">
            <v>malabz</v>
          </cell>
          <cell r="D3630">
            <v>2.1271412372589111</v>
          </cell>
        </row>
        <row r="3631">
          <cell r="A3631" t="str">
            <v>IND</v>
          </cell>
          <cell r="B3631">
            <v>2005</v>
          </cell>
          <cell r="C3631" t="str">
            <v>madeficit_</v>
          </cell>
          <cell r="D3631">
            <v>-6.5955886840820313</v>
          </cell>
        </row>
        <row r="3632">
          <cell r="A3632" t="str">
            <v>IND</v>
          </cell>
          <cell r="B3632">
            <v>2005</v>
          </cell>
          <cell r="C3632" t="str">
            <v>macpiz</v>
          </cell>
          <cell r="D3632">
            <v>4.0273704528808594</v>
          </cell>
        </row>
        <row r="3633">
          <cell r="A3633" t="str">
            <v>IND</v>
          </cell>
          <cell r="B3633">
            <v>2009</v>
          </cell>
          <cell r="C3633" t="str">
            <v>mar_indfc</v>
          </cell>
          <cell r="D3633">
            <v>33.044803619384766</v>
          </cell>
        </row>
        <row r="3634">
          <cell r="A3634" t="str">
            <v>IND</v>
          </cell>
          <cell r="B3634">
            <v>2009</v>
          </cell>
          <cell r="C3634" t="str">
            <v>mataxfc</v>
          </cell>
          <cell r="D3634">
            <v>23.86859130859375</v>
          </cell>
        </row>
        <row r="3635">
          <cell r="A3635" t="str">
            <v>IND</v>
          </cell>
          <cell r="B3635">
            <v>2014</v>
          </cell>
          <cell r="C3635" t="str">
            <v>malabz</v>
          </cell>
          <cell r="D3635">
            <v>1.9419459104537964</v>
          </cell>
        </row>
        <row r="3636">
          <cell r="A3636" t="str">
            <v>IND</v>
          </cell>
          <cell r="B3636">
            <v>2021</v>
          </cell>
          <cell r="C3636" t="str">
            <v>malabz</v>
          </cell>
          <cell r="D3636">
            <v>1.379852294921875</v>
          </cell>
        </row>
        <row r="3637">
          <cell r="A3637" t="str">
            <v>IND</v>
          </cell>
          <cell r="B3637">
            <v>2007</v>
          </cell>
          <cell r="C3637" t="str">
            <v>mar_indfc</v>
          </cell>
          <cell r="D3637">
            <v>32.5389404296875</v>
          </cell>
        </row>
        <row r="3638">
          <cell r="A3638" t="str">
            <v>IND</v>
          </cell>
          <cell r="B3638">
            <v>2018</v>
          </cell>
          <cell r="C3638" t="str">
            <v>maexpz</v>
          </cell>
          <cell r="D3638">
            <v>11.931870460510254</v>
          </cell>
        </row>
        <row r="3639">
          <cell r="A3639" t="str">
            <v>IND</v>
          </cell>
          <cell r="B3639">
            <v>2005</v>
          </cell>
          <cell r="C3639" t="str">
            <v>magdpz</v>
          </cell>
          <cell r="D3639">
            <v>7.9234304428100586</v>
          </cell>
        </row>
        <row r="3640">
          <cell r="A3640" t="str">
            <v>IND</v>
          </cell>
          <cell r="B3640">
            <v>2025</v>
          </cell>
          <cell r="C3640" t="str">
            <v>mar_srvfc</v>
          </cell>
          <cell r="D3640">
            <v>55.348667144775391</v>
          </cell>
        </row>
        <row r="3641">
          <cell r="A3641" t="str">
            <v>IND</v>
          </cell>
          <cell r="B3641">
            <v>2013</v>
          </cell>
          <cell r="C3641" t="str">
            <v>mac_tfpz</v>
          </cell>
          <cell r="D3641">
            <v>2.125591516494751</v>
          </cell>
        </row>
        <row r="3642">
          <cell r="A3642" t="str">
            <v>IND</v>
          </cell>
          <cell r="B3642">
            <v>2011</v>
          </cell>
          <cell r="C3642" t="str">
            <v>mataxfc</v>
          </cell>
          <cell r="D3642">
            <v>5.4735941886901855</v>
          </cell>
        </row>
        <row r="3643">
          <cell r="A3643" t="str">
            <v>IND</v>
          </cell>
          <cell r="B3643">
            <v>2013</v>
          </cell>
          <cell r="C3643" t="str">
            <v>macab_</v>
          </cell>
          <cell r="D3643">
            <v>-1.7372452020645142</v>
          </cell>
        </row>
        <row r="3644">
          <cell r="A3644" t="str">
            <v>IND</v>
          </cell>
          <cell r="B3644">
            <v>2023</v>
          </cell>
          <cell r="C3644" t="str">
            <v>magap_</v>
          </cell>
          <cell r="D3644">
            <v>0.9613223671913147</v>
          </cell>
        </row>
        <row r="3645">
          <cell r="A3645" t="str">
            <v>IND</v>
          </cell>
          <cell r="B3645">
            <v>2026</v>
          </cell>
          <cell r="C3645" t="str">
            <v>masrvfc</v>
          </cell>
          <cell r="D3645">
            <v>7.3327832221984863</v>
          </cell>
        </row>
        <row r="3646">
          <cell r="A3646" t="str">
            <v>IND</v>
          </cell>
          <cell r="B3646">
            <v>2022</v>
          </cell>
          <cell r="C3646" t="str">
            <v>mar_agrfc</v>
          </cell>
          <cell r="D3646">
            <v>15.34796142578125</v>
          </cell>
        </row>
        <row r="3647">
          <cell r="A3647" t="str">
            <v>IND</v>
          </cell>
          <cell r="B3647">
            <v>2018</v>
          </cell>
          <cell r="C3647" t="str">
            <v>mar_con</v>
          </cell>
          <cell r="D3647">
            <v>56.102996826171875</v>
          </cell>
        </row>
        <row r="3648">
          <cell r="A3648" t="str">
            <v>IND</v>
          </cell>
          <cell r="B3648">
            <v>2015</v>
          </cell>
          <cell r="C3648" t="str">
            <v>mac_labz</v>
          </cell>
          <cell r="D3648">
            <v>1.3399373292922974</v>
          </cell>
        </row>
        <row r="3649">
          <cell r="A3649" t="str">
            <v>IND</v>
          </cell>
          <cell r="B3649">
            <v>2016</v>
          </cell>
          <cell r="C3649" t="str">
            <v>mac_tfpz</v>
          </cell>
          <cell r="D3649">
            <v>2.2388143539428711</v>
          </cell>
        </row>
        <row r="3650">
          <cell r="A3650" t="str">
            <v>IND</v>
          </cell>
          <cell r="B3650">
            <v>2026</v>
          </cell>
          <cell r="C3650" t="str">
            <v>magdpz</v>
          </cell>
          <cell r="D3650">
            <v>6.8115787506103516</v>
          </cell>
        </row>
        <row r="3651">
          <cell r="A3651" t="str">
            <v>IND</v>
          </cell>
          <cell r="B3651">
            <v>2016</v>
          </cell>
          <cell r="C3651" t="str">
            <v>magovz</v>
          </cell>
          <cell r="D3651">
            <v>6.0730423927307129</v>
          </cell>
        </row>
        <row r="3652">
          <cell r="A3652" t="str">
            <v>IND</v>
          </cell>
          <cell r="B3652">
            <v>2008</v>
          </cell>
          <cell r="C3652" t="str">
            <v>magovz</v>
          </cell>
          <cell r="D3652">
            <v>11.364017486572266</v>
          </cell>
        </row>
        <row r="3653">
          <cell r="A3653" t="str">
            <v>IND</v>
          </cell>
          <cell r="B3653">
            <v>2011</v>
          </cell>
          <cell r="C3653" t="str">
            <v>maconz</v>
          </cell>
          <cell r="D3653">
            <v>7.4219837188720703</v>
          </cell>
        </row>
        <row r="3654">
          <cell r="A3654" t="str">
            <v>IND</v>
          </cell>
          <cell r="B3654">
            <v>2010</v>
          </cell>
          <cell r="C3654" t="str">
            <v>mapanusatls</v>
          </cell>
          <cell r="D3654">
            <v>45.560001373291016</v>
          </cell>
        </row>
        <row r="3655">
          <cell r="A3655" t="str">
            <v>IND</v>
          </cell>
          <cell r="B3655">
            <v>2011</v>
          </cell>
          <cell r="C3655" t="str">
            <v>madeficit_</v>
          </cell>
          <cell r="D3655">
            <v>-7.8404331207275391</v>
          </cell>
        </row>
        <row r="3656">
          <cell r="A3656" t="str">
            <v>IND</v>
          </cell>
          <cell r="B3656">
            <v>2025</v>
          </cell>
          <cell r="C3656" t="str">
            <v>mac_tfpz</v>
          </cell>
          <cell r="D3656">
            <v>2.831721305847168</v>
          </cell>
        </row>
        <row r="3657">
          <cell r="A3657" t="str">
            <v>IND</v>
          </cell>
          <cell r="B3657">
            <v>2021</v>
          </cell>
          <cell r="C3657" t="str">
            <v>magap_</v>
          </cell>
          <cell r="D3657">
            <v>0.50207197666168213</v>
          </cell>
        </row>
        <row r="3658">
          <cell r="A3658" t="str">
            <v>IND</v>
          </cell>
          <cell r="B3658">
            <v>2019</v>
          </cell>
          <cell r="C3658" t="str">
            <v>mac_labz</v>
          </cell>
          <cell r="D3658">
            <v>1.2002196311950684</v>
          </cell>
        </row>
        <row r="3659">
          <cell r="A3659" t="str">
            <v>IND</v>
          </cell>
          <cell r="B3659">
            <v>2026</v>
          </cell>
          <cell r="C3659" t="str">
            <v>mareer</v>
          </cell>
          <cell r="D3659">
            <v>105.27788543701172</v>
          </cell>
        </row>
        <row r="3660">
          <cell r="A3660" t="str">
            <v>IND</v>
          </cell>
          <cell r="B3660">
            <v>2013</v>
          </cell>
          <cell r="C3660" t="str">
            <v>mar_agrfc</v>
          </cell>
          <cell r="D3660">
            <v>17.754421234130859</v>
          </cell>
        </row>
        <row r="3661">
          <cell r="A3661" t="str">
            <v>IND</v>
          </cell>
          <cell r="B3661">
            <v>2008</v>
          </cell>
          <cell r="C3661" t="str">
            <v>maexpz</v>
          </cell>
          <cell r="D3661">
            <v>14.778135299682617</v>
          </cell>
        </row>
        <row r="3662">
          <cell r="A3662" t="str">
            <v>IND</v>
          </cell>
          <cell r="B3662">
            <v>2007</v>
          </cell>
          <cell r="C3662" t="str">
            <v>matfpz</v>
          </cell>
          <cell r="D3662">
            <v>2.0027849674224854</v>
          </cell>
        </row>
        <row r="3663">
          <cell r="A3663" t="str">
            <v>IND</v>
          </cell>
          <cell r="B3663">
            <v>2015</v>
          </cell>
          <cell r="C3663" t="str">
            <v>maexpz</v>
          </cell>
          <cell r="D3663">
            <v>-5.6470870971679688</v>
          </cell>
        </row>
        <row r="3664">
          <cell r="A3664" t="str">
            <v>IND</v>
          </cell>
          <cell r="B3664">
            <v>2012</v>
          </cell>
          <cell r="C3664" t="str">
            <v>magap_</v>
          </cell>
          <cell r="D3664">
            <v>-1.909152626991272</v>
          </cell>
        </row>
        <row r="3665">
          <cell r="A3665" t="str">
            <v>IND</v>
          </cell>
          <cell r="B3665">
            <v>2017</v>
          </cell>
          <cell r="C3665" t="str">
            <v>maconz</v>
          </cell>
          <cell r="D3665">
            <v>6.2388081550598145</v>
          </cell>
        </row>
        <row r="3666">
          <cell r="A3666" t="str">
            <v>IND</v>
          </cell>
          <cell r="B3666">
            <v>2023</v>
          </cell>
          <cell r="C3666" t="str">
            <v>macpiz</v>
          </cell>
          <cell r="D3666">
            <v>5.5</v>
          </cell>
        </row>
        <row r="3667">
          <cell r="A3667" t="str">
            <v>IND</v>
          </cell>
          <cell r="B3667">
            <v>2013</v>
          </cell>
          <cell r="C3667" t="str">
            <v>mainvz</v>
          </cell>
          <cell r="D3667">
            <v>1.5618036985397339</v>
          </cell>
        </row>
        <row r="3668">
          <cell r="A3668" t="str">
            <v>IND</v>
          </cell>
          <cell r="B3668">
            <v>2024</v>
          </cell>
          <cell r="C3668" t="str">
            <v>matfpz</v>
          </cell>
          <cell r="D3668">
            <v>2.9410800933837891</v>
          </cell>
        </row>
        <row r="3669">
          <cell r="A3669" t="str">
            <v>IND</v>
          </cell>
          <cell r="B3669">
            <v>2023</v>
          </cell>
          <cell r="C3669" t="str">
            <v>masrvfc</v>
          </cell>
          <cell r="D3669">
            <v>7.4023928642272949</v>
          </cell>
        </row>
        <row r="3670">
          <cell r="A3670" t="str">
            <v>IND</v>
          </cell>
          <cell r="B3670">
            <v>2009</v>
          </cell>
          <cell r="C3670" t="str">
            <v>mac_labz</v>
          </cell>
          <cell r="D3670">
            <v>1.4248489141464233</v>
          </cell>
        </row>
        <row r="3671">
          <cell r="A3671" t="str">
            <v>IND</v>
          </cell>
          <cell r="B3671">
            <v>2020</v>
          </cell>
          <cell r="C3671" t="str">
            <v>matfpz</v>
          </cell>
          <cell r="D3671">
            <v>-8.147679328918457</v>
          </cell>
        </row>
        <row r="3672">
          <cell r="A3672" t="str">
            <v>IND</v>
          </cell>
          <cell r="B3672">
            <v>2025</v>
          </cell>
          <cell r="C3672" t="str">
            <v>maexpz</v>
          </cell>
          <cell r="D3672">
            <v>7.1999998092651367</v>
          </cell>
        </row>
        <row r="3673">
          <cell r="A3673" t="str">
            <v>IND</v>
          </cell>
          <cell r="B3673">
            <v>2007</v>
          </cell>
          <cell r="C3673" t="str">
            <v>magovz</v>
          </cell>
          <cell r="D3673">
            <v>9.4246644973754883</v>
          </cell>
        </row>
        <row r="3674">
          <cell r="A3674" t="str">
            <v>IND</v>
          </cell>
          <cell r="B3674">
            <v>2005</v>
          </cell>
          <cell r="C3674" t="str">
            <v>mainvz</v>
          </cell>
          <cell r="D3674">
            <v>16.441232681274414</v>
          </cell>
        </row>
        <row r="3675">
          <cell r="A3675" t="str">
            <v>IND</v>
          </cell>
          <cell r="B3675">
            <v>2017</v>
          </cell>
          <cell r="C3675" t="str">
            <v>mar_indfc</v>
          </cell>
          <cell r="D3675">
            <v>31.377281188964844</v>
          </cell>
        </row>
        <row r="3676">
          <cell r="A3676" t="str">
            <v>IND</v>
          </cell>
          <cell r="B3676">
            <v>2022</v>
          </cell>
          <cell r="C3676" t="str">
            <v>mar_impz</v>
          </cell>
          <cell r="D3676">
            <v>24.385017395019531</v>
          </cell>
        </row>
        <row r="3677">
          <cell r="A3677" t="str">
            <v>IND</v>
          </cell>
          <cell r="B3677">
            <v>2022</v>
          </cell>
          <cell r="C3677" t="str">
            <v>magovz</v>
          </cell>
          <cell r="D3677">
            <v>9.0064992904663086</v>
          </cell>
        </row>
        <row r="3678">
          <cell r="A3678" t="str">
            <v>IND</v>
          </cell>
          <cell r="B3678">
            <v>2021</v>
          </cell>
          <cell r="C3678" t="str">
            <v>mar_con</v>
          </cell>
          <cell r="D3678">
            <v>58.132492065429688</v>
          </cell>
        </row>
        <row r="3679">
          <cell r="A3679" t="str">
            <v>IND</v>
          </cell>
          <cell r="B3679">
            <v>2012</v>
          </cell>
          <cell r="C3679" t="str">
            <v>mainvz</v>
          </cell>
          <cell r="D3679">
            <v>4.9390769004821777</v>
          </cell>
        </row>
        <row r="3680">
          <cell r="A3680" t="str">
            <v>IND</v>
          </cell>
          <cell r="B3680">
            <v>2024</v>
          </cell>
          <cell r="C3680" t="str">
            <v>maexpz</v>
          </cell>
          <cell r="D3680">
            <v>4.4729199409484863</v>
          </cell>
        </row>
        <row r="3681">
          <cell r="A3681" t="str">
            <v>IND</v>
          </cell>
          <cell r="B3681">
            <v>2005</v>
          </cell>
          <cell r="C3681" t="str">
            <v>mar_taxfc</v>
          </cell>
          <cell r="D3681">
            <v>7.2609567642211914</v>
          </cell>
        </row>
        <row r="3682">
          <cell r="A3682" t="str">
            <v>IND</v>
          </cell>
          <cell r="B3682">
            <v>2021</v>
          </cell>
          <cell r="C3682" t="str">
            <v>maimpz</v>
          </cell>
          <cell r="D3682">
            <v>22.094423294067383</v>
          </cell>
        </row>
        <row r="3683">
          <cell r="A3683" t="str">
            <v>IND</v>
          </cell>
          <cell r="B3683">
            <v>2021</v>
          </cell>
          <cell r="C3683" t="str">
            <v>mapanusatls</v>
          </cell>
          <cell r="D3683">
            <v>74.512046813964844</v>
          </cell>
        </row>
        <row r="3684">
          <cell r="A3684" t="str">
            <v>IND</v>
          </cell>
          <cell r="B3684">
            <v>2007</v>
          </cell>
          <cell r="C3684" t="str">
            <v>mareer</v>
          </cell>
          <cell r="D3684">
            <v>101.79187774658203</v>
          </cell>
        </row>
        <row r="3685">
          <cell r="A3685" t="str">
            <v>IND</v>
          </cell>
          <cell r="B3685">
            <v>2016</v>
          </cell>
          <cell r="C3685" t="str">
            <v>mac_labz</v>
          </cell>
          <cell r="D3685">
            <v>1.3463670015335083</v>
          </cell>
        </row>
        <row r="3686">
          <cell r="A3686" t="str">
            <v>IND</v>
          </cell>
          <cell r="B3686">
            <v>2021</v>
          </cell>
          <cell r="C3686" t="str">
            <v>mar_indfc</v>
          </cell>
          <cell r="D3686">
            <v>31.576406478881836</v>
          </cell>
        </row>
        <row r="3687">
          <cell r="A3687" t="str">
            <v>IND</v>
          </cell>
          <cell r="B3687">
            <v>2010</v>
          </cell>
          <cell r="C3687" t="str">
            <v>mar_impz</v>
          </cell>
          <cell r="D3687">
            <v>27.167329788208008</v>
          </cell>
        </row>
        <row r="3688">
          <cell r="A3688" t="str">
            <v>IND</v>
          </cell>
          <cell r="B3688">
            <v>2015</v>
          </cell>
          <cell r="C3688" t="str">
            <v>malabz</v>
          </cell>
          <cell r="D3688">
            <v>1.914196252822876</v>
          </cell>
        </row>
        <row r="3689">
          <cell r="A3689" t="str">
            <v>IND</v>
          </cell>
          <cell r="B3689">
            <v>2012</v>
          </cell>
          <cell r="C3689" t="str">
            <v>mar_impz</v>
          </cell>
          <cell r="D3689">
            <v>31.250123977661133</v>
          </cell>
        </row>
        <row r="3690">
          <cell r="A3690" t="str">
            <v>IND</v>
          </cell>
          <cell r="B3690">
            <v>2014</v>
          </cell>
          <cell r="C3690" t="str">
            <v>maagrfc</v>
          </cell>
          <cell r="D3690">
            <v>-0.21644939482212067</v>
          </cell>
        </row>
        <row r="3691">
          <cell r="A3691" t="str">
            <v>IND</v>
          </cell>
          <cell r="B3691">
            <v>2017</v>
          </cell>
          <cell r="C3691" t="str">
            <v>mainvz</v>
          </cell>
          <cell r="D3691">
            <v>7.8021435737609863</v>
          </cell>
        </row>
        <row r="3692">
          <cell r="A3692" t="str">
            <v>IND</v>
          </cell>
          <cell r="B3692">
            <v>2005</v>
          </cell>
          <cell r="C3692" t="str">
            <v>mac_tfpz</v>
          </cell>
          <cell r="D3692">
            <v>2.0490171909332275</v>
          </cell>
        </row>
        <row r="3693">
          <cell r="A3693" t="str">
            <v>IND</v>
          </cell>
          <cell r="B3693">
            <v>2015</v>
          </cell>
          <cell r="C3693" t="str">
            <v>mar_impz</v>
          </cell>
          <cell r="D3693">
            <v>22.090164184570313</v>
          </cell>
        </row>
        <row r="3694">
          <cell r="A3694" t="str">
            <v>IND</v>
          </cell>
          <cell r="B3694">
            <v>2009</v>
          </cell>
          <cell r="C3694" t="str">
            <v>macpiz</v>
          </cell>
          <cell r="D3694">
            <v>13.227828979492188</v>
          </cell>
        </row>
        <row r="3695">
          <cell r="A3695" t="str">
            <v>IND</v>
          </cell>
          <cell r="B3695">
            <v>2008</v>
          </cell>
          <cell r="C3695" t="str">
            <v>mar_con</v>
          </cell>
          <cell r="D3695">
            <v>57.508663177490234</v>
          </cell>
        </row>
        <row r="3696">
          <cell r="A3696" t="str">
            <v>IND</v>
          </cell>
          <cell r="B3696">
            <v>2017</v>
          </cell>
          <cell r="C3696" t="str">
            <v>matfpz</v>
          </cell>
          <cell r="D3696">
            <v>2.2026424407958984</v>
          </cell>
        </row>
        <row r="3697">
          <cell r="A3697" t="str">
            <v>IND</v>
          </cell>
          <cell r="B3697">
            <v>2012</v>
          </cell>
          <cell r="C3697" t="str">
            <v>magdpz</v>
          </cell>
          <cell r="D3697">
            <v>5.4563875198364258</v>
          </cell>
        </row>
        <row r="3698">
          <cell r="A3698" t="str">
            <v>IND</v>
          </cell>
          <cell r="B3698">
            <v>2015</v>
          </cell>
          <cell r="C3698" t="str">
            <v>maagrfc</v>
          </cell>
          <cell r="D3698">
            <v>0.64959836006164551</v>
          </cell>
        </row>
        <row r="3699">
          <cell r="A3699" t="str">
            <v>IND</v>
          </cell>
          <cell r="B3699">
            <v>2009</v>
          </cell>
          <cell r="C3699" t="str">
            <v>matfpz</v>
          </cell>
          <cell r="D3699">
            <v>1.9666600227355957</v>
          </cell>
        </row>
        <row r="3700">
          <cell r="A3700" t="str">
            <v>IND</v>
          </cell>
          <cell r="B3700">
            <v>2016</v>
          </cell>
          <cell r="C3700" t="str">
            <v>mar_con</v>
          </cell>
          <cell r="D3700">
            <v>56.062137603759766</v>
          </cell>
        </row>
        <row r="3701">
          <cell r="A3701" t="str">
            <v>IND</v>
          </cell>
          <cell r="B3701">
            <v>2023</v>
          </cell>
          <cell r="C3701" t="str">
            <v>mar_impz</v>
          </cell>
          <cell r="D3701">
            <v>25.048885345458984</v>
          </cell>
        </row>
        <row r="3702">
          <cell r="A3702" t="str">
            <v>IND</v>
          </cell>
          <cell r="B3702">
            <v>2026</v>
          </cell>
          <cell r="C3702" t="str">
            <v>macpiz</v>
          </cell>
          <cell r="D3702">
            <v>4</v>
          </cell>
        </row>
        <row r="3703">
          <cell r="A3703" t="str">
            <v>IND</v>
          </cell>
          <cell r="B3703">
            <v>2007</v>
          </cell>
          <cell r="C3703" t="str">
            <v>mar_taxfc</v>
          </cell>
          <cell r="D3703">
            <v>7.5443763732910156</v>
          </cell>
        </row>
        <row r="3704">
          <cell r="A3704" t="str">
            <v>IND</v>
          </cell>
          <cell r="B3704">
            <v>2017</v>
          </cell>
          <cell r="C3704" t="str">
            <v>mar_srvfc</v>
          </cell>
          <cell r="D3704">
            <v>53.332733154296875</v>
          </cell>
        </row>
        <row r="3705">
          <cell r="A3705" t="str">
            <v>IND</v>
          </cell>
          <cell r="B3705">
            <v>2016</v>
          </cell>
          <cell r="C3705" t="str">
            <v>maimpz</v>
          </cell>
          <cell r="D3705">
            <v>4.3818941116333008</v>
          </cell>
        </row>
        <row r="3706">
          <cell r="A3706" t="str">
            <v>IND</v>
          </cell>
          <cell r="B3706">
            <v>2018</v>
          </cell>
          <cell r="C3706" t="str">
            <v>mar_expz</v>
          </cell>
          <cell r="D3706">
            <v>20.813966751098633</v>
          </cell>
        </row>
        <row r="3707">
          <cell r="A3707" t="str">
            <v>IND</v>
          </cell>
          <cell r="B3707">
            <v>2005</v>
          </cell>
          <cell r="C3707" t="str">
            <v>magap_</v>
          </cell>
          <cell r="D3707">
            <v>1.0134191513061523</v>
          </cell>
        </row>
        <row r="3708">
          <cell r="A3708" t="str">
            <v>IND</v>
          </cell>
          <cell r="B3708">
            <v>2016</v>
          </cell>
          <cell r="C3708" t="str">
            <v>mafdi_</v>
          </cell>
          <cell r="D3708">
            <v>-1.5522727966308594</v>
          </cell>
        </row>
        <row r="3709">
          <cell r="A3709" t="str">
            <v>IND</v>
          </cell>
          <cell r="B3709">
            <v>2021</v>
          </cell>
          <cell r="C3709" t="str">
            <v>maexpz</v>
          </cell>
          <cell r="D3709">
            <v>29.599294662475586</v>
          </cell>
        </row>
        <row r="3710">
          <cell r="A3710" t="str">
            <v>IND</v>
          </cell>
          <cell r="B3710">
            <v>2020</v>
          </cell>
          <cell r="C3710" t="str">
            <v>maagrfc</v>
          </cell>
          <cell r="D3710">
            <v>4.0056939125061035</v>
          </cell>
        </row>
        <row r="3711">
          <cell r="A3711" t="str">
            <v>IND</v>
          </cell>
          <cell r="B3711">
            <v>2020</v>
          </cell>
          <cell r="C3711" t="str">
            <v>macab_</v>
          </cell>
          <cell r="D3711">
            <v>0.89736276865005493</v>
          </cell>
        </row>
        <row r="3712">
          <cell r="A3712" t="str">
            <v>IND</v>
          </cell>
          <cell r="B3712">
            <v>2014</v>
          </cell>
          <cell r="C3712" t="str">
            <v>mataxfc</v>
          </cell>
          <cell r="D3712">
            <v>10.548653602600098</v>
          </cell>
        </row>
        <row r="3713">
          <cell r="A3713" t="str">
            <v>IND</v>
          </cell>
          <cell r="B3713">
            <v>2026</v>
          </cell>
          <cell r="C3713" t="str">
            <v>mapanusatls</v>
          </cell>
          <cell r="D3713">
            <v>85.388648986816406</v>
          </cell>
        </row>
        <row r="3714">
          <cell r="A3714" t="str">
            <v>IND</v>
          </cell>
          <cell r="B3714">
            <v>2016</v>
          </cell>
          <cell r="C3714" t="str">
            <v>magdpz</v>
          </cell>
          <cell r="D3714">
            <v>8.2563056945800781</v>
          </cell>
        </row>
        <row r="3715">
          <cell r="A3715" t="str">
            <v>IND</v>
          </cell>
          <cell r="B3715">
            <v>2014</v>
          </cell>
          <cell r="C3715" t="str">
            <v>madeficit_</v>
          </cell>
          <cell r="D3715">
            <v>-6.7096948623657227</v>
          </cell>
        </row>
        <row r="3716">
          <cell r="A3716" t="str">
            <v>IND</v>
          </cell>
          <cell r="B3716">
            <v>2009</v>
          </cell>
          <cell r="C3716" t="str">
            <v>mar_taxfc</v>
          </cell>
          <cell r="D3716">
            <v>7.2806143760681152</v>
          </cell>
        </row>
        <row r="3717">
          <cell r="A3717" t="str">
            <v>IND</v>
          </cell>
          <cell r="B3717">
            <v>2015</v>
          </cell>
          <cell r="C3717" t="str">
            <v>mar_taxfc</v>
          </cell>
          <cell r="D3717">
            <v>8.3647890090942383</v>
          </cell>
        </row>
        <row r="3718">
          <cell r="A3718" t="str">
            <v>IND</v>
          </cell>
          <cell r="B3718">
            <v>2012</v>
          </cell>
          <cell r="C3718" t="str">
            <v>mar_taxfc</v>
          </cell>
          <cell r="D3718">
            <v>7.8015432357788086</v>
          </cell>
        </row>
        <row r="3719">
          <cell r="A3719" t="str">
            <v>IND</v>
          </cell>
          <cell r="B3719">
            <v>2014</v>
          </cell>
          <cell r="C3719" t="str">
            <v>mar_srvfc</v>
          </cell>
          <cell r="D3719">
            <v>52.352237701416016</v>
          </cell>
        </row>
        <row r="3720">
          <cell r="A3720" t="str">
            <v>IND</v>
          </cell>
          <cell r="B3720">
            <v>2011</v>
          </cell>
          <cell r="C3720" t="str">
            <v>magap_</v>
          </cell>
          <cell r="D3720">
            <v>-0.32395988702774048</v>
          </cell>
        </row>
        <row r="3721">
          <cell r="A3721" t="str">
            <v>IND</v>
          </cell>
          <cell r="B3721">
            <v>2007</v>
          </cell>
          <cell r="C3721" t="str">
            <v>mapanusatls</v>
          </cell>
          <cell r="D3721">
            <v>40.299999237060547</v>
          </cell>
        </row>
        <row r="3722">
          <cell r="A3722" t="str">
            <v>IND</v>
          </cell>
          <cell r="B3722">
            <v>2022</v>
          </cell>
          <cell r="C3722" t="str">
            <v>mareer</v>
          </cell>
          <cell r="D3722">
            <v>104.47212982177734</v>
          </cell>
        </row>
        <row r="3723">
          <cell r="A3723" t="str">
            <v>IND</v>
          </cell>
          <cell r="B3723">
            <v>2016</v>
          </cell>
          <cell r="C3723" t="str">
            <v>maagrfc</v>
          </cell>
          <cell r="D3723">
            <v>6.7975606918334961</v>
          </cell>
        </row>
        <row r="3724">
          <cell r="A3724" t="str">
            <v>IND</v>
          </cell>
          <cell r="B3724">
            <v>2006</v>
          </cell>
          <cell r="C3724" t="str">
            <v>maagrfc</v>
          </cell>
          <cell r="D3724">
            <v>2.938793420791626</v>
          </cell>
        </row>
        <row r="3725">
          <cell r="A3725" t="str">
            <v>IND</v>
          </cell>
          <cell r="B3725">
            <v>2006</v>
          </cell>
          <cell r="C3725" t="str">
            <v>mar_agrfc</v>
          </cell>
          <cell r="D3725">
            <v>20.874748229980469</v>
          </cell>
        </row>
        <row r="3726">
          <cell r="A3726" t="str">
            <v>IND</v>
          </cell>
          <cell r="B3726">
            <v>2008</v>
          </cell>
          <cell r="C3726" t="str">
            <v>mar_taxfc</v>
          </cell>
          <cell r="D3726">
            <v>6.2806992530822754</v>
          </cell>
        </row>
        <row r="3727">
          <cell r="A3727" t="str">
            <v>IND</v>
          </cell>
          <cell r="B3727">
            <v>2011</v>
          </cell>
          <cell r="C3727" t="str">
            <v>matfpz</v>
          </cell>
          <cell r="D3727">
            <v>2.0058891773223877</v>
          </cell>
        </row>
        <row r="3728">
          <cell r="A3728" t="str">
            <v>IND</v>
          </cell>
          <cell r="B3728">
            <v>2025</v>
          </cell>
          <cell r="C3728" t="str">
            <v>mar_impz</v>
          </cell>
          <cell r="D3728">
            <v>24.738054275512695</v>
          </cell>
        </row>
        <row r="3729">
          <cell r="A3729" t="str">
            <v>IND</v>
          </cell>
          <cell r="B3729">
            <v>2011</v>
          </cell>
          <cell r="C3729" t="str">
            <v>macab_</v>
          </cell>
          <cell r="D3729">
            <v>-4.2882990837097168</v>
          </cell>
        </row>
        <row r="3730">
          <cell r="A3730" t="str">
            <v>IND</v>
          </cell>
          <cell r="B3730">
            <v>2005</v>
          </cell>
          <cell r="C3730" t="str">
            <v>mar_con</v>
          </cell>
          <cell r="D3730">
            <v>58.653675079345703</v>
          </cell>
        </row>
        <row r="3731">
          <cell r="A3731" t="str">
            <v>IND</v>
          </cell>
          <cell r="B3731">
            <v>2009</v>
          </cell>
          <cell r="C3731" t="str">
            <v>madebt_</v>
          </cell>
          <cell r="D3731">
            <v>71.839447021484375</v>
          </cell>
        </row>
        <row r="3732">
          <cell r="A3732" t="str">
            <v>IND</v>
          </cell>
          <cell r="B3732">
            <v>2006</v>
          </cell>
          <cell r="C3732" t="str">
            <v>madebt_</v>
          </cell>
          <cell r="D3732">
            <v>75.365798950195313</v>
          </cell>
        </row>
        <row r="3733">
          <cell r="A3733" t="str">
            <v>IND</v>
          </cell>
          <cell r="B3733">
            <v>2009</v>
          </cell>
          <cell r="C3733" t="str">
            <v>macab_</v>
          </cell>
          <cell r="D3733">
            <v>-2.8640275001525879</v>
          </cell>
        </row>
        <row r="3734">
          <cell r="A3734" t="str">
            <v>IND</v>
          </cell>
          <cell r="B3734">
            <v>2005</v>
          </cell>
          <cell r="C3734" t="str">
            <v>mar_impz</v>
          </cell>
          <cell r="D3734">
            <v>20.521404266357422</v>
          </cell>
        </row>
        <row r="3735">
          <cell r="A3735" t="str">
            <v>IND</v>
          </cell>
          <cell r="B3735">
            <v>2011</v>
          </cell>
          <cell r="C3735" t="str">
            <v>mar_indfc</v>
          </cell>
          <cell r="D3735">
            <v>32.503280639648438</v>
          </cell>
        </row>
        <row r="3736">
          <cell r="A3736" t="str">
            <v>IND</v>
          </cell>
          <cell r="B3736">
            <v>2025</v>
          </cell>
          <cell r="C3736" t="str">
            <v>maindfc</v>
          </cell>
          <cell r="D3736">
            <v>7.0999999046325684</v>
          </cell>
        </row>
        <row r="3737">
          <cell r="A3737" t="str">
            <v>IND</v>
          </cell>
          <cell r="B3737">
            <v>2010</v>
          </cell>
          <cell r="C3737" t="str">
            <v>mainvz</v>
          </cell>
          <cell r="D3737">
            <v>11.046145439147949</v>
          </cell>
        </row>
        <row r="3738">
          <cell r="A3738" t="str">
            <v>IND</v>
          </cell>
          <cell r="B3738">
            <v>2015</v>
          </cell>
          <cell r="C3738" t="str">
            <v>maconz</v>
          </cell>
          <cell r="D3738">
            <v>7.9281110763549805</v>
          </cell>
        </row>
        <row r="3739">
          <cell r="A3739" t="str">
            <v>IND</v>
          </cell>
          <cell r="B3739">
            <v>2022</v>
          </cell>
          <cell r="C3739" t="str">
            <v>maconz</v>
          </cell>
          <cell r="D3739">
            <v>6.7706403732299805</v>
          </cell>
        </row>
        <row r="3740">
          <cell r="A3740" t="str">
            <v>IND</v>
          </cell>
          <cell r="B3740">
            <v>2005</v>
          </cell>
          <cell r="C3740" t="str">
            <v>maimpz</v>
          </cell>
          <cell r="D3740">
            <v>32.269645690917969</v>
          </cell>
        </row>
        <row r="3741">
          <cell r="A3741" t="str">
            <v>IND</v>
          </cell>
          <cell r="B3741">
            <v>2009</v>
          </cell>
          <cell r="C3741" t="str">
            <v>mar_srvfc</v>
          </cell>
          <cell r="D3741">
            <v>48.761341094970703</v>
          </cell>
        </row>
        <row r="3742">
          <cell r="A3742" t="str">
            <v>IND</v>
          </cell>
          <cell r="B3742">
            <v>2010</v>
          </cell>
          <cell r="C3742" t="str">
            <v>macab_</v>
          </cell>
          <cell r="D3742">
            <v>-2.7428233623504639</v>
          </cell>
        </row>
        <row r="3743">
          <cell r="A3743" t="str">
            <v>IND</v>
          </cell>
          <cell r="B3743">
            <v>2015</v>
          </cell>
          <cell r="C3743" t="str">
            <v>magdpz</v>
          </cell>
          <cell r="D3743">
            <v>7.9962539672851563</v>
          </cell>
        </row>
        <row r="3744">
          <cell r="A3744" t="str">
            <v>IND</v>
          </cell>
          <cell r="B3744">
            <v>2010</v>
          </cell>
          <cell r="C3744" t="str">
            <v>mac_labz</v>
          </cell>
          <cell r="D3744">
            <v>1.4213166236877441</v>
          </cell>
        </row>
        <row r="3745">
          <cell r="A3745" t="str">
            <v>IND</v>
          </cell>
          <cell r="B3745">
            <v>2014</v>
          </cell>
          <cell r="C3745" t="str">
            <v>macab_</v>
          </cell>
          <cell r="D3745">
            <v>-1.3136718273162842</v>
          </cell>
        </row>
        <row r="3746">
          <cell r="A3746" t="str">
            <v>IND</v>
          </cell>
          <cell r="B3746">
            <v>2020</v>
          </cell>
          <cell r="C3746" t="str">
            <v>mareer</v>
          </cell>
          <cell r="D3746">
            <v>106.06906127929688</v>
          </cell>
        </row>
        <row r="3747">
          <cell r="A3747" t="str">
            <v>IND</v>
          </cell>
          <cell r="B3747">
            <v>2019</v>
          </cell>
          <cell r="C3747" t="str">
            <v>magap_</v>
          </cell>
          <cell r="D3747">
            <v>-0.38704341650009155</v>
          </cell>
        </row>
        <row r="3748">
          <cell r="A3748" t="str">
            <v>IND</v>
          </cell>
          <cell r="B3748">
            <v>2012</v>
          </cell>
          <cell r="C3748" t="str">
            <v>mar_agrfc</v>
          </cell>
          <cell r="D3748">
            <v>17.835702896118164</v>
          </cell>
        </row>
        <row r="3749">
          <cell r="A3749" t="str">
            <v>IND</v>
          </cell>
          <cell r="B3749">
            <v>2012</v>
          </cell>
          <cell r="C3749" t="str">
            <v>maimpz</v>
          </cell>
          <cell r="D3749">
            <v>6.021796703338623</v>
          </cell>
        </row>
        <row r="3750">
          <cell r="A3750" t="str">
            <v>IND</v>
          </cell>
          <cell r="B3750">
            <v>2005</v>
          </cell>
          <cell r="C3750" t="str">
            <v>magovz</v>
          </cell>
          <cell r="D3750">
            <v>8.822174072265625</v>
          </cell>
        </row>
        <row r="3751">
          <cell r="A3751" t="str">
            <v>IND</v>
          </cell>
          <cell r="B3751">
            <v>2013</v>
          </cell>
          <cell r="C3751" t="str">
            <v>matfpz</v>
          </cell>
          <cell r="D3751">
            <v>2.125591516494751</v>
          </cell>
        </row>
        <row r="3752">
          <cell r="A3752" t="str">
            <v>IND</v>
          </cell>
          <cell r="B3752">
            <v>2019</v>
          </cell>
          <cell r="C3752" t="str">
            <v>mac_tfpz</v>
          </cell>
          <cell r="D3752">
            <v>2.0916321277618408</v>
          </cell>
        </row>
        <row r="3753">
          <cell r="A3753" t="str">
            <v>IND</v>
          </cell>
          <cell r="B3753">
            <v>2015</v>
          </cell>
          <cell r="C3753" t="str">
            <v>mareer</v>
          </cell>
          <cell r="D3753">
            <v>100</v>
          </cell>
        </row>
        <row r="3754">
          <cell r="A3754" t="str">
            <v>IND</v>
          </cell>
          <cell r="B3754">
            <v>2006</v>
          </cell>
          <cell r="C3754" t="str">
            <v>mar_expz</v>
          </cell>
          <cell r="D3754">
            <v>21.021987915039063</v>
          </cell>
        </row>
        <row r="3755">
          <cell r="A3755" t="str">
            <v>IND</v>
          </cell>
          <cell r="B3755">
            <v>2019</v>
          </cell>
          <cell r="C3755" t="str">
            <v>maagrfc</v>
          </cell>
          <cell r="D3755">
            <v>6.1603093147277832</v>
          </cell>
        </row>
        <row r="3756">
          <cell r="A3756" t="str">
            <v>IND</v>
          </cell>
          <cell r="B3756">
            <v>2022</v>
          </cell>
          <cell r="C3756" t="str">
            <v>macab_</v>
          </cell>
          <cell r="D3756">
            <v>-1.9981342554092407</v>
          </cell>
        </row>
        <row r="3757">
          <cell r="A3757" t="str">
            <v>IND</v>
          </cell>
          <cell r="B3757">
            <v>2022</v>
          </cell>
          <cell r="C3757" t="str">
            <v>maindfc</v>
          </cell>
          <cell r="D3757">
            <v>2.1073813438415527</v>
          </cell>
        </row>
        <row r="3758">
          <cell r="A3758" t="str">
            <v>IND</v>
          </cell>
          <cell r="B3758">
            <v>2009</v>
          </cell>
          <cell r="C3758" t="str">
            <v>maimpz</v>
          </cell>
          <cell r="D3758">
            <v>-1.9258161783218384</v>
          </cell>
        </row>
        <row r="3759">
          <cell r="A3759" t="str">
            <v>IND</v>
          </cell>
          <cell r="B3759">
            <v>2019</v>
          </cell>
          <cell r="C3759" t="str">
            <v>mar_agrfc</v>
          </cell>
          <cell r="D3759">
            <v>15.06732177734375</v>
          </cell>
        </row>
        <row r="3760">
          <cell r="A3760" t="str">
            <v>IND</v>
          </cell>
          <cell r="B3760">
            <v>2012</v>
          </cell>
          <cell r="C3760" t="str">
            <v>magovz</v>
          </cell>
          <cell r="D3760">
            <v>0.60802578926086426</v>
          </cell>
        </row>
        <row r="3761">
          <cell r="A3761" t="str">
            <v>IND</v>
          </cell>
          <cell r="B3761">
            <v>2006</v>
          </cell>
          <cell r="C3761" t="str">
            <v>mafdi_</v>
          </cell>
          <cell r="D3761">
            <v>-0.81927198171615601</v>
          </cell>
        </row>
        <row r="3762">
          <cell r="A3762" t="str">
            <v>IND</v>
          </cell>
          <cell r="B3762">
            <v>2005</v>
          </cell>
          <cell r="C3762" t="str">
            <v>mar_srvfc</v>
          </cell>
          <cell r="D3762">
            <v>47.223304748535156</v>
          </cell>
        </row>
        <row r="3763">
          <cell r="A3763" t="str">
            <v>IND</v>
          </cell>
          <cell r="B3763">
            <v>2018</v>
          </cell>
          <cell r="C3763" t="str">
            <v>mapanusatls</v>
          </cell>
          <cell r="D3763">
            <v>69.888893127441406</v>
          </cell>
        </row>
        <row r="3764">
          <cell r="A3764" t="str">
            <v>IND</v>
          </cell>
          <cell r="B3764">
            <v>2015</v>
          </cell>
          <cell r="C3764" t="str">
            <v>mar_agrfc</v>
          </cell>
          <cell r="D3764">
            <v>15.403792381286621</v>
          </cell>
        </row>
        <row r="3765">
          <cell r="A3765" t="str">
            <v>IND</v>
          </cell>
          <cell r="B3765">
            <v>2008</v>
          </cell>
          <cell r="C3765" t="str">
            <v>mac_tfpz</v>
          </cell>
          <cell r="D3765">
            <v>1.9697611331939697</v>
          </cell>
        </row>
        <row r="3766">
          <cell r="A3766" t="str">
            <v>IND</v>
          </cell>
          <cell r="B3766">
            <v>2023</v>
          </cell>
          <cell r="C3766" t="str">
            <v>magdpz</v>
          </cell>
          <cell r="D3766">
            <v>7.4740848541259766</v>
          </cell>
        </row>
        <row r="3767">
          <cell r="A3767" t="str">
            <v>IND</v>
          </cell>
          <cell r="B3767">
            <v>2007</v>
          </cell>
          <cell r="C3767" t="str">
            <v>macab_</v>
          </cell>
          <cell r="D3767">
            <v>-1.2946414947509766</v>
          </cell>
        </row>
        <row r="3768">
          <cell r="A3768" t="str">
            <v>IND</v>
          </cell>
          <cell r="B3768">
            <v>2015</v>
          </cell>
          <cell r="C3768" t="str">
            <v>mataxfc</v>
          </cell>
          <cell r="D3768">
            <v>7.6123671531677246</v>
          </cell>
        </row>
        <row r="3769">
          <cell r="A3769" t="str">
            <v>IND</v>
          </cell>
          <cell r="B3769">
            <v>2009</v>
          </cell>
          <cell r="C3769" t="str">
            <v>madeficit_</v>
          </cell>
          <cell r="D3769">
            <v>-9.4977931976318359</v>
          </cell>
        </row>
        <row r="3770">
          <cell r="A3770" t="str">
            <v>IND</v>
          </cell>
          <cell r="B3770">
            <v>2019</v>
          </cell>
          <cell r="C3770" t="str">
            <v>madeficit_</v>
          </cell>
          <cell r="D3770">
            <v>-7.2088108062744141</v>
          </cell>
        </row>
        <row r="3771">
          <cell r="A3771" t="str">
            <v>IND</v>
          </cell>
          <cell r="B3771">
            <v>2019</v>
          </cell>
          <cell r="C3771" t="str">
            <v>mar_taxfc</v>
          </cell>
          <cell r="D3771">
            <v>9.8105964660644531</v>
          </cell>
        </row>
        <row r="3772">
          <cell r="A3772" t="str">
            <v>IND</v>
          </cell>
          <cell r="B3772">
            <v>2018</v>
          </cell>
          <cell r="C3772" t="str">
            <v>masrvfc</v>
          </cell>
          <cell r="D3772">
            <v>7.1719141006469727</v>
          </cell>
        </row>
        <row r="3773">
          <cell r="A3773" t="str">
            <v>IND</v>
          </cell>
          <cell r="B3773">
            <v>2014</v>
          </cell>
          <cell r="C3773" t="str">
            <v>maindfc</v>
          </cell>
          <cell r="D3773">
            <v>7.0006327629089355</v>
          </cell>
        </row>
        <row r="3774">
          <cell r="A3774" t="str">
            <v>IND</v>
          </cell>
          <cell r="B3774">
            <v>2026</v>
          </cell>
          <cell r="C3774" t="str">
            <v>madeficit_</v>
          </cell>
          <cell r="D3774">
            <v>-8.9059743881225586</v>
          </cell>
        </row>
        <row r="3775">
          <cell r="A3775" t="str">
            <v>IND</v>
          </cell>
          <cell r="B3775">
            <v>2005</v>
          </cell>
          <cell r="C3775" t="str">
            <v>mapanusatls</v>
          </cell>
          <cell r="D3775">
            <v>44.099998474121094</v>
          </cell>
        </row>
        <row r="3776">
          <cell r="A3776" t="str">
            <v>IND</v>
          </cell>
          <cell r="B3776">
            <v>2013</v>
          </cell>
          <cell r="C3776" t="str">
            <v>malabz</v>
          </cell>
          <cell r="D3776">
            <v>1.9745761156082153</v>
          </cell>
        </row>
        <row r="3777">
          <cell r="A3777" t="str">
            <v>IND</v>
          </cell>
          <cell r="B3777">
            <v>2016</v>
          </cell>
          <cell r="C3777" t="str">
            <v>mar_srvfc</v>
          </cell>
          <cell r="D3777">
            <v>53.276622772216797</v>
          </cell>
        </row>
        <row r="3778">
          <cell r="A3778" t="str">
            <v>IND</v>
          </cell>
          <cell r="B3778">
            <v>2023</v>
          </cell>
          <cell r="C3778" t="str">
            <v>mar_indfc</v>
          </cell>
          <cell r="D3778">
            <v>30.795570373535156</v>
          </cell>
        </row>
        <row r="3779">
          <cell r="A3779" t="str">
            <v>IND</v>
          </cell>
          <cell r="B3779">
            <v>2012</v>
          </cell>
          <cell r="C3779" t="str">
            <v>mar_indfc</v>
          </cell>
          <cell r="D3779">
            <v>31.840387344360352</v>
          </cell>
        </row>
        <row r="3780">
          <cell r="A3780" t="str">
            <v>IND</v>
          </cell>
          <cell r="B3780">
            <v>2005</v>
          </cell>
          <cell r="C3780" t="str">
            <v>masrvfc</v>
          </cell>
          <cell r="D3780">
            <v>9.1176300048828125</v>
          </cell>
        </row>
        <row r="3781">
          <cell r="A3781" t="str">
            <v>IND</v>
          </cell>
          <cell r="B3781">
            <v>2026</v>
          </cell>
          <cell r="C3781" t="str">
            <v>mafdi_</v>
          </cell>
          <cell r="D3781">
            <v>-1.5033500194549561</v>
          </cell>
        </row>
        <row r="3782">
          <cell r="A3782" t="str">
            <v>IND</v>
          </cell>
          <cell r="B3782">
            <v>2018</v>
          </cell>
          <cell r="C3782" t="str">
            <v>malabz</v>
          </cell>
          <cell r="D3782">
            <v>1.8025349378585815</v>
          </cell>
        </row>
        <row r="3783">
          <cell r="A3783" t="str">
            <v>IND</v>
          </cell>
          <cell r="B3783">
            <v>2025</v>
          </cell>
          <cell r="C3783" t="str">
            <v>mafdi_</v>
          </cell>
          <cell r="D3783">
            <v>-1.4020600318908691</v>
          </cell>
        </row>
        <row r="3784">
          <cell r="A3784" t="str">
            <v>IND</v>
          </cell>
          <cell r="B3784">
            <v>2005</v>
          </cell>
          <cell r="C3784" t="str">
            <v>matfpz</v>
          </cell>
          <cell r="D3784">
            <v>2.0490171909332275</v>
          </cell>
        </row>
        <row r="3785">
          <cell r="A3785" t="str">
            <v>IND</v>
          </cell>
          <cell r="B3785">
            <v>2022</v>
          </cell>
          <cell r="C3785" t="str">
            <v>masrvfc</v>
          </cell>
          <cell r="D3785">
            <v>10.014779090881348</v>
          </cell>
        </row>
        <row r="3786">
          <cell r="A3786" t="str">
            <v>IND</v>
          </cell>
          <cell r="B3786">
            <v>2017</v>
          </cell>
          <cell r="C3786" t="str">
            <v>maexpz</v>
          </cell>
          <cell r="D3786">
            <v>4.5647077560424805</v>
          </cell>
        </row>
        <row r="3787">
          <cell r="A3787" t="str">
            <v>IND</v>
          </cell>
          <cell r="B3787">
            <v>2026</v>
          </cell>
          <cell r="C3787" t="str">
            <v>magap_</v>
          </cell>
          <cell r="D3787">
            <v>0.20715683698654175</v>
          </cell>
        </row>
        <row r="3788">
          <cell r="A3788" t="str">
            <v>IND</v>
          </cell>
          <cell r="B3788">
            <v>2023</v>
          </cell>
          <cell r="C3788" t="str">
            <v>mainvz</v>
          </cell>
          <cell r="D3788">
            <v>10.836355209350586</v>
          </cell>
        </row>
        <row r="3789">
          <cell r="A3789" t="str">
            <v>IND</v>
          </cell>
          <cell r="B3789">
            <v>2024</v>
          </cell>
          <cell r="C3789" t="str">
            <v>mar_srvfc</v>
          </cell>
          <cell r="D3789">
            <v>55.066188812255859</v>
          </cell>
        </row>
        <row r="3790">
          <cell r="A3790" t="str">
            <v>IND</v>
          </cell>
          <cell r="B3790">
            <v>2024</v>
          </cell>
          <cell r="C3790" t="str">
            <v>mataxfc</v>
          </cell>
          <cell r="D3790">
            <v>6.6229643821716309</v>
          </cell>
        </row>
        <row r="3791">
          <cell r="A3791" t="str">
            <v>IND</v>
          </cell>
          <cell r="B3791">
            <v>2018</v>
          </cell>
          <cell r="C3791" t="str">
            <v>mar_taxfc</v>
          </cell>
          <cell r="D3791">
            <v>9.8879861831665039</v>
          </cell>
        </row>
        <row r="3792">
          <cell r="A3792" t="str">
            <v>IND</v>
          </cell>
          <cell r="B3792">
            <v>2018</v>
          </cell>
          <cell r="C3792" t="str">
            <v>maconz</v>
          </cell>
          <cell r="D3792">
            <v>7.0895466804504395</v>
          </cell>
        </row>
        <row r="3793">
          <cell r="A3793" t="str">
            <v>IND</v>
          </cell>
          <cell r="B3793">
            <v>2014</v>
          </cell>
          <cell r="C3793" t="str">
            <v>mar_con</v>
          </cell>
          <cell r="D3793">
            <v>56.162994384765625</v>
          </cell>
        </row>
        <row r="3794">
          <cell r="A3794" t="str">
            <v>IND</v>
          </cell>
          <cell r="B3794">
            <v>2005</v>
          </cell>
          <cell r="C3794" t="str">
            <v>mataxfc</v>
          </cell>
          <cell r="D3794">
            <v>3.2248609066009521</v>
          </cell>
        </row>
        <row r="3795">
          <cell r="A3795" t="str">
            <v>IND</v>
          </cell>
          <cell r="B3795">
            <v>2023</v>
          </cell>
          <cell r="C3795" t="str">
            <v>maagrfc</v>
          </cell>
          <cell r="D3795">
            <v>0.66358000040054321</v>
          </cell>
        </row>
        <row r="3796">
          <cell r="A3796" t="str">
            <v>IND</v>
          </cell>
          <cell r="B3796">
            <v>2020</v>
          </cell>
          <cell r="C3796" t="str">
            <v>maindfc</v>
          </cell>
          <cell r="D3796">
            <v>-0.43988555669784546</v>
          </cell>
        </row>
        <row r="3797">
          <cell r="A3797" t="str">
            <v>IND</v>
          </cell>
          <cell r="B3797">
            <v>2008</v>
          </cell>
          <cell r="C3797" t="str">
            <v>macpiz</v>
          </cell>
          <cell r="D3797">
            <v>9.7133493423461914</v>
          </cell>
        </row>
        <row r="3798">
          <cell r="A3798" t="str">
            <v>IND</v>
          </cell>
          <cell r="B3798">
            <v>2021</v>
          </cell>
          <cell r="C3798" t="str">
            <v>mar_impz</v>
          </cell>
          <cell r="D3798">
            <v>23.590612411499023</v>
          </cell>
        </row>
        <row r="3799">
          <cell r="A3799" t="str">
            <v>IND</v>
          </cell>
          <cell r="B3799">
            <v>2015</v>
          </cell>
          <cell r="C3799" t="str">
            <v>mar_con</v>
          </cell>
          <cell r="D3799">
            <v>56.127555847167969</v>
          </cell>
        </row>
        <row r="3800">
          <cell r="A3800" t="str">
            <v>IND</v>
          </cell>
          <cell r="B3800">
            <v>2006</v>
          </cell>
          <cell r="C3800" t="str">
            <v>madeficit_</v>
          </cell>
          <cell r="D3800">
            <v>-5.4160304069519043</v>
          </cell>
        </row>
        <row r="3801">
          <cell r="A3801" t="str">
            <v>IND</v>
          </cell>
          <cell r="B3801">
            <v>2010</v>
          </cell>
          <cell r="C3801" t="str">
            <v>maagrfc</v>
          </cell>
          <cell r="D3801">
            <v>8.791752815246582</v>
          </cell>
        </row>
        <row r="3802">
          <cell r="A3802" t="str">
            <v>IND</v>
          </cell>
          <cell r="B3802">
            <v>2021</v>
          </cell>
          <cell r="C3802" t="str">
            <v>mar_taxfc</v>
          </cell>
          <cell r="D3802">
            <v>8.2512025833129883</v>
          </cell>
        </row>
        <row r="3803">
          <cell r="A3803" t="str">
            <v>IND</v>
          </cell>
          <cell r="B3803">
            <v>2005</v>
          </cell>
          <cell r="C3803" t="str">
            <v>mac_labz</v>
          </cell>
          <cell r="D3803">
            <v>0</v>
          </cell>
        </row>
        <row r="3804">
          <cell r="A3804" t="str">
            <v>IND</v>
          </cell>
          <cell r="B3804">
            <v>2017</v>
          </cell>
          <cell r="C3804" t="str">
            <v>macpiz</v>
          </cell>
          <cell r="D3804">
            <v>3.5871858596801758</v>
          </cell>
        </row>
        <row r="3805">
          <cell r="A3805" t="str">
            <v>IND</v>
          </cell>
          <cell r="B3805">
            <v>2006</v>
          </cell>
          <cell r="C3805" t="str">
            <v>maimpz</v>
          </cell>
          <cell r="D3805">
            <v>21.504644393920898</v>
          </cell>
        </row>
        <row r="3806">
          <cell r="A3806" t="str">
            <v>IND</v>
          </cell>
          <cell r="B3806">
            <v>2012</v>
          </cell>
          <cell r="C3806" t="str">
            <v>mar_srvfc</v>
          </cell>
          <cell r="D3806">
            <v>50.323909759521484</v>
          </cell>
        </row>
        <row r="3807">
          <cell r="A3807" t="str">
            <v>IND</v>
          </cell>
          <cell r="B3807">
            <v>2021</v>
          </cell>
          <cell r="C3807" t="str">
            <v>mafdi_</v>
          </cell>
          <cell r="D3807">
            <v>-1.2184222936630249</v>
          </cell>
        </row>
        <row r="3808">
          <cell r="A3808" t="str">
            <v>IND</v>
          </cell>
          <cell r="B3808">
            <v>2011</v>
          </cell>
          <cell r="C3808" t="str">
            <v>magdpz</v>
          </cell>
          <cell r="D3808">
            <v>5.2413148880004883</v>
          </cell>
        </row>
        <row r="3809">
          <cell r="A3809" t="str">
            <v>IND</v>
          </cell>
          <cell r="B3809">
            <v>2015</v>
          </cell>
          <cell r="C3809" t="str">
            <v>magovz</v>
          </cell>
          <cell r="D3809">
            <v>7.4611349105834961</v>
          </cell>
        </row>
        <row r="3810">
          <cell r="A3810" t="str">
            <v>IND</v>
          </cell>
          <cell r="B3810">
            <v>2021</v>
          </cell>
          <cell r="C3810" t="str">
            <v>mareer</v>
          </cell>
          <cell r="D3810">
            <v>106.47635650634766</v>
          </cell>
        </row>
        <row r="3811">
          <cell r="A3811" t="str">
            <v>IND</v>
          </cell>
          <cell r="B3811">
            <v>2011</v>
          </cell>
          <cell r="C3811" t="str">
            <v>malabz</v>
          </cell>
          <cell r="D3811">
            <v>2.0242695808410645</v>
          </cell>
        </row>
        <row r="3812">
          <cell r="A3812" t="str">
            <v>IND</v>
          </cell>
          <cell r="B3812">
            <v>2009</v>
          </cell>
          <cell r="C3812" t="str">
            <v>mainvz</v>
          </cell>
          <cell r="D3812">
            <v>7.6768798828125</v>
          </cell>
        </row>
        <row r="3813">
          <cell r="A3813" t="str">
            <v>IND</v>
          </cell>
          <cell r="B3813">
            <v>2019</v>
          </cell>
          <cell r="C3813" t="str">
            <v>malabz</v>
          </cell>
          <cell r="D3813">
            <v>1.714599609375</v>
          </cell>
        </row>
        <row r="3814">
          <cell r="A3814" t="str">
            <v>IND</v>
          </cell>
          <cell r="B3814">
            <v>2018</v>
          </cell>
          <cell r="C3814" t="str">
            <v>mar_agrfc</v>
          </cell>
          <cell r="D3814">
            <v>14.752852439880371</v>
          </cell>
        </row>
        <row r="3815">
          <cell r="A3815" t="str">
            <v>IND</v>
          </cell>
          <cell r="B3815">
            <v>2020</v>
          </cell>
          <cell r="C3815" t="str">
            <v>madeficit_</v>
          </cell>
          <cell r="D3815">
            <v>-13.097220420837402</v>
          </cell>
        </row>
        <row r="3816">
          <cell r="A3816" t="str">
            <v>IND</v>
          </cell>
          <cell r="B3816">
            <v>2024</v>
          </cell>
          <cell r="C3816" t="str">
            <v>macpiz</v>
          </cell>
          <cell r="D3816">
            <v>4.6999998092651367</v>
          </cell>
        </row>
        <row r="3817">
          <cell r="A3817" t="str">
            <v>IND</v>
          </cell>
          <cell r="B3817">
            <v>2026</v>
          </cell>
          <cell r="C3817" t="str">
            <v>madebt_</v>
          </cell>
          <cell r="D3817">
            <v>84.002830505371094</v>
          </cell>
        </row>
        <row r="3818">
          <cell r="A3818" t="str">
            <v>IND</v>
          </cell>
          <cell r="B3818">
            <v>2022</v>
          </cell>
          <cell r="C3818" t="str">
            <v>madeficit_</v>
          </cell>
          <cell r="D3818">
            <v>-9.5825119018554688</v>
          </cell>
        </row>
        <row r="3819">
          <cell r="A3819" t="str">
            <v>IND</v>
          </cell>
          <cell r="B3819">
            <v>2025</v>
          </cell>
          <cell r="C3819" t="str">
            <v>mar_agrfc</v>
          </cell>
          <cell r="D3819">
            <v>13.460107803344727</v>
          </cell>
        </row>
        <row r="3820">
          <cell r="A3820" t="str">
            <v>IND</v>
          </cell>
          <cell r="B3820">
            <v>2007</v>
          </cell>
          <cell r="C3820" t="str">
            <v>mar_agrfc</v>
          </cell>
          <cell r="D3820">
            <v>20.5098876953125</v>
          </cell>
        </row>
        <row r="3821">
          <cell r="A3821" t="str">
            <v>IND</v>
          </cell>
          <cell r="B3821">
            <v>2005</v>
          </cell>
          <cell r="C3821" t="str">
            <v>maagrfc</v>
          </cell>
          <cell r="D3821">
            <v>4.8093633651733398</v>
          </cell>
        </row>
        <row r="3822">
          <cell r="A3822" t="str">
            <v>IND</v>
          </cell>
          <cell r="B3822">
            <v>2023</v>
          </cell>
          <cell r="C3822" t="str">
            <v>magovz</v>
          </cell>
          <cell r="D3822">
            <v>3.0690815448760986</v>
          </cell>
        </row>
        <row r="3823">
          <cell r="A3823" t="str">
            <v>IND</v>
          </cell>
          <cell r="B3823">
            <v>2015</v>
          </cell>
          <cell r="C3823" t="str">
            <v>madebt_</v>
          </cell>
          <cell r="D3823">
            <v>68.532783508300781</v>
          </cell>
        </row>
        <row r="3824">
          <cell r="A3824" t="str">
            <v>IND</v>
          </cell>
          <cell r="B3824">
            <v>2021</v>
          </cell>
          <cell r="C3824" t="str">
            <v>mainvz</v>
          </cell>
          <cell r="D3824">
            <v>17.521306991577148</v>
          </cell>
        </row>
        <row r="3825">
          <cell r="A3825" t="str">
            <v>IND</v>
          </cell>
          <cell r="B3825">
            <v>2010</v>
          </cell>
          <cell r="C3825" t="str">
            <v>madeficit_</v>
          </cell>
          <cell r="D3825">
            <v>-6.9950089454650879</v>
          </cell>
        </row>
        <row r="3826">
          <cell r="A3826" t="str">
            <v>IND</v>
          </cell>
          <cell r="B3826">
            <v>2011</v>
          </cell>
          <cell r="C3826" t="str">
            <v>maexpz</v>
          </cell>
          <cell r="D3826">
            <v>15.492981910705566</v>
          </cell>
        </row>
        <row r="3827">
          <cell r="A3827" t="str">
            <v>IND</v>
          </cell>
          <cell r="B3827">
            <v>2026</v>
          </cell>
          <cell r="C3827" t="str">
            <v>maconz</v>
          </cell>
          <cell r="D3827">
            <v>6.8000001907348633</v>
          </cell>
        </row>
        <row r="3828">
          <cell r="A3828" t="str">
            <v>IND</v>
          </cell>
          <cell r="B3828">
            <v>2016</v>
          </cell>
          <cell r="C3828" t="str">
            <v>madebt_</v>
          </cell>
          <cell r="D3828">
            <v>68.767143249511719</v>
          </cell>
        </row>
        <row r="3829">
          <cell r="A3829" t="str">
            <v>IND</v>
          </cell>
          <cell r="B3829">
            <v>2012</v>
          </cell>
          <cell r="C3829" t="str">
            <v>maagrfc</v>
          </cell>
          <cell r="D3829">
            <v>1.4874622821807861</v>
          </cell>
        </row>
        <row r="3830">
          <cell r="A3830" t="str">
            <v>IND</v>
          </cell>
          <cell r="B3830">
            <v>2017</v>
          </cell>
          <cell r="C3830" t="str">
            <v>mar_con</v>
          </cell>
          <cell r="D3830">
            <v>55.769962310791016</v>
          </cell>
        </row>
        <row r="3831">
          <cell r="A3831" t="str">
            <v>IND</v>
          </cell>
          <cell r="B3831">
            <v>2023</v>
          </cell>
          <cell r="C3831" t="str">
            <v>mar_expz</v>
          </cell>
          <cell r="D3831">
            <v>22.967109680175781</v>
          </cell>
        </row>
        <row r="3832">
          <cell r="A3832" t="str">
            <v>IND</v>
          </cell>
          <cell r="B3832">
            <v>2005</v>
          </cell>
          <cell r="C3832" t="str">
            <v>macab_</v>
          </cell>
          <cell r="D3832">
            <v>-1.2022665739059448</v>
          </cell>
        </row>
        <row r="3833">
          <cell r="A3833" t="str">
            <v>IND</v>
          </cell>
          <cell r="B3833">
            <v>2010</v>
          </cell>
          <cell r="C3833" t="str">
            <v>mac_tfpz</v>
          </cell>
          <cell r="D3833">
            <v>1.9799666404724121</v>
          </cell>
        </row>
        <row r="3834">
          <cell r="A3834" t="str">
            <v>LKA</v>
          </cell>
          <cell r="B3834">
            <v>2006</v>
          </cell>
          <cell r="C3834" t="str">
            <v>mar_taxfc</v>
          </cell>
          <cell r="D3834">
            <v>11.484939575195313</v>
          </cell>
        </row>
        <row r="3835">
          <cell r="A3835" t="str">
            <v>LKA</v>
          </cell>
          <cell r="B3835">
            <v>2021</v>
          </cell>
          <cell r="C3835" t="str">
            <v>mareer</v>
          </cell>
          <cell r="D3835">
            <v>87.399925231933594</v>
          </cell>
        </row>
        <row r="3836">
          <cell r="A3836" t="str">
            <v>LKA</v>
          </cell>
          <cell r="B3836">
            <v>2020</v>
          </cell>
          <cell r="C3836" t="str">
            <v>mapanusatls</v>
          </cell>
          <cell r="D3836">
            <v>185.5238037109375</v>
          </cell>
        </row>
        <row r="3837">
          <cell r="A3837" t="str">
            <v>LKA</v>
          </cell>
          <cell r="B3837">
            <v>2006</v>
          </cell>
          <cell r="C3837" t="str">
            <v>maconz</v>
          </cell>
          <cell r="D3837">
            <v>6.5498824119567871</v>
          </cell>
        </row>
        <row r="3838">
          <cell r="A3838" t="str">
            <v>LKA</v>
          </cell>
          <cell r="B3838">
            <v>2011</v>
          </cell>
          <cell r="C3838" t="str">
            <v>magovz</v>
          </cell>
          <cell r="D3838">
            <v>-2.0986487865447998</v>
          </cell>
        </row>
        <row r="3839">
          <cell r="A3839" t="str">
            <v>LKA</v>
          </cell>
          <cell r="B3839">
            <v>2018</v>
          </cell>
          <cell r="C3839" t="str">
            <v>mar_con</v>
          </cell>
          <cell r="D3839">
            <v>59.850379943847656</v>
          </cell>
        </row>
        <row r="3840">
          <cell r="A3840" t="str">
            <v>LKA</v>
          </cell>
          <cell r="B3840">
            <v>2025</v>
          </cell>
          <cell r="C3840" t="str">
            <v>maindfc</v>
          </cell>
          <cell r="D3840">
            <v>2.7000000476837158</v>
          </cell>
        </row>
        <row r="3841">
          <cell r="A3841" t="str">
            <v>LKA</v>
          </cell>
          <cell r="B3841">
            <v>2006</v>
          </cell>
          <cell r="C3841" t="str">
            <v>mar_srvfc</v>
          </cell>
          <cell r="D3841">
            <v>61.050502777099609</v>
          </cell>
        </row>
        <row r="3842">
          <cell r="A3842" t="str">
            <v>LKA</v>
          </cell>
          <cell r="B3842">
            <v>2018</v>
          </cell>
          <cell r="C3842" t="str">
            <v>maindfc</v>
          </cell>
          <cell r="D3842">
            <v>-1.0696506500244141</v>
          </cell>
        </row>
        <row r="3843">
          <cell r="A3843" t="str">
            <v>LKA</v>
          </cell>
          <cell r="B3843">
            <v>2018</v>
          </cell>
          <cell r="C3843" t="str">
            <v>malabz</v>
          </cell>
          <cell r="D3843">
            <v>1.1322383880615234</v>
          </cell>
        </row>
        <row r="3844">
          <cell r="A3844" t="str">
            <v>LKA</v>
          </cell>
          <cell r="B3844">
            <v>2015</v>
          </cell>
          <cell r="C3844" t="str">
            <v>magap_</v>
          </cell>
          <cell r="D3844">
            <v>17.895156860351563</v>
          </cell>
        </row>
        <row r="3845">
          <cell r="A3845" t="str">
            <v>LKA</v>
          </cell>
          <cell r="B3845">
            <v>2016</v>
          </cell>
          <cell r="C3845" t="str">
            <v>maagrfc</v>
          </cell>
          <cell r="D3845">
            <v>-4.6664175987243652</v>
          </cell>
        </row>
        <row r="3846">
          <cell r="A3846" t="str">
            <v>LKA</v>
          </cell>
          <cell r="B3846">
            <v>2013</v>
          </cell>
          <cell r="C3846" t="str">
            <v>madebt_</v>
          </cell>
          <cell r="D3846">
            <v>70.821098327636719</v>
          </cell>
        </row>
        <row r="3847">
          <cell r="A3847" t="str">
            <v>LKA</v>
          </cell>
          <cell r="B3847">
            <v>2020</v>
          </cell>
          <cell r="C3847" t="str">
            <v>maexpz</v>
          </cell>
          <cell r="D3847">
            <v>-29.558769226074219</v>
          </cell>
        </row>
        <row r="3848">
          <cell r="A3848" t="str">
            <v>LKA</v>
          </cell>
          <cell r="B3848">
            <v>2014</v>
          </cell>
          <cell r="C3848" t="str">
            <v>mar_impz</v>
          </cell>
          <cell r="D3848">
            <v>27.979972839355469</v>
          </cell>
        </row>
        <row r="3849">
          <cell r="A3849" t="str">
            <v>LKA</v>
          </cell>
          <cell r="B3849">
            <v>2022</v>
          </cell>
          <cell r="C3849" t="str">
            <v>mar_agrfc</v>
          </cell>
          <cell r="D3849">
            <v>7.9635758399963379</v>
          </cell>
        </row>
        <row r="3850">
          <cell r="A3850" t="str">
            <v>LKA</v>
          </cell>
          <cell r="B3850">
            <v>2010</v>
          </cell>
          <cell r="C3850" t="str">
            <v>matfpz</v>
          </cell>
          <cell r="D3850">
            <v>2.8417344093322754</v>
          </cell>
        </row>
        <row r="3851">
          <cell r="A3851" t="str">
            <v>LKA</v>
          </cell>
          <cell r="B3851">
            <v>2013</v>
          </cell>
          <cell r="C3851" t="str">
            <v>macpiz</v>
          </cell>
          <cell r="D3851">
            <v>6.9084739685058594</v>
          </cell>
        </row>
        <row r="3852">
          <cell r="A3852" t="str">
            <v>LKA</v>
          </cell>
          <cell r="B3852">
            <v>2008</v>
          </cell>
          <cell r="C3852" t="str">
            <v>mainvz</v>
          </cell>
          <cell r="D3852">
            <v>5.2969245910644531</v>
          </cell>
        </row>
        <row r="3853">
          <cell r="A3853" t="str">
            <v>LKA</v>
          </cell>
          <cell r="B3853">
            <v>2020</v>
          </cell>
          <cell r="C3853" t="str">
            <v>macpiz</v>
          </cell>
          <cell r="D3853">
            <v>4.5999999046325684</v>
          </cell>
        </row>
        <row r="3854">
          <cell r="A3854" t="str">
            <v>LKA</v>
          </cell>
          <cell r="B3854">
            <v>2026</v>
          </cell>
          <cell r="C3854" t="str">
            <v>mac_tfpz</v>
          </cell>
          <cell r="D3854">
            <v>-1.8593580722808838</v>
          </cell>
        </row>
        <row r="3855">
          <cell r="A3855" t="str">
            <v>LKA</v>
          </cell>
          <cell r="B3855">
            <v>2021</v>
          </cell>
          <cell r="C3855" t="str">
            <v>maimpz</v>
          </cell>
          <cell r="D3855">
            <v>4.1034717559814453</v>
          </cell>
        </row>
        <row r="3856">
          <cell r="A3856" t="str">
            <v>LKA</v>
          </cell>
          <cell r="B3856">
            <v>2026</v>
          </cell>
          <cell r="C3856" t="str">
            <v>madeficit_</v>
          </cell>
          <cell r="D3856">
            <v>-11.053271293640137</v>
          </cell>
        </row>
        <row r="3857">
          <cell r="A3857" t="str">
            <v>LKA</v>
          </cell>
          <cell r="B3857">
            <v>2015</v>
          </cell>
          <cell r="C3857" t="str">
            <v>mar_taxfc</v>
          </cell>
          <cell r="D3857">
            <v>8.7394123077392578</v>
          </cell>
        </row>
        <row r="3858">
          <cell r="A3858" t="str">
            <v>LKA</v>
          </cell>
          <cell r="B3858">
            <v>2020</v>
          </cell>
          <cell r="C3858" t="str">
            <v>maconz</v>
          </cell>
          <cell r="D3858">
            <v>-5.7638454437255859</v>
          </cell>
        </row>
        <row r="3859">
          <cell r="A3859" t="str">
            <v>LKA</v>
          </cell>
          <cell r="B3859">
            <v>2024</v>
          </cell>
          <cell r="C3859" t="str">
            <v>magovz</v>
          </cell>
          <cell r="D3859">
            <v>-0.34020829200744629</v>
          </cell>
        </row>
        <row r="3860">
          <cell r="A3860" t="str">
            <v>LKA</v>
          </cell>
          <cell r="B3860">
            <v>2022</v>
          </cell>
          <cell r="C3860" t="str">
            <v>mar_impz</v>
          </cell>
          <cell r="D3860">
            <v>19.49981689453125</v>
          </cell>
        </row>
        <row r="3861">
          <cell r="A3861" t="str">
            <v>LKA</v>
          </cell>
          <cell r="B3861">
            <v>2019</v>
          </cell>
          <cell r="C3861" t="str">
            <v>mac_tfpz</v>
          </cell>
          <cell r="D3861">
            <v>1.1348510980606079</v>
          </cell>
        </row>
        <row r="3862">
          <cell r="A3862" t="str">
            <v>LKA</v>
          </cell>
          <cell r="B3862">
            <v>2011</v>
          </cell>
          <cell r="C3862" t="str">
            <v>mar_indfc</v>
          </cell>
          <cell r="D3862">
            <v>29.851779937744141</v>
          </cell>
        </row>
        <row r="3863">
          <cell r="A3863" t="str">
            <v>LKA</v>
          </cell>
          <cell r="B3863">
            <v>2015</v>
          </cell>
          <cell r="C3863" t="str">
            <v>maexpz</v>
          </cell>
          <cell r="D3863">
            <v>50.036708831787109</v>
          </cell>
        </row>
        <row r="3864">
          <cell r="A3864" t="str">
            <v>LKA</v>
          </cell>
          <cell r="B3864">
            <v>2022</v>
          </cell>
          <cell r="C3864" t="str">
            <v>magdpz</v>
          </cell>
          <cell r="D3864">
            <v>-7.3468284606933594</v>
          </cell>
        </row>
        <row r="3865">
          <cell r="A3865" t="str">
            <v>LKA</v>
          </cell>
          <cell r="B3865">
            <v>2023</v>
          </cell>
          <cell r="C3865" t="str">
            <v>maexpz</v>
          </cell>
          <cell r="D3865">
            <v>1.8470433950424194</v>
          </cell>
        </row>
        <row r="3866">
          <cell r="A3866" t="str">
            <v>LKA</v>
          </cell>
          <cell r="B3866">
            <v>2022</v>
          </cell>
          <cell r="C3866" t="str">
            <v>mar_taxfc</v>
          </cell>
          <cell r="D3866">
            <v>6.3262782096862793</v>
          </cell>
        </row>
        <row r="3867">
          <cell r="A3867" t="str">
            <v>LKA</v>
          </cell>
          <cell r="B3867">
            <v>2007</v>
          </cell>
          <cell r="C3867" t="str">
            <v>mainvz</v>
          </cell>
          <cell r="D3867">
            <v>9.143427848815918</v>
          </cell>
        </row>
        <row r="3868">
          <cell r="A3868" t="str">
            <v>LKA</v>
          </cell>
          <cell r="B3868">
            <v>2012</v>
          </cell>
          <cell r="C3868" t="str">
            <v>madeficit_</v>
          </cell>
          <cell r="D3868">
            <v>-5.5994048118591309</v>
          </cell>
        </row>
        <row r="3869">
          <cell r="A3869" t="str">
            <v>LKA</v>
          </cell>
          <cell r="B3869">
            <v>2014</v>
          </cell>
          <cell r="C3869" t="str">
            <v>magovz</v>
          </cell>
          <cell r="D3869">
            <v>5.9758944511413574</v>
          </cell>
        </row>
        <row r="3870">
          <cell r="A3870" t="str">
            <v>LKA</v>
          </cell>
          <cell r="B3870">
            <v>2013</v>
          </cell>
          <cell r="C3870" t="str">
            <v>mapanusatls</v>
          </cell>
          <cell r="D3870">
            <v>129.06900024414063</v>
          </cell>
        </row>
        <row r="3871">
          <cell r="A3871" t="str">
            <v>LKA</v>
          </cell>
          <cell r="B3871">
            <v>2026</v>
          </cell>
          <cell r="C3871" t="str">
            <v>magovz</v>
          </cell>
          <cell r="D3871">
            <v>1.2564917802810669</v>
          </cell>
        </row>
        <row r="3872">
          <cell r="A3872" t="str">
            <v>LKA</v>
          </cell>
          <cell r="B3872">
            <v>2015</v>
          </cell>
          <cell r="C3872" t="str">
            <v>magdpz</v>
          </cell>
          <cell r="D3872">
            <v>40.453975677490234</v>
          </cell>
        </row>
        <row r="3873">
          <cell r="A3873" t="str">
            <v>LKA</v>
          </cell>
          <cell r="B3873">
            <v>2026</v>
          </cell>
          <cell r="C3873" t="str">
            <v>mar_expz</v>
          </cell>
          <cell r="D3873">
            <v>20.525211334228516</v>
          </cell>
        </row>
        <row r="3874">
          <cell r="A3874" t="str">
            <v>LKA</v>
          </cell>
          <cell r="B3874">
            <v>2018</v>
          </cell>
          <cell r="C3874" t="str">
            <v>maexpz</v>
          </cell>
          <cell r="D3874">
            <v>5.3750581741333008</v>
          </cell>
        </row>
        <row r="3875">
          <cell r="A3875" t="str">
            <v>LKA</v>
          </cell>
          <cell r="B3875">
            <v>2005</v>
          </cell>
          <cell r="C3875" t="str">
            <v>macpiz</v>
          </cell>
          <cell r="D3875">
            <v>11.639557838439941</v>
          </cell>
        </row>
        <row r="3876">
          <cell r="A3876" t="str">
            <v>LKA</v>
          </cell>
          <cell r="B3876">
            <v>2011</v>
          </cell>
          <cell r="C3876" t="str">
            <v>mac_labz</v>
          </cell>
          <cell r="D3876">
            <v>0.73748606443405151</v>
          </cell>
        </row>
        <row r="3877">
          <cell r="A3877" t="str">
            <v>LKA</v>
          </cell>
          <cell r="B3877">
            <v>2023</v>
          </cell>
          <cell r="C3877" t="str">
            <v>mar_srvfc</v>
          </cell>
          <cell r="D3877">
            <v>64.648780822753906</v>
          </cell>
        </row>
        <row r="3878">
          <cell r="A3878" t="str">
            <v>LKA</v>
          </cell>
          <cell r="B3878">
            <v>2017</v>
          </cell>
          <cell r="C3878" t="str">
            <v>maagrfc</v>
          </cell>
          <cell r="D3878">
            <v>-1.8257492780685425</v>
          </cell>
        </row>
        <row r="3879">
          <cell r="A3879" t="str">
            <v>LKA</v>
          </cell>
          <cell r="B3879">
            <v>2006</v>
          </cell>
          <cell r="C3879" t="str">
            <v>maindfc</v>
          </cell>
          <cell r="D3879">
            <v>8.1169977188110352</v>
          </cell>
        </row>
        <row r="3880">
          <cell r="A3880" t="str">
            <v>LKA</v>
          </cell>
          <cell r="B3880">
            <v>2012</v>
          </cell>
          <cell r="C3880" t="str">
            <v>mafdi_</v>
          </cell>
          <cell r="D3880">
            <v>-1.2817978858947754</v>
          </cell>
        </row>
        <row r="3881">
          <cell r="A3881" t="str">
            <v>LKA</v>
          </cell>
          <cell r="B3881">
            <v>2026</v>
          </cell>
          <cell r="C3881" t="str">
            <v>maconz</v>
          </cell>
          <cell r="D3881">
            <v>3.1400001049041748</v>
          </cell>
        </row>
        <row r="3882">
          <cell r="A3882" t="str">
            <v>LKA</v>
          </cell>
          <cell r="B3882">
            <v>2021</v>
          </cell>
          <cell r="C3882" t="str">
            <v>maagrfc</v>
          </cell>
          <cell r="D3882">
            <v>1.0097215175628662</v>
          </cell>
        </row>
        <row r="3883">
          <cell r="A3883" t="str">
            <v>LKA</v>
          </cell>
          <cell r="B3883">
            <v>2011</v>
          </cell>
          <cell r="C3883" t="str">
            <v>madeficit_</v>
          </cell>
          <cell r="D3883">
            <v>-6.2359247207641602</v>
          </cell>
        </row>
        <row r="3884">
          <cell r="A3884" t="str">
            <v>LKA</v>
          </cell>
          <cell r="B3884">
            <v>2015</v>
          </cell>
          <cell r="C3884" t="str">
            <v>mafdi_</v>
          </cell>
          <cell r="D3884">
            <v>-0.73525124788284302</v>
          </cell>
        </row>
        <row r="3885">
          <cell r="A3885" t="str">
            <v>LKA</v>
          </cell>
          <cell r="B3885">
            <v>2018</v>
          </cell>
          <cell r="C3885" t="str">
            <v>macab_</v>
          </cell>
          <cell r="D3885">
            <v>-2.9700908660888672</v>
          </cell>
        </row>
        <row r="3886">
          <cell r="A3886" t="str">
            <v>LKA</v>
          </cell>
          <cell r="B3886">
            <v>2011</v>
          </cell>
          <cell r="C3886" t="str">
            <v>mar_agrfc</v>
          </cell>
          <cell r="D3886">
            <v>9.1133499145507813</v>
          </cell>
        </row>
        <row r="3887">
          <cell r="A3887" t="str">
            <v>LKA</v>
          </cell>
          <cell r="B3887">
            <v>2007</v>
          </cell>
          <cell r="C3887" t="str">
            <v>mafdi_</v>
          </cell>
          <cell r="D3887">
            <v>-1.69395911693573</v>
          </cell>
        </row>
        <row r="3888">
          <cell r="A3888" t="str">
            <v>LKA</v>
          </cell>
          <cell r="B3888">
            <v>2023</v>
          </cell>
          <cell r="C3888" t="str">
            <v>mac_labz</v>
          </cell>
          <cell r="D3888">
            <v>0.5570141077041626</v>
          </cell>
        </row>
        <row r="3889">
          <cell r="A3889" t="str">
            <v>LKA</v>
          </cell>
          <cell r="B3889">
            <v>2014</v>
          </cell>
          <cell r="C3889" t="str">
            <v>mapanusatls</v>
          </cell>
          <cell r="D3889">
            <v>130.564697265625</v>
          </cell>
        </row>
        <row r="3890">
          <cell r="A3890" t="str">
            <v>LKA</v>
          </cell>
          <cell r="B3890">
            <v>2008</v>
          </cell>
          <cell r="C3890" t="str">
            <v>mar_expz</v>
          </cell>
          <cell r="D3890">
            <v>22.927101135253906</v>
          </cell>
        </row>
        <row r="3891">
          <cell r="A3891" t="str">
            <v>LKA</v>
          </cell>
          <cell r="B3891">
            <v>2005</v>
          </cell>
          <cell r="C3891" t="str">
            <v>mareer</v>
          </cell>
          <cell r="D3891">
            <v>0</v>
          </cell>
        </row>
        <row r="3892">
          <cell r="A3892" t="str">
            <v>LKA</v>
          </cell>
          <cell r="B3892">
            <v>2024</v>
          </cell>
          <cell r="C3892" t="str">
            <v>mar_con</v>
          </cell>
          <cell r="D3892">
            <v>59.1014404296875</v>
          </cell>
        </row>
        <row r="3893">
          <cell r="A3893" t="str">
            <v>LKA</v>
          </cell>
          <cell r="B3893">
            <v>2023</v>
          </cell>
          <cell r="C3893" t="str">
            <v>maimpz</v>
          </cell>
          <cell r="D3893">
            <v>-2.7221822738647461</v>
          </cell>
        </row>
        <row r="3894">
          <cell r="A3894" t="str">
            <v>LKA</v>
          </cell>
          <cell r="B3894">
            <v>2017</v>
          </cell>
          <cell r="C3894" t="str">
            <v>magovz</v>
          </cell>
          <cell r="D3894">
            <v>5.500330924987793</v>
          </cell>
        </row>
        <row r="3895">
          <cell r="A3895" t="str">
            <v>LKA</v>
          </cell>
          <cell r="B3895">
            <v>2026</v>
          </cell>
          <cell r="C3895" t="str">
            <v>masrvfc</v>
          </cell>
          <cell r="D3895">
            <v>3.3000199794769287</v>
          </cell>
        </row>
        <row r="3896">
          <cell r="A3896" t="str">
            <v>LKA</v>
          </cell>
          <cell r="B3896">
            <v>2013</v>
          </cell>
          <cell r="C3896" t="str">
            <v>maindfc</v>
          </cell>
          <cell r="D3896">
            <v>4.1009511947631836</v>
          </cell>
        </row>
        <row r="3897">
          <cell r="A3897" t="str">
            <v>LKA</v>
          </cell>
          <cell r="B3897">
            <v>2025</v>
          </cell>
          <cell r="C3897" t="str">
            <v>mac_tfpz</v>
          </cell>
          <cell r="D3897">
            <v>-1.827100396156311</v>
          </cell>
        </row>
        <row r="3898">
          <cell r="A3898" t="str">
            <v>LKA</v>
          </cell>
          <cell r="B3898">
            <v>2007</v>
          </cell>
          <cell r="C3898" t="str">
            <v>mac_labz</v>
          </cell>
          <cell r="D3898">
            <v>0.8216814398765564</v>
          </cell>
        </row>
        <row r="3899">
          <cell r="A3899" t="str">
            <v>LKA</v>
          </cell>
          <cell r="B3899">
            <v>2008</v>
          </cell>
          <cell r="C3899" t="str">
            <v>magdpz</v>
          </cell>
          <cell r="D3899">
            <v>5.9500880241394043</v>
          </cell>
        </row>
        <row r="3900">
          <cell r="A3900" t="str">
            <v>LKA</v>
          </cell>
          <cell r="B3900">
            <v>2011</v>
          </cell>
          <cell r="C3900" t="str">
            <v>mar_srvfc</v>
          </cell>
          <cell r="D3900">
            <v>61.034870147705078</v>
          </cell>
        </row>
        <row r="3901">
          <cell r="A3901" t="str">
            <v>LKA</v>
          </cell>
          <cell r="B3901">
            <v>2024</v>
          </cell>
          <cell r="C3901" t="str">
            <v>madebt_</v>
          </cell>
          <cell r="D3901">
            <v>106.11574554443359</v>
          </cell>
        </row>
        <row r="3902">
          <cell r="A3902" t="str">
            <v>LKA</v>
          </cell>
          <cell r="B3902">
            <v>2019</v>
          </cell>
          <cell r="C3902" t="str">
            <v>masrvfc</v>
          </cell>
          <cell r="D3902">
            <v>2.9292933940887451</v>
          </cell>
        </row>
        <row r="3903">
          <cell r="A3903" t="str">
            <v>LKA</v>
          </cell>
          <cell r="B3903">
            <v>2016</v>
          </cell>
          <cell r="C3903" t="str">
            <v>madebt_</v>
          </cell>
          <cell r="D3903">
            <v>80.656219482421875</v>
          </cell>
        </row>
        <row r="3904">
          <cell r="A3904" t="str">
            <v>LKA</v>
          </cell>
          <cell r="B3904">
            <v>2008</v>
          </cell>
          <cell r="C3904" t="str">
            <v>mapanusatls</v>
          </cell>
          <cell r="D3904">
            <v>108.33380126953125</v>
          </cell>
        </row>
        <row r="3905">
          <cell r="A3905" t="str">
            <v>LKA</v>
          </cell>
          <cell r="B3905">
            <v>2010</v>
          </cell>
          <cell r="C3905" t="str">
            <v>madeficit_</v>
          </cell>
          <cell r="D3905">
            <v>-6.954195499420166</v>
          </cell>
        </row>
        <row r="3906">
          <cell r="A3906" t="str">
            <v>LKA</v>
          </cell>
          <cell r="B3906">
            <v>2016</v>
          </cell>
          <cell r="C3906" t="str">
            <v>maexpz</v>
          </cell>
          <cell r="D3906">
            <v>4.874180793762207</v>
          </cell>
        </row>
        <row r="3907">
          <cell r="A3907" t="str">
            <v>LKA</v>
          </cell>
          <cell r="B3907">
            <v>2005</v>
          </cell>
          <cell r="C3907" t="str">
            <v>mataxfc</v>
          </cell>
          <cell r="D3907">
            <v>5.0645661354064941</v>
          </cell>
        </row>
        <row r="3908">
          <cell r="A3908" t="str">
            <v>LKA</v>
          </cell>
          <cell r="B3908">
            <v>2015</v>
          </cell>
          <cell r="C3908" t="str">
            <v>mareer</v>
          </cell>
          <cell r="D3908">
            <v>100</v>
          </cell>
        </row>
        <row r="3909">
          <cell r="A3909" t="str">
            <v>LKA</v>
          </cell>
          <cell r="B3909">
            <v>2014</v>
          </cell>
          <cell r="C3909" t="str">
            <v>macab_</v>
          </cell>
          <cell r="D3909">
            <v>-2.5059082508087158</v>
          </cell>
        </row>
        <row r="3910">
          <cell r="A3910" t="str">
            <v>LKA</v>
          </cell>
          <cell r="B3910">
            <v>2021</v>
          </cell>
          <cell r="C3910" t="str">
            <v>mac_labz</v>
          </cell>
          <cell r="D3910">
            <v>1.1018586158752441</v>
          </cell>
        </row>
        <row r="3911">
          <cell r="A3911" t="str">
            <v>LKA</v>
          </cell>
          <cell r="B3911">
            <v>2011</v>
          </cell>
          <cell r="C3911" t="str">
            <v>mar_expz</v>
          </cell>
          <cell r="D3911">
            <v>19.876127243041992</v>
          </cell>
        </row>
        <row r="3912">
          <cell r="A3912" t="str">
            <v>LKA</v>
          </cell>
          <cell r="B3912">
            <v>2019</v>
          </cell>
          <cell r="C3912" t="str">
            <v>malabz</v>
          </cell>
          <cell r="D3912">
            <v>1.0226317644119263</v>
          </cell>
        </row>
        <row r="3913">
          <cell r="A3913" t="str">
            <v>LKA</v>
          </cell>
          <cell r="B3913">
            <v>2010</v>
          </cell>
          <cell r="C3913" t="str">
            <v>mapanusatls</v>
          </cell>
          <cell r="D3913">
            <v>113.06449890136719</v>
          </cell>
        </row>
        <row r="3914">
          <cell r="A3914" t="str">
            <v>LKA</v>
          </cell>
          <cell r="B3914">
            <v>2019</v>
          </cell>
          <cell r="C3914" t="str">
            <v>matfpz</v>
          </cell>
          <cell r="D3914">
            <v>1.1348510980606079</v>
          </cell>
        </row>
        <row r="3915">
          <cell r="A3915" t="str">
            <v>LKA</v>
          </cell>
          <cell r="B3915">
            <v>2015</v>
          </cell>
          <cell r="C3915" t="str">
            <v>magovz</v>
          </cell>
          <cell r="D3915">
            <v>72.571029663085938</v>
          </cell>
        </row>
        <row r="3916">
          <cell r="A3916" t="str">
            <v>LKA</v>
          </cell>
          <cell r="B3916">
            <v>2024</v>
          </cell>
          <cell r="C3916" t="str">
            <v>masrvfc</v>
          </cell>
          <cell r="D3916">
            <v>2.1000297069549561</v>
          </cell>
        </row>
        <row r="3917">
          <cell r="A3917" t="str">
            <v>LKA</v>
          </cell>
          <cell r="B3917">
            <v>2024</v>
          </cell>
          <cell r="C3917" t="str">
            <v>mar_expz</v>
          </cell>
          <cell r="D3917">
            <v>20.484155654907227</v>
          </cell>
        </row>
        <row r="3918">
          <cell r="A3918" t="str">
            <v>LKA</v>
          </cell>
          <cell r="B3918">
            <v>2006</v>
          </cell>
          <cell r="C3918" t="str">
            <v>madeficit_</v>
          </cell>
          <cell r="D3918">
            <v>-7.0013065338134766</v>
          </cell>
        </row>
        <row r="3919">
          <cell r="A3919" t="str">
            <v>LKA</v>
          </cell>
          <cell r="B3919">
            <v>2018</v>
          </cell>
          <cell r="C3919" t="str">
            <v>mar_impz</v>
          </cell>
          <cell r="D3919">
            <v>27.848987579345703</v>
          </cell>
        </row>
        <row r="3920">
          <cell r="A3920" t="str">
            <v>LKA</v>
          </cell>
          <cell r="B3920">
            <v>2011</v>
          </cell>
          <cell r="C3920" t="str">
            <v>maconz</v>
          </cell>
          <cell r="D3920">
            <v>9.8922300338745117</v>
          </cell>
        </row>
        <row r="3921">
          <cell r="A3921" t="str">
            <v>LKA</v>
          </cell>
          <cell r="B3921">
            <v>2020</v>
          </cell>
          <cell r="C3921" t="str">
            <v>malabz</v>
          </cell>
          <cell r="D3921">
            <v>0.98330932855606079</v>
          </cell>
        </row>
        <row r="3922">
          <cell r="A3922" t="str">
            <v>LKA</v>
          </cell>
          <cell r="B3922">
            <v>2015</v>
          </cell>
          <cell r="C3922" t="str">
            <v>macab_</v>
          </cell>
          <cell r="D3922">
            <v>-2.2119731903076172</v>
          </cell>
        </row>
        <row r="3923">
          <cell r="A3923" t="str">
            <v>LKA</v>
          </cell>
          <cell r="B3923">
            <v>2017</v>
          </cell>
          <cell r="C3923" t="str">
            <v>macab_</v>
          </cell>
          <cell r="D3923">
            <v>-2.4440491199493408</v>
          </cell>
        </row>
        <row r="3924">
          <cell r="A3924" t="str">
            <v>LKA</v>
          </cell>
          <cell r="B3924">
            <v>2015</v>
          </cell>
          <cell r="C3924" t="str">
            <v>masrvfc</v>
          </cell>
          <cell r="D3924">
            <v>35.769916534423828</v>
          </cell>
        </row>
        <row r="3925">
          <cell r="A3925" t="str">
            <v>LKA</v>
          </cell>
          <cell r="B3925">
            <v>2006</v>
          </cell>
          <cell r="C3925" t="str">
            <v>magap_</v>
          </cell>
          <cell r="D3925">
            <v>0.94105070829391479</v>
          </cell>
        </row>
        <row r="3926">
          <cell r="A3926" t="str">
            <v>LKA</v>
          </cell>
          <cell r="B3926">
            <v>2011</v>
          </cell>
          <cell r="C3926" t="str">
            <v>maexpz</v>
          </cell>
          <cell r="D3926">
            <v>10.19999885559082</v>
          </cell>
        </row>
        <row r="3927">
          <cell r="A3927" t="str">
            <v>LKA</v>
          </cell>
          <cell r="B3927">
            <v>2020</v>
          </cell>
          <cell r="C3927" t="str">
            <v>mataxfc</v>
          </cell>
          <cell r="D3927">
            <v>-24.853876113891602</v>
          </cell>
        </row>
        <row r="3928">
          <cell r="A3928" t="str">
            <v>LKA</v>
          </cell>
          <cell r="B3928">
            <v>2024</v>
          </cell>
          <cell r="C3928" t="str">
            <v>mataxfc</v>
          </cell>
          <cell r="D3928">
            <v>2.1844871044158936</v>
          </cell>
        </row>
        <row r="3929">
          <cell r="A3929" t="str">
            <v>LKA</v>
          </cell>
          <cell r="B3929">
            <v>2019</v>
          </cell>
          <cell r="C3929" t="str">
            <v>mar_impz</v>
          </cell>
          <cell r="D3929">
            <v>26.932210922241211</v>
          </cell>
        </row>
        <row r="3930">
          <cell r="A3930" t="str">
            <v>LKA</v>
          </cell>
          <cell r="B3930">
            <v>2012</v>
          </cell>
          <cell r="C3930" t="str">
            <v>mac_labz</v>
          </cell>
          <cell r="D3930">
            <v>0.60713022947311401</v>
          </cell>
        </row>
        <row r="3931">
          <cell r="A3931" t="str">
            <v>LKA</v>
          </cell>
          <cell r="B3931">
            <v>2023</v>
          </cell>
          <cell r="C3931" t="str">
            <v>magap_</v>
          </cell>
          <cell r="D3931">
            <v>-13.227892875671387</v>
          </cell>
        </row>
        <row r="3932">
          <cell r="A3932" t="str">
            <v>LKA</v>
          </cell>
          <cell r="B3932">
            <v>2020</v>
          </cell>
          <cell r="C3932" t="str">
            <v>magdpz</v>
          </cell>
          <cell r="D3932">
            <v>-4.6245417594909668</v>
          </cell>
        </row>
        <row r="3933">
          <cell r="A3933" t="str">
            <v>LKA</v>
          </cell>
          <cell r="B3933">
            <v>2006</v>
          </cell>
          <cell r="C3933" t="str">
            <v>maagrfc</v>
          </cell>
          <cell r="D3933">
            <v>6.3245539665222168</v>
          </cell>
        </row>
        <row r="3934">
          <cell r="A3934" t="str">
            <v>LKA</v>
          </cell>
          <cell r="B3934">
            <v>2026</v>
          </cell>
          <cell r="C3934" t="str">
            <v>mataxfc</v>
          </cell>
          <cell r="D3934">
            <v>3.0429134368896484</v>
          </cell>
        </row>
        <row r="3935">
          <cell r="A3935" t="str">
            <v>LKA</v>
          </cell>
          <cell r="B3935">
            <v>2012</v>
          </cell>
          <cell r="C3935" t="str">
            <v>malabz</v>
          </cell>
          <cell r="D3935">
            <v>0.86732888221740723</v>
          </cell>
        </row>
        <row r="3936">
          <cell r="A3936" t="str">
            <v>LKA</v>
          </cell>
          <cell r="B3936">
            <v>2011</v>
          </cell>
          <cell r="C3936" t="str">
            <v>mar_con</v>
          </cell>
          <cell r="D3936">
            <v>69.390182495117188</v>
          </cell>
        </row>
        <row r="3937">
          <cell r="A3937" t="str">
            <v>LKA</v>
          </cell>
          <cell r="B3937">
            <v>2013</v>
          </cell>
          <cell r="C3937" t="str">
            <v>magdpz</v>
          </cell>
          <cell r="D3937">
            <v>3.3957288265228271</v>
          </cell>
        </row>
        <row r="3938">
          <cell r="A3938" t="str">
            <v>LKA</v>
          </cell>
          <cell r="B3938">
            <v>2018</v>
          </cell>
          <cell r="C3938" t="str">
            <v>masrvfc</v>
          </cell>
          <cell r="D3938">
            <v>4.2824339866638184</v>
          </cell>
        </row>
        <row r="3939">
          <cell r="A3939" t="str">
            <v>LKA</v>
          </cell>
          <cell r="B3939">
            <v>2015</v>
          </cell>
          <cell r="C3939" t="str">
            <v>mataxfc</v>
          </cell>
          <cell r="D3939">
            <v>22.559751510620117</v>
          </cell>
        </row>
        <row r="3940">
          <cell r="A3940" t="str">
            <v>LKA</v>
          </cell>
          <cell r="B3940">
            <v>2019</v>
          </cell>
          <cell r="C3940" t="str">
            <v>mar_agrfc</v>
          </cell>
          <cell r="D3940">
            <v>7.7896223068237305</v>
          </cell>
        </row>
        <row r="3941">
          <cell r="A3941" t="str">
            <v>LKA</v>
          </cell>
          <cell r="B3941">
            <v>2021</v>
          </cell>
          <cell r="C3941" t="str">
            <v>mar_con</v>
          </cell>
          <cell r="D3941">
            <v>60.609413146972656</v>
          </cell>
        </row>
        <row r="3942">
          <cell r="A3942" t="str">
            <v>LKA</v>
          </cell>
          <cell r="B3942">
            <v>2010</v>
          </cell>
          <cell r="C3942" t="str">
            <v>madebt_</v>
          </cell>
          <cell r="D3942">
            <v>71.569732666015625</v>
          </cell>
        </row>
        <row r="3943">
          <cell r="A3943" t="str">
            <v>LKA</v>
          </cell>
          <cell r="B3943">
            <v>2019</v>
          </cell>
          <cell r="C3943" t="str">
            <v>maagrfc</v>
          </cell>
          <cell r="D3943">
            <v>0.45381009578704834</v>
          </cell>
        </row>
        <row r="3944">
          <cell r="A3944" t="str">
            <v>LKA</v>
          </cell>
          <cell r="B3944">
            <v>2020</v>
          </cell>
          <cell r="C3944" t="str">
            <v>mar_taxfc</v>
          </cell>
          <cell r="D3944">
            <v>6.4522066116333008</v>
          </cell>
        </row>
        <row r="3945">
          <cell r="A3945" t="str">
            <v>LKA</v>
          </cell>
          <cell r="B3945">
            <v>2020</v>
          </cell>
          <cell r="C3945" t="str">
            <v>masrvfc</v>
          </cell>
          <cell r="D3945">
            <v>-1.9232679605484009</v>
          </cell>
        </row>
        <row r="3946">
          <cell r="A3946" t="str">
            <v>LKA</v>
          </cell>
          <cell r="B3946">
            <v>2023</v>
          </cell>
          <cell r="C3946" t="str">
            <v>mar_agrfc</v>
          </cell>
          <cell r="D3946">
            <v>8.3880825042724609</v>
          </cell>
        </row>
        <row r="3947">
          <cell r="A3947" t="str">
            <v>LKA</v>
          </cell>
          <cell r="B3947">
            <v>2009</v>
          </cell>
          <cell r="C3947" t="str">
            <v>magovz</v>
          </cell>
          <cell r="D3947">
            <v>15.999975204467773</v>
          </cell>
        </row>
        <row r="3948">
          <cell r="A3948" t="str">
            <v>LKA</v>
          </cell>
          <cell r="B3948">
            <v>2006</v>
          </cell>
          <cell r="C3948" t="str">
            <v>mar_indfc</v>
          </cell>
          <cell r="D3948">
            <v>29.183425903320313</v>
          </cell>
        </row>
        <row r="3949">
          <cell r="A3949" t="str">
            <v>LKA</v>
          </cell>
          <cell r="B3949">
            <v>2007</v>
          </cell>
          <cell r="C3949" t="str">
            <v>mataxfc</v>
          </cell>
          <cell r="D3949">
            <v>5.9346780776977539</v>
          </cell>
        </row>
        <row r="3950">
          <cell r="A3950" t="str">
            <v>LKA</v>
          </cell>
          <cell r="B3950">
            <v>2005</v>
          </cell>
          <cell r="C3950" t="str">
            <v>macab_</v>
          </cell>
          <cell r="D3950">
            <v>-2.6640713214874268</v>
          </cell>
        </row>
        <row r="3951">
          <cell r="A3951" t="str">
            <v>LKA</v>
          </cell>
          <cell r="B3951">
            <v>2006</v>
          </cell>
          <cell r="C3951" t="str">
            <v>maexpz</v>
          </cell>
          <cell r="D3951">
            <v>3.8404617309570313</v>
          </cell>
        </row>
        <row r="3952">
          <cell r="A3952" t="str">
            <v>LKA</v>
          </cell>
          <cell r="B3952">
            <v>2013</v>
          </cell>
          <cell r="C3952" t="str">
            <v>mareer</v>
          </cell>
          <cell r="D3952">
            <v>117.02773284912109</v>
          </cell>
        </row>
        <row r="3953">
          <cell r="A3953" t="str">
            <v>LKA</v>
          </cell>
          <cell r="B3953">
            <v>2012</v>
          </cell>
          <cell r="C3953" t="str">
            <v>mataxfc</v>
          </cell>
          <cell r="D3953">
            <v>2.3397235870361328</v>
          </cell>
        </row>
        <row r="3954">
          <cell r="A3954" t="str">
            <v>LKA</v>
          </cell>
          <cell r="B3954">
            <v>2009</v>
          </cell>
          <cell r="C3954" t="str">
            <v>macab_</v>
          </cell>
          <cell r="D3954">
            <v>-0.51038581132888794</v>
          </cell>
        </row>
        <row r="3955">
          <cell r="A3955" t="str">
            <v>LKA</v>
          </cell>
          <cell r="B3955">
            <v>2022</v>
          </cell>
          <cell r="C3955" t="str">
            <v>maimpz</v>
          </cell>
          <cell r="D3955">
            <v>-19.875038146972656</v>
          </cell>
        </row>
        <row r="3956">
          <cell r="A3956" t="str">
            <v>LKA</v>
          </cell>
          <cell r="B3956">
            <v>2020</v>
          </cell>
          <cell r="C3956" t="str">
            <v>madeficit_</v>
          </cell>
          <cell r="D3956">
            <v>-10.658698081970215</v>
          </cell>
        </row>
        <row r="3957">
          <cell r="A3957" t="str">
            <v>LKA</v>
          </cell>
          <cell r="B3957">
            <v>2026</v>
          </cell>
          <cell r="C3957" t="str">
            <v>madebt_</v>
          </cell>
          <cell r="D3957">
            <v>110.38621520996094</v>
          </cell>
        </row>
        <row r="3958">
          <cell r="A3958" t="str">
            <v>LKA</v>
          </cell>
          <cell r="B3958">
            <v>2022</v>
          </cell>
          <cell r="C3958" t="str">
            <v>mac_labz</v>
          </cell>
          <cell r="D3958">
            <v>0.4411681592464447</v>
          </cell>
        </row>
        <row r="3959">
          <cell r="A3959" t="str">
            <v>LKA</v>
          </cell>
          <cell r="B3959">
            <v>2020</v>
          </cell>
          <cell r="C3959" t="str">
            <v>mareer</v>
          </cell>
          <cell r="D3959">
            <v>93.362678527832031</v>
          </cell>
        </row>
        <row r="3960">
          <cell r="A3960" t="str">
            <v>LKA</v>
          </cell>
          <cell r="B3960">
            <v>2019</v>
          </cell>
          <cell r="C3960" t="str">
            <v>mar_expz</v>
          </cell>
          <cell r="D3960">
            <v>21.083652496337891</v>
          </cell>
        </row>
        <row r="3961">
          <cell r="A3961" t="str">
            <v>LKA</v>
          </cell>
          <cell r="B3961">
            <v>2018</v>
          </cell>
          <cell r="C3961" t="str">
            <v>mar_taxfc</v>
          </cell>
          <cell r="D3961">
            <v>8.9711036682128906</v>
          </cell>
        </row>
        <row r="3962">
          <cell r="A3962" t="str">
            <v>LKA</v>
          </cell>
          <cell r="B3962">
            <v>2007</v>
          </cell>
          <cell r="C3962" t="str">
            <v>madebt_</v>
          </cell>
          <cell r="D3962">
            <v>84.997207641601563</v>
          </cell>
        </row>
        <row r="3963">
          <cell r="A3963" t="str">
            <v>LKA</v>
          </cell>
          <cell r="B3963">
            <v>2017</v>
          </cell>
          <cell r="C3963" t="str">
            <v>mar_agrfc</v>
          </cell>
          <cell r="D3963">
            <v>7.5112972259521484</v>
          </cell>
        </row>
        <row r="3964">
          <cell r="A3964" t="str">
            <v>LKA</v>
          </cell>
          <cell r="B3964">
            <v>2006</v>
          </cell>
          <cell r="C3964" t="str">
            <v>madebt_</v>
          </cell>
          <cell r="D3964">
            <v>87.884658813476563</v>
          </cell>
        </row>
        <row r="3965">
          <cell r="A3965" t="str">
            <v>LKA</v>
          </cell>
          <cell r="B3965">
            <v>2017</v>
          </cell>
          <cell r="C3965" t="str">
            <v>mareer</v>
          </cell>
          <cell r="D3965">
            <v>99.607719421386719</v>
          </cell>
        </row>
        <row r="3966">
          <cell r="A3966" t="str">
            <v>LKA</v>
          </cell>
          <cell r="B3966">
            <v>2024</v>
          </cell>
          <cell r="C3966" t="str">
            <v>mar_taxfc</v>
          </cell>
          <cell r="D3966">
            <v>6.6795539855957031</v>
          </cell>
        </row>
        <row r="3967">
          <cell r="A3967" t="str">
            <v>LKA</v>
          </cell>
          <cell r="B3967">
            <v>2019</v>
          </cell>
          <cell r="C3967" t="str">
            <v>mainvz</v>
          </cell>
          <cell r="D3967">
            <v>-12.118195533752441</v>
          </cell>
        </row>
        <row r="3968">
          <cell r="A3968" t="str">
            <v>LKA</v>
          </cell>
          <cell r="B3968">
            <v>2007</v>
          </cell>
          <cell r="C3968" t="str">
            <v>magap_</v>
          </cell>
          <cell r="D3968">
            <v>0.80753940343856812</v>
          </cell>
        </row>
        <row r="3969">
          <cell r="A3969" t="str">
            <v>LKA</v>
          </cell>
          <cell r="B3969">
            <v>2026</v>
          </cell>
          <cell r="C3969" t="str">
            <v>mar_indfc</v>
          </cell>
          <cell r="D3969">
            <v>27.095693588256836</v>
          </cell>
        </row>
        <row r="3970">
          <cell r="A3970" t="str">
            <v>LKA</v>
          </cell>
          <cell r="B3970">
            <v>2020</v>
          </cell>
          <cell r="C3970" t="str">
            <v>madebt_</v>
          </cell>
          <cell r="D3970">
            <v>104.99114227294922</v>
          </cell>
        </row>
        <row r="3971">
          <cell r="A3971" t="str">
            <v>LKA</v>
          </cell>
          <cell r="B3971">
            <v>2026</v>
          </cell>
          <cell r="C3971" t="str">
            <v>mar_taxfc</v>
          </cell>
          <cell r="D3971">
            <v>6.6795558929443359</v>
          </cell>
        </row>
        <row r="3972">
          <cell r="A3972" t="str">
            <v>LKA</v>
          </cell>
          <cell r="B3972">
            <v>2008</v>
          </cell>
          <cell r="C3972" t="str">
            <v>macab_</v>
          </cell>
          <cell r="D3972">
            <v>-9.5431985855102539</v>
          </cell>
        </row>
        <row r="3973">
          <cell r="A3973" t="str">
            <v>LKA</v>
          </cell>
          <cell r="B3973">
            <v>2018</v>
          </cell>
          <cell r="C3973" t="str">
            <v>mapanusatls</v>
          </cell>
          <cell r="D3973">
            <v>162.48109436035156</v>
          </cell>
        </row>
        <row r="3974">
          <cell r="A3974" t="str">
            <v>LKA</v>
          </cell>
          <cell r="B3974">
            <v>2010</v>
          </cell>
          <cell r="C3974" t="str">
            <v>maindfc</v>
          </cell>
          <cell r="D3974">
            <v>8.4442024230957031</v>
          </cell>
        </row>
        <row r="3975">
          <cell r="A3975" t="str">
            <v>LKA</v>
          </cell>
          <cell r="B3975">
            <v>2013</v>
          </cell>
          <cell r="C3975" t="str">
            <v>mar_expz</v>
          </cell>
          <cell r="D3975">
            <v>18.747503280639648</v>
          </cell>
        </row>
        <row r="3976">
          <cell r="A3976" t="str">
            <v>LKA</v>
          </cell>
          <cell r="B3976">
            <v>2019</v>
          </cell>
          <cell r="C3976" t="str">
            <v>maexpz</v>
          </cell>
          <cell r="D3976">
            <v>1.7041603326797485</v>
          </cell>
        </row>
        <row r="3977">
          <cell r="A3977" t="str">
            <v>LKA</v>
          </cell>
          <cell r="B3977">
            <v>2008</v>
          </cell>
          <cell r="C3977" t="str">
            <v>matfpz</v>
          </cell>
          <cell r="D3977">
            <v>2.3635854721069336</v>
          </cell>
        </row>
        <row r="3978">
          <cell r="A3978" t="str">
            <v>LKA</v>
          </cell>
          <cell r="B3978">
            <v>2026</v>
          </cell>
          <cell r="C3978" t="str">
            <v>mac_labz</v>
          </cell>
          <cell r="D3978">
            <v>0.43859568238258362</v>
          </cell>
        </row>
        <row r="3979">
          <cell r="A3979" t="str">
            <v>LKA</v>
          </cell>
          <cell r="B3979">
            <v>2024</v>
          </cell>
          <cell r="C3979" t="str">
            <v>mainvz</v>
          </cell>
          <cell r="D3979">
            <v>3.3004896640777588</v>
          </cell>
        </row>
        <row r="3980">
          <cell r="A3980" t="str">
            <v>LKA</v>
          </cell>
          <cell r="B3980">
            <v>2008</v>
          </cell>
          <cell r="C3980" t="str">
            <v>magovz</v>
          </cell>
          <cell r="D3980">
            <v>9.7770147323608398</v>
          </cell>
        </row>
        <row r="3981">
          <cell r="A3981" t="str">
            <v>LKA</v>
          </cell>
          <cell r="B3981">
            <v>2020</v>
          </cell>
          <cell r="C3981" t="str">
            <v>mafdi_</v>
          </cell>
          <cell r="D3981">
            <v>-0.49800992012023926</v>
          </cell>
        </row>
        <row r="3982">
          <cell r="A3982" t="str">
            <v>LKA</v>
          </cell>
          <cell r="B3982">
            <v>2005</v>
          </cell>
          <cell r="C3982" t="str">
            <v>mapanusatls</v>
          </cell>
          <cell r="D3982">
            <v>100.49810028076172</v>
          </cell>
        </row>
        <row r="3983">
          <cell r="A3983" t="str">
            <v>LKA</v>
          </cell>
          <cell r="B3983">
            <v>2013</v>
          </cell>
          <cell r="C3983" t="str">
            <v>mar_agrfc</v>
          </cell>
          <cell r="D3983">
            <v>8.5712127685546875</v>
          </cell>
        </row>
        <row r="3984">
          <cell r="A3984" t="str">
            <v>LKA</v>
          </cell>
          <cell r="B3984">
            <v>2024</v>
          </cell>
          <cell r="C3984" t="str">
            <v>macab_</v>
          </cell>
          <cell r="D3984">
            <v>0.69516670703887939</v>
          </cell>
        </row>
        <row r="3985">
          <cell r="A3985" t="str">
            <v>LKA</v>
          </cell>
          <cell r="B3985">
            <v>2016</v>
          </cell>
          <cell r="C3985" t="str">
            <v>masrvfc</v>
          </cell>
          <cell r="D3985">
            <v>4.7420539855957031</v>
          </cell>
        </row>
        <row r="3986">
          <cell r="A3986" t="str">
            <v>LKA</v>
          </cell>
          <cell r="B3986">
            <v>2013</v>
          </cell>
          <cell r="C3986" t="str">
            <v>mar_indfc</v>
          </cell>
          <cell r="D3986">
            <v>29.693958282470703</v>
          </cell>
        </row>
        <row r="3987">
          <cell r="A3987" t="str">
            <v>LKA</v>
          </cell>
          <cell r="B3987">
            <v>2014</v>
          </cell>
          <cell r="C3987" t="str">
            <v>madeficit_</v>
          </cell>
          <cell r="D3987">
            <v>-5.7063536643981934</v>
          </cell>
        </row>
        <row r="3988">
          <cell r="A3988" t="str">
            <v>LKA</v>
          </cell>
          <cell r="B3988">
            <v>2013</v>
          </cell>
          <cell r="C3988" t="str">
            <v>macab_</v>
          </cell>
          <cell r="D3988">
            <v>-3.4186956882476807</v>
          </cell>
        </row>
        <row r="3989">
          <cell r="A3989" t="str">
            <v>LKA</v>
          </cell>
          <cell r="B3989">
            <v>2020</v>
          </cell>
          <cell r="C3989" t="str">
            <v>mar_srvfc</v>
          </cell>
          <cell r="D3989">
            <v>60.568225860595703</v>
          </cell>
        </row>
        <row r="3990">
          <cell r="A3990" t="str">
            <v>LKA</v>
          </cell>
          <cell r="B3990">
            <v>2012</v>
          </cell>
          <cell r="C3990" t="str">
            <v>mar_srvfc</v>
          </cell>
          <cell r="D3990">
            <v>61.765590667724609</v>
          </cell>
        </row>
        <row r="3991">
          <cell r="A3991" t="str">
            <v>LKA</v>
          </cell>
          <cell r="B3991">
            <v>2012</v>
          </cell>
          <cell r="C3991" t="str">
            <v>matfpz</v>
          </cell>
          <cell r="D3991">
            <v>3.1447134017944336</v>
          </cell>
        </row>
        <row r="3992">
          <cell r="A3992" t="str">
            <v>LKA</v>
          </cell>
          <cell r="B3992">
            <v>2025</v>
          </cell>
          <cell r="C3992" t="str">
            <v>maconz</v>
          </cell>
          <cell r="D3992">
            <v>2.5999999046325684</v>
          </cell>
        </row>
        <row r="3993">
          <cell r="A3993" t="str">
            <v>LKA</v>
          </cell>
          <cell r="B3993">
            <v>2008</v>
          </cell>
          <cell r="C3993" t="str">
            <v>madebt_</v>
          </cell>
          <cell r="D3993">
            <v>81.3697509765625</v>
          </cell>
        </row>
        <row r="3994">
          <cell r="A3994" t="str">
            <v>LKA</v>
          </cell>
          <cell r="B3994">
            <v>2025</v>
          </cell>
          <cell r="C3994" t="str">
            <v>madebt_</v>
          </cell>
          <cell r="D3994">
            <v>108.10977172851563</v>
          </cell>
        </row>
        <row r="3995">
          <cell r="A3995" t="str">
            <v>LKA</v>
          </cell>
          <cell r="B3995">
            <v>2021</v>
          </cell>
          <cell r="C3995" t="str">
            <v>madeficit_</v>
          </cell>
          <cell r="D3995">
            <v>-11.684552192687988</v>
          </cell>
        </row>
        <row r="3996">
          <cell r="A3996" t="str">
            <v>LKA</v>
          </cell>
          <cell r="B3996">
            <v>2018</v>
          </cell>
          <cell r="C3996" t="str">
            <v>mar_srvfc</v>
          </cell>
          <cell r="D3996">
            <v>58.448665618896484</v>
          </cell>
        </row>
        <row r="3997">
          <cell r="A3997" t="str">
            <v>LKA</v>
          </cell>
          <cell r="B3997">
            <v>2013</v>
          </cell>
          <cell r="C3997" t="str">
            <v>magovz</v>
          </cell>
          <cell r="D3997">
            <v>9.3609444797039032E-2</v>
          </cell>
        </row>
        <row r="3998">
          <cell r="A3998" t="str">
            <v>LKA</v>
          </cell>
          <cell r="B3998">
            <v>2014</v>
          </cell>
          <cell r="C3998" t="str">
            <v>mac_labz</v>
          </cell>
          <cell r="D3998">
            <v>0.46008574962615967</v>
          </cell>
        </row>
        <row r="3999">
          <cell r="A3999" t="str">
            <v>LKA</v>
          </cell>
          <cell r="B3999">
            <v>2014</v>
          </cell>
          <cell r="C3999" t="str">
            <v>mac_tfpz</v>
          </cell>
          <cell r="D3999">
            <v>3.0818252563476563</v>
          </cell>
        </row>
        <row r="4000">
          <cell r="A4000" t="str">
            <v>LKA</v>
          </cell>
          <cell r="B4000">
            <v>2021</v>
          </cell>
          <cell r="C4000" t="str">
            <v>magdpz</v>
          </cell>
          <cell r="D4000">
            <v>4.2075634002685547</v>
          </cell>
        </row>
        <row r="4001">
          <cell r="A4001" t="str">
            <v>LKA</v>
          </cell>
          <cell r="B4001">
            <v>2010</v>
          </cell>
          <cell r="C4001" t="str">
            <v>malabz</v>
          </cell>
          <cell r="D4001">
            <v>1.0138782262802124</v>
          </cell>
        </row>
        <row r="4002">
          <cell r="A4002" t="str">
            <v>LKA</v>
          </cell>
          <cell r="B4002">
            <v>2016</v>
          </cell>
          <cell r="C4002" t="str">
            <v>mac_tfpz</v>
          </cell>
          <cell r="D4002">
            <v>2.3624446392059326</v>
          </cell>
        </row>
        <row r="4003">
          <cell r="A4003" t="str">
            <v>LKA</v>
          </cell>
          <cell r="B4003">
            <v>2022</v>
          </cell>
          <cell r="C4003" t="str">
            <v>mainvz</v>
          </cell>
          <cell r="D4003">
            <v>-22.788511276245117</v>
          </cell>
        </row>
        <row r="4004">
          <cell r="A4004" t="str">
            <v>LKA</v>
          </cell>
          <cell r="B4004">
            <v>2008</v>
          </cell>
          <cell r="C4004" t="str">
            <v>mar_srvfc</v>
          </cell>
          <cell r="D4004">
            <v>61.028228759765625</v>
          </cell>
        </row>
        <row r="4005">
          <cell r="A4005" t="str">
            <v>LKA</v>
          </cell>
          <cell r="B4005">
            <v>2014</v>
          </cell>
          <cell r="C4005" t="str">
            <v>maexpz</v>
          </cell>
          <cell r="D4005">
            <v>4.2625746726989746</v>
          </cell>
        </row>
        <row r="4006">
          <cell r="A4006" t="str">
            <v>LKA</v>
          </cell>
          <cell r="B4006">
            <v>2025</v>
          </cell>
          <cell r="C4006" t="str">
            <v>mar_expz</v>
          </cell>
          <cell r="D4006">
            <v>20.522045135498047</v>
          </cell>
        </row>
        <row r="4007">
          <cell r="A4007" t="str">
            <v>LKA</v>
          </cell>
          <cell r="B4007">
            <v>2011</v>
          </cell>
          <cell r="C4007" t="str">
            <v>mareer</v>
          </cell>
          <cell r="D4007">
            <v>119.83985900878906</v>
          </cell>
        </row>
        <row r="4008">
          <cell r="A4008" t="str">
            <v>LKA</v>
          </cell>
          <cell r="B4008">
            <v>2008</v>
          </cell>
          <cell r="C4008" t="str">
            <v>mataxfc</v>
          </cell>
          <cell r="D4008">
            <v>6.3355627059936523</v>
          </cell>
        </row>
        <row r="4009">
          <cell r="A4009" t="str">
            <v>LKA</v>
          </cell>
          <cell r="B4009">
            <v>2016</v>
          </cell>
          <cell r="C4009" t="str">
            <v>mar_taxfc</v>
          </cell>
          <cell r="D4009">
            <v>9.0401420593261719</v>
          </cell>
        </row>
        <row r="4010">
          <cell r="A4010" t="str">
            <v>LKA</v>
          </cell>
          <cell r="B4010">
            <v>2011</v>
          </cell>
          <cell r="C4010" t="str">
            <v>mainvz</v>
          </cell>
          <cell r="D4010">
            <v>21.626474380493164</v>
          </cell>
        </row>
        <row r="4011">
          <cell r="A4011" t="str">
            <v>LKA</v>
          </cell>
          <cell r="B4011">
            <v>2022</v>
          </cell>
          <cell r="C4011" t="str">
            <v>mapanusatls</v>
          </cell>
          <cell r="D4011">
            <v>324.55059814453125</v>
          </cell>
        </row>
        <row r="4012">
          <cell r="A4012" t="str">
            <v>LKA</v>
          </cell>
          <cell r="B4012">
            <v>2012</v>
          </cell>
          <cell r="C4012" t="str">
            <v>maexpz</v>
          </cell>
          <cell r="D4012">
            <v>-0.18148800730705261</v>
          </cell>
        </row>
        <row r="4013">
          <cell r="A4013" t="str">
            <v>LKA</v>
          </cell>
          <cell r="B4013">
            <v>2011</v>
          </cell>
          <cell r="C4013" t="str">
            <v>magdpz</v>
          </cell>
          <cell r="D4013">
            <v>8.4047327041625977</v>
          </cell>
        </row>
        <row r="4014">
          <cell r="A4014" t="str">
            <v>LKA</v>
          </cell>
          <cell r="B4014">
            <v>2011</v>
          </cell>
          <cell r="C4014" t="str">
            <v>macpiz</v>
          </cell>
          <cell r="D4014">
            <v>6.7168002128601074</v>
          </cell>
        </row>
        <row r="4015">
          <cell r="A4015" t="str">
            <v>LKA</v>
          </cell>
          <cell r="B4015">
            <v>2016</v>
          </cell>
          <cell r="C4015" t="str">
            <v>magap_</v>
          </cell>
          <cell r="D4015">
            <v>12.720316886901855</v>
          </cell>
        </row>
        <row r="4016">
          <cell r="A4016" t="str">
            <v>LKA</v>
          </cell>
          <cell r="B4016">
            <v>2024</v>
          </cell>
          <cell r="C4016" t="str">
            <v>macpiz</v>
          </cell>
          <cell r="D4016">
            <v>7.8477001190185547</v>
          </cell>
        </row>
        <row r="4017">
          <cell r="A4017" t="str">
            <v>LKA</v>
          </cell>
          <cell r="B4017">
            <v>2011</v>
          </cell>
          <cell r="C4017" t="str">
            <v>mac_tfpz</v>
          </cell>
          <cell r="D4017">
            <v>3.0311622619628906</v>
          </cell>
        </row>
        <row r="4018">
          <cell r="A4018" t="str">
            <v>LKA</v>
          </cell>
          <cell r="B4018">
            <v>2005</v>
          </cell>
          <cell r="C4018" t="str">
            <v>mar_indfc</v>
          </cell>
          <cell r="D4018">
            <v>29.073064804077148</v>
          </cell>
        </row>
        <row r="4019">
          <cell r="A4019" t="str">
            <v>LKA</v>
          </cell>
          <cell r="B4019">
            <v>2025</v>
          </cell>
          <cell r="C4019" t="str">
            <v>magovz</v>
          </cell>
          <cell r="D4019">
            <v>0.157634437084198</v>
          </cell>
        </row>
        <row r="4020">
          <cell r="A4020" t="str">
            <v>LKA</v>
          </cell>
          <cell r="B4020">
            <v>2011</v>
          </cell>
          <cell r="C4020" t="str">
            <v>maagrfc</v>
          </cell>
          <cell r="D4020">
            <v>4.5951628684997559</v>
          </cell>
        </row>
        <row r="4021">
          <cell r="A4021" t="str">
            <v>LKA</v>
          </cell>
          <cell r="B4021">
            <v>2022</v>
          </cell>
          <cell r="C4021" t="str">
            <v>mar_srvfc</v>
          </cell>
          <cell r="D4021">
            <v>63.109283447265625</v>
          </cell>
        </row>
        <row r="4022">
          <cell r="A4022" t="str">
            <v>LKA</v>
          </cell>
          <cell r="B4022">
            <v>2010</v>
          </cell>
          <cell r="C4022" t="str">
            <v>mar_srvfc</v>
          </cell>
          <cell r="D4022">
            <v>60.858966827392578</v>
          </cell>
        </row>
        <row r="4023">
          <cell r="A4023" t="str">
            <v>LKA</v>
          </cell>
          <cell r="B4023">
            <v>2010</v>
          </cell>
          <cell r="C4023" t="str">
            <v>mar_impz</v>
          </cell>
          <cell r="D4023">
            <v>26.811567306518555</v>
          </cell>
        </row>
        <row r="4024">
          <cell r="A4024" t="str">
            <v>LKA</v>
          </cell>
          <cell r="B4024">
            <v>2014</v>
          </cell>
          <cell r="C4024" t="str">
            <v>matfpz</v>
          </cell>
          <cell r="D4024">
            <v>3.0818252563476563</v>
          </cell>
        </row>
        <row r="4025">
          <cell r="A4025" t="str">
            <v>LKA</v>
          </cell>
          <cell r="B4025">
            <v>2024</v>
          </cell>
          <cell r="C4025" t="str">
            <v>maexpz</v>
          </cell>
          <cell r="D4025">
            <v>2.5792012214660645</v>
          </cell>
        </row>
        <row r="4026">
          <cell r="A4026" t="str">
            <v>LKA</v>
          </cell>
          <cell r="B4026">
            <v>2005</v>
          </cell>
          <cell r="C4026" t="str">
            <v>maimpz</v>
          </cell>
          <cell r="D4026">
            <v>2.688157320022583</v>
          </cell>
        </row>
        <row r="4027">
          <cell r="A4027" t="str">
            <v>LKA</v>
          </cell>
          <cell r="B4027">
            <v>2005</v>
          </cell>
          <cell r="C4027" t="str">
            <v>maindfc</v>
          </cell>
          <cell r="D4027">
            <v>7.9863529205322266</v>
          </cell>
        </row>
        <row r="4028">
          <cell r="A4028" t="str">
            <v>LKA</v>
          </cell>
          <cell r="B4028">
            <v>2025</v>
          </cell>
          <cell r="C4028" t="str">
            <v>mar_taxfc</v>
          </cell>
          <cell r="D4028">
            <v>6.6795563697814941</v>
          </cell>
        </row>
        <row r="4029">
          <cell r="A4029" t="str">
            <v>LKA</v>
          </cell>
          <cell r="B4029">
            <v>2010</v>
          </cell>
          <cell r="C4029" t="str">
            <v>mainvz</v>
          </cell>
          <cell r="D4029">
            <v>9.1671257019042969</v>
          </cell>
        </row>
        <row r="4030">
          <cell r="A4030" t="str">
            <v>LKA</v>
          </cell>
          <cell r="B4030">
            <v>2007</v>
          </cell>
          <cell r="C4030" t="str">
            <v>maindfc</v>
          </cell>
          <cell r="D4030">
            <v>7.6064968109130859</v>
          </cell>
        </row>
        <row r="4031">
          <cell r="A4031" t="str">
            <v>LKA</v>
          </cell>
          <cell r="B4031">
            <v>2010</v>
          </cell>
          <cell r="C4031" t="str">
            <v>macab_</v>
          </cell>
          <cell r="D4031">
            <v>-1.8952593803405762</v>
          </cell>
        </row>
        <row r="4032">
          <cell r="A4032" t="str">
            <v>LKA</v>
          </cell>
          <cell r="B4032">
            <v>2024</v>
          </cell>
          <cell r="C4032" t="str">
            <v>mapanusatls</v>
          </cell>
          <cell r="D4032">
            <v>322.70001220703125</v>
          </cell>
        </row>
        <row r="4033">
          <cell r="A4033" t="str">
            <v>LKA</v>
          </cell>
          <cell r="B4033">
            <v>2010</v>
          </cell>
          <cell r="C4033" t="str">
            <v>mac_tfpz</v>
          </cell>
          <cell r="D4033">
            <v>2.8417344093322754</v>
          </cell>
        </row>
        <row r="4034">
          <cell r="A4034" t="str">
            <v>LKA</v>
          </cell>
          <cell r="B4034">
            <v>2010</v>
          </cell>
          <cell r="C4034" t="str">
            <v>maagrfc</v>
          </cell>
          <cell r="D4034">
            <v>6.9512777328491211</v>
          </cell>
        </row>
        <row r="4035">
          <cell r="A4035" t="str">
            <v>LKA</v>
          </cell>
          <cell r="B4035">
            <v>2009</v>
          </cell>
          <cell r="C4035" t="str">
            <v>matfpz</v>
          </cell>
          <cell r="D4035">
            <v>2.6055114269256592</v>
          </cell>
        </row>
        <row r="4036">
          <cell r="A4036" t="str">
            <v>LKA</v>
          </cell>
          <cell r="B4036">
            <v>2019</v>
          </cell>
          <cell r="C4036" t="str">
            <v>magovz</v>
          </cell>
          <cell r="D4036">
            <v>6.5575432777404785</v>
          </cell>
        </row>
        <row r="4037">
          <cell r="A4037" t="str">
            <v>LKA</v>
          </cell>
          <cell r="B4037">
            <v>2009</v>
          </cell>
          <cell r="C4037" t="str">
            <v>mataxfc</v>
          </cell>
          <cell r="D4037">
            <v>3.4484636783599854</v>
          </cell>
        </row>
        <row r="4038">
          <cell r="A4038" t="str">
            <v>LKA</v>
          </cell>
          <cell r="B4038">
            <v>2009</v>
          </cell>
          <cell r="C4038" t="str">
            <v>mar_taxfc</v>
          </cell>
          <cell r="D4038">
            <v>11.416689872741699</v>
          </cell>
        </row>
        <row r="4039">
          <cell r="A4039" t="str">
            <v>LKA</v>
          </cell>
          <cell r="B4039">
            <v>2012</v>
          </cell>
          <cell r="C4039" t="str">
            <v>mar_agrfc</v>
          </cell>
          <cell r="D4039">
            <v>8.6192312240600586</v>
          </cell>
        </row>
        <row r="4040">
          <cell r="A4040" t="str">
            <v>LKA</v>
          </cell>
          <cell r="B4040">
            <v>2026</v>
          </cell>
          <cell r="C4040" t="str">
            <v>matfpz</v>
          </cell>
          <cell r="D4040">
            <v>-1.8593580722808838</v>
          </cell>
        </row>
        <row r="4041">
          <cell r="A4041" t="str">
            <v>LKA</v>
          </cell>
          <cell r="B4041">
            <v>2009</v>
          </cell>
          <cell r="C4041" t="str">
            <v>mar_impz</v>
          </cell>
          <cell r="D4041">
            <v>25.709281921386719</v>
          </cell>
        </row>
        <row r="4042">
          <cell r="A4042" t="str">
            <v>LKA</v>
          </cell>
          <cell r="B4042">
            <v>2009</v>
          </cell>
          <cell r="C4042" t="str">
            <v>mar_expz</v>
          </cell>
          <cell r="D4042">
            <v>19.418550491333008</v>
          </cell>
        </row>
        <row r="4043">
          <cell r="A4043" t="str">
            <v>LKA</v>
          </cell>
          <cell r="B4043">
            <v>2016</v>
          </cell>
          <cell r="C4043" t="str">
            <v>maconz</v>
          </cell>
          <cell r="D4043">
            <v>2.8804225921630859</v>
          </cell>
        </row>
        <row r="4044">
          <cell r="A4044" t="str">
            <v>LKA</v>
          </cell>
          <cell r="B4044">
            <v>2013</v>
          </cell>
          <cell r="C4044" t="str">
            <v>matfpz</v>
          </cell>
          <cell r="D4044">
            <v>3.1648604869842529</v>
          </cell>
        </row>
        <row r="4045">
          <cell r="A4045" t="str">
            <v>LKA</v>
          </cell>
          <cell r="B4045">
            <v>2009</v>
          </cell>
          <cell r="C4045" t="str">
            <v>madeficit_</v>
          </cell>
          <cell r="D4045">
            <v>-9.851750373840332</v>
          </cell>
        </row>
        <row r="4046">
          <cell r="A4046" t="str">
            <v>LKA</v>
          </cell>
          <cell r="B4046">
            <v>2022</v>
          </cell>
          <cell r="C4046" t="str">
            <v>mataxfc</v>
          </cell>
          <cell r="D4046">
            <v>-12.437738418579102</v>
          </cell>
        </row>
        <row r="4047">
          <cell r="A4047" t="str">
            <v>LKA</v>
          </cell>
          <cell r="B4047">
            <v>2007</v>
          </cell>
          <cell r="C4047" t="str">
            <v>matfpz</v>
          </cell>
          <cell r="D4047">
            <v>2.1230716705322266</v>
          </cell>
        </row>
        <row r="4048">
          <cell r="A4048" t="str">
            <v>LKA</v>
          </cell>
          <cell r="B4048">
            <v>2009</v>
          </cell>
          <cell r="C4048" t="str">
            <v>maagrfc</v>
          </cell>
          <cell r="D4048">
            <v>3.2179427146911621</v>
          </cell>
        </row>
        <row r="4049">
          <cell r="A4049" t="str">
            <v>LKA</v>
          </cell>
          <cell r="B4049">
            <v>2015</v>
          </cell>
          <cell r="C4049" t="str">
            <v>mar_srvfc</v>
          </cell>
          <cell r="D4049">
            <v>58.948310852050781</v>
          </cell>
        </row>
        <row r="4050">
          <cell r="A4050" t="str">
            <v>LKA</v>
          </cell>
          <cell r="B4050">
            <v>2018</v>
          </cell>
          <cell r="C4050" t="str">
            <v>mafdi_</v>
          </cell>
          <cell r="D4050">
            <v>-1.6330708265304565</v>
          </cell>
        </row>
        <row r="4051">
          <cell r="A4051" t="str">
            <v>LKA</v>
          </cell>
          <cell r="B4051">
            <v>2008</v>
          </cell>
          <cell r="C4051" t="str">
            <v>masrvfc</v>
          </cell>
          <cell r="D4051">
            <v>5.6493873596191406</v>
          </cell>
        </row>
        <row r="4052">
          <cell r="A4052" t="str">
            <v>LKA</v>
          </cell>
          <cell r="B4052">
            <v>2022</v>
          </cell>
          <cell r="C4052" t="str">
            <v>mar_con</v>
          </cell>
          <cell r="D4052">
            <v>59.526592254638672</v>
          </cell>
        </row>
        <row r="4053">
          <cell r="A4053" t="str">
            <v>LKA</v>
          </cell>
          <cell r="B4053">
            <v>2010</v>
          </cell>
          <cell r="C4053" t="str">
            <v>mareer</v>
          </cell>
          <cell r="D4053">
            <v>116.4755859375</v>
          </cell>
        </row>
        <row r="4054">
          <cell r="A4054" t="str">
            <v>LKA</v>
          </cell>
          <cell r="B4054">
            <v>2008</v>
          </cell>
          <cell r="C4054" t="str">
            <v>magap_</v>
          </cell>
          <cell r="D4054">
            <v>-0.46594348549842834</v>
          </cell>
        </row>
        <row r="4055">
          <cell r="A4055" t="str">
            <v>LKA</v>
          </cell>
          <cell r="B4055">
            <v>2008</v>
          </cell>
          <cell r="C4055" t="str">
            <v>madeficit_</v>
          </cell>
          <cell r="D4055">
            <v>-7.0203204154968262</v>
          </cell>
        </row>
        <row r="4056">
          <cell r="A4056" t="str">
            <v>LKA</v>
          </cell>
          <cell r="B4056">
            <v>2026</v>
          </cell>
          <cell r="C4056" t="str">
            <v>mar_impz</v>
          </cell>
          <cell r="D4056">
            <v>19.140697479248047</v>
          </cell>
        </row>
        <row r="4057">
          <cell r="A4057" t="str">
            <v>LKA</v>
          </cell>
          <cell r="B4057">
            <v>2016</v>
          </cell>
          <cell r="C4057" t="str">
            <v>malabz</v>
          </cell>
          <cell r="D4057">
            <v>0.70739012956619263</v>
          </cell>
        </row>
        <row r="4058">
          <cell r="A4058" t="str">
            <v>LKA</v>
          </cell>
          <cell r="B4058">
            <v>2020</v>
          </cell>
          <cell r="C4058" t="str">
            <v>maimpz</v>
          </cell>
          <cell r="D4058">
            <v>-20.06782341003418</v>
          </cell>
        </row>
        <row r="4059">
          <cell r="A4059" t="str">
            <v>LKA</v>
          </cell>
          <cell r="B4059">
            <v>2008</v>
          </cell>
          <cell r="C4059" t="str">
            <v>macpiz</v>
          </cell>
          <cell r="D4059">
            <v>22.564393997192383</v>
          </cell>
        </row>
        <row r="4060">
          <cell r="A4060" t="str">
            <v>LKA</v>
          </cell>
          <cell r="B4060">
            <v>2008</v>
          </cell>
          <cell r="C4060" t="str">
            <v>mac_tfpz</v>
          </cell>
          <cell r="D4060">
            <v>2.3635854721069336</v>
          </cell>
        </row>
        <row r="4061">
          <cell r="A4061" t="str">
            <v>LKA</v>
          </cell>
          <cell r="B4061">
            <v>2008</v>
          </cell>
          <cell r="C4061" t="str">
            <v>maimpz</v>
          </cell>
          <cell r="D4061">
            <v>4.0118393898010254</v>
          </cell>
        </row>
        <row r="4062">
          <cell r="A4062" t="str">
            <v>LKA</v>
          </cell>
          <cell r="B4062">
            <v>2024</v>
          </cell>
          <cell r="C4062" t="str">
            <v>mac_tfpz</v>
          </cell>
          <cell r="D4062">
            <v>-1.7889399528503418</v>
          </cell>
        </row>
        <row r="4063">
          <cell r="A4063" t="str">
            <v>LKA</v>
          </cell>
          <cell r="B4063">
            <v>2006</v>
          </cell>
          <cell r="C4063" t="str">
            <v>mar_agrfc</v>
          </cell>
          <cell r="D4063">
            <v>9.7660694122314453</v>
          </cell>
        </row>
        <row r="4064">
          <cell r="A4064" t="str">
            <v>LKA</v>
          </cell>
          <cell r="B4064">
            <v>2025</v>
          </cell>
          <cell r="C4064" t="str">
            <v>malabz</v>
          </cell>
          <cell r="D4064">
            <v>0.67843908071517944</v>
          </cell>
        </row>
        <row r="4065">
          <cell r="A4065" t="str">
            <v>LKA</v>
          </cell>
          <cell r="B4065">
            <v>2012</v>
          </cell>
          <cell r="C4065" t="str">
            <v>mac_tfpz</v>
          </cell>
          <cell r="D4065">
            <v>3.1447134017944336</v>
          </cell>
        </row>
        <row r="4066">
          <cell r="A4066" t="str">
            <v>LKA</v>
          </cell>
          <cell r="B4066">
            <v>2006</v>
          </cell>
          <cell r="C4066" t="str">
            <v>masrvfc</v>
          </cell>
          <cell r="D4066">
            <v>7.7376523017883301</v>
          </cell>
        </row>
        <row r="4067">
          <cell r="A4067" t="str">
            <v>LKA</v>
          </cell>
          <cell r="B4067">
            <v>2024</v>
          </cell>
          <cell r="C4067" t="str">
            <v>mac_labz</v>
          </cell>
          <cell r="D4067">
            <v>0.52108514308929443</v>
          </cell>
        </row>
        <row r="4068">
          <cell r="A4068" t="str">
            <v>LKA</v>
          </cell>
          <cell r="B4068">
            <v>2024</v>
          </cell>
          <cell r="C4068" t="str">
            <v>mareer</v>
          </cell>
          <cell r="D4068">
            <v>92.469108581542969</v>
          </cell>
        </row>
        <row r="4069">
          <cell r="A4069" t="str">
            <v>LKA</v>
          </cell>
          <cell r="B4069">
            <v>2023</v>
          </cell>
          <cell r="C4069" t="str">
            <v>mac_tfpz</v>
          </cell>
          <cell r="D4069">
            <v>-2.3171484470367432</v>
          </cell>
        </row>
        <row r="4070">
          <cell r="A4070" t="str">
            <v>LKA</v>
          </cell>
          <cell r="B4070">
            <v>2015</v>
          </cell>
          <cell r="C4070" t="str">
            <v>mapanusatls</v>
          </cell>
          <cell r="D4070">
            <v>135.85690307617188</v>
          </cell>
        </row>
        <row r="4071">
          <cell r="A4071" t="str">
            <v>LKA</v>
          </cell>
          <cell r="B4071">
            <v>2023</v>
          </cell>
          <cell r="C4071" t="str">
            <v>masrvfc</v>
          </cell>
          <cell r="D4071">
            <v>-0.24613305926322937</v>
          </cell>
        </row>
        <row r="4072">
          <cell r="A4072" t="str">
            <v>LKA</v>
          </cell>
          <cell r="B4072">
            <v>2022</v>
          </cell>
          <cell r="C4072" t="str">
            <v>maexpz</v>
          </cell>
          <cell r="D4072">
            <v>10.222339630126953</v>
          </cell>
        </row>
        <row r="4073">
          <cell r="A4073" t="str">
            <v>LKA</v>
          </cell>
          <cell r="B4073">
            <v>2009</v>
          </cell>
          <cell r="C4073" t="str">
            <v>madebt_</v>
          </cell>
          <cell r="D4073">
            <v>86.063529968261719</v>
          </cell>
        </row>
        <row r="4074">
          <cell r="A4074" t="str">
            <v>LKA</v>
          </cell>
          <cell r="B4074">
            <v>2005</v>
          </cell>
          <cell r="C4074" t="str">
            <v>madebt_</v>
          </cell>
          <cell r="D4074">
            <v>90.605400085449219</v>
          </cell>
        </row>
        <row r="4075">
          <cell r="A4075" t="str">
            <v>LKA</v>
          </cell>
          <cell r="B4075">
            <v>2017</v>
          </cell>
          <cell r="C4075" t="str">
            <v>mar_taxfc</v>
          </cell>
          <cell r="D4075">
            <v>9.2349262237548828</v>
          </cell>
        </row>
        <row r="4076">
          <cell r="A4076" t="str">
            <v>LKA</v>
          </cell>
          <cell r="B4076">
            <v>2021</v>
          </cell>
          <cell r="C4076" t="str">
            <v>mac_tfpz</v>
          </cell>
          <cell r="D4076">
            <v>-4.1632180213928223</v>
          </cell>
        </row>
        <row r="4077">
          <cell r="A4077" t="str">
            <v>LKA</v>
          </cell>
          <cell r="B4077">
            <v>2022</v>
          </cell>
          <cell r="C4077" t="str">
            <v>macab_</v>
          </cell>
          <cell r="D4077">
            <v>-1.9547452926635742</v>
          </cell>
        </row>
        <row r="4078">
          <cell r="A4078" t="str">
            <v>LKA</v>
          </cell>
          <cell r="B4078">
            <v>2009</v>
          </cell>
          <cell r="C4078" t="str">
            <v>masrvfc</v>
          </cell>
          <cell r="D4078">
            <v>3.2822208404541016</v>
          </cell>
        </row>
        <row r="4079">
          <cell r="A4079" t="str">
            <v>LKA</v>
          </cell>
          <cell r="B4079">
            <v>2026</v>
          </cell>
          <cell r="C4079" t="str">
            <v>magdpz</v>
          </cell>
          <cell r="D4079">
            <v>3.0429253578186035</v>
          </cell>
        </row>
        <row r="4080">
          <cell r="A4080" t="str">
            <v>LKA</v>
          </cell>
          <cell r="B4080">
            <v>2009</v>
          </cell>
          <cell r="C4080" t="str">
            <v>maexpz</v>
          </cell>
          <cell r="D4080">
            <v>-12.305723190307617</v>
          </cell>
        </row>
        <row r="4081">
          <cell r="A4081" t="str">
            <v>LKA</v>
          </cell>
          <cell r="B4081">
            <v>2012</v>
          </cell>
          <cell r="C4081" t="str">
            <v>mar_impz</v>
          </cell>
          <cell r="D4081">
            <v>28.144491195678711</v>
          </cell>
        </row>
        <row r="4082">
          <cell r="A4082" t="str">
            <v>LKA</v>
          </cell>
          <cell r="B4082">
            <v>2018</v>
          </cell>
          <cell r="C4082" t="str">
            <v>mar_indfc</v>
          </cell>
          <cell r="D4082">
            <v>33.768489837646484</v>
          </cell>
        </row>
        <row r="4083">
          <cell r="A4083" t="str">
            <v>LKA</v>
          </cell>
          <cell r="B4083">
            <v>2023</v>
          </cell>
          <cell r="C4083" t="str">
            <v>mar_taxfc</v>
          </cell>
          <cell r="D4083">
            <v>6.6795554161071777</v>
          </cell>
        </row>
        <row r="4084">
          <cell r="A4084" t="str">
            <v>LKA</v>
          </cell>
          <cell r="B4084">
            <v>2022</v>
          </cell>
          <cell r="C4084" t="str">
            <v>maagrfc</v>
          </cell>
          <cell r="D4084">
            <v>-4.1769590377807617</v>
          </cell>
        </row>
        <row r="4085">
          <cell r="A4085" t="str">
            <v>LKA</v>
          </cell>
          <cell r="B4085">
            <v>2018</v>
          </cell>
          <cell r="C4085" t="str">
            <v>maimpz</v>
          </cell>
          <cell r="D4085">
            <v>3.2624270915985107</v>
          </cell>
        </row>
        <row r="4086">
          <cell r="A4086" t="str">
            <v>LKA</v>
          </cell>
          <cell r="B4086">
            <v>2015</v>
          </cell>
          <cell r="C4086" t="str">
            <v>mac_labz</v>
          </cell>
          <cell r="D4086">
            <v>0.47442144155502319</v>
          </cell>
        </row>
        <row r="4087">
          <cell r="A4087" t="str">
            <v>LKA</v>
          </cell>
          <cell r="B4087">
            <v>2023</v>
          </cell>
          <cell r="C4087" t="str">
            <v>mar_impz</v>
          </cell>
          <cell r="D4087">
            <v>19.415164947509766</v>
          </cell>
        </row>
        <row r="4088">
          <cell r="A4088" t="str">
            <v>LKA</v>
          </cell>
          <cell r="B4088">
            <v>2005</v>
          </cell>
          <cell r="C4088" t="str">
            <v>mainvz</v>
          </cell>
          <cell r="D4088">
            <v>9.8117971420288086</v>
          </cell>
        </row>
        <row r="4089">
          <cell r="A4089" t="str">
            <v>LKA</v>
          </cell>
          <cell r="B4089">
            <v>2011</v>
          </cell>
          <cell r="C4089" t="str">
            <v>malabz</v>
          </cell>
          <cell r="D4089">
            <v>1.0535515546798706</v>
          </cell>
        </row>
        <row r="4090">
          <cell r="A4090" t="str">
            <v>LKA</v>
          </cell>
          <cell r="B4090">
            <v>2018</v>
          </cell>
          <cell r="C4090" t="str">
            <v>madeficit_</v>
          </cell>
          <cell r="D4090">
            <v>-4.9555830955505371</v>
          </cell>
        </row>
        <row r="4091">
          <cell r="A4091" t="str">
            <v>LKA</v>
          </cell>
          <cell r="B4091">
            <v>2021</v>
          </cell>
          <cell r="C4091" t="str">
            <v>masrvfc</v>
          </cell>
          <cell r="D4091">
            <v>3.4076604843139648</v>
          </cell>
        </row>
        <row r="4092">
          <cell r="A4092" t="str">
            <v>LKA</v>
          </cell>
          <cell r="B4092">
            <v>2005</v>
          </cell>
          <cell r="C4092" t="str">
            <v>mac_tfpz</v>
          </cell>
          <cell r="D4092">
            <v>1.6205465793609619</v>
          </cell>
        </row>
        <row r="4093">
          <cell r="A4093" t="str">
            <v>LKA</v>
          </cell>
          <cell r="B4093">
            <v>2016</v>
          </cell>
          <cell r="C4093" t="str">
            <v>mar_indfc</v>
          </cell>
          <cell r="D4093">
            <v>32.933189392089844</v>
          </cell>
        </row>
        <row r="4094">
          <cell r="A4094" t="str">
            <v>LKA</v>
          </cell>
          <cell r="B4094">
            <v>2024</v>
          </cell>
          <cell r="C4094" t="str">
            <v>mar_srvfc</v>
          </cell>
          <cell r="D4094">
            <v>64.5953369140625</v>
          </cell>
        </row>
        <row r="4095">
          <cell r="A4095" t="str">
            <v>LKA</v>
          </cell>
          <cell r="B4095">
            <v>2013</v>
          </cell>
          <cell r="C4095" t="str">
            <v>malabz</v>
          </cell>
          <cell r="D4095">
            <v>0.65129208564758301</v>
          </cell>
        </row>
        <row r="4096">
          <cell r="A4096" t="str">
            <v>LKA</v>
          </cell>
          <cell r="B4096">
            <v>2011</v>
          </cell>
          <cell r="C4096" t="str">
            <v>mar_impz</v>
          </cell>
          <cell r="D4096">
            <v>30.569789886474609</v>
          </cell>
        </row>
        <row r="4097">
          <cell r="A4097" t="str">
            <v>LKA</v>
          </cell>
          <cell r="B4097">
            <v>2021</v>
          </cell>
          <cell r="C4097" t="str">
            <v>mar_srvfc</v>
          </cell>
          <cell r="D4097">
            <v>60.253822326660156</v>
          </cell>
        </row>
        <row r="4098">
          <cell r="A4098" t="str">
            <v>LKA</v>
          </cell>
          <cell r="B4098">
            <v>2012</v>
          </cell>
          <cell r="C4098" t="str">
            <v>mar_expz</v>
          </cell>
          <cell r="D4098">
            <v>18.177774429321289</v>
          </cell>
        </row>
        <row r="4099">
          <cell r="A4099" t="str">
            <v>LKA</v>
          </cell>
          <cell r="B4099">
            <v>2022</v>
          </cell>
          <cell r="C4099" t="str">
            <v>mar_indfc</v>
          </cell>
          <cell r="D4099">
            <v>28.927139282226563</v>
          </cell>
        </row>
        <row r="4100">
          <cell r="A4100" t="str">
            <v>LKA</v>
          </cell>
          <cell r="B4100">
            <v>2020</v>
          </cell>
          <cell r="C4100" t="str">
            <v>mar_indfc</v>
          </cell>
          <cell r="D4100">
            <v>31.478452682495117</v>
          </cell>
        </row>
        <row r="4101">
          <cell r="A4101" t="str">
            <v>LKA</v>
          </cell>
          <cell r="B4101">
            <v>2020</v>
          </cell>
          <cell r="C4101" t="str">
            <v>macab_</v>
          </cell>
          <cell r="D4101">
            <v>-1.4081823825836182</v>
          </cell>
        </row>
        <row r="4102">
          <cell r="A4102" t="str">
            <v>LKA</v>
          </cell>
          <cell r="B4102">
            <v>2024</v>
          </cell>
          <cell r="C4102" t="str">
            <v>madeficit_</v>
          </cell>
          <cell r="D4102">
            <v>-10.222696304321289</v>
          </cell>
        </row>
        <row r="4103">
          <cell r="A4103" t="str">
            <v>LKA</v>
          </cell>
          <cell r="B4103">
            <v>2019</v>
          </cell>
          <cell r="C4103" t="str">
            <v>madebt_</v>
          </cell>
          <cell r="D4103">
            <v>88.965721130371094</v>
          </cell>
        </row>
        <row r="4104">
          <cell r="A4104" t="str">
            <v>LKA</v>
          </cell>
          <cell r="B4104">
            <v>2023</v>
          </cell>
          <cell r="C4104" t="str">
            <v>macab_</v>
          </cell>
          <cell r="D4104">
            <v>1.6107378005981445</v>
          </cell>
        </row>
        <row r="4105">
          <cell r="A4105" t="str">
            <v>LKA</v>
          </cell>
          <cell r="B4105">
            <v>2021</v>
          </cell>
          <cell r="C4105" t="str">
            <v>mar_indfc</v>
          </cell>
          <cell r="D4105">
            <v>32.017616271972656</v>
          </cell>
        </row>
        <row r="4106">
          <cell r="A4106" t="str">
            <v>LKA</v>
          </cell>
          <cell r="B4106">
            <v>2017</v>
          </cell>
          <cell r="C4106" t="str">
            <v>mapanusatls</v>
          </cell>
          <cell r="D4106">
            <v>152.45750427246094</v>
          </cell>
        </row>
        <row r="4107">
          <cell r="A4107" t="str">
            <v>LKA</v>
          </cell>
          <cell r="B4107">
            <v>2021</v>
          </cell>
          <cell r="C4107" t="str">
            <v>mar_impz</v>
          </cell>
          <cell r="D4107">
            <v>22.548776626586914</v>
          </cell>
        </row>
        <row r="4108">
          <cell r="A4108" t="str">
            <v>LKA</v>
          </cell>
          <cell r="B4108">
            <v>2022</v>
          </cell>
          <cell r="C4108" t="str">
            <v>mareer</v>
          </cell>
          <cell r="D4108">
            <v>81.343032836914063</v>
          </cell>
        </row>
        <row r="4109">
          <cell r="A4109" t="str">
            <v>LKA</v>
          </cell>
          <cell r="B4109">
            <v>2023</v>
          </cell>
          <cell r="C4109" t="str">
            <v>mainvz</v>
          </cell>
          <cell r="D4109">
            <v>-9.0731420516967773</v>
          </cell>
        </row>
        <row r="4110">
          <cell r="A4110" t="str">
            <v>LKA</v>
          </cell>
          <cell r="B4110">
            <v>2021</v>
          </cell>
          <cell r="C4110" t="str">
            <v>mar_expz</v>
          </cell>
          <cell r="D4110">
            <v>16.454673767089844</v>
          </cell>
        </row>
        <row r="4111">
          <cell r="A4111" t="str">
            <v>LKA</v>
          </cell>
          <cell r="B4111">
            <v>2005</v>
          </cell>
          <cell r="C4111" t="str">
            <v>magap_</v>
          </cell>
          <cell r="D4111">
            <v>-0.3868274986743927</v>
          </cell>
        </row>
        <row r="4112">
          <cell r="A4112" t="str">
            <v>LKA</v>
          </cell>
          <cell r="B4112">
            <v>2017</v>
          </cell>
          <cell r="C4112" t="str">
            <v>malabz</v>
          </cell>
          <cell r="D4112">
            <v>0.71803075075149536</v>
          </cell>
        </row>
        <row r="4113">
          <cell r="A4113" t="str">
            <v>LKA</v>
          </cell>
          <cell r="B4113">
            <v>2010</v>
          </cell>
          <cell r="C4113" t="str">
            <v>mar_expz</v>
          </cell>
          <cell r="D4113">
            <v>19.552326202392578</v>
          </cell>
        </row>
        <row r="4114">
          <cell r="A4114" t="str">
            <v>LKA</v>
          </cell>
          <cell r="B4114">
            <v>2021</v>
          </cell>
          <cell r="C4114" t="str">
            <v>mafdi_</v>
          </cell>
          <cell r="D4114">
            <v>-0.66718578338623047</v>
          </cell>
        </row>
        <row r="4115">
          <cell r="A4115" t="str">
            <v>LKA</v>
          </cell>
          <cell r="B4115">
            <v>2008</v>
          </cell>
          <cell r="C4115" t="str">
            <v>maconz</v>
          </cell>
          <cell r="D4115">
            <v>7.5111689567565918</v>
          </cell>
        </row>
        <row r="4116">
          <cell r="A4116" t="str">
            <v>LKA</v>
          </cell>
          <cell r="B4116">
            <v>2021</v>
          </cell>
          <cell r="C4116" t="str">
            <v>magovz</v>
          </cell>
          <cell r="D4116">
            <v>-2.8127989768981934</v>
          </cell>
        </row>
        <row r="4117">
          <cell r="A4117" t="str">
            <v>LKA</v>
          </cell>
          <cell r="B4117">
            <v>2016</v>
          </cell>
          <cell r="C4117" t="str">
            <v>mafdi_</v>
          </cell>
          <cell r="D4117">
            <v>-0.74989640712738037</v>
          </cell>
        </row>
        <row r="4118">
          <cell r="A4118" t="str">
            <v>LKA</v>
          </cell>
          <cell r="B4118">
            <v>2007</v>
          </cell>
          <cell r="C4118" t="str">
            <v>madeficit_</v>
          </cell>
          <cell r="D4118">
            <v>-6.8752293586730957</v>
          </cell>
        </row>
        <row r="4119">
          <cell r="A4119" t="str">
            <v>LKA</v>
          </cell>
          <cell r="B4119">
            <v>2021</v>
          </cell>
          <cell r="C4119" t="str">
            <v>madebt_</v>
          </cell>
          <cell r="D4119">
            <v>110.34047698974609</v>
          </cell>
        </row>
        <row r="4120">
          <cell r="A4120" t="str">
            <v>LKA</v>
          </cell>
          <cell r="B4120">
            <v>2017</v>
          </cell>
          <cell r="C4120" t="str">
            <v>mafdi_</v>
          </cell>
          <cell r="D4120">
            <v>-1.3807415962219238</v>
          </cell>
        </row>
        <row r="4121">
          <cell r="A4121" t="str">
            <v>LKA</v>
          </cell>
          <cell r="B4121">
            <v>2013</v>
          </cell>
          <cell r="C4121" t="str">
            <v>mainvz</v>
          </cell>
          <cell r="D4121">
            <v>5.0481915473937988</v>
          </cell>
        </row>
        <row r="4122">
          <cell r="A4122" t="str">
            <v>LKA</v>
          </cell>
          <cell r="B4122">
            <v>2012</v>
          </cell>
          <cell r="C4122" t="str">
            <v>maagrfc</v>
          </cell>
          <cell r="D4122">
            <v>3.9458272457122803</v>
          </cell>
        </row>
        <row r="4123">
          <cell r="A4123" t="str">
            <v>LKA</v>
          </cell>
          <cell r="B4123">
            <v>2012</v>
          </cell>
          <cell r="C4123" t="str">
            <v>macpiz</v>
          </cell>
          <cell r="D4123">
            <v>7.5428609848022461</v>
          </cell>
        </row>
        <row r="4124">
          <cell r="A4124" t="str">
            <v>LKA</v>
          </cell>
          <cell r="B4124">
            <v>2020</v>
          </cell>
          <cell r="C4124" t="str">
            <v>mac_tfpz</v>
          </cell>
          <cell r="D4124">
            <v>-4.8811159133911133</v>
          </cell>
        </row>
        <row r="4125">
          <cell r="A4125" t="str">
            <v>LKA</v>
          </cell>
          <cell r="B4125">
            <v>2009</v>
          </cell>
          <cell r="C4125" t="str">
            <v>macpiz</v>
          </cell>
          <cell r="D4125">
            <v>3.4649765491485596</v>
          </cell>
        </row>
        <row r="4126">
          <cell r="A4126" t="str">
            <v>LKA</v>
          </cell>
          <cell r="B4126">
            <v>2011</v>
          </cell>
          <cell r="C4126" t="str">
            <v>maimpz</v>
          </cell>
          <cell r="D4126">
            <v>23.600000381469727</v>
          </cell>
        </row>
        <row r="4127">
          <cell r="A4127" t="str">
            <v>LKA</v>
          </cell>
          <cell r="B4127">
            <v>2008</v>
          </cell>
          <cell r="C4127" t="str">
            <v>mar_impz</v>
          </cell>
          <cell r="D4127">
            <v>29.441328048706055</v>
          </cell>
        </row>
        <row r="4128">
          <cell r="A4128" t="str">
            <v>LKA</v>
          </cell>
          <cell r="B4128">
            <v>2014</v>
          </cell>
          <cell r="C4128" t="str">
            <v>maimpz</v>
          </cell>
          <cell r="D4128">
            <v>9.5666399002075195</v>
          </cell>
        </row>
        <row r="4129">
          <cell r="A4129" t="str">
            <v>LKA</v>
          </cell>
          <cell r="B4129">
            <v>2023</v>
          </cell>
          <cell r="C4129" t="str">
            <v>mar_con</v>
          </cell>
          <cell r="D4129">
            <v>58.977062225341797</v>
          </cell>
        </row>
        <row r="4130">
          <cell r="A4130" t="str">
            <v>LKA</v>
          </cell>
          <cell r="B4130">
            <v>2018</v>
          </cell>
          <cell r="C4130" t="str">
            <v>mac_labz</v>
          </cell>
          <cell r="D4130">
            <v>0.79256689548492432</v>
          </cell>
        </row>
        <row r="4131">
          <cell r="A4131" t="str">
            <v>LKA</v>
          </cell>
          <cell r="B4131">
            <v>2015</v>
          </cell>
          <cell r="C4131" t="str">
            <v>mar_impz</v>
          </cell>
          <cell r="D4131">
            <v>27.024587631225586</v>
          </cell>
        </row>
        <row r="4132">
          <cell r="A4132" t="str">
            <v>LKA</v>
          </cell>
          <cell r="B4132">
            <v>2005</v>
          </cell>
          <cell r="C4132" t="str">
            <v>maconz</v>
          </cell>
          <cell r="D4132">
            <v>1.6510854959487915</v>
          </cell>
        </row>
        <row r="4133">
          <cell r="A4133" t="str">
            <v>LKA</v>
          </cell>
          <cell r="B4133">
            <v>2026</v>
          </cell>
          <cell r="C4133" t="str">
            <v>mafdi_</v>
          </cell>
          <cell r="D4133">
            <v>-0.89401000738143921</v>
          </cell>
        </row>
        <row r="4134">
          <cell r="A4134" t="str">
            <v>LKA</v>
          </cell>
          <cell r="B4134">
            <v>2020</v>
          </cell>
          <cell r="C4134" t="str">
            <v>mar_agrfc</v>
          </cell>
          <cell r="D4134">
            <v>7.9533224105834961</v>
          </cell>
        </row>
        <row r="4135">
          <cell r="A4135" t="str">
            <v>LKA</v>
          </cell>
          <cell r="B4135">
            <v>2014</v>
          </cell>
          <cell r="C4135" t="str">
            <v>maindfc</v>
          </cell>
          <cell r="D4135">
            <v>4.7016158103942871</v>
          </cell>
        </row>
        <row r="4136">
          <cell r="A4136" t="str">
            <v>LKA</v>
          </cell>
          <cell r="B4136">
            <v>2021</v>
          </cell>
          <cell r="C4136" t="str">
            <v>maconz</v>
          </cell>
          <cell r="D4136">
            <v>2.6433522701263428</v>
          </cell>
        </row>
        <row r="4137">
          <cell r="A4137" t="str">
            <v>LKA</v>
          </cell>
          <cell r="B4137">
            <v>2017</v>
          </cell>
          <cell r="C4137" t="str">
            <v>macpiz</v>
          </cell>
          <cell r="D4137">
            <v>6.5806198120117188</v>
          </cell>
        </row>
        <row r="4138">
          <cell r="A4138" t="str">
            <v>LKA</v>
          </cell>
          <cell r="B4138">
            <v>2023</v>
          </cell>
          <cell r="C4138" t="str">
            <v>maindfc</v>
          </cell>
          <cell r="D4138">
            <v>-9.2330904006958008</v>
          </cell>
        </row>
        <row r="4139">
          <cell r="A4139" t="str">
            <v>LKA</v>
          </cell>
          <cell r="B4139">
            <v>2023</v>
          </cell>
          <cell r="C4139" t="str">
            <v>mataxfc</v>
          </cell>
          <cell r="D4139">
            <v>2.8162901401519775</v>
          </cell>
        </row>
        <row r="4140">
          <cell r="A4140" t="str">
            <v>LKA</v>
          </cell>
          <cell r="B4140">
            <v>2019</v>
          </cell>
          <cell r="C4140" t="str">
            <v>mar_srvfc</v>
          </cell>
          <cell r="D4140">
            <v>59.941165924072266</v>
          </cell>
        </row>
        <row r="4141">
          <cell r="A4141" t="str">
            <v>LKA</v>
          </cell>
          <cell r="B4141">
            <v>2005</v>
          </cell>
          <cell r="C4141" t="str">
            <v>mafdi_</v>
          </cell>
          <cell r="D4141">
            <v>-0.95877069234848022</v>
          </cell>
        </row>
        <row r="4142">
          <cell r="A4142" t="str">
            <v>LKA</v>
          </cell>
          <cell r="B4142">
            <v>2019</v>
          </cell>
          <cell r="C4142" t="str">
            <v>maconz</v>
          </cell>
          <cell r="D4142">
            <v>3.8250308036804199</v>
          </cell>
        </row>
        <row r="4143">
          <cell r="A4143" t="str">
            <v>LKA</v>
          </cell>
          <cell r="B4143">
            <v>2020</v>
          </cell>
          <cell r="C4143" t="str">
            <v>mar_expz</v>
          </cell>
          <cell r="D4143">
            <v>15.571703910827637</v>
          </cell>
        </row>
        <row r="4144">
          <cell r="A4144" t="str">
            <v>LKA</v>
          </cell>
          <cell r="B4144">
            <v>2022</v>
          </cell>
          <cell r="C4144" t="str">
            <v>mac_tfpz</v>
          </cell>
          <cell r="D4144">
            <v>-3.8509190082550049</v>
          </cell>
        </row>
        <row r="4145">
          <cell r="A4145" t="str">
            <v>LKA</v>
          </cell>
          <cell r="B4145">
            <v>2005</v>
          </cell>
          <cell r="C4145" t="str">
            <v>magovz</v>
          </cell>
          <cell r="D4145">
            <v>12.008063316345215</v>
          </cell>
        </row>
        <row r="4146">
          <cell r="A4146" t="str">
            <v>LKA</v>
          </cell>
          <cell r="B4146">
            <v>2014</v>
          </cell>
          <cell r="C4146" t="str">
            <v>maconz</v>
          </cell>
          <cell r="D4146">
            <v>3.6587610244750977</v>
          </cell>
        </row>
        <row r="4147">
          <cell r="A4147" t="str">
            <v>LKA</v>
          </cell>
          <cell r="B4147">
            <v>2005</v>
          </cell>
          <cell r="C4147" t="str">
            <v>malabz</v>
          </cell>
          <cell r="D4147">
            <v>0</v>
          </cell>
        </row>
        <row r="4148">
          <cell r="A4148" t="str">
            <v>LKA</v>
          </cell>
          <cell r="B4148">
            <v>2017</v>
          </cell>
          <cell r="C4148" t="str">
            <v>mar_srvfc</v>
          </cell>
          <cell r="D4148">
            <v>57.482032775878906</v>
          </cell>
        </row>
        <row r="4149">
          <cell r="A4149" t="str">
            <v>LKA</v>
          </cell>
          <cell r="B4149">
            <v>2021</v>
          </cell>
          <cell r="C4149" t="str">
            <v>mapanusatls</v>
          </cell>
          <cell r="D4149">
            <v>198.88241577148438</v>
          </cell>
        </row>
        <row r="4150">
          <cell r="A4150" t="str">
            <v>LKA</v>
          </cell>
          <cell r="B4150">
            <v>2019</v>
          </cell>
          <cell r="C4150" t="str">
            <v>mar_con</v>
          </cell>
          <cell r="D4150">
            <v>62.276985168457031</v>
          </cell>
        </row>
        <row r="4151">
          <cell r="A4151" t="str">
            <v>LKA</v>
          </cell>
          <cell r="B4151">
            <v>2005</v>
          </cell>
          <cell r="C4151" t="str">
            <v>mar_expz</v>
          </cell>
          <cell r="D4151">
            <v>24.964826583862305</v>
          </cell>
        </row>
        <row r="4152">
          <cell r="A4152" t="str">
            <v>LKA</v>
          </cell>
          <cell r="B4152">
            <v>2008</v>
          </cell>
          <cell r="C4152" t="str">
            <v>mafdi_</v>
          </cell>
          <cell r="D4152">
            <v>-1.6959846019744873</v>
          </cell>
        </row>
        <row r="4153">
          <cell r="A4153" t="str">
            <v>LKA</v>
          </cell>
          <cell r="B4153">
            <v>2023</v>
          </cell>
          <cell r="C4153" t="str">
            <v>magovz</v>
          </cell>
          <cell r="D4153">
            <v>-2.70979905128479</v>
          </cell>
        </row>
        <row r="4154">
          <cell r="A4154" t="str">
            <v>LKA</v>
          </cell>
          <cell r="B4154">
            <v>2009</v>
          </cell>
          <cell r="C4154" t="str">
            <v>magap_</v>
          </cell>
          <cell r="D4154">
            <v>-4.0234546661376953</v>
          </cell>
        </row>
        <row r="4155">
          <cell r="A4155" t="str">
            <v>LKA</v>
          </cell>
          <cell r="B4155">
            <v>2019</v>
          </cell>
          <cell r="C4155" t="str">
            <v>maindfc</v>
          </cell>
          <cell r="D4155">
            <v>-4.0897297859191895</v>
          </cell>
        </row>
        <row r="4156">
          <cell r="A4156" t="str">
            <v>LKA</v>
          </cell>
          <cell r="B4156">
            <v>2007</v>
          </cell>
          <cell r="C4156" t="str">
            <v>maagrfc</v>
          </cell>
          <cell r="D4156">
            <v>3.3922150135040283</v>
          </cell>
        </row>
        <row r="4157">
          <cell r="A4157" t="str">
            <v>LKA</v>
          </cell>
          <cell r="B4157">
            <v>2005</v>
          </cell>
          <cell r="C4157" t="str">
            <v>mar_taxfc</v>
          </cell>
          <cell r="D4157">
            <v>11.526199340820313</v>
          </cell>
        </row>
        <row r="4158">
          <cell r="A4158" t="str">
            <v>LKA</v>
          </cell>
          <cell r="B4158">
            <v>2020</v>
          </cell>
          <cell r="C4158" t="str">
            <v>mainvz</v>
          </cell>
          <cell r="D4158">
            <v>-7.8802390098571777</v>
          </cell>
        </row>
        <row r="4159">
          <cell r="A4159" t="str">
            <v>LKA</v>
          </cell>
          <cell r="B4159">
            <v>2005</v>
          </cell>
          <cell r="C4159" t="str">
            <v>masrvfc</v>
          </cell>
          <cell r="D4159">
            <v>6.3976354598999023</v>
          </cell>
        </row>
        <row r="4160">
          <cell r="A4160" t="str">
            <v>LKA</v>
          </cell>
          <cell r="B4160">
            <v>2006</v>
          </cell>
          <cell r="C4160" t="str">
            <v>mac_tfpz</v>
          </cell>
          <cell r="D4160">
            <v>1.8780076503753662</v>
          </cell>
        </row>
        <row r="4161">
          <cell r="A4161" t="str">
            <v>LKA</v>
          </cell>
          <cell r="B4161">
            <v>2019</v>
          </cell>
          <cell r="C4161" t="str">
            <v>macpiz</v>
          </cell>
          <cell r="D4161">
            <v>4.3000001907348633</v>
          </cell>
        </row>
        <row r="4162">
          <cell r="A4162" t="str">
            <v>LKA</v>
          </cell>
          <cell r="B4162">
            <v>2009</v>
          </cell>
          <cell r="C4162" t="str">
            <v>mar_indfc</v>
          </cell>
          <cell r="D4162">
            <v>29.568794250488281</v>
          </cell>
        </row>
        <row r="4163">
          <cell r="A4163" t="str">
            <v>LKA</v>
          </cell>
          <cell r="B4163">
            <v>2009</v>
          </cell>
          <cell r="C4163" t="str">
            <v>mac_labz</v>
          </cell>
          <cell r="D4163">
            <v>0.73815125226974487</v>
          </cell>
        </row>
        <row r="4164">
          <cell r="A4164" t="str">
            <v>LKA</v>
          </cell>
          <cell r="B4164">
            <v>2026</v>
          </cell>
          <cell r="C4164" t="str">
            <v>mareer</v>
          </cell>
          <cell r="D4164">
            <v>87.743934631347656</v>
          </cell>
        </row>
        <row r="4165">
          <cell r="A4165" t="str">
            <v>LKA</v>
          </cell>
          <cell r="B4165">
            <v>2024</v>
          </cell>
          <cell r="C4165" t="str">
            <v>matfpz</v>
          </cell>
          <cell r="D4165">
            <v>-1.7889399528503418</v>
          </cell>
        </row>
        <row r="4166">
          <cell r="A4166" t="str">
            <v>LKA</v>
          </cell>
          <cell r="B4166">
            <v>2025</v>
          </cell>
          <cell r="C4166" t="str">
            <v>maexpz</v>
          </cell>
          <cell r="D4166">
            <v>2.6603233814239502</v>
          </cell>
        </row>
        <row r="4167">
          <cell r="A4167" t="str">
            <v>LKA</v>
          </cell>
          <cell r="B4167">
            <v>2006</v>
          </cell>
          <cell r="C4167" t="str">
            <v>malabz</v>
          </cell>
          <cell r="D4167">
            <v>1.1309850215911865</v>
          </cell>
        </row>
        <row r="4168">
          <cell r="A4168" t="str">
            <v>LKA</v>
          </cell>
          <cell r="B4168">
            <v>2011</v>
          </cell>
          <cell r="C4168" t="str">
            <v>magap_</v>
          </cell>
          <cell r="D4168">
            <v>-2.5714747905731201</v>
          </cell>
        </row>
        <row r="4169">
          <cell r="A4169" t="str">
            <v>LKA</v>
          </cell>
          <cell r="B4169">
            <v>2009</v>
          </cell>
          <cell r="C4169" t="str">
            <v>malabz</v>
          </cell>
          <cell r="D4169">
            <v>1.0545017719268799</v>
          </cell>
        </row>
        <row r="4170">
          <cell r="A4170" t="str">
            <v>LKA</v>
          </cell>
          <cell r="B4170">
            <v>2019</v>
          </cell>
          <cell r="C4170" t="str">
            <v>mac_labz</v>
          </cell>
          <cell r="D4170">
            <v>0.71584218740463257</v>
          </cell>
        </row>
        <row r="4171">
          <cell r="A4171" t="str">
            <v>LKA</v>
          </cell>
          <cell r="B4171">
            <v>2016</v>
          </cell>
          <cell r="C4171" t="str">
            <v>macab_</v>
          </cell>
          <cell r="D4171">
            <v>-1.9807491302490234</v>
          </cell>
        </row>
        <row r="4172">
          <cell r="A4172" t="str">
            <v>LKA</v>
          </cell>
          <cell r="B4172">
            <v>2015</v>
          </cell>
          <cell r="C4172" t="str">
            <v>mac_tfpz</v>
          </cell>
          <cell r="D4172">
            <v>2.8405187129974365</v>
          </cell>
        </row>
        <row r="4173">
          <cell r="A4173" t="str">
            <v>LKA</v>
          </cell>
          <cell r="B4173">
            <v>2015</v>
          </cell>
          <cell r="C4173" t="str">
            <v>maimpz</v>
          </cell>
          <cell r="D4173">
            <v>35.658123016357422</v>
          </cell>
        </row>
        <row r="4174">
          <cell r="A4174" t="str">
            <v>LKA</v>
          </cell>
          <cell r="B4174">
            <v>2016</v>
          </cell>
          <cell r="C4174" t="str">
            <v>matfpz</v>
          </cell>
          <cell r="D4174">
            <v>2.3624446392059326</v>
          </cell>
        </row>
        <row r="4175">
          <cell r="A4175" t="str">
            <v>LKA</v>
          </cell>
          <cell r="B4175">
            <v>2022</v>
          </cell>
          <cell r="C4175" t="str">
            <v>macpiz</v>
          </cell>
          <cell r="D4175">
            <v>46.400001525878906</v>
          </cell>
        </row>
        <row r="4176">
          <cell r="A4176" t="str">
            <v>LKA</v>
          </cell>
          <cell r="B4176">
            <v>2019</v>
          </cell>
          <cell r="C4176" t="str">
            <v>mar_taxfc</v>
          </cell>
          <cell r="D4176">
            <v>8.3338947296142578</v>
          </cell>
        </row>
        <row r="4177">
          <cell r="A4177" t="str">
            <v>LKA</v>
          </cell>
          <cell r="B4177">
            <v>2018</v>
          </cell>
          <cell r="C4177" t="str">
            <v>magovz</v>
          </cell>
          <cell r="D4177">
            <v>18.702785491943359</v>
          </cell>
        </row>
        <row r="4178">
          <cell r="A4178" t="str">
            <v>LKA</v>
          </cell>
          <cell r="B4178">
            <v>2026</v>
          </cell>
          <cell r="C4178" t="str">
            <v>mar_agrfc</v>
          </cell>
          <cell r="D4178">
            <v>8.1293821334838867</v>
          </cell>
        </row>
        <row r="4179">
          <cell r="A4179" t="str">
            <v>LKA</v>
          </cell>
          <cell r="B4179">
            <v>2017</v>
          </cell>
          <cell r="C4179" t="str">
            <v>masrvfc</v>
          </cell>
          <cell r="D4179">
            <v>3.6490380764007568</v>
          </cell>
        </row>
        <row r="4180">
          <cell r="A4180" t="str">
            <v>LKA</v>
          </cell>
          <cell r="B4180">
            <v>2018</v>
          </cell>
          <cell r="C4180" t="str">
            <v>magap_</v>
          </cell>
          <cell r="D4180">
            <v>2.5106587409973145</v>
          </cell>
        </row>
        <row r="4181">
          <cell r="A4181" t="str">
            <v>LKA</v>
          </cell>
          <cell r="B4181">
            <v>2025</v>
          </cell>
          <cell r="C4181" t="str">
            <v>mainvz</v>
          </cell>
          <cell r="D4181">
            <v>3.1292333602905273</v>
          </cell>
        </row>
        <row r="4182">
          <cell r="A4182" t="str">
            <v>LKA</v>
          </cell>
          <cell r="B4182">
            <v>2006</v>
          </cell>
          <cell r="C4182" t="str">
            <v>magovz</v>
          </cell>
          <cell r="D4182">
            <v>9.5827436447143555</v>
          </cell>
        </row>
        <row r="4183">
          <cell r="A4183" t="str">
            <v>LKA</v>
          </cell>
          <cell r="B4183">
            <v>2016</v>
          </cell>
          <cell r="C4183" t="str">
            <v>mar_impz</v>
          </cell>
          <cell r="D4183">
            <v>27.522491455078125</v>
          </cell>
        </row>
        <row r="4184">
          <cell r="A4184" t="str">
            <v>LKA</v>
          </cell>
          <cell r="B4184">
            <v>2017</v>
          </cell>
          <cell r="C4184" t="str">
            <v>matfpz</v>
          </cell>
          <cell r="D4184">
            <v>1.8436561822891235</v>
          </cell>
        </row>
        <row r="4185">
          <cell r="A4185" t="str">
            <v>LKA</v>
          </cell>
          <cell r="B4185">
            <v>2024</v>
          </cell>
          <cell r="C4185" t="str">
            <v>mafdi_</v>
          </cell>
          <cell r="D4185">
            <v>-0.79509997367858887</v>
          </cell>
        </row>
        <row r="4186">
          <cell r="A4186" t="str">
            <v>LKA</v>
          </cell>
          <cell r="B4186">
            <v>2010</v>
          </cell>
          <cell r="C4186" t="str">
            <v>magap_</v>
          </cell>
          <cell r="D4186">
            <v>-3.2998557090759277</v>
          </cell>
        </row>
        <row r="4187">
          <cell r="A4187" t="str">
            <v>LKA</v>
          </cell>
          <cell r="B4187">
            <v>2014</v>
          </cell>
          <cell r="C4187" t="str">
            <v>maagrfc</v>
          </cell>
          <cell r="D4187">
            <v>4.5807738304138184</v>
          </cell>
        </row>
        <row r="4188">
          <cell r="A4188" t="str">
            <v>LKA</v>
          </cell>
          <cell r="B4188">
            <v>2007</v>
          </cell>
          <cell r="C4188" t="str">
            <v>macab_</v>
          </cell>
          <cell r="D4188">
            <v>-4.3310332298278809</v>
          </cell>
        </row>
        <row r="4189">
          <cell r="A4189" t="str">
            <v>LKA</v>
          </cell>
          <cell r="B4189">
            <v>2017</v>
          </cell>
          <cell r="C4189" t="str">
            <v>maindfc</v>
          </cell>
          <cell r="D4189">
            <v>12.961669921875</v>
          </cell>
        </row>
        <row r="4190">
          <cell r="A4190" t="str">
            <v>LKA</v>
          </cell>
          <cell r="B4190">
            <v>2017</v>
          </cell>
          <cell r="C4190" t="str">
            <v>magdpz</v>
          </cell>
          <cell r="D4190">
            <v>6.4606800079345703</v>
          </cell>
        </row>
        <row r="4191">
          <cell r="A4191" t="str">
            <v>LKA</v>
          </cell>
          <cell r="B4191">
            <v>2022</v>
          </cell>
          <cell r="C4191" t="str">
            <v>matfpz</v>
          </cell>
          <cell r="D4191">
            <v>-3.8509190082550049</v>
          </cell>
        </row>
        <row r="4192">
          <cell r="A4192" t="str">
            <v>LKA</v>
          </cell>
          <cell r="B4192">
            <v>2017</v>
          </cell>
          <cell r="C4192" t="str">
            <v>maconz</v>
          </cell>
          <cell r="D4192">
            <v>-0.60509681701660156</v>
          </cell>
        </row>
        <row r="4193">
          <cell r="A4193" t="str">
            <v>LKA</v>
          </cell>
          <cell r="B4193">
            <v>2007</v>
          </cell>
          <cell r="C4193" t="str">
            <v>magdpz</v>
          </cell>
          <cell r="D4193">
            <v>6.7968258857727051</v>
          </cell>
        </row>
        <row r="4194">
          <cell r="A4194" t="str">
            <v>LKA</v>
          </cell>
          <cell r="B4194">
            <v>2015</v>
          </cell>
          <cell r="C4194" t="str">
            <v>madeficit_</v>
          </cell>
          <cell r="D4194">
            <v>-7.1712965965270996</v>
          </cell>
        </row>
        <row r="4195">
          <cell r="A4195" t="str">
            <v>LKA</v>
          </cell>
          <cell r="B4195">
            <v>2007</v>
          </cell>
          <cell r="C4195" t="str">
            <v>magovz</v>
          </cell>
          <cell r="D4195">
            <v>7.4066743850708008</v>
          </cell>
        </row>
        <row r="4196">
          <cell r="A4196" t="str">
            <v>LKA</v>
          </cell>
          <cell r="B4196">
            <v>2007</v>
          </cell>
          <cell r="C4196" t="str">
            <v>maimpz</v>
          </cell>
          <cell r="D4196">
            <v>3.7332279682159424</v>
          </cell>
        </row>
        <row r="4197">
          <cell r="A4197" t="str">
            <v>LKA</v>
          </cell>
          <cell r="B4197">
            <v>2006</v>
          </cell>
          <cell r="C4197" t="str">
            <v>mar_impz</v>
          </cell>
          <cell r="D4197">
            <v>30.87567138671875</v>
          </cell>
        </row>
        <row r="4198">
          <cell r="A4198" t="str">
            <v>LKA</v>
          </cell>
          <cell r="B4198">
            <v>2021</v>
          </cell>
          <cell r="C4198" t="str">
            <v>mainvz</v>
          </cell>
          <cell r="D4198">
            <v>6.2910103797912598</v>
          </cell>
        </row>
        <row r="4199">
          <cell r="A4199" t="str">
            <v>LKA</v>
          </cell>
          <cell r="B4199">
            <v>2024</v>
          </cell>
          <cell r="C4199" t="str">
            <v>mar_agrfc</v>
          </cell>
          <cell r="D4199">
            <v>8.3318939208984375</v>
          </cell>
        </row>
        <row r="4200">
          <cell r="A4200" t="str">
            <v>LKA</v>
          </cell>
          <cell r="B4200">
            <v>2008</v>
          </cell>
          <cell r="C4200" t="str">
            <v>malabz</v>
          </cell>
          <cell r="D4200">
            <v>1.1345672607421875</v>
          </cell>
        </row>
        <row r="4201">
          <cell r="A4201" t="str">
            <v>LKA</v>
          </cell>
          <cell r="B4201">
            <v>2025</v>
          </cell>
          <cell r="C4201" t="str">
            <v>macab_</v>
          </cell>
          <cell r="D4201">
            <v>-0.20899888873100281</v>
          </cell>
        </row>
        <row r="4202">
          <cell r="A4202" t="str">
            <v>LKA</v>
          </cell>
          <cell r="B4202">
            <v>2016</v>
          </cell>
          <cell r="C4202" t="str">
            <v>mar_con</v>
          </cell>
          <cell r="D4202">
            <v>62.621971130371094</v>
          </cell>
        </row>
        <row r="4203">
          <cell r="A4203" t="str">
            <v>LKA</v>
          </cell>
          <cell r="B4203">
            <v>2016</v>
          </cell>
          <cell r="C4203" t="str">
            <v>maimpz</v>
          </cell>
          <cell r="D4203">
            <v>6.9891138076782227</v>
          </cell>
        </row>
        <row r="4204">
          <cell r="A4204" t="str">
            <v>LKA</v>
          </cell>
          <cell r="B4204">
            <v>2016</v>
          </cell>
          <cell r="C4204" t="str">
            <v>mar_srvfc</v>
          </cell>
          <cell r="D4204">
            <v>58.936042785644531</v>
          </cell>
        </row>
        <row r="4205">
          <cell r="A4205" t="str">
            <v>LKA</v>
          </cell>
          <cell r="B4205">
            <v>2026</v>
          </cell>
          <cell r="C4205" t="str">
            <v>malabz</v>
          </cell>
          <cell r="D4205">
            <v>0.62656527757644653</v>
          </cell>
        </row>
        <row r="4206">
          <cell r="A4206" t="str">
            <v>LKA</v>
          </cell>
          <cell r="B4206">
            <v>2007</v>
          </cell>
          <cell r="C4206" t="str">
            <v>mar_indfc</v>
          </cell>
          <cell r="D4206">
            <v>29.377439498901367</v>
          </cell>
        </row>
        <row r="4207">
          <cell r="A4207" t="str">
            <v>LKA</v>
          </cell>
          <cell r="B4207">
            <v>2007</v>
          </cell>
          <cell r="C4207" t="str">
            <v>mar_agrfc</v>
          </cell>
          <cell r="D4207">
            <v>9.4459762573242188</v>
          </cell>
        </row>
        <row r="4208">
          <cell r="A4208" t="str">
            <v>LKA</v>
          </cell>
          <cell r="B4208">
            <v>2017</v>
          </cell>
          <cell r="C4208" t="str">
            <v>mataxfc</v>
          </cell>
          <cell r="D4208">
            <v>8.5606164932250977</v>
          </cell>
        </row>
        <row r="4209">
          <cell r="A4209" t="str">
            <v>LKA</v>
          </cell>
          <cell r="B4209">
            <v>2026</v>
          </cell>
          <cell r="C4209" t="str">
            <v>mar_srvfc</v>
          </cell>
          <cell r="D4209">
            <v>64.774925231933594</v>
          </cell>
        </row>
        <row r="4210">
          <cell r="A4210" t="str">
            <v>LKA</v>
          </cell>
          <cell r="B4210">
            <v>2011</v>
          </cell>
          <cell r="C4210" t="str">
            <v>mafdi_</v>
          </cell>
          <cell r="D4210">
            <v>-1.372158408164978</v>
          </cell>
        </row>
        <row r="4211">
          <cell r="A4211" t="str">
            <v>LKA</v>
          </cell>
          <cell r="B4211">
            <v>2026</v>
          </cell>
          <cell r="C4211" t="str">
            <v>mainvz</v>
          </cell>
          <cell r="D4211">
            <v>3.9046125411987305</v>
          </cell>
        </row>
        <row r="4212">
          <cell r="A4212" t="str">
            <v>LKA</v>
          </cell>
          <cell r="B4212">
            <v>2009</v>
          </cell>
          <cell r="C4212" t="str">
            <v>maindfc</v>
          </cell>
          <cell r="D4212">
            <v>4.2120556831359863</v>
          </cell>
        </row>
        <row r="4213">
          <cell r="A4213" t="str">
            <v>LKA</v>
          </cell>
          <cell r="B4213">
            <v>2006</v>
          </cell>
          <cell r="C4213" t="str">
            <v>matfpz</v>
          </cell>
          <cell r="D4213">
            <v>1.8780076503753662</v>
          </cell>
        </row>
        <row r="4214">
          <cell r="A4214" t="str">
            <v>LKA</v>
          </cell>
          <cell r="B4214">
            <v>2021</v>
          </cell>
          <cell r="C4214" t="str">
            <v>malabz</v>
          </cell>
          <cell r="D4214">
            <v>1.574083685874939</v>
          </cell>
        </row>
        <row r="4215">
          <cell r="A4215" t="str">
            <v>LKA</v>
          </cell>
          <cell r="B4215">
            <v>2006</v>
          </cell>
          <cell r="C4215" t="str">
            <v>macpiz</v>
          </cell>
          <cell r="D4215">
            <v>10.020188331604004</v>
          </cell>
        </row>
        <row r="4216">
          <cell r="A4216" t="str">
            <v>LKA</v>
          </cell>
          <cell r="B4216">
            <v>2025</v>
          </cell>
          <cell r="C4216" t="str">
            <v>madeficit_</v>
          </cell>
          <cell r="D4216">
            <v>-10.823940277099609</v>
          </cell>
        </row>
        <row r="4217">
          <cell r="A4217" t="str">
            <v>LKA</v>
          </cell>
          <cell r="B4217">
            <v>2010</v>
          </cell>
          <cell r="C4217" t="str">
            <v>mar_indfc</v>
          </cell>
          <cell r="D4217">
            <v>29.67759895324707</v>
          </cell>
        </row>
        <row r="4218">
          <cell r="A4218" t="str">
            <v>LKA</v>
          </cell>
          <cell r="B4218">
            <v>2006</v>
          </cell>
          <cell r="C4218" t="str">
            <v>mapanusatls</v>
          </cell>
          <cell r="D4218">
            <v>103.91439819335938</v>
          </cell>
        </row>
        <row r="4219">
          <cell r="A4219" t="str">
            <v>LKA</v>
          </cell>
          <cell r="B4219">
            <v>2007</v>
          </cell>
          <cell r="C4219" t="str">
            <v>macpiz</v>
          </cell>
          <cell r="D4219">
            <v>15.842205047607422</v>
          </cell>
        </row>
        <row r="4220">
          <cell r="A4220" t="str">
            <v>LKA</v>
          </cell>
          <cell r="B4220">
            <v>2023</v>
          </cell>
          <cell r="C4220" t="str">
            <v>matfpz</v>
          </cell>
          <cell r="D4220">
            <v>-2.3171484470367432</v>
          </cell>
        </row>
        <row r="4221">
          <cell r="A4221" t="str">
            <v>LKA</v>
          </cell>
          <cell r="B4221">
            <v>2013</v>
          </cell>
          <cell r="C4221" t="str">
            <v>maimpz</v>
          </cell>
          <cell r="D4221">
            <v>-1.5297907590866089</v>
          </cell>
        </row>
        <row r="4222">
          <cell r="A4222" t="str">
            <v>LKA</v>
          </cell>
          <cell r="B4222">
            <v>2011</v>
          </cell>
          <cell r="C4222" t="str">
            <v>maindfc</v>
          </cell>
          <cell r="D4222">
            <v>9.2505731582641602</v>
          </cell>
        </row>
        <row r="4223">
          <cell r="A4223" t="str">
            <v>LKA</v>
          </cell>
          <cell r="B4223">
            <v>2022</v>
          </cell>
          <cell r="C4223" t="str">
            <v>mar_expz</v>
          </cell>
          <cell r="D4223">
            <v>19.574857711791992</v>
          </cell>
        </row>
        <row r="4224">
          <cell r="A4224" t="str">
            <v>LKA</v>
          </cell>
          <cell r="B4224">
            <v>2013</v>
          </cell>
          <cell r="C4224" t="str">
            <v>mar_srvfc</v>
          </cell>
          <cell r="D4224">
            <v>61.734828948974609</v>
          </cell>
        </row>
        <row r="4225">
          <cell r="A4225" t="str">
            <v>LKA</v>
          </cell>
          <cell r="B4225">
            <v>2014</v>
          </cell>
          <cell r="C4225" t="str">
            <v>magap_</v>
          </cell>
          <cell r="D4225">
            <v>-9.8993930816650391</v>
          </cell>
        </row>
        <row r="4226">
          <cell r="A4226" t="str">
            <v>LKA</v>
          </cell>
          <cell r="B4226">
            <v>2026</v>
          </cell>
          <cell r="C4226" t="str">
            <v>mapanusatls</v>
          </cell>
          <cell r="D4226">
            <v>360.6719970703125</v>
          </cell>
        </row>
        <row r="4227">
          <cell r="A4227" t="str">
            <v>LKA</v>
          </cell>
          <cell r="B4227">
            <v>2013</v>
          </cell>
          <cell r="C4227" t="str">
            <v>maconz</v>
          </cell>
          <cell r="D4227">
            <v>7.7945594787597656</v>
          </cell>
        </row>
        <row r="4228">
          <cell r="A4228" t="str">
            <v>LKA</v>
          </cell>
          <cell r="B4228">
            <v>2022</v>
          </cell>
          <cell r="C4228" t="str">
            <v>magovz</v>
          </cell>
          <cell r="D4228">
            <v>1.3871538639068604</v>
          </cell>
        </row>
        <row r="4229">
          <cell r="A4229" t="str">
            <v>LKA</v>
          </cell>
          <cell r="B4229">
            <v>2010</v>
          </cell>
          <cell r="C4229" t="str">
            <v>mar_taxfc</v>
          </cell>
          <cell r="D4229">
            <v>11.385075569152832</v>
          </cell>
        </row>
        <row r="4230">
          <cell r="A4230" t="str">
            <v>LKA</v>
          </cell>
          <cell r="B4230">
            <v>2017</v>
          </cell>
          <cell r="C4230" t="str">
            <v>madebt_</v>
          </cell>
          <cell r="D4230">
            <v>78.565864562988281</v>
          </cell>
        </row>
        <row r="4231">
          <cell r="A4231" t="str">
            <v>LKA</v>
          </cell>
          <cell r="B4231">
            <v>2018</v>
          </cell>
          <cell r="C4231" t="str">
            <v>mar_expz</v>
          </cell>
          <cell r="D4231">
            <v>20.684667587280273</v>
          </cell>
        </row>
        <row r="4232">
          <cell r="A4232" t="str">
            <v>LKA</v>
          </cell>
          <cell r="B4232">
            <v>2009</v>
          </cell>
          <cell r="C4232" t="str">
            <v>mar_con</v>
          </cell>
          <cell r="D4232">
            <v>67.735382080078125</v>
          </cell>
        </row>
        <row r="4233">
          <cell r="A4233" t="str">
            <v>LKA</v>
          </cell>
          <cell r="B4233">
            <v>2012</v>
          </cell>
          <cell r="C4233" t="str">
            <v>mar_taxfc</v>
          </cell>
          <cell r="D4233">
            <v>10.402420043945313</v>
          </cell>
        </row>
        <row r="4234">
          <cell r="A4234" t="str">
            <v>LKA</v>
          </cell>
          <cell r="B4234">
            <v>2023</v>
          </cell>
          <cell r="C4234" t="str">
            <v>mapanusatls</v>
          </cell>
          <cell r="D4234">
            <v>327.53298950195313</v>
          </cell>
        </row>
        <row r="4235">
          <cell r="A4235" t="str">
            <v>LKA</v>
          </cell>
          <cell r="B4235">
            <v>2012</v>
          </cell>
          <cell r="C4235" t="str">
            <v>magap_</v>
          </cell>
          <cell r="D4235">
            <v>-2.1001265048980713</v>
          </cell>
        </row>
        <row r="4236">
          <cell r="A4236" t="str">
            <v>LKA</v>
          </cell>
          <cell r="B4236">
            <v>2025</v>
          </cell>
          <cell r="C4236" t="str">
            <v>mar_indfc</v>
          </cell>
          <cell r="D4236">
            <v>27.133329391479492</v>
          </cell>
        </row>
        <row r="4237">
          <cell r="A4237" t="str">
            <v>LKA</v>
          </cell>
          <cell r="B4237">
            <v>2005</v>
          </cell>
          <cell r="C4237" t="str">
            <v>mar_impz</v>
          </cell>
          <cell r="D4237">
            <v>31.086769104003906</v>
          </cell>
        </row>
        <row r="4238">
          <cell r="A4238" t="str">
            <v>LKA</v>
          </cell>
          <cell r="B4238">
            <v>2015</v>
          </cell>
          <cell r="C4238" t="str">
            <v>mar_agrfc</v>
          </cell>
          <cell r="D4238">
            <v>8.9350509643554688</v>
          </cell>
        </row>
        <row r="4239">
          <cell r="A4239" t="str">
            <v>LKA</v>
          </cell>
          <cell r="B4239">
            <v>2007</v>
          </cell>
          <cell r="C4239" t="str">
            <v>mac_tfpz</v>
          </cell>
          <cell r="D4239">
            <v>2.1230716705322266</v>
          </cell>
        </row>
        <row r="4240">
          <cell r="A4240" t="str">
            <v>LKA</v>
          </cell>
          <cell r="B4240">
            <v>2007</v>
          </cell>
          <cell r="C4240" t="str">
            <v>mapanusatls</v>
          </cell>
          <cell r="D4240">
            <v>110.62319946289063</v>
          </cell>
        </row>
        <row r="4241">
          <cell r="A4241" t="str">
            <v>LKA</v>
          </cell>
          <cell r="B4241">
            <v>2007</v>
          </cell>
          <cell r="C4241" t="str">
            <v>maexpz</v>
          </cell>
          <cell r="D4241">
            <v>7.3272871971130371</v>
          </cell>
        </row>
        <row r="4242">
          <cell r="A4242" t="str">
            <v>LKA</v>
          </cell>
          <cell r="B4242">
            <v>2010</v>
          </cell>
          <cell r="C4242" t="str">
            <v>mafdi_</v>
          </cell>
          <cell r="D4242">
            <v>-0.76695156097412109</v>
          </cell>
        </row>
        <row r="4243">
          <cell r="A4243" t="str">
            <v>LKA</v>
          </cell>
          <cell r="B4243">
            <v>2013</v>
          </cell>
          <cell r="C4243" t="str">
            <v>magap_</v>
          </cell>
          <cell r="D4243">
            <v>-6.9412789344787598</v>
          </cell>
        </row>
        <row r="4244">
          <cell r="A4244" t="str">
            <v>LKA</v>
          </cell>
          <cell r="B4244">
            <v>2018</v>
          </cell>
          <cell r="C4244" t="str">
            <v>madebt_</v>
          </cell>
          <cell r="D4244">
            <v>85.84228515625</v>
          </cell>
        </row>
        <row r="4245">
          <cell r="A4245" t="str">
            <v>LKA</v>
          </cell>
          <cell r="B4245">
            <v>2024</v>
          </cell>
          <cell r="C4245" t="str">
            <v>maimpz</v>
          </cell>
          <cell r="D4245">
            <v>2.2775809764862061</v>
          </cell>
        </row>
        <row r="4246">
          <cell r="A4246" t="str">
            <v>LKA</v>
          </cell>
          <cell r="B4246">
            <v>2022</v>
          </cell>
          <cell r="C4246" t="str">
            <v>madeficit_</v>
          </cell>
          <cell r="D4246">
            <v>-10.222696304321289</v>
          </cell>
        </row>
        <row r="4247">
          <cell r="A4247" t="str">
            <v>LKA</v>
          </cell>
          <cell r="B4247">
            <v>2013</v>
          </cell>
          <cell r="C4247" t="str">
            <v>mar_taxfc</v>
          </cell>
          <cell r="D4247">
            <v>9.9462099075317383</v>
          </cell>
        </row>
        <row r="4248">
          <cell r="A4248" t="str">
            <v>LKA</v>
          </cell>
          <cell r="B4248">
            <v>2021</v>
          </cell>
          <cell r="C4248" t="str">
            <v>magap_</v>
          </cell>
          <cell r="D4248">
            <v>-4.920051097869873</v>
          </cell>
        </row>
        <row r="4249">
          <cell r="A4249" t="str">
            <v>LKA</v>
          </cell>
          <cell r="B4249">
            <v>2017</v>
          </cell>
          <cell r="C4249" t="str">
            <v>madeficit_</v>
          </cell>
          <cell r="D4249">
            <v>-5.0981941223144531</v>
          </cell>
        </row>
        <row r="4250">
          <cell r="A4250" t="str">
            <v>LKA</v>
          </cell>
          <cell r="B4250">
            <v>2009</v>
          </cell>
          <cell r="C4250" t="str">
            <v>mafdi_</v>
          </cell>
          <cell r="D4250">
            <v>-0.91284650564193726</v>
          </cell>
        </row>
        <row r="4251">
          <cell r="A4251" t="str">
            <v>LKA</v>
          </cell>
          <cell r="B4251">
            <v>2024</v>
          </cell>
          <cell r="C4251" t="str">
            <v>magdpz</v>
          </cell>
          <cell r="D4251">
            <v>2.1845052242279053</v>
          </cell>
        </row>
        <row r="4252">
          <cell r="A4252" t="str">
            <v>LKA</v>
          </cell>
          <cell r="B4252">
            <v>2005</v>
          </cell>
          <cell r="C4252" t="str">
            <v>mar_agrfc</v>
          </cell>
          <cell r="D4252">
            <v>9.8931541442871094</v>
          </cell>
        </row>
        <row r="4253">
          <cell r="A4253" t="str">
            <v>LKA</v>
          </cell>
          <cell r="B4253">
            <v>2007</v>
          </cell>
          <cell r="C4253" t="str">
            <v>mareer</v>
          </cell>
          <cell r="D4253">
            <v>81.108283996582031</v>
          </cell>
        </row>
        <row r="4254">
          <cell r="A4254" t="str">
            <v>LKA</v>
          </cell>
          <cell r="B4254">
            <v>2019</v>
          </cell>
          <cell r="C4254" t="str">
            <v>mar_indfc</v>
          </cell>
          <cell r="D4254">
            <v>32.269210815429688</v>
          </cell>
        </row>
        <row r="4255">
          <cell r="A4255" t="str">
            <v>LKA</v>
          </cell>
          <cell r="B4255">
            <v>2006</v>
          </cell>
          <cell r="C4255" t="str">
            <v>mar_con</v>
          </cell>
          <cell r="D4255">
            <v>70.355033874511719</v>
          </cell>
        </row>
        <row r="4256">
          <cell r="A4256" t="str">
            <v>LKA</v>
          </cell>
          <cell r="B4256">
            <v>2010</v>
          </cell>
          <cell r="C4256" t="str">
            <v>mataxfc</v>
          </cell>
          <cell r="D4256">
            <v>7.7474236488342285</v>
          </cell>
        </row>
        <row r="4257">
          <cell r="A4257" t="str">
            <v>LKA</v>
          </cell>
          <cell r="B4257">
            <v>2020</v>
          </cell>
          <cell r="C4257" t="str">
            <v>magap_</v>
          </cell>
          <cell r="D4257">
            <v>-9.1288843154907227</v>
          </cell>
        </row>
        <row r="4258">
          <cell r="A4258" t="str">
            <v>LKA</v>
          </cell>
          <cell r="B4258">
            <v>2015</v>
          </cell>
          <cell r="C4258" t="str">
            <v>malabz</v>
          </cell>
          <cell r="D4258">
            <v>0.67774492502212524</v>
          </cell>
        </row>
        <row r="4259">
          <cell r="A4259" t="str">
            <v>LKA</v>
          </cell>
          <cell r="B4259">
            <v>2006</v>
          </cell>
          <cell r="C4259" t="str">
            <v>mafdi_</v>
          </cell>
          <cell r="D4259">
            <v>-1.5926554203033447</v>
          </cell>
        </row>
        <row r="4260">
          <cell r="A4260" t="str">
            <v>LKA</v>
          </cell>
          <cell r="B4260">
            <v>2008</v>
          </cell>
          <cell r="C4260" t="str">
            <v>mac_labz</v>
          </cell>
          <cell r="D4260">
            <v>0.79419702291488647</v>
          </cell>
        </row>
        <row r="4261">
          <cell r="A4261" t="str">
            <v>LKA</v>
          </cell>
          <cell r="B4261">
            <v>2015</v>
          </cell>
          <cell r="C4261" t="str">
            <v>mar_con</v>
          </cell>
          <cell r="D4261">
            <v>63.944747924804688</v>
          </cell>
        </row>
        <row r="4262">
          <cell r="A4262" t="str">
            <v>LKA</v>
          </cell>
          <cell r="B4262">
            <v>2010</v>
          </cell>
          <cell r="C4262" t="str">
            <v>magovz</v>
          </cell>
          <cell r="D4262">
            <v>1.5877782106399536</v>
          </cell>
        </row>
        <row r="4263">
          <cell r="A4263" t="str">
            <v>LKA</v>
          </cell>
          <cell r="B4263">
            <v>2018</v>
          </cell>
          <cell r="C4263" t="str">
            <v>mar_agrfc</v>
          </cell>
          <cell r="D4263">
            <v>7.7828450202941895</v>
          </cell>
        </row>
        <row r="4264">
          <cell r="A4264" t="str">
            <v>LKA</v>
          </cell>
          <cell r="B4264">
            <v>2017</v>
          </cell>
          <cell r="C4264" t="str">
            <v>mar_indfc</v>
          </cell>
          <cell r="D4264">
            <v>35.006668090820313</v>
          </cell>
        </row>
        <row r="4265">
          <cell r="A4265" t="str">
            <v>LKA</v>
          </cell>
          <cell r="B4265">
            <v>2011</v>
          </cell>
          <cell r="C4265" t="str">
            <v>mapanusatls</v>
          </cell>
          <cell r="D4265">
            <v>110.56520080566406</v>
          </cell>
        </row>
        <row r="4266">
          <cell r="A4266" t="str">
            <v>LKA</v>
          </cell>
          <cell r="B4266">
            <v>2010</v>
          </cell>
          <cell r="C4266" t="str">
            <v>maexpz</v>
          </cell>
          <cell r="D4266">
            <v>8.7600946426391602</v>
          </cell>
        </row>
        <row r="4267">
          <cell r="A4267" t="str">
            <v>LKA</v>
          </cell>
          <cell r="B4267">
            <v>2025</v>
          </cell>
          <cell r="C4267" t="str">
            <v>mataxfc</v>
          </cell>
          <cell r="D4267">
            <v>2.4708266258239746</v>
          </cell>
        </row>
        <row r="4268">
          <cell r="A4268" t="str">
            <v>LKA</v>
          </cell>
          <cell r="B4268">
            <v>2021</v>
          </cell>
          <cell r="C4268" t="str">
            <v>mar_taxfc</v>
          </cell>
          <cell r="D4268">
            <v>6.7188034057617188</v>
          </cell>
        </row>
        <row r="4269">
          <cell r="A4269" t="str">
            <v>LKA</v>
          </cell>
          <cell r="B4269">
            <v>2019</v>
          </cell>
          <cell r="C4269" t="str">
            <v>maimpz</v>
          </cell>
          <cell r="D4269">
            <v>-3.5051777362823486</v>
          </cell>
        </row>
        <row r="4270">
          <cell r="A4270" t="str">
            <v>LKA</v>
          </cell>
          <cell r="B4270">
            <v>2008</v>
          </cell>
          <cell r="C4270" t="str">
            <v>maexpz</v>
          </cell>
          <cell r="D4270">
            <v>0.3901999294757843</v>
          </cell>
        </row>
        <row r="4271">
          <cell r="A4271" t="str">
            <v>LKA</v>
          </cell>
          <cell r="B4271">
            <v>2008</v>
          </cell>
          <cell r="C4271" t="str">
            <v>maagrfc</v>
          </cell>
          <cell r="D4271">
            <v>7.5326337814331055</v>
          </cell>
        </row>
        <row r="4272">
          <cell r="A4272" t="str">
            <v>LKA</v>
          </cell>
          <cell r="B4272">
            <v>2011</v>
          </cell>
          <cell r="C4272" t="str">
            <v>masrvfc</v>
          </cell>
          <cell r="D4272">
            <v>8.9270401000976563</v>
          </cell>
        </row>
        <row r="4273">
          <cell r="A4273" t="str">
            <v>LKA</v>
          </cell>
          <cell r="B4273">
            <v>2014</v>
          </cell>
          <cell r="C4273" t="str">
            <v>masrvfc</v>
          </cell>
          <cell r="D4273">
            <v>4.8314495086669922</v>
          </cell>
        </row>
        <row r="4274">
          <cell r="A4274" t="str">
            <v>LKA</v>
          </cell>
          <cell r="B4274">
            <v>2019</v>
          </cell>
          <cell r="C4274" t="str">
            <v>mafdi_</v>
          </cell>
          <cell r="D4274">
            <v>-0.6896175742149353</v>
          </cell>
        </row>
        <row r="4275">
          <cell r="A4275" t="str">
            <v>LKA</v>
          </cell>
          <cell r="B4275">
            <v>2007</v>
          </cell>
          <cell r="C4275" t="str">
            <v>mar_taxfc</v>
          </cell>
          <cell r="D4275">
            <v>11.381670951843262</v>
          </cell>
        </row>
        <row r="4276">
          <cell r="A4276" t="str">
            <v>LKA</v>
          </cell>
          <cell r="B4276">
            <v>2016</v>
          </cell>
          <cell r="C4276" t="str">
            <v>magovz</v>
          </cell>
          <cell r="D4276">
            <v>0.1203279048204422</v>
          </cell>
        </row>
        <row r="4277">
          <cell r="A4277" t="str">
            <v>LKA</v>
          </cell>
          <cell r="B4277">
            <v>2006</v>
          </cell>
          <cell r="C4277" t="str">
            <v>maimpz</v>
          </cell>
          <cell r="D4277">
            <v>6.9371585845947266</v>
          </cell>
        </row>
        <row r="4278">
          <cell r="A4278" t="str">
            <v>LKA</v>
          </cell>
          <cell r="B4278">
            <v>2007</v>
          </cell>
          <cell r="C4278" t="str">
            <v>mar_impz</v>
          </cell>
          <cell r="D4278">
            <v>29.989963531494141</v>
          </cell>
        </row>
        <row r="4279">
          <cell r="A4279" t="str">
            <v>LKA</v>
          </cell>
          <cell r="B4279">
            <v>2011</v>
          </cell>
          <cell r="C4279" t="str">
            <v>mar_taxfc</v>
          </cell>
          <cell r="D4279">
            <v>11.171377182006836</v>
          </cell>
        </row>
        <row r="4280">
          <cell r="A4280" t="str">
            <v>LKA</v>
          </cell>
          <cell r="B4280">
            <v>2023</v>
          </cell>
          <cell r="C4280" t="str">
            <v>mareer</v>
          </cell>
          <cell r="D4280">
            <v>87.489974975585938</v>
          </cell>
        </row>
        <row r="4281">
          <cell r="A4281" t="str">
            <v>LKA</v>
          </cell>
          <cell r="B4281">
            <v>2021</v>
          </cell>
          <cell r="C4281" t="str">
            <v>mar_agrfc</v>
          </cell>
          <cell r="D4281">
            <v>7.7285637855529785</v>
          </cell>
        </row>
        <row r="4282">
          <cell r="A4282" t="str">
            <v>LKA</v>
          </cell>
          <cell r="B4282">
            <v>2018</v>
          </cell>
          <cell r="C4282" t="str">
            <v>maagrfc</v>
          </cell>
          <cell r="D4282">
            <v>6.2654619216918945</v>
          </cell>
        </row>
        <row r="4283">
          <cell r="A4283" t="str">
            <v>LKA</v>
          </cell>
          <cell r="B4283">
            <v>2016</v>
          </cell>
          <cell r="C4283" t="str">
            <v>mareer</v>
          </cell>
          <cell r="D4283">
            <v>99.128715515136719</v>
          </cell>
        </row>
        <row r="4284">
          <cell r="A4284" t="str">
            <v>LKA</v>
          </cell>
          <cell r="B4284">
            <v>2015</v>
          </cell>
          <cell r="C4284" t="str">
            <v>mar_indfc</v>
          </cell>
          <cell r="D4284">
            <v>32.11663818359375</v>
          </cell>
        </row>
        <row r="4285">
          <cell r="A4285" t="str">
            <v>LKA</v>
          </cell>
          <cell r="B4285">
            <v>2026</v>
          </cell>
          <cell r="C4285" t="str">
            <v>macpiz</v>
          </cell>
          <cell r="D4285">
            <v>5.6217098236083984</v>
          </cell>
        </row>
        <row r="4286">
          <cell r="A4286" t="str">
            <v>LKA</v>
          </cell>
          <cell r="B4286">
            <v>2006</v>
          </cell>
          <cell r="C4286" t="str">
            <v>mareer</v>
          </cell>
          <cell r="D4286">
            <v>81.481475830078125</v>
          </cell>
        </row>
        <row r="4287">
          <cell r="A4287" t="str">
            <v>LKA</v>
          </cell>
          <cell r="B4287">
            <v>2021</v>
          </cell>
          <cell r="C4287" t="str">
            <v>macab_</v>
          </cell>
          <cell r="D4287">
            <v>-3.7065539360046387</v>
          </cell>
        </row>
        <row r="4288">
          <cell r="A4288" t="str">
            <v>LKA</v>
          </cell>
          <cell r="B4288">
            <v>2010</v>
          </cell>
          <cell r="C4288" t="str">
            <v>mar_agrfc</v>
          </cell>
          <cell r="D4288">
            <v>9.4634323120117188</v>
          </cell>
        </row>
        <row r="4289">
          <cell r="A4289" t="str">
            <v>LKA</v>
          </cell>
          <cell r="B4289">
            <v>2024</v>
          </cell>
          <cell r="C4289" t="str">
            <v>magap_</v>
          </cell>
          <cell r="D4289">
            <v>-10.971506118774414</v>
          </cell>
        </row>
        <row r="4290">
          <cell r="A4290" t="str">
            <v>LKA</v>
          </cell>
          <cell r="B4290">
            <v>2017</v>
          </cell>
          <cell r="C4290" t="str">
            <v>mac_labz</v>
          </cell>
          <cell r="D4290">
            <v>0.50262153148651123</v>
          </cell>
        </row>
        <row r="4291">
          <cell r="A4291" t="str">
            <v>LKA</v>
          </cell>
          <cell r="B4291">
            <v>2018</v>
          </cell>
          <cell r="C4291" t="str">
            <v>mareer</v>
          </cell>
          <cell r="D4291">
            <v>95.901092529296875</v>
          </cell>
        </row>
        <row r="4292">
          <cell r="A4292" t="str">
            <v>LKA</v>
          </cell>
          <cell r="B4292">
            <v>2026</v>
          </cell>
          <cell r="C4292" t="str">
            <v>maindfc</v>
          </cell>
          <cell r="D4292">
            <v>2.9000000953674316</v>
          </cell>
        </row>
        <row r="4293">
          <cell r="A4293" t="str">
            <v>LKA</v>
          </cell>
          <cell r="B4293">
            <v>2007</v>
          </cell>
          <cell r="C4293" t="str">
            <v>mar_expz</v>
          </cell>
          <cell r="D4293">
            <v>24.196868896484375</v>
          </cell>
        </row>
        <row r="4294">
          <cell r="A4294" t="str">
            <v>LKA</v>
          </cell>
          <cell r="B4294">
            <v>2018</v>
          </cell>
          <cell r="C4294" t="str">
            <v>mac_tfpz</v>
          </cell>
          <cell r="D4294">
            <v>1.4067867994308472</v>
          </cell>
        </row>
        <row r="4295">
          <cell r="A4295" t="str">
            <v>LKA</v>
          </cell>
          <cell r="B4295">
            <v>2006</v>
          </cell>
          <cell r="C4295" t="str">
            <v>magdpz</v>
          </cell>
          <cell r="D4295">
            <v>7.6682920455932617</v>
          </cell>
        </row>
        <row r="4296">
          <cell r="A4296" t="str">
            <v>LKA</v>
          </cell>
          <cell r="B4296">
            <v>2026</v>
          </cell>
          <cell r="C4296" t="str">
            <v>magap_</v>
          </cell>
          <cell r="D4296">
            <v>-5.2291078567504883</v>
          </cell>
        </row>
        <row r="4297">
          <cell r="A4297" t="str">
            <v>LKA</v>
          </cell>
          <cell r="B4297">
            <v>2018</v>
          </cell>
          <cell r="C4297" t="str">
            <v>mataxfc</v>
          </cell>
          <cell r="D4297">
            <v>-0.37206423282623291</v>
          </cell>
        </row>
        <row r="4298">
          <cell r="A4298" t="str">
            <v>LKA</v>
          </cell>
          <cell r="B4298">
            <v>2009</v>
          </cell>
          <cell r="C4298" t="str">
            <v>maconz</v>
          </cell>
          <cell r="D4298">
            <v>0.93799686431884766</v>
          </cell>
        </row>
        <row r="4299">
          <cell r="A4299" t="str">
            <v>LKA</v>
          </cell>
          <cell r="B4299">
            <v>2015</v>
          </cell>
          <cell r="C4299" t="str">
            <v>maindfc</v>
          </cell>
          <cell r="D4299">
            <v>53.979408264160156</v>
          </cell>
        </row>
        <row r="4300">
          <cell r="A4300" t="str">
            <v>LKA</v>
          </cell>
          <cell r="B4300">
            <v>2012</v>
          </cell>
          <cell r="C4300" t="str">
            <v>mar_con</v>
          </cell>
          <cell r="D4300">
            <v>65.007484436035156</v>
          </cell>
        </row>
        <row r="4301">
          <cell r="A4301" t="str">
            <v>LKA</v>
          </cell>
          <cell r="B4301">
            <v>2020</v>
          </cell>
          <cell r="C4301" t="str">
            <v>maagrfc</v>
          </cell>
          <cell r="D4301">
            <v>-0.89889353513717651</v>
          </cell>
        </row>
        <row r="4302">
          <cell r="A4302" t="str">
            <v>LKA</v>
          </cell>
          <cell r="B4302">
            <v>2014</v>
          </cell>
          <cell r="C4302" t="str">
            <v>mar_taxfc</v>
          </cell>
          <cell r="D4302">
            <v>10.144848823547363</v>
          </cell>
        </row>
        <row r="4303">
          <cell r="A4303" t="str">
            <v>LKA</v>
          </cell>
          <cell r="B4303">
            <v>2016</v>
          </cell>
          <cell r="C4303" t="str">
            <v>mapanusatls</v>
          </cell>
          <cell r="D4303">
            <v>145.58169555664063</v>
          </cell>
        </row>
        <row r="4304">
          <cell r="A4304" t="str">
            <v>LKA</v>
          </cell>
          <cell r="B4304">
            <v>2007</v>
          </cell>
          <cell r="C4304" t="str">
            <v>mar_srvfc</v>
          </cell>
          <cell r="D4304">
            <v>61.176582336425781</v>
          </cell>
        </row>
        <row r="4305">
          <cell r="A4305" t="str">
            <v>LKA</v>
          </cell>
          <cell r="B4305">
            <v>2012</v>
          </cell>
          <cell r="C4305" t="str">
            <v>maimpz</v>
          </cell>
          <cell r="D4305">
            <v>0.48543685674667358</v>
          </cell>
        </row>
        <row r="4306">
          <cell r="A4306" t="str">
            <v>LKA</v>
          </cell>
          <cell r="B4306">
            <v>2017</v>
          </cell>
          <cell r="C4306" t="str">
            <v>mainvz</v>
          </cell>
          <cell r="D4306">
            <v>12.933538436889648</v>
          </cell>
        </row>
        <row r="4307">
          <cell r="A4307" t="str">
            <v>LKA</v>
          </cell>
          <cell r="B4307">
            <v>2009</v>
          </cell>
          <cell r="C4307" t="str">
            <v>mac_tfpz</v>
          </cell>
          <cell r="D4307">
            <v>2.6055114269256592</v>
          </cell>
        </row>
        <row r="4308">
          <cell r="A4308" t="str">
            <v>LKA</v>
          </cell>
          <cell r="B4308">
            <v>2020</v>
          </cell>
          <cell r="C4308" t="str">
            <v>mac_labz</v>
          </cell>
          <cell r="D4308">
            <v>0.68831652402877808</v>
          </cell>
        </row>
        <row r="4309">
          <cell r="A4309" t="str">
            <v>LKA</v>
          </cell>
          <cell r="B4309">
            <v>2024</v>
          </cell>
          <cell r="C4309" t="str">
            <v>malabz</v>
          </cell>
          <cell r="D4309">
            <v>0.74440735578536987</v>
          </cell>
        </row>
        <row r="4310">
          <cell r="A4310" t="str">
            <v>LKA</v>
          </cell>
          <cell r="B4310">
            <v>2022</v>
          </cell>
          <cell r="C4310" t="str">
            <v>masrvfc</v>
          </cell>
          <cell r="D4310">
            <v>-2.5976829528808594</v>
          </cell>
        </row>
        <row r="4311">
          <cell r="A4311" t="str">
            <v>LKA</v>
          </cell>
          <cell r="B4311">
            <v>2025</v>
          </cell>
          <cell r="C4311" t="str">
            <v>mar_con</v>
          </cell>
          <cell r="D4311">
            <v>59.175960540771484</v>
          </cell>
        </row>
        <row r="4312">
          <cell r="A4312" t="str">
            <v>LKA</v>
          </cell>
          <cell r="B4312">
            <v>2005</v>
          </cell>
          <cell r="C4312" t="str">
            <v>maagrfc</v>
          </cell>
          <cell r="D4312">
            <v>1.8165831565856934</v>
          </cell>
        </row>
        <row r="4313">
          <cell r="A4313" t="str">
            <v>LKA</v>
          </cell>
          <cell r="B4313">
            <v>2016</v>
          </cell>
          <cell r="C4313" t="str">
            <v>macpiz</v>
          </cell>
          <cell r="D4313">
            <v>3.9879000186920166</v>
          </cell>
        </row>
        <row r="4314">
          <cell r="A4314" t="str">
            <v>LKA</v>
          </cell>
          <cell r="B4314">
            <v>2022</v>
          </cell>
          <cell r="C4314" t="str">
            <v>maconz</v>
          </cell>
          <cell r="D4314">
            <v>-9.0021295547485352</v>
          </cell>
        </row>
        <row r="4315">
          <cell r="A4315" t="str">
            <v>LKA</v>
          </cell>
          <cell r="B4315">
            <v>2016</v>
          </cell>
          <cell r="C4315" t="str">
            <v>madeficit_</v>
          </cell>
          <cell r="D4315">
            <v>-4.9974637031555176</v>
          </cell>
        </row>
        <row r="4316">
          <cell r="A4316" t="str">
            <v>LKA</v>
          </cell>
          <cell r="B4316">
            <v>2019</v>
          </cell>
          <cell r="C4316" t="str">
            <v>macab_</v>
          </cell>
          <cell r="D4316">
            <v>-2.0755958557128906</v>
          </cell>
        </row>
        <row r="4317">
          <cell r="A4317" t="str">
            <v>LKA</v>
          </cell>
          <cell r="B4317">
            <v>2014</v>
          </cell>
          <cell r="C4317" t="str">
            <v>mar_indfc</v>
          </cell>
          <cell r="D4317">
            <v>29.674179077148438</v>
          </cell>
        </row>
        <row r="4318">
          <cell r="A4318" t="str">
            <v>LKA</v>
          </cell>
          <cell r="B4318">
            <v>2025</v>
          </cell>
          <cell r="C4318" t="str">
            <v>masrvfc</v>
          </cell>
          <cell r="D4318">
            <v>2.4999403953552246</v>
          </cell>
        </row>
        <row r="4319">
          <cell r="A4319" t="str">
            <v>LKA</v>
          </cell>
          <cell r="B4319">
            <v>2026</v>
          </cell>
          <cell r="C4319" t="str">
            <v>maagrfc</v>
          </cell>
          <cell r="D4319">
            <v>1.5</v>
          </cell>
        </row>
        <row r="4320">
          <cell r="A4320" t="str">
            <v>LKA</v>
          </cell>
          <cell r="B4320">
            <v>2018</v>
          </cell>
          <cell r="C4320" t="str">
            <v>magdpz</v>
          </cell>
          <cell r="D4320">
            <v>2.3101024627685547</v>
          </cell>
        </row>
        <row r="4321">
          <cell r="A4321" t="str">
            <v>LKA</v>
          </cell>
          <cell r="B4321">
            <v>2015</v>
          </cell>
          <cell r="C4321" t="str">
            <v>macpiz</v>
          </cell>
          <cell r="D4321">
            <v>0.89999997615814209</v>
          </cell>
        </row>
        <row r="4322">
          <cell r="A4322" t="str">
            <v>LKA</v>
          </cell>
          <cell r="B4322">
            <v>2014</v>
          </cell>
          <cell r="C4322" t="str">
            <v>mafdi_</v>
          </cell>
          <cell r="D4322">
            <v>-1.0421332120895386</v>
          </cell>
        </row>
        <row r="4323">
          <cell r="A4323" t="str">
            <v>LKA</v>
          </cell>
          <cell r="B4323">
            <v>2021</v>
          </cell>
          <cell r="C4323" t="str">
            <v>maindfc</v>
          </cell>
          <cell r="D4323">
            <v>5.7276463508605957</v>
          </cell>
        </row>
        <row r="4324">
          <cell r="A4324" t="str">
            <v>LKA</v>
          </cell>
          <cell r="B4324">
            <v>2006</v>
          </cell>
          <cell r="C4324" t="str">
            <v>mac_labz</v>
          </cell>
          <cell r="D4324">
            <v>0.79168951511383057</v>
          </cell>
        </row>
        <row r="4325">
          <cell r="A4325" t="str">
            <v>LKA</v>
          </cell>
          <cell r="B4325">
            <v>2012</v>
          </cell>
          <cell r="C4325" t="str">
            <v>maindfc</v>
          </cell>
          <cell r="D4325">
            <v>9.0336790084838867</v>
          </cell>
        </row>
        <row r="4326">
          <cell r="A4326" t="str">
            <v>LKA</v>
          </cell>
          <cell r="B4326">
            <v>2013</v>
          </cell>
          <cell r="C4326" t="str">
            <v>mac_labz</v>
          </cell>
          <cell r="D4326">
            <v>0.45590445399284363</v>
          </cell>
        </row>
        <row r="4327">
          <cell r="A4327" t="str">
            <v>LKA</v>
          </cell>
          <cell r="B4327">
            <v>2012</v>
          </cell>
          <cell r="C4327" t="str">
            <v>madebt_</v>
          </cell>
          <cell r="D4327">
            <v>68.732765197753906</v>
          </cell>
        </row>
        <row r="4328">
          <cell r="A4328" t="str">
            <v>LKA</v>
          </cell>
          <cell r="B4328">
            <v>2014</v>
          </cell>
          <cell r="C4328" t="str">
            <v>mataxfc</v>
          </cell>
          <cell r="D4328">
            <v>6.8638358116149902</v>
          </cell>
        </row>
        <row r="4329">
          <cell r="A4329" t="str">
            <v>LKA</v>
          </cell>
          <cell r="B4329">
            <v>2023</v>
          </cell>
          <cell r="C4329" t="str">
            <v>maagrfc</v>
          </cell>
          <cell r="D4329">
            <v>2.5692653656005859</v>
          </cell>
        </row>
        <row r="4330">
          <cell r="A4330" t="str">
            <v>LKA</v>
          </cell>
          <cell r="B4330">
            <v>2024</v>
          </cell>
          <cell r="C4330" t="str">
            <v>maindfc</v>
          </cell>
          <cell r="D4330">
            <v>2.5999999046325684</v>
          </cell>
        </row>
        <row r="4331">
          <cell r="A4331" t="str">
            <v>LKA</v>
          </cell>
          <cell r="B4331">
            <v>2006</v>
          </cell>
          <cell r="C4331" t="str">
            <v>mataxfc</v>
          </cell>
          <cell r="D4331">
            <v>7.3225765228271484</v>
          </cell>
        </row>
        <row r="4332">
          <cell r="A4332" t="str">
            <v>LKA</v>
          </cell>
          <cell r="B4332">
            <v>2019</v>
          </cell>
          <cell r="C4332" t="str">
            <v>magdpz</v>
          </cell>
          <cell r="D4332">
            <v>-0.22048036754131317</v>
          </cell>
        </row>
        <row r="4333">
          <cell r="A4333" t="str">
            <v>LKA</v>
          </cell>
          <cell r="B4333">
            <v>2017</v>
          </cell>
          <cell r="C4333" t="str">
            <v>magap_</v>
          </cell>
          <cell r="D4333">
            <v>9.5156583786010742</v>
          </cell>
        </row>
        <row r="4334">
          <cell r="A4334" t="str">
            <v>LKA</v>
          </cell>
          <cell r="B4334">
            <v>2014</v>
          </cell>
          <cell r="C4334" t="str">
            <v>madebt_</v>
          </cell>
          <cell r="D4334">
            <v>72.258964538574219</v>
          </cell>
        </row>
        <row r="4335">
          <cell r="A4335" t="str">
            <v>LKA</v>
          </cell>
          <cell r="B4335">
            <v>2021</v>
          </cell>
          <cell r="C4335" t="str">
            <v>matfpz</v>
          </cell>
          <cell r="D4335">
            <v>-4.1632180213928223</v>
          </cell>
        </row>
        <row r="4336">
          <cell r="A4336" t="str">
            <v>LKA</v>
          </cell>
          <cell r="B4336">
            <v>2018</v>
          </cell>
          <cell r="C4336" t="str">
            <v>maconz</v>
          </cell>
          <cell r="D4336">
            <v>4.7330713272094727</v>
          </cell>
        </row>
        <row r="4337">
          <cell r="A4337" t="str">
            <v>LKA</v>
          </cell>
          <cell r="B4337">
            <v>2021</v>
          </cell>
          <cell r="C4337" t="str">
            <v>mataxfc</v>
          </cell>
          <cell r="D4337">
            <v>8.2422008514404297</v>
          </cell>
        </row>
        <row r="4338">
          <cell r="A4338" t="str">
            <v>LKA</v>
          </cell>
          <cell r="B4338">
            <v>2012</v>
          </cell>
          <cell r="C4338" t="str">
            <v>maconz</v>
          </cell>
          <cell r="D4338">
            <v>2.2509846687316895</v>
          </cell>
        </row>
        <row r="4339">
          <cell r="A4339" t="str">
            <v>LKA</v>
          </cell>
          <cell r="B4339">
            <v>2005</v>
          </cell>
          <cell r="C4339" t="str">
            <v>mac_labz</v>
          </cell>
          <cell r="D4339">
            <v>0</v>
          </cell>
        </row>
        <row r="4340">
          <cell r="A4340" t="str">
            <v>LKA</v>
          </cell>
          <cell r="B4340">
            <v>2018</v>
          </cell>
          <cell r="C4340" t="str">
            <v>matfpz</v>
          </cell>
          <cell r="D4340">
            <v>1.4067867994308472</v>
          </cell>
        </row>
        <row r="4341">
          <cell r="A4341" t="str">
            <v>LKA</v>
          </cell>
          <cell r="B4341">
            <v>2008</v>
          </cell>
          <cell r="C4341" t="str">
            <v>maindfc</v>
          </cell>
          <cell r="D4341">
            <v>5.9180850982666016</v>
          </cell>
        </row>
        <row r="4342">
          <cell r="A4342" t="str">
            <v>LKA</v>
          </cell>
          <cell r="B4342">
            <v>2025</v>
          </cell>
          <cell r="C4342" t="str">
            <v>mapanusatls</v>
          </cell>
          <cell r="D4342">
            <v>346.79998779296875</v>
          </cell>
        </row>
        <row r="4343">
          <cell r="A4343" t="str">
            <v>LKA</v>
          </cell>
          <cell r="B4343">
            <v>2024</v>
          </cell>
          <cell r="C4343" t="str">
            <v>mar_impz</v>
          </cell>
          <cell r="D4343">
            <v>19.432849884033203</v>
          </cell>
        </row>
        <row r="4344">
          <cell r="A4344" t="str">
            <v>LKA</v>
          </cell>
          <cell r="B4344">
            <v>2011</v>
          </cell>
          <cell r="C4344" t="str">
            <v>matfpz</v>
          </cell>
          <cell r="D4344">
            <v>3.0311622619628906</v>
          </cell>
        </row>
        <row r="4345">
          <cell r="A4345" t="str">
            <v>LKA</v>
          </cell>
          <cell r="B4345">
            <v>2025</v>
          </cell>
          <cell r="C4345" t="str">
            <v>mar_agrfc</v>
          </cell>
          <cell r="D4345">
            <v>8.2529582977294922</v>
          </cell>
        </row>
        <row r="4346">
          <cell r="A4346" t="str">
            <v>LKA</v>
          </cell>
          <cell r="B4346">
            <v>2025</v>
          </cell>
          <cell r="C4346" t="str">
            <v>mafdi_</v>
          </cell>
          <cell r="D4346">
            <v>-0.80000001192092896</v>
          </cell>
        </row>
        <row r="4347">
          <cell r="A4347" t="str">
            <v>LKA</v>
          </cell>
          <cell r="B4347">
            <v>2013</v>
          </cell>
          <cell r="C4347" t="str">
            <v>mataxfc</v>
          </cell>
          <cell r="D4347">
            <v>-0.72859716415405273</v>
          </cell>
        </row>
        <row r="4348">
          <cell r="A4348" t="str">
            <v>LKA</v>
          </cell>
          <cell r="B4348">
            <v>2009</v>
          </cell>
          <cell r="C4348" t="str">
            <v>maimpz</v>
          </cell>
          <cell r="D4348">
            <v>-9.5859031677246094</v>
          </cell>
        </row>
        <row r="4349">
          <cell r="A4349" t="str">
            <v>LKA</v>
          </cell>
          <cell r="B4349">
            <v>2019</v>
          </cell>
          <cell r="C4349" t="str">
            <v>mapanusatls</v>
          </cell>
          <cell r="D4349">
            <v>178.77760314941406</v>
          </cell>
        </row>
        <row r="4350">
          <cell r="A4350" t="str">
            <v>LKA</v>
          </cell>
          <cell r="B4350">
            <v>2010</v>
          </cell>
          <cell r="C4350" t="str">
            <v>mac_labz</v>
          </cell>
          <cell r="D4350">
            <v>0.70971477031707764</v>
          </cell>
        </row>
        <row r="4351">
          <cell r="A4351" t="str">
            <v>LKA</v>
          </cell>
          <cell r="B4351">
            <v>2020</v>
          </cell>
          <cell r="C4351" t="str">
            <v>magovz</v>
          </cell>
          <cell r="D4351">
            <v>8.6539294570684433E-3</v>
          </cell>
        </row>
        <row r="4352">
          <cell r="A4352" t="str">
            <v>LKA</v>
          </cell>
          <cell r="B4352">
            <v>2011</v>
          </cell>
          <cell r="C4352" t="str">
            <v>madebt_</v>
          </cell>
          <cell r="D4352">
            <v>71.108039855957031</v>
          </cell>
        </row>
        <row r="4353">
          <cell r="A4353" t="str">
            <v>LKA</v>
          </cell>
          <cell r="B4353">
            <v>2021</v>
          </cell>
          <cell r="C4353" t="str">
            <v>macpiz</v>
          </cell>
          <cell r="D4353">
            <v>5.9591197967529297</v>
          </cell>
        </row>
        <row r="4354">
          <cell r="A4354" t="str">
            <v>LKA</v>
          </cell>
          <cell r="B4354">
            <v>2025</v>
          </cell>
          <cell r="C4354" t="str">
            <v>mar_impz</v>
          </cell>
          <cell r="D4354">
            <v>19.277164459228516</v>
          </cell>
        </row>
        <row r="4355">
          <cell r="A4355" t="str">
            <v>LKA</v>
          </cell>
          <cell r="B4355">
            <v>2023</v>
          </cell>
          <cell r="C4355" t="str">
            <v>maconz</v>
          </cell>
          <cell r="D4355">
            <v>-3.2000000476837158</v>
          </cell>
        </row>
        <row r="4356">
          <cell r="A4356" t="str">
            <v>LKA</v>
          </cell>
          <cell r="B4356">
            <v>2009</v>
          </cell>
          <cell r="C4356" t="str">
            <v>mapanusatls</v>
          </cell>
          <cell r="D4356">
            <v>114.94480133056641</v>
          </cell>
        </row>
        <row r="4357">
          <cell r="A4357" t="str">
            <v>LKA</v>
          </cell>
          <cell r="B4357">
            <v>2023</v>
          </cell>
          <cell r="C4357" t="str">
            <v>mar_expz</v>
          </cell>
          <cell r="D4357">
            <v>20.405338287353516</v>
          </cell>
        </row>
        <row r="4358">
          <cell r="A4358" t="str">
            <v>LKA</v>
          </cell>
          <cell r="B4358">
            <v>2010</v>
          </cell>
          <cell r="C4358" t="str">
            <v>macpiz</v>
          </cell>
          <cell r="D4358">
            <v>6.2176632881164551</v>
          </cell>
        </row>
        <row r="4359">
          <cell r="A4359" t="str">
            <v>LKA</v>
          </cell>
          <cell r="B4359">
            <v>2008</v>
          </cell>
          <cell r="C4359" t="str">
            <v>mar_con</v>
          </cell>
          <cell r="D4359">
            <v>69.480751037597656</v>
          </cell>
        </row>
        <row r="4360">
          <cell r="A4360" t="str">
            <v>LKA</v>
          </cell>
          <cell r="B4360">
            <v>2024</v>
          </cell>
          <cell r="C4360" t="str">
            <v>maconz</v>
          </cell>
          <cell r="D4360">
            <v>2.4000000953674316</v>
          </cell>
        </row>
        <row r="4361">
          <cell r="A4361" t="str">
            <v>LKA</v>
          </cell>
          <cell r="B4361">
            <v>2009</v>
          </cell>
          <cell r="C4361" t="str">
            <v>magdpz</v>
          </cell>
          <cell r="D4361">
            <v>3.5389120578765869</v>
          </cell>
        </row>
        <row r="4362">
          <cell r="A4362" t="str">
            <v>LKA</v>
          </cell>
          <cell r="B4362">
            <v>2023</v>
          </cell>
          <cell r="C4362" t="str">
            <v>magdpz</v>
          </cell>
          <cell r="D4362">
            <v>-2.2980489730834961</v>
          </cell>
        </row>
        <row r="4363">
          <cell r="A4363" t="str">
            <v>LKA</v>
          </cell>
          <cell r="B4363">
            <v>2005</v>
          </cell>
          <cell r="C4363" t="str">
            <v>matfpz</v>
          </cell>
          <cell r="D4363">
            <v>1.6205465793609619</v>
          </cell>
        </row>
        <row r="4364">
          <cell r="A4364" t="str">
            <v>LKA</v>
          </cell>
          <cell r="B4364">
            <v>2020</v>
          </cell>
          <cell r="C4364" t="str">
            <v>matfpz</v>
          </cell>
          <cell r="D4364">
            <v>-4.8811159133911133</v>
          </cell>
        </row>
        <row r="4365">
          <cell r="A4365" t="str">
            <v>LKA</v>
          </cell>
          <cell r="B4365">
            <v>2009</v>
          </cell>
          <cell r="C4365" t="str">
            <v>mar_srvfc</v>
          </cell>
          <cell r="D4365">
            <v>60.870853424072266</v>
          </cell>
        </row>
        <row r="4366">
          <cell r="A4366" t="str">
            <v>LKA</v>
          </cell>
          <cell r="B4366">
            <v>2012</v>
          </cell>
          <cell r="C4366" t="str">
            <v>magdpz</v>
          </cell>
          <cell r="D4366">
            <v>9.1445760726928711</v>
          </cell>
        </row>
        <row r="4367">
          <cell r="A4367" t="str">
            <v>LKA</v>
          </cell>
          <cell r="B4367">
            <v>2016</v>
          </cell>
          <cell r="C4367" t="str">
            <v>mac_labz</v>
          </cell>
          <cell r="D4367">
            <v>0.49517309665679932</v>
          </cell>
        </row>
        <row r="4368">
          <cell r="A4368" t="str">
            <v>LKA</v>
          </cell>
          <cell r="B4368">
            <v>2006</v>
          </cell>
          <cell r="C4368" t="str">
            <v>macab_</v>
          </cell>
          <cell r="D4368">
            <v>-5.2970643043518066</v>
          </cell>
        </row>
        <row r="4369">
          <cell r="A4369" t="str">
            <v>LKA</v>
          </cell>
          <cell r="B4369">
            <v>2026</v>
          </cell>
          <cell r="C4369" t="str">
            <v>maexpz</v>
          </cell>
          <cell r="D4369">
            <v>3.0588243007659912</v>
          </cell>
        </row>
        <row r="4370">
          <cell r="A4370" t="str">
            <v>LKA</v>
          </cell>
          <cell r="B4370">
            <v>2011</v>
          </cell>
          <cell r="C4370" t="str">
            <v>macab_</v>
          </cell>
          <cell r="D4370">
            <v>-7.0687785148620605</v>
          </cell>
        </row>
        <row r="4371">
          <cell r="A4371" t="str">
            <v>LKA</v>
          </cell>
          <cell r="B4371">
            <v>2016</v>
          </cell>
          <cell r="C4371" t="str">
            <v>mar_agrfc</v>
          </cell>
          <cell r="D4371">
            <v>8.1307659149169922</v>
          </cell>
        </row>
        <row r="4372">
          <cell r="A4372" t="str">
            <v>LKA</v>
          </cell>
          <cell r="B4372">
            <v>2025</v>
          </cell>
          <cell r="C4372" t="str">
            <v>mareer</v>
          </cell>
          <cell r="D4372">
            <v>89.062919616699219</v>
          </cell>
        </row>
        <row r="4373">
          <cell r="A4373" t="str">
            <v>LKA</v>
          </cell>
          <cell r="B4373">
            <v>2020</v>
          </cell>
          <cell r="C4373" t="str">
            <v>maindfc</v>
          </cell>
          <cell r="D4373">
            <v>-5.3171439170837402</v>
          </cell>
        </row>
        <row r="4374">
          <cell r="A4374" t="str">
            <v>LKA</v>
          </cell>
          <cell r="B4374">
            <v>2016</v>
          </cell>
          <cell r="C4374" t="str">
            <v>mar_expz</v>
          </cell>
          <cell r="D4374">
            <v>19.859409332275391</v>
          </cell>
        </row>
        <row r="4375">
          <cell r="A4375" t="str">
            <v>LKA</v>
          </cell>
          <cell r="B4375">
            <v>2012</v>
          </cell>
          <cell r="C4375" t="str">
            <v>mar_indfc</v>
          </cell>
          <cell r="D4375">
            <v>29.615177154541016</v>
          </cell>
        </row>
        <row r="4376">
          <cell r="A4376" t="str">
            <v>LKA</v>
          </cell>
          <cell r="B4376">
            <v>2014</v>
          </cell>
          <cell r="C4376" t="str">
            <v>magdpz</v>
          </cell>
          <cell r="D4376">
            <v>4.960700511932373</v>
          </cell>
        </row>
        <row r="4377">
          <cell r="A4377" t="str">
            <v>LKA</v>
          </cell>
          <cell r="B4377">
            <v>2007</v>
          </cell>
          <cell r="C4377" t="str">
            <v>masrvfc</v>
          </cell>
          <cell r="D4377">
            <v>7.1166009902954102</v>
          </cell>
        </row>
        <row r="4378">
          <cell r="A4378" t="str">
            <v>LKA</v>
          </cell>
          <cell r="B4378">
            <v>2023</v>
          </cell>
          <cell r="C4378" t="str">
            <v>madebt_</v>
          </cell>
          <cell r="D4378">
            <v>105.67750549316406</v>
          </cell>
        </row>
        <row r="4379">
          <cell r="A4379" t="str">
            <v>LKA</v>
          </cell>
          <cell r="B4379">
            <v>2014</v>
          </cell>
          <cell r="C4379" t="str">
            <v>mar_con</v>
          </cell>
          <cell r="D4379">
            <v>66.932479858398438</v>
          </cell>
        </row>
        <row r="4380">
          <cell r="A4380" t="str">
            <v>LKA</v>
          </cell>
          <cell r="B4380">
            <v>2022</v>
          </cell>
          <cell r="C4380" t="str">
            <v>malabz</v>
          </cell>
          <cell r="D4380">
            <v>0.63024020195007324</v>
          </cell>
        </row>
        <row r="4381">
          <cell r="A4381" t="str">
            <v>LKA</v>
          </cell>
          <cell r="B4381">
            <v>2024</v>
          </cell>
          <cell r="C4381" t="str">
            <v>mar_indfc</v>
          </cell>
          <cell r="D4381">
            <v>27.072771072387695</v>
          </cell>
        </row>
        <row r="4382">
          <cell r="A4382" t="str">
            <v>LKA</v>
          </cell>
          <cell r="B4382">
            <v>2007</v>
          </cell>
          <cell r="C4382" t="str">
            <v>maconz</v>
          </cell>
          <cell r="D4382">
            <v>3.9382555484771729</v>
          </cell>
        </row>
        <row r="4383">
          <cell r="A4383" t="str">
            <v>LKA</v>
          </cell>
          <cell r="B4383">
            <v>2015</v>
          </cell>
          <cell r="C4383" t="str">
            <v>mainvz</v>
          </cell>
          <cell r="D4383">
            <v>52.715320587158203</v>
          </cell>
        </row>
        <row r="4384">
          <cell r="A4384" t="str">
            <v>LKA</v>
          </cell>
          <cell r="B4384">
            <v>2023</v>
          </cell>
          <cell r="C4384" t="str">
            <v>mafdi_</v>
          </cell>
          <cell r="D4384">
            <v>-0.69774997234344482</v>
          </cell>
        </row>
        <row r="4385">
          <cell r="A4385" t="str">
            <v>LKA</v>
          </cell>
          <cell r="B4385">
            <v>2022</v>
          </cell>
          <cell r="C4385" t="str">
            <v>magap_</v>
          </cell>
          <cell r="D4385">
            <v>-11.546897888183594</v>
          </cell>
        </row>
        <row r="4386">
          <cell r="A4386" t="str">
            <v>LKA</v>
          </cell>
          <cell r="B4386">
            <v>2025</v>
          </cell>
          <cell r="C4386" t="str">
            <v>matfpz</v>
          </cell>
          <cell r="D4386">
            <v>-1.827100396156311</v>
          </cell>
        </row>
        <row r="4387">
          <cell r="A4387" t="str">
            <v>LKA</v>
          </cell>
          <cell r="B4387">
            <v>2014</v>
          </cell>
          <cell r="C4387" t="str">
            <v>mar_agrfc</v>
          </cell>
          <cell r="D4387">
            <v>8.5556163787841797</v>
          </cell>
        </row>
        <row r="4388">
          <cell r="A4388" t="str">
            <v>LKA</v>
          </cell>
          <cell r="B4388">
            <v>2013</v>
          </cell>
          <cell r="C4388" t="str">
            <v>mar_con</v>
          </cell>
          <cell r="D4388">
            <v>67.773139953613281</v>
          </cell>
        </row>
        <row r="4389">
          <cell r="A4389" t="str">
            <v>LKA</v>
          </cell>
          <cell r="B4389">
            <v>2023</v>
          </cell>
          <cell r="C4389" t="str">
            <v>macpiz</v>
          </cell>
          <cell r="D4389">
            <v>17.401060104370117</v>
          </cell>
        </row>
        <row r="4390">
          <cell r="A4390" t="str">
            <v>LKA</v>
          </cell>
          <cell r="B4390">
            <v>2013</v>
          </cell>
          <cell r="C4390" t="str">
            <v>mar_impz</v>
          </cell>
          <cell r="D4390">
            <v>26.803756713867188</v>
          </cell>
        </row>
        <row r="4391">
          <cell r="A4391" t="str">
            <v>LKA</v>
          </cell>
          <cell r="B4391">
            <v>2013</v>
          </cell>
          <cell r="C4391" t="str">
            <v>masrvfc</v>
          </cell>
          <cell r="D4391">
            <v>3.773047924041748</v>
          </cell>
        </row>
        <row r="4392">
          <cell r="A4392" t="str">
            <v>LKA</v>
          </cell>
          <cell r="B4392">
            <v>2013</v>
          </cell>
          <cell r="C4392" t="str">
            <v>madeficit_</v>
          </cell>
          <cell r="D4392">
            <v>-5.3803505897521973</v>
          </cell>
        </row>
        <row r="4393">
          <cell r="A4393" t="str">
            <v>LKA</v>
          </cell>
          <cell r="B4393">
            <v>2025</v>
          </cell>
          <cell r="C4393" t="str">
            <v>maimpz</v>
          </cell>
          <cell r="D4393">
            <v>1.6498503684997559</v>
          </cell>
        </row>
        <row r="4394">
          <cell r="A4394" t="str">
            <v>LKA</v>
          </cell>
          <cell r="B4394">
            <v>2010</v>
          </cell>
          <cell r="C4394" t="str">
            <v>magdpz</v>
          </cell>
          <cell r="D4394">
            <v>8.0159673690795898</v>
          </cell>
        </row>
        <row r="4395">
          <cell r="A4395" t="str">
            <v>LKA</v>
          </cell>
          <cell r="B4395">
            <v>2023</v>
          </cell>
          <cell r="C4395" t="str">
            <v>mar_indfc</v>
          </cell>
          <cell r="D4395">
            <v>26.963134765625</v>
          </cell>
        </row>
        <row r="4396">
          <cell r="A4396" t="str">
            <v>LKA</v>
          </cell>
          <cell r="B4396">
            <v>2017</v>
          </cell>
          <cell r="C4396" t="str">
            <v>mar_impz</v>
          </cell>
          <cell r="D4396">
            <v>27.592153549194336</v>
          </cell>
        </row>
        <row r="4397">
          <cell r="A4397" t="str">
            <v>LKA</v>
          </cell>
          <cell r="B4397">
            <v>2019</v>
          </cell>
          <cell r="C4397" t="str">
            <v>madeficit_</v>
          </cell>
          <cell r="D4397">
            <v>-9.0446672439575195</v>
          </cell>
        </row>
        <row r="4398">
          <cell r="A4398" t="str">
            <v>LKA</v>
          </cell>
          <cell r="B4398">
            <v>2012</v>
          </cell>
          <cell r="C4398" t="str">
            <v>mareer</v>
          </cell>
          <cell r="D4398">
            <v>112.97471618652344</v>
          </cell>
        </row>
        <row r="4399">
          <cell r="A4399" t="str">
            <v>LKA</v>
          </cell>
          <cell r="B4399">
            <v>2017</v>
          </cell>
          <cell r="C4399" t="str">
            <v>maexpz</v>
          </cell>
          <cell r="D4399">
            <v>7.6594400405883789</v>
          </cell>
        </row>
        <row r="4400">
          <cell r="A4400" t="str">
            <v>LKA</v>
          </cell>
          <cell r="B4400">
            <v>2005</v>
          </cell>
          <cell r="C4400" t="str">
            <v>mar_srvfc</v>
          </cell>
          <cell r="D4400">
            <v>61.033779144287109</v>
          </cell>
        </row>
        <row r="4401">
          <cell r="A4401" t="str">
            <v>LKA</v>
          </cell>
          <cell r="B4401">
            <v>2005</v>
          </cell>
          <cell r="C4401" t="str">
            <v>maexpz</v>
          </cell>
          <cell r="D4401">
            <v>6.6461658477783203</v>
          </cell>
        </row>
        <row r="4402">
          <cell r="A4402" t="str">
            <v>LKA</v>
          </cell>
          <cell r="B4402">
            <v>2026</v>
          </cell>
          <cell r="C4402" t="str">
            <v>macab_</v>
          </cell>
          <cell r="D4402">
            <v>-0.44165295362472534</v>
          </cell>
        </row>
        <row r="4403">
          <cell r="A4403" t="str">
            <v>LKA</v>
          </cell>
          <cell r="B4403">
            <v>2015</v>
          </cell>
          <cell r="C4403" t="str">
            <v>madebt_</v>
          </cell>
          <cell r="D4403">
            <v>74.342521667480469</v>
          </cell>
        </row>
        <row r="4404">
          <cell r="A4404" t="str">
            <v>LKA</v>
          </cell>
          <cell r="B4404">
            <v>2012</v>
          </cell>
          <cell r="C4404" t="str">
            <v>masrvfc</v>
          </cell>
          <cell r="D4404">
            <v>11.220571517944336</v>
          </cell>
        </row>
        <row r="4405">
          <cell r="A4405" t="str">
            <v>LKA</v>
          </cell>
          <cell r="B4405">
            <v>2012</v>
          </cell>
          <cell r="C4405" t="str">
            <v>macab_</v>
          </cell>
          <cell r="D4405">
            <v>-5.8173947334289551</v>
          </cell>
        </row>
        <row r="4406">
          <cell r="A4406" t="str">
            <v>LKA</v>
          </cell>
          <cell r="B4406">
            <v>2016</v>
          </cell>
          <cell r="C4406" t="str">
            <v>magdpz</v>
          </cell>
          <cell r="D4406">
            <v>5.0535898208618164</v>
          </cell>
        </row>
        <row r="4407">
          <cell r="A4407" t="str">
            <v>LKA</v>
          </cell>
          <cell r="B4407">
            <v>2013</v>
          </cell>
          <cell r="C4407" t="str">
            <v>maagrfc</v>
          </cell>
          <cell r="D4407">
            <v>3.246335506439209</v>
          </cell>
        </row>
        <row r="4408">
          <cell r="A4408" t="str">
            <v>LKA</v>
          </cell>
          <cell r="B4408">
            <v>2008</v>
          </cell>
          <cell r="C4408" t="str">
            <v>mar_indfc</v>
          </cell>
          <cell r="D4408">
            <v>29.380731582641602</v>
          </cell>
        </row>
        <row r="4409">
          <cell r="A4409" t="str">
            <v>LKA</v>
          </cell>
          <cell r="B4409">
            <v>2015</v>
          </cell>
          <cell r="C4409" t="str">
            <v>maconz</v>
          </cell>
          <cell r="D4409">
            <v>34.184391021728516</v>
          </cell>
        </row>
        <row r="4410">
          <cell r="A4410" t="str">
            <v>LKA</v>
          </cell>
          <cell r="B4410">
            <v>2009</v>
          </cell>
          <cell r="C4410" t="str">
            <v>mareer</v>
          </cell>
          <cell r="D4410">
            <v>92.060722351074219</v>
          </cell>
        </row>
        <row r="4411">
          <cell r="A4411" t="str">
            <v>LKA</v>
          </cell>
          <cell r="B4411">
            <v>2009</v>
          </cell>
          <cell r="C4411" t="str">
            <v>mainvz</v>
          </cell>
          <cell r="D4411">
            <v>1.3440393209457397</v>
          </cell>
        </row>
        <row r="4412">
          <cell r="A4412" t="str">
            <v>LKA</v>
          </cell>
          <cell r="B4412">
            <v>2010</v>
          </cell>
          <cell r="C4412" t="str">
            <v>maimpz</v>
          </cell>
          <cell r="D4412">
            <v>12.647152900695801</v>
          </cell>
        </row>
        <row r="4413">
          <cell r="A4413" t="str">
            <v>LKA</v>
          </cell>
          <cell r="B4413">
            <v>2014</v>
          </cell>
          <cell r="C4413" t="str">
            <v>mar_srvfc</v>
          </cell>
          <cell r="D4413">
            <v>61.770206451416016</v>
          </cell>
        </row>
        <row r="4414">
          <cell r="A4414" t="str">
            <v>LKA</v>
          </cell>
          <cell r="B4414">
            <v>2020</v>
          </cell>
          <cell r="C4414" t="str">
            <v>mar_impz</v>
          </cell>
          <cell r="D4414">
            <v>22.571323394775391</v>
          </cell>
        </row>
        <row r="4415">
          <cell r="A4415" t="str">
            <v>LKA</v>
          </cell>
          <cell r="B4415">
            <v>2019</v>
          </cell>
          <cell r="C4415" t="str">
            <v>mareer</v>
          </cell>
          <cell r="D4415">
            <v>91.763038635253906</v>
          </cell>
        </row>
        <row r="4416">
          <cell r="A4416" t="str">
            <v>LKA</v>
          </cell>
          <cell r="B4416">
            <v>2015</v>
          </cell>
          <cell r="C4416" t="str">
            <v>matfpz</v>
          </cell>
          <cell r="D4416">
            <v>2.8405187129974365</v>
          </cell>
        </row>
        <row r="4417">
          <cell r="A4417" t="str">
            <v>LKA</v>
          </cell>
          <cell r="B4417">
            <v>2025</v>
          </cell>
          <cell r="C4417" t="str">
            <v>mac_labz</v>
          </cell>
          <cell r="D4417">
            <v>0.47490736842155457</v>
          </cell>
        </row>
        <row r="4418">
          <cell r="A4418" t="str">
            <v>LKA</v>
          </cell>
          <cell r="B4418">
            <v>2010</v>
          </cell>
          <cell r="C4418" t="str">
            <v>masrvfc</v>
          </cell>
          <cell r="D4418">
            <v>8.0255336761474609</v>
          </cell>
        </row>
        <row r="4419">
          <cell r="A4419" t="str">
            <v>LKA</v>
          </cell>
          <cell r="B4419">
            <v>2024</v>
          </cell>
          <cell r="C4419" t="str">
            <v>maagrfc</v>
          </cell>
          <cell r="D4419">
            <v>1.5</v>
          </cell>
        </row>
        <row r="4420">
          <cell r="A4420" t="str">
            <v>LKA</v>
          </cell>
          <cell r="B4420">
            <v>2018</v>
          </cell>
          <cell r="C4420" t="str">
            <v>macpiz</v>
          </cell>
          <cell r="D4420">
            <v>4.270209789276123</v>
          </cell>
        </row>
        <row r="4421">
          <cell r="A4421" t="str">
            <v>LKA</v>
          </cell>
          <cell r="B4421">
            <v>2026</v>
          </cell>
          <cell r="C4421" t="str">
            <v>mar_con</v>
          </cell>
          <cell r="D4421">
            <v>59.231712341308594</v>
          </cell>
        </row>
        <row r="4422">
          <cell r="A4422" t="str">
            <v>LKA</v>
          </cell>
          <cell r="B4422">
            <v>2017</v>
          </cell>
          <cell r="C4422" t="str">
            <v>mar_con</v>
          </cell>
          <cell r="D4422">
            <v>58.46575927734375</v>
          </cell>
        </row>
        <row r="4423">
          <cell r="A4423" t="str">
            <v>LKA</v>
          </cell>
          <cell r="B4423">
            <v>2023</v>
          </cell>
          <cell r="C4423" t="str">
            <v>malabz</v>
          </cell>
          <cell r="D4423">
            <v>0.7957344651222229</v>
          </cell>
        </row>
        <row r="4424">
          <cell r="A4424" t="str">
            <v>LKA</v>
          </cell>
          <cell r="B4424">
            <v>2025</v>
          </cell>
          <cell r="C4424" t="str">
            <v>magdpz</v>
          </cell>
          <cell r="D4424">
            <v>2.4707906246185303</v>
          </cell>
        </row>
        <row r="4425">
          <cell r="A4425" t="str">
            <v>LKA</v>
          </cell>
          <cell r="B4425">
            <v>2013</v>
          </cell>
          <cell r="C4425" t="str">
            <v>mac_tfpz</v>
          </cell>
          <cell r="D4425">
            <v>3.1648604869842529</v>
          </cell>
        </row>
        <row r="4426">
          <cell r="A4426" t="str">
            <v>LKA</v>
          </cell>
          <cell r="B4426">
            <v>2022</v>
          </cell>
          <cell r="C4426" t="str">
            <v>madebt_</v>
          </cell>
          <cell r="D4426">
            <v>119.15674591064453</v>
          </cell>
        </row>
        <row r="4427">
          <cell r="A4427" t="str">
            <v>LKA</v>
          </cell>
          <cell r="B4427">
            <v>2011</v>
          </cell>
          <cell r="C4427" t="str">
            <v>mataxfc</v>
          </cell>
          <cell r="D4427">
            <v>6.5744428634643555</v>
          </cell>
        </row>
        <row r="4428">
          <cell r="A4428" t="str">
            <v>LKA</v>
          </cell>
          <cell r="B4428">
            <v>2022</v>
          </cell>
          <cell r="C4428" t="str">
            <v>mafdi_</v>
          </cell>
          <cell r="D4428">
            <v>-1.2111411094665527</v>
          </cell>
        </row>
        <row r="4429">
          <cell r="A4429" t="str">
            <v>LKA</v>
          </cell>
          <cell r="B4429">
            <v>2014</v>
          </cell>
          <cell r="C4429" t="str">
            <v>malabz</v>
          </cell>
          <cell r="D4429">
            <v>0.65726536512374878</v>
          </cell>
        </row>
        <row r="4430">
          <cell r="A4430" t="str">
            <v>LKA</v>
          </cell>
          <cell r="B4430">
            <v>2020</v>
          </cell>
          <cell r="C4430" t="str">
            <v>mar_con</v>
          </cell>
          <cell r="D4430">
            <v>61.533058166503906</v>
          </cell>
        </row>
        <row r="4431">
          <cell r="A4431" t="str">
            <v>LKA</v>
          </cell>
          <cell r="B4431">
            <v>2010</v>
          </cell>
          <cell r="C4431" t="str">
            <v>maconz</v>
          </cell>
          <cell r="D4431">
            <v>9.1570186614990234</v>
          </cell>
        </row>
        <row r="4432">
          <cell r="A4432" t="str">
            <v>LKA</v>
          </cell>
          <cell r="B4432">
            <v>2005</v>
          </cell>
          <cell r="C4432" t="str">
            <v>mar_con</v>
          </cell>
          <cell r="D4432">
            <v>71.093521118164063</v>
          </cell>
        </row>
        <row r="4433">
          <cell r="A4433" t="str">
            <v>LKA</v>
          </cell>
          <cell r="B4433">
            <v>2008</v>
          </cell>
          <cell r="C4433" t="str">
            <v>mareer</v>
          </cell>
          <cell r="D4433">
            <v>93.323997497558594</v>
          </cell>
        </row>
        <row r="4434">
          <cell r="A4434" t="str">
            <v>LKA</v>
          </cell>
          <cell r="B4434">
            <v>2014</v>
          </cell>
          <cell r="C4434" t="str">
            <v>mareer</v>
          </cell>
          <cell r="D4434">
            <v>119.84483337402344</v>
          </cell>
        </row>
        <row r="4435">
          <cell r="A4435" t="str">
            <v>LKA</v>
          </cell>
          <cell r="B4435">
            <v>2013</v>
          </cell>
          <cell r="C4435" t="str">
            <v>maexpz</v>
          </cell>
          <cell r="D4435">
            <v>6.6363635063171387</v>
          </cell>
        </row>
        <row r="4436">
          <cell r="A4436" t="str">
            <v>LKA</v>
          </cell>
          <cell r="B4436">
            <v>2005</v>
          </cell>
          <cell r="C4436" t="str">
            <v>madeficit_</v>
          </cell>
          <cell r="D4436">
            <v>-7.0271635055541992</v>
          </cell>
        </row>
        <row r="4437">
          <cell r="A4437" t="str">
            <v>LKA</v>
          </cell>
          <cell r="B4437">
            <v>2016</v>
          </cell>
          <cell r="C4437" t="str">
            <v>mataxfc</v>
          </cell>
          <cell r="D4437">
            <v>8.3688554763793945</v>
          </cell>
        </row>
        <row r="4438">
          <cell r="A4438" t="str">
            <v>LKA</v>
          </cell>
          <cell r="B4438">
            <v>2017</v>
          </cell>
          <cell r="C4438" t="str">
            <v>mar_expz</v>
          </cell>
          <cell r="D4438">
            <v>20.083028793334961</v>
          </cell>
        </row>
        <row r="4439">
          <cell r="A4439" t="str">
            <v>LKA</v>
          </cell>
          <cell r="B4439">
            <v>2005</v>
          </cell>
          <cell r="C4439" t="str">
            <v>magdpz</v>
          </cell>
          <cell r="D4439">
            <v>6.2417478561401367</v>
          </cell>
        </row>
        <row r="4440">
          <cell r="A4440" t="str">
            <v>LKA</v>
          </cell>
          <cell r="B4440">
            <v>2023</v>
          </cell>
          <cell r="C4440" t="str">
            <v>madeficit_</v>
          </cell>
          <cell r="D4440">
            <v>-10.222696304321289</v>
          </cell>
        </row>
        <row r="4441">
          <cell r="A4441" t="str">
            <v>LKA</v>
          </cell>
          <cell r="B4441">
            <v>2007</v>
          </cell>
          <cell r="C4441" t="str">
            <v>mar_con</v>
          </cell>
          <cell r="D4441">
            <v>68.471878051757813</v>
          </cell>
        </row>
        <row r="4442">
          <cell r="A4442" t="str">
            <v>LKA</v>
          </cell>
          <cell r="B4442">
            <v>2017</v>
          </cell>
          <cell r="C4442" t="str">
            <v>mac_tfpz</v>
          </cell>
          <cell r="D4442">
            <v>1.8436561822891235</v>
          </cell>
        </row>
        <row r="4443">
          <cell r="A4443" t="str">
            <v>LKA</v>
          </cell>
          <cell r="B4443">
            <v>2014</v>
          </cell>
          <cell r="C4443" t="str">
            <v>mar_expz</v>
          </cell>
          <cell r="D4443">
            <v>18.622808456420898</v>
          </cell>
        </row>
        <row r="4444">
          <cell r="A4444" t="str">
            <v>LKA</v>
          </cell>
          <cell r="B4444">
            <v>2009</v>
          </cell>
          <cell r="C4444" t="str">
            <v>mar_agrfc</v>
          </cell>
          <cell r="D4444">
            <v>9.5603532791137695</v>
          </cell>
        </row>
        <row r="4445">
          <cell r="A4445" t="str">
            <v>LKA</v>
          </cell>
          <cell r="B4445">
            <v>2014</v>
          </cell>
          <cell r="C4445" t="str">
            <v>mainvz</v>
          </cell>
          <cell r="D4445">
            <v>-2.7658021450042725</v>
          </cell>
        </row>
        <row r="4446">
          <cell r="A4446" t="str">
            <v>LKA</v>
          </cell>
          <cell r="B4446">
            <v>2025</v>
          </cell>
          <cell r="C4446" t="str">
            <v>mar_srvfc</v>
          </cell>
          <cell r="D4446">
            <v>64.613716125488281</v>
          </cell>
        </row>
        <row r="4447">
          <cell r="A4447" t="str">
            <v>LKA</v>
          </cell>
          <cell r="B4447">
            <v>2016</v>
          </cell>
          <cell r="C4447" t="str">
            <v>maindfc</v>
          </cell>
          <cell r="D4447">
            <v>7.4274301528930664</v>
          </cell>
        </row>
        <row r="4448">
          <cell r="A4448" t="str">
            <v>LKA</v>
          </cell>
          <cell r="B4448">
            <v>2006</v>
          </cell>
          <cell r="C4448" t="str">
            <v>mar_expz</v>
          </cell>
          <cell r="D4448">
            <v>24.077276229858398</v>
          </cell>
        </row>
        <row r="4449">
          <cell r="A4449" t="str">
            <v>LKA</v>
          </cell>
          <cell r="B4449">
            <v>2025</v>
          </cell>
          <cell r="C4449" t="str">
            <v>magap_</v>
          </cell>
          <cell r="D4449">
            <v>-8.4005317687988281</v>
          </cell>
        </row>
        <row r="4450">
          <cell r="A4450" t="str">
            <v>LKA</v>
          </cell>
          <cell r="B4450">
            <v>2019</v>
          </cell>
          <cell r="C4450" t="str">
            <v>mataxfc</v>
          </cell>
          <cell r="D4450">
            <v>-6.76251220703125</v>
          </cell>
        </row>
        <row r="4451">
          <cell r="A4451" t="str">
            <v>LKA</v>
          </cell>
          <cell r="B4451">
            <v>2025</v>
          </cell>
          <cell r="C4451" t="str">
            <v>maagrfc</v>
          </cell>
          <cell r="D4451">
            <v>1.5</v>
          </cell>
        </row>
        <row r="4452">
          <cell r="A4452" t="str">
            <v>LKA</v>
          </cell>
          <cell r="B4452">
            <v>2013</v>
          </cell>
          <cell r="C4452" t="str">
            <v>mafdi_</v>
          </cell>
          <cell r="D4452">
            <v>-1.1666113138198853</v>
          </cell>
        </row>
        <row r="4453">
          <cell r="A4453" t="str">
            <v>LKA</v>
          </cell>
          <cell r="B4453">
            <v>2008</v>
          </cell>
          <cell r="C4453" t="str">
            <v>mar_agrfc</v>
          </cell>
          <cell r="D4453">
            <v>9.5910396575927734</v>
          </cell>
        </row>
        <row r="4454">
          <cell r="A4454" t="str">
            <v>LKA</v>
          </cell>
          <cell r="B4454">
            <v>2021</v>
          </cell>
          <cell r="C4454" t="str">
            <v>maexpz</v>
          </cell>
          <cell r="D4454">
            <v>10.116497039794922</v>
          </cell>
        </row>
        <row r="4455">
          <cell r="A4455" t="str">
            <v>LKA</v>
          </cell>
          <cell r="B4455">
            <v>2025</v>
          </cell>
          <cell r="C4455" t="str">
            <v>macpiz</v>
          </cell>
          <cell r="D4455">
            <v>6.4460501670837402</v>
          </cell>
        </row>
        <row r="4456">
          <cell r="A4456" t="str">
            <v>LKA</v>
          </cell>
          <cell r="B4456">
            <v>2012</v>
          </cell>
          <cell r="C4456" t="str">
            <v>magovz</v>
          </cell>
          <cell r="D4456">
            <v>6.0465054512023926</v>
          </cell>
        </row>
        <row r="4457">
          <cell r="A4457" t="str">
            <v>LKA</v>
          </cell>
          <cell r="B4457">
            <v>2018</v>
          </cell>
          <cell r="C4457" t="str">
            <v>mainvz</v>
          </cell>
          <cell r="D4457">
            <v>-0.18891327083110809</v>
          </cell>
        </row>
        <row r="4458">
          <cell r="A4458" t="str">
            <v>LKA</v>
          </cell>
          <cell r="B4458">
            <v>2015</v>
          </cell>
          <cell r="C4458" t="str">
            <v>maagrfc</v>
          </cell>
          <cell r="D4458">
            <v>48.578838348388672</v>
          </cell>
        </row>
        <row r="4459">
          <cell r="A4459" t="str">
            <v>LKA</v>
          </cell>
          <cell r="B4459">
            <v>2010</v>
          </cell>
          <cell r="C4459" t="str">
            <v>mar_con</v>
          </cell>
          <cell r="D4459">
            <v>68.450920104980469</v>
          </cell>
        </row>
        <row r="4460">
          <cell r="A4460" t="str">
            <v>LKA</v>
          </cell>
          <cell r="B4460">
            <v>2022</v>
          </cell>
          <cell r="C4460" t="str">
            <v>maindfc</v>
          </cell>
          <cell r="D4460">
            <v>-15.981072425842285</v>
          </cell>
        </row>
        <row r="4461">
          <cell r="A4461" t="str">
            <v>LKA</v>
          </cell>
          <cell r="B4461">
            <v>2026</v>
          </cell>
          <cell r="C4461" t="str">
            <v>maimpz</v>
          </cell>
          <cell r="D4461">
            <v>2.3134610652923584</v>
          </cell>
        </row>
        <row r="4462">
          <cell r="A4462" t="str">
            <v>LKA</v>
          </cell>
          <cell r="B4462">
            <v>2006</v>
          </cell>
          <cell r="C4462" t="str">
            <v>mainvz</v>
          </cell>
          <cell r="D4462">
            <v>12.870814323425293</v>
          </cell>
        </row>
        <row r="4463">
          <cell r="A4463" t="str">
            <v>LKA</v>
          </cell>
          <cell r="B4463">
            <v>2016</v>
          </cell>
          <cell r="C4463" t="str">
            <v>mainvz</v>
          </cell>
          <cell r="D4463">
            <v>15.143939018249512</v>
          </cell>
        </row>
        <row r="4464">
          <cell r="A4464" t="str">
            <v>LKA</v>
          </cell>
          <cell r="B4464">
            <v>2012</v>
          </cell>
          <cell r="C4464" t="str">
            <v>mainvz</v>
          </cell>
          <cell r="D4464">
            <v>11.473546981811523</v>
          </cell>
        </row>
        <row r="4465">
          <cell r="A4465" t="str">
            <v>LKA</v>
          </cell>
          <cell r="B4465">
            <v>2019</v>
          </cell>
          <cell r="C4465" t="str">
            <v>magap_</v>
          </cell>
          <cell r="D4465">
            <v>-5.1089210510253906</v>
          </cell>
        </row>
        <row r="4466">
          <cell r="A4466" t="str">
            <v>LKA</v>
          </cell>
          <cell r="B4466">
            <v>2015</v>
          </cell>
          <cell r="C4466" t="str">
            <v>mar_expz</v>
          </cell>
          <cell r="D4466">
            <v>19.893383026123047</v>
          </cell>
        </row>
        <row r="4467">
          <cell r="A4467" t="str">
            <v>LKA</v>
          </cell>
          <cell r="B4467">
            <v>2014</v>
          </cell>
          <cell r="C4467" t="str">
            <v>macpiz</v>
          </cell>
          <cell r="D4467">
            <v>3.2808101177215576</v>
          </cell>
        </row>
        <row r="4468">
          <cell r="A4468" t="str">
            <v>LKA</v>
          </cell>
          <cell r="B4468">
            <v>2007</v>
          </cell>
          <cell r="C4468" t="str">
            <v>malabz</v>
          </cell>
          <cell r="D4468">
            <v>1.1738306283950806</v>
          </cell>
        </row>
        <row r="4469">
          <cell r="A4469" t="str">
            <v>LKA</v>
          </cell>
          <cell r="B4469">
            <v>2017</v>
          </cell>
          <cell r="C4469" t="str">
            <v>maimpz</v>
          </cell>
          <cell r="D4469">
            <v>6.7301387786865234</v>
          </cell>
        </row>
        <row r="4470">
          <cell r="A4470" t="str">
            <v>LKA</v>
          </cell>
          <cell r="B4470">
            <v>2012</v>
          </cell>
          <cell r="C4470" t="str">
            <v>mapanusatls</v>
          </cell>
          <cell r="D4470">
            <v>127.60340118408203</v>
          </cell>
        </row>
        <row r="4471">
          <cell r="A4471" t="str">
            <v>LKA</v>
          </cell>
          <cell r="B4471">
            <v>2008</v>
          </cell>
          <cell r="C4471" t="str">
            <v>mar_taxfc</v>
          </cell>
          <cell r="D4471">
            <v>11.427812576293945</v>
          </cell>
        </row>
        <row r="4472">
          <cell r="A4472" t="str">
            <v>MDV</v>
          </cell>
          <cell r="B4472">
            <v>2022</v>
          </cell>
          <cell r="C4472" t="str">
            <v>mar_srvfc</v>
          </cell>
          <cell r="D4472">
            <v>84.832084655761719</v>
          </cell>
        </row>
        <row r="4473">
          <cell r="A4473" t="str">
            <v>MDV</v>
          </cell>
          <cell r="B4473">
            <v>2015</v>
          </cell>
          <cell r="C4473" t="str">
            <v>mataxfc</v>
          </cell>
          <cell r="D4473">
            <v>-4.5739021301269531</v>
          </cell>
        </row>
        <row r="4474">
          <cell r="A4474" t="str">
            <v>MDV</v>
          </cell>
          <cell r="B4474">
            <v>2006</v>
          </cell>
          <cell r="C4474" t="str">
            <v>mac_tfpz</v>
          </cell>
          <cell r="D4474">
            <v>0.72948986291885376</v>
          </cell>
        </row>
        <row r="4475">
          <cell r="A4475" t="str">
            <v>MDV</v>
          </cell>
          <cell r="B4475">
            <v>2026</v>
          </cell>
          <cell r="C4475" t="str">
            <v>mac_tfpz</v>
          </cell>
          <cell r="D4475">
            <v>-0.14350642263889313</v>
          </cell>
        </row>
        <row r="4476">
          <cell r="A4476" t="str">
            <v>MDV</v>
          </cell>
          <cell r="B4476">
            <v>2024</v>
          </cell>
          <cell r="C4476" t="str">
            <v>mac_labz</v>
          </cell>
          <cell r="D4476">
            <v>-0.67118102312088013</v>
          </cell>
        </row>
        <row r="4477">
          <cell r="A4477" t="str">
            <v>MDV</v>
          </cell>
          <cell r="B4477">
            <v>2023</v>
          </cell>
          <cell r="C4477" t="str">
            <v>maindfc</v>
          </cell>
          <cell r="D4477">
            <v>8.5408401489257813</v>
          </cell>
        </row>
        <row r="4478">
          <cell r="A4478" t="str">
            <v>MDV</v>
          </cell>
          <cell r="B4478">
            <v>2005</v>
          </cell>
          <cell r="C4478" t="str">
            <v>madebt_</v>
          </cell>
          <cell r="D4478">
            <v>43.195869445800781</v>
          </cell>
        </row>
        <row r="4479">
          <cell r="A4479" t="str">
            <v>MDV</v>
          </cell>
          <cell r="B4479">
            <v>2012</v>
          </cell>
          <cell r="C4479" t="str">
            <v>mac_tfpz</v>
          </cell>
          <cell r="D4479">
            <v>-6.5828196704387665E-2</v>
          </cell>
        </row>
        <row r="4480">
          <cell r="A4480" t="str">
            <v>MDV</v>
          </cell>
          <cell r="B4480">
            <v>2006</v>
          </cell>
          <cell r="C4480" t="str">
            <v>mar_taxfc</v>
          </cell>
          <cell r="D4480">
            <v>14.582396507263184</v>
          </cell>
        </row>
        <row r="4481">
          <cell r="A4481" t="str">
            <v>MDV</v>
          </cell>
          <cell r="B4481">
            <v>2014</v>
          </cell>
          <cell r="C4481" t="str">
            <v>maindfc</v>
          </cell>
          <cell r="D4481">
            <v>17.716205596923828</v>
          </cell>
        </row>
        <row r="4482">
          <cell r="A4482" t="str">
            <v>MDV</v>
          </cell>
          <cell r="B4482">
            <v>2025</v>
          </cell>
          <cell r="C4482" t="str">
            <v>maindfc</v>
          </cell>
          <cell r="D4482">
            <v>5.9295401573181152</v>
          </cell>
        </row>
        <row r="4483">
          <cell r="A4483" t="str">
            <v>MDV</v>
          </cell>
          <cell r="B4483">
            <v>2007</v>
          </cell>
          <cell r="C4483" t="str">
            <v>mac_tfpz</v>
          </cell>
          <cell r="D4483">
            <v>0.45039659738540649</v>
          </cell>
        </row>
        <row r="4484">
          <cell r="A4484" t="str">
            <v>MDV</v>
          </cell>
          <cell r="B4484">
            <v>2021</v>
          </cell>
          <cell r="C4484" t="str">
            <v>magdpz</v>
          </cell>
          <cell r="D4484">
            <v>37.687191009521484</v>
          </cell>
        </row>
        <row r="4485">
          <cell r="A4485" t="str">
            <v>MDV</v>
          </cell>
          <cell r="B4485">
            <v>2016</v>
          </cell>
          <cell r="C4485" t="str">
            <v>macpiz</v>
          </cell>
          <cell r="D4485">
            <v>0.49709147214889526</v>
          </cell>
        </row>
        <row r="4486">
          <cell r="A4486" t="str">
            <v>MDV</v>
          </cell>
          <cell r="B4486">
            <v>2018</v>
          </cell>
          <cell r="C4486" t="str">
            <v>mapanusatls</v>
          </cell>
          <cell r="D4486">
            <v>15.409999847412109</v>
          </cell>
        </row>
        <row r="4487">
          <cell r="A4487" t="str">
            <v>MDV</v>
          </cell>
          <cell r="B4487">
            <v>2006</v>
          </cell>
          <cell r="C4487" t="str">
            <v>mafdi_</v>
          </cell>
        </row>
        <row r="4488">
          <cell r="A4488" t="str">
            <v>MDV</v>
          </cell>
          <cell r="B4488">
            <v>2008</v>
          </cell>
          <cell r="C4488" t="str">
            <v>macab_</v>
          </cell>
          <cell r="D4488">
            <v>-26.927608489990234</v>
          </cell>
        </row>
        <row r="4489">
          <cell r="A4489" t="str">
            <v>MDV</v>
          </cell>
          <cell r="B4489">
            <v>2011</v>
          </cell>
          <cell r="C4489" t="str">
            <v>maindfc</v>
          </cell>
          <cell r="D4489">
            <v>15.937663078308105</v>
          </cell>
        </row>
        <row r="4490">
          <cell r="A4490" t="str">
            <v>MDV</v>
          </cell>
          <cell r="B4490">
            <v>2009</v>
          </cell>
          <cell r="C4490" t="str">
            <v>mac_labz</v>
          </cell>
          <cell r="D4490">
            <v>3.9605250358581543</v>
          </cell>
        </row>
        <row r="4491">
          <cell r="A4491" t="str">
            <v>MDV</v>
          </cell>
          <cell r="B4491">
            <v>2010</v>
          </cell>
          <cell r="C4491" t="str">
            <v>malabz</v>
          </cell>
          <cell r="D4491">
            <v>5.257805347442627</v>
          </cell>
        </row>
        <row r="4492">
          <cell r="A4492" t="str">
            <v>MDV</v>
          </cell>
          <cell r="B4492">
            <v>2008</v>
          </cell>
          <cell r="C4492" t="str">
            <v>mar_con</v>
          </cell>
          <cell r="D4492">
            <v>33.971664428710938</v>
          </cell>
        </row>
        <row r="4493">
          <cell r="A4493" t="str">
            <v>MDV</v>
          </cell>
          <cell r="B4493">
            <v>2024</v>
          </cell>
          <cell r="C4493" t="str">
            <v>magovz</v>
          </cell>
          <cell r="D4493">
            <v>104623.4375</v>
          </cell>
        </row>
        <row r="4494">
          <cell r="A4494" t="str">
            <v>MDV</v>
          </cell>
          <cell r="B4494">
            <v>2012</v>
          </cell>
          <cell r="C4494" t="str">
            <v>magdpz</v>
          </cell>
          <cell r="D4494">
            <v>2.3637475967407227</v>
          </cell>
        </row>
        <row r="4495">
          <cell r="A4495" t="str">
            <v>MDV</v>
          </cell>
          <cell r="B4495">
            <v>2014</v>
          </cell>
          <cell r="C4495" t="str">
            <v>magap_</v>
          </cell>
          <cell r="D4495">
            <v>0.13246333599090576</v>
          </cell>
        </row>
        <row r="4496">
          <cell r="A4496" t="str">
            <v>MDV</v>
          </cell>
          <cell r="B4496">
            <v>2011</v>
          </cell>
          <cell r="C4496" t="str">
            <v>magap_</v>
          </cell>
          <cell r="D4496">
            <v>-1.0429971218109131</v>
          </cell>
        </row>
        <row r="4497">
          <cell r="A4497" t="str">
            <v>MDV</v>
          </cell>
          <cell r="B4497">
            <v>2010</v>
          </cell>
          <cell r="C4497" t="str">
            <v>madebt_</v>
          </cell>
          <cell r="D4497">
            <v>52.747661590576172</v>
          </cell>
        </row>
        <row r="4498">
          <cell r="A4498" t="str">
            <v>MDV</v>
          </cell>
          <cell r="B4498">
            <v>2022</v>
          </cell>
          <cell r="C4498" t="str">
            <v>maconz</v>
          </cell>
          <cell r="D4498">
            <v>9.0780982971191406</v>
          </cell>
        </row>
        <row r="4499">
          <cell r="A4499" t="str">
            <v>MDV</v>
          </cell>
          <cell r="B4499">
            <v>2014</v>
          </cell>
          <cell r="C4499" t="str">
            <v>mapanusatls</v>
          </cell>
          <cell r="D4499">
            <v>15.399999618530273</v>
          </cell>
        </row>
        <row r="4500">
          <cell r="A4500" t="str">
            <v>MDV</v>
          </cell>
          <cell r="B4500">
            <v>2023</v>
          </cell>
          <cell r="C4500" t="str">
            <v>mar_expz</v>
          </cell>
          <cell r="D4500">
            <v>78.2489013671875</v>
          </cell>
        </row>
        <row r="4501">
          <cell r="A4501" t="str">
            <v>MDV</v>
          </cell>
          <cell r="B4501">
            <v>2010</v>
          </cell>
          <cell r="C4501" t="str">
            <v>mar_expz</v>
          </cell>
          <cell r="D4501">
            <v>75.747634887695313</v>
          </cell>
        </row>
        <row r="4502">
          <cell r="A4502" t="str">
            <v>MDV</v>
          </cell>
          <cell r="B4502">
            <v>2020</v>
          </cell>
          <cell r="C4502" t="str">
            <v>masrvfc</v>
          </cell>
          <cell r="D4502">
            <v>-31.699508666992188</v>
          </cell>
        </row>
        <row r="4503">
          <cell r="A4503" t="str">
            <v>MDV</v>
          </cell>
          <cell r="B4503">
            <v>2007</v>
          </cell>
          <cell r="C4503" t="str">
            <v>macab_</v>
          </cell>
          <cell r="D4503">
            <v>-14.392120361328125</v>
          </cell>
        </row>
        <row r="4504">
          <cell r="A4504" t="str">
            <v>MDV</v>
          </cell>
          <cell r="B4504">
            <v>2012</v>
          </cell>
          <cell r="C4504" t="str">
            <v>mafdi_</v>
          </cell>
          <cell r="D4504">
            <v>-7.8990480441866922</v>
          </cell>
        </row>
        <row r="4505">
          <cell r="A4505" t="str">
            <v>MDV</v>
          </cell>
          <cell r="B4505">
            <v>2014</v>
          </cell>
          <cell r="C4505" t="str">
            <v>mafdi_</v>
          </cell>
          <cell r="D4505">
            <v>-9.0282147645454938</v>
          </cell>
        </row>
        <row r="4506">
          <cell r="A4506" t="str">
            <v>MDV</v>
          </cell>
          <cell r="B4506">
            <v>2006</v>
          </cell>
          <cell r="C4506" t="str">
            <v>magap_</v>
          </cell>
          <cell r="D4506">
            <v>6.9327588081359863</v>
          </cell>
        </row>
        <row r="4507">
          <cell r="A4507" t="str">
            <v>MDV</v>
          </cell>
          <cell r="B4507">
            <v>2016</v>
          </cell>
          <cell r="C4507" t="str">
            <v>madebt_</v>
          </cell>
          <cell r="D4507">
            <v>63.962375640869141</v>
          </cell>
        </row>
        <row r="4508">
          <cell r="A4508" t="str">
            <v>MDV</v>
          </cell>
          <cell r="B4508">
            <v>2006</v>
          </cell>
          <cell r="C4508" t="str">
            <v>maagrfc</v>
          </cell>
          <cell r="D4508">
            <v>1.7370748519897461</v>
          </cell>
        </row>
        <row r="4509">
          <cell r="A4509" t="str">
            <v>MDV</v>
          </cell>
          <cell r="B4509">
            <v>2009</v>
          </cell>
          <cell r="C4509" t="str">
            <v>maindfc</v>
          </cell>
          <cell r="D4509">
            <v>-26.728073120117188</v>
          </cell>
        </row>
        <row r="4510">
          <cell r="A4510" t="str">
            <v>MDV</v>
          </cell>
          <cell r="B4510">
            <v>2015</v>
          </cell>
          <cell r="C4510" t="str">
            <v>mar_srvfc</v>
          </cell>
          <cell r="D4510">
            <v>81.310417175292969</v>
          </cell>
        </row>
        <row r="4511">
          <cell r="A4511" t="str">
            <v>MDV</v>
          </cell>
          <cell r="B4511">
            <v>2007</v>
          </cell>
          <cell r="C4511" t="str">
            <v>maexpz</v>
          </cell>
          <cell r="D4511">
            <v>7.7138724327087402</v>
          </cell>
        </row>
        <row r="4512">
          <cell r="A4512" t="str">
            <v>MDV</v>
          </cell>
          <cell r="B4512">
            <v>2021</v>
          </cell>
          <cell r="C4512" t="str">
            <v>macab_</v>
          </cell>
          <cell r="D4512">
            <v>-8.6696624755859375</v>
          </cell>
        </row>
        <row r="4513">
          <cell r="A4513" t="str">
            <v>MDV</v>
          </cell>
          <cell r="B4513">
            <v>2014</v>
          </cell>
          <cell r="C4513" t="str">
            <v>maexpz</v>
          </cell>
          <cell r="D4513">
            <v>7.329627513885498</v>
          </cell>
        </row>
        <row r="4514">
          <cell r="A4514" t="str">
            <v>MDV</v>
          </cell>
          <cell r="B4514">
            <v>2022</v>
          </cell>
          <cell r="C4514" t="str">
            <v>maindfc</v>
          </cell>
          <cell r="D4514">
            <v>25.20142936706543</v>
          </cell>
        </row>
        <row r="4515">
          <cell r="A4515" t="str">
            <v>MDV</v>
          </cell>
          <cell r="B4515">
            <v>2015</v>
          </cell>
          <cell r="C4515" t="str">
            <v>maexpz</v>
          </cell>
          <cell r="D4515">
            <v>-11.68040657043457</v>
          </cell>
        </row>
        <row r="4516">
          <cell r="A4516" t="str">
            <v>MDV</v>
          </cell>
          <cell r="B4516">
            <v>2005</v>
          </cell>
          <cell r="C4516" t="str">
            <v>mar_srvfc</v>
          </cell>
          <cell r="D4516">
            <v>71.904006958007813</v>
          </cell>
        </row>
        <row r="4517">
          <cell r="A4517" t="str">
            <v>MDV</v>
          </cell>
          <cell r="B4517">
            <v>2007</v>
          </cell>
          <cell r="C4517" t="str">
            <v>madeficit_</v>
          </cell>
          <cell r="D4517">
            <v>-3.348064661026001</v>
          </cell>
        </row>
        <row r="4518">
          <cell r="A4518" t="str">
            <v>MDV</v>
          </cell>
          <cell r="B4518">
            <v>2017</v>
          </cell>
          <cell r="C4518" t="str">
            <v>mac_labz</v>
          </cell>
          <cell r="D4518">
            <v>3.0853912830352783</v>
          </cell>
        </row>
        <row r="4519">
          <cell r="A4519" t="str">
            <v>MDV</v>
          </cell>
          <cell r="B4519">
            <v>2022</v>
          </cell>
          <cell r="C4519" t="str">
            <v>maexpz</v>
          </cell>
          <cell r="D4519">
            <v>27.870000839233398</v>
          </cell>
        </row>
        <row r="4520">
          <cell r="A4520" t="str">
            <v>MDV</v>
          </cell>
          <cell r="B4520">
            <v>2022</v>
          </cell>
          <cell r="C4520" t="str">
            <v>mainvz</v>
          </cell>
          <cell r="D4520">
            <v>30.437484741210938</v>
          </cell>
        </row>
        <row r="4521">
          <cell r="A4521" t="str">
            <v>MDV</v>
          </cell>
          <cell r="B4521">
            <v>2025</v>
          </cell>
          <cell r="C4521" t="str">
            <v>mar_agrfc</v>
          </cell>
          <cell r="D4521">
            <v>1.6596173867583275E-2</v>
          </cell>
        </row>
        <row r="4522">
          <cell r="A4522" t="str">
            <v>MDV</v>
          </cell>
          <cell r="B4522">
            <v>2016</v>
          </cell>
          <cell r="C4522" t="str">
            <v>mar_taxfc</v>
          </cell>
          <cell r="D4522">
            <v>14.313807487487793</v>
          </cell>
        </row>
        <row r="4523">
          <cell r="A4523" t="str">
            <v>MDV</v>
          </cell>
          <cell r="B4523">
            <v>2009</v>
          </cell>
          <cell r="C4523" t="str">
            <v>mainvz</v>
          </cell>
          <cell r="D4523">
            <v>-7.2288365364074707</v>
          </cell>
        </row>
        <row r="4524">
          <cell r="A4524" t="str">
            <v>MDV</v>
          </cell>
          <cell r="B4524">
            <v>2013</v>
          </cell>
          <cell r="C4524" t="str">
            <v>mar_impz</v>
          </cell>
          <cell r="D4524">
            <v>81.426895141601563</v>
          </cell>
        </row>
        <row r="4525">
          <cell r="A4525" t="str">
            <v>MDV</v>
          </cell>
          <cell r="B4525">
            <v>2024</v>
          </cell>
          <cell r="C4525" t="str">
            <v>maimpz</v>
          </cell>
          <cell r="D4525">
            <v>-6.288790225982666</v>
          </cell>
        </row>
        <row r="4526">
          <cell r="A4526" t="str">
            <v>MDV</v>
          </cell>
          <cell r="B4526">
            <v>2024</v>
          </cell>
          <cell r="C4526" t="str">
            <v>malabz</v>
          </cell>
          <cell r="D4526">
            <v>-0.95882999897003174</v>
          </cell>
        </row>
        <row r="4527">
          <cell r="A4527" t="str">
            <v>MDV</v>
          </cell>
          <cell r="B4527">
            <v>2008</v>
          </cell>
          <cell r="C4527" t="str">
            <v>mar_agrfc</v>
          </cell>
          <cell r="D4527">
            <v>8.5301132202148438</v>
          </cell>
        </row>
        <row r="4528">
          <cell r="A4528" t="str">
            <v>MDV</v>
          </cell>
          <cell r="B4528">
            <v>2018</v>
          </cell>
          <cell r="C4528" t="str">
            <v>mafdi_</v>
          </cell>
          <cell r="D4528">
            <v>-10.665063740389989</v>
          </cell>
        </row>
        <row r="4529">
          <cell r="A4529" t="str">
            <v>MDV</v>
          </cell>
          <cell r="B4529">
            <v>2024</v>
          </cell>
          <cell r="C4529" t="str">
            <v>mar_srvfc</v>
          </cell>
          <cell r="D4529">
            <v>99.941497802734375</v>
          </cell>
        </row>
        <row r="4530">
          <cell r="A4530" t="str">
            <v>MDV</v>
          </cell>
          <cell r="B4530">
            <v>2024</v>
          </cell>
          <cell r="C4530" t="str">
            <v>mataxfc</v>
          </cell>
          <cell r="D4530">
            <v>4.6171913146972656</v>
          </cell>
        </row>
        <row r="4531">
          <cell r="A4531" t="str">
            <v>MDV</v>
          </cell>
          <cell r="B4531">
            <v>2008</v>
          </cell>
          <cell r="C4531" t="str">
            <v>mapanusatls</v>
          </cell>
          <cell r="D4531">
            <v>12.800000190734863</v>
          </cell>
        </row>
        <row r="4532">
          <cell r="A4532" t="str">
            <v>MDV</v>
          </cell>
          <cell r="B4532">
            <v>2012</v>
          </cell>
          <cell r="C4532" t="str">
            <v>mac_labz</v>
          </cell>
          <cell r="D4532">
            <v>3.1536960601806641</v>
          </cell>
        </row>
        <row r="4533">
          <cell r="A4533" t="str">
            <v>MDV</v>
          </cell>
          <cell r="B4533">
            <v>2005</v>
          </cell>
          <cell r="C4533" t="str">
            <v>magap_</v>
          </cell>
          <cell r="D4533">
            <v>-8.7011690139770508</v>
          </cell>
        </row>
        <row r="4534">
          <cell r="A4534" t="str">
            <v>MDV</v>
          </cell>
          <cell r="B4534">
            <v>2026</v>
          </cell>
          <cell r="C4534" t="str">
            <v>magdpz</v>
          </cell>
          <cell r="D4534">
            <v>12.174905776977539</v>
          </cell>
        </row>
        <row r="4535">
          <cell r="A4535" t="str">
            <v>MDV</v>
          </cell>
          <cell r="B4535">
            <v>2005</v>
          </cell>
          <cell r="C4535" t="str">
            <v>mac_labz</v>
          </cell>
          <cell r="D4535">
            <v>0</v>
          </cell>
        </row>
        <row r="4536">
          <cell r="A4536" t="str">
            <v>MDV</v>
          </cell>
          <cell r="B4536">
            <v>2018</v>
          </cell>
          <cell r="C4536" t="str">
            <v>macpiz</v>
          </cell>
          <cell r="D4536">
            <v>-0.13306039571762085</v>
          </cell>
        </row>
        <row r="4537">
          <cell r="A4537" t="str">
            <v>MDV</v>
          </cell>
          <cell r="B4537">
            <v>2017</v>
          </cell>
          <cell r="C4537" t="str">
            <v>madeficit_</v>
          </cell>
          <cell r="D4537">
            <v>-3.0210685729980469</v>
          </cell>
        </row>
        <row r="4538">
          <cell r="A4538" t="str">
            <v>MDV</v>
          </cell>
          <cell r="B4538">
            <v>2018</v>
          </cell>
          <cell r="C4538" t="str">
            <v>masrvfc</v>
          </cell>
          <cell r="D4538">
            <v>7.7334733009338379</v>
          </cell>
        </row>
        <row r="4539">
          <cell r="A4539" t="str">
            <v>MDV</v>
          </cell>
          <cell r="B4539">
            <v>2019</v>
          </cell>
          <cell r="C4539" t="str">
            <v>mar_agrfc</v>
          </cell>
          <cell r="D4539">
            <v>5.1241955757141113</v>
          </cell>
        </row>
        <row r="4540">
          <cell r="A4540" t="str">
            <v>MDV</v>
          </cell>
          <cell r="B4540">
            <v>2013</v>
          </cell>
          <cell r="C4540" t="str">
            <v>magap_</v>
          </cell>
          <cell r="D4540">
            <v>-2.0147762298583984</v>
          </cell>
        </row>
        <row r="4541">
          <cell r="A4541" t="str">
            <v>MDV</v>
          </cell>
          <cell r="B4541">
            <v>2010</v>
          </cell>
          <cell r="C4541" t="str">
            <v>maimpz</v>
          </cell>
          <cell r="D4541">
            <v>7.2651124000549316</v>
          </cell>
        </row>
        <row r="4542">
          <cell r="A4542" t="str">
            <v>MDV</v>
          </cell>
          <cell r="B4542">
            <v>2017</v>
          </cell>
          <cell r="C4542" t="str">
            <v>maagrfc</v>
          </cell>
          <cell r="D4542">
            <v>8.2434349060058594</v>
          </cell>
        </row>
        <row r="4543">
          <cell r="A4543" t="str">
            <v>MDV</v>
          </cell>
          <cell r="B4543">
            <v>2010</v>
          </cell>
          <cell r="C4543" t="str">
            <v>maexpz</v>
          </cell>
          <cell r="D4543">
            <v>7.2651124000549316</v>
          </cell>
        </row>
        <row r="4544">
          <cell r="A4544" t="str">
            <v>MDV</v>
          </cell>
          <cell r="B4544">
            <v>2015</v>
          </cell>
          <cell r="C4544" t="str">
            <v>maagrfc</v>
          </cell>
          <cell r="D4544">
            <v>-0.52201652526855469</v>
          </cell>
        </row>
        <row r="4545">
          <cell r="A4545" t="str">
            <v>MDV</v>
          </cell>
          <cell r="B4545">
            <v>2015</v>
          </cell>
          <cell r="C4545" t="str">
            <v>mar_impz</v>
          </cell>
          <cell r="D4545">
            <v>78.772506713867188</v>
          </cell>
        </row>
        <row r="4546">
          <cell r="A4546" t="str">
            <v>MDV</v>
          </cell>
          <cell r="B4546">
            <v>2023</v>
          </cell>
          <cell r="C4546" t="str">
            <v>magap_</v>
          </cell>
          <cell r="D4546">
            <v>-1.2710443735122681</v>
          </cell>
        </row>
        <row r="4547">
          <cell r="A4547" t="str">
            <v>MDV</v>
          </cell>
          <cell r="B4547">
            <v>2013</v>
          </cell>
          <cell r="C4547" t="str">
            <v>masrvfc</v>
          </cell>
          <cell r="D4547">
            <v>8.6760091781616211</v>
          </cell>
        </row>
        <row r="4548">
          <cell r="A4548" t="str">
            <v>MDV</v>
          </cell>
          <cell r="B4548">
            <v>2024</v>
          </cell>
          <cell r="C4548" t="str">
            <v>mafdi_</v>
          </cell>
          <cell r="D4548">
            <v>-57677.526066054779</v>
          </cell>
        </row>
        <row r="4549">
          <cell r="A4549" t="str">
            <v>MDV</v>
          </cell>
          <cell r="B4549">
            <v>2013</v>
          </cell>
          <cell r="C4549" t="str">
            <v>magdpz</v>
          </cell>
          <cell r="D4549">
            <v>6.9632463455200195</v>
          </cell>
        </row>
        <row r="4550">
          <cell r="A4550" t="str">
            <v>MDV</v>
          </cell>
          <cell r="B4550">
            <v>2015</v>
          </cell>
          <cell r="C4550" t="str">
            <v>macpiz</v>
          </cell>
          <cell r="D4550">
            <v>0.96102511882781982</v>
          </cell>
        </row>
        <row r="4551">
          <cell r="A4551" t="str">
            <v>MDV</v>
          </cell>
          <cell r="B4551">
            <v>2016</v>
          </cell>
          <cell r="C4551" t="str">
            <v>mar_agrfc</v>
          </cell>
          <cell r="D4551">
            <v>6.1413841247558594</v>
          </cell>
        </row>
        <row r="4552">
          <cell r="A4552" t="str">
            <v>MDV</v>
          </cell>
          <cell r="B4552">
            <v>2022</v>
          </cell>
          <cell r="C4552" t="str">
            <v>malabz</v>
          </cell>
          <cell r="D4552">
            <v>0.17372669279575348</v>
          </cell>
        </row>
        <row r="4553">
          <cell r="A4553" t="str">
            <v>MDV</v>
          </cell>
          <cell r="B4553">
            <v>2013</v>
          </cell>
          <cell r="C4553" t="str">
            <v>macpiz</v>
          </cell>
          <cell r="D4553">
            <v>3.803056001663208</v>
          </cell>
        </row>
        <row r="4554">
          <cell r="A4554" t="str">
            <v>MDV</v>
          </cell>
          <cell r="B4554">
            <v>2025</v>
          </cell>
          <cell r="C4554" t="str">
            <v>macpiz</v>
          </cell>
          <cell r="D4554">
            <v>116.90052032470703</v>
          </cell>
        </row>
        <row r="4555">
          <cell r="A4555" t="str">
            <v>MDV</v>
          </cell>
          <cell r="B4555">
            <v>2016</v>
          </cell>
          <cell r="C4555" t="str">
            <v>mareer</v>
          </cell>
          <cell r="D4555">
            <v>100.62300109863281</v>
          </cell>
        </row>
        <row r="4556">
          <cell r="A4556" t="str">
            <v>MDV</v>
          </cell>
          <cell r="B4556">
            <v>2014</v>
          </cell>
          <cell r="C4556" t="str">
            <v>madebt_</v>
          </cell>
          <cell r="D4556">
            <v>57.109615325927734</v>
          </cell>
        </row>
        <row r="4557">
          <cell r="A4557" t="str">
            <v>MDV</v>
          </cell>
          <cell r="B4557">
            <v>2017</v>
          </cell>
          <cell r="C4557" t="str">
            <v>mataxfc</v>
          </cell>
          <cell r="D4557">
            <v>7.674964427947998</v>
          </cell>
        </row>
        <row r="4558">
          <cell r="A4558" t="str">
            <v>MDV</v>
          </cell>
          <cell r="B4558">
            <v>2011</v>
          </cell>
          <cell r="C4558" t="str">
            <v>matfpz</v>
          </cell>
          <cell r="D4558">
            <v>-0.13525150716304779</v>
          </cell>
        </row>
        <row r="4559">
          <cell r="A4559" t="str">
            <v>MDV</v>
          </cell>
          <cell r="B4559">
            <v>2014</v>
          </cell>
          <cell r="C4559" t="str">
            <v>maimpz</v>
          </cell>
          <cell r="D4559">
            <v>7.329627513885498</v>
          </cell>
        </row>
        <row r="4560">
          <cell r="A4560" t="str">
            <v>MDV</v>
          </cell>
          <cell r="B4560">
            <v>2017</v>
          </cell>
          <cell r="C4560" t="str">
            <v>mar_impz</v>
          </cell>
          <cell r="D4560">
            <v>81.944808959960938</v>
          </cell>
        </row>
        <row r="4561">
          <cell r="A4561" t="str">
            <v>MDV</v>
          </cell>
          <cell r="B4561">
            <v>2016</v>
          </cell>
          <cell r="C4561" t="str">
            <v>masrvfc</v>
          </cell>
          <cell r="D4561">
            <v>7.2118496894836426</v>
          </cell>
        </row>
        <row r="4562">
          <cell r="A4562" t="str">
            <v>MDV</v>
          </cell>
          <cell r="B4562">
            <v>2013</v>
          </cell>
          <cell r="C4562" t="str">
            <v>maconz</v>
          </cell>
          <cell r="D4562">
            <v>7.2810764312744141</v>
          </cell>
        </row>
        <row r="4563">
          <cell r="A4563" t="str">
            <v>MDV</v>
          </cell>
          <cell r="B4563">
            <v>2024</v>
          </cell>
          <cell r="C4563" t="str">
            <v>masrvfc</v>
          </cell>
          <cell r="D4563">
            <v>31743.87109375</v>
          </cell>
        </row>
        <row r="4564">
          <cell r="A4564" t="str">
            <v>MDV</v>
          </cell>
          <cell r="B4564">
            <v>2020</v>
          </cell>
          <cell r="C4564" t="str">
            <v>mar_indfc</v>
          </cell>
          <cell r="D4564">
            <v>12.834795951843262</v>
          </cell>
        </row>
        <row r="4565">
          <cell r="A4565" t="str">
            <v>MDV</v>
          </cell>
          <cell r="B4565">
            <v>2023</v>
          </cell>
          <cell r="C4565" t="str">
            <v>magdpz</v>
          </cell>
          <cell r="D4565">
            <v>4.0336298942565918</v>
          </cell>
        </row>
        <row r="4566">
          <cell r="A4566" t="str">
            <v>MDV</v>
          </cell>
          <cell r="B4566">
            <v>2009</v>
          </cell>
          <cell r="C4566" t="str">
            <v>mafdi_</v>
          </cell>
        </row>
        <row r="4567">
          <cell r="A4567" t="str">
            <v>MDV</v>
          </cell>
          <cell r="B4567">
            <v>2015</v>
          </cell>
          <cell r="C4567" t="str">
            <v>masrvfc</v>
          </cell>
          <cell r="D4567">
            <v>3.8900468349456787</v>
          </cell>
        </row>
        <row r="4568">
          <cell r="A4568" t="str">
            <v>MDV</v>
          </cell>
          <cell r="B4568">
            <v>2022</v>
          </cell>
          <cell r="C4568" t="str">
            <v>mar_impz</v>
          </cell>
          <cell r="D4568">
            <v>94.0853271484375</v>
          </cell>
        </row>
        <row r="4569">
          <cell r="A4569" t="str">
            <v>MDV</v>
          </cell>
          <cell r="B4569">
            <v>2021</v>
          </cell>
          <cell r="C4569" t="str">
            <v>mafdi_</v>
          </cell>
          <cell r="D4569">
            <v>-12.248612864728459</v>
          </cell>
        </row>
        <row r="4570">
          <cell r="A4570" t="str">
            <v>MDV</v>
          </cell>
          <cell r="B4570">
            <v>2015</v>
          </cell>
          <cell r="C4570" t="str">
            <v>magdpz</v>
          </cell>
          <cell r="D4570">
            <v>3.9717156887054443</v>
          </cell>
        </row>
        <row r="4571">
          <cell r="A4571" t="str">
            <v>MDV</v>
          </cell>
          <cell r="B4571">
            <v>2026</v>
          </cell>
          <cell r="C4571" t="str">
            <v>mar_indfc</v>
          </cell>
          <cell r="D4571">
            <v>3.458680585026741E-2</v>
          </cell>
        </row>
        <row r="4572">
          <cell r="A4572" t="str">
            <v>MDV</v>
          </cell>
          <cell r="B4572">
            <v>2012</v>
          </cell>
          <cell r="C4572" t="str">
            <v>malabz</v>
          </cell>
          <cell r="D4572">
            <v>4.5052800178527832</v>
          </cell>
        </row>
        <row r="4573">
          <cell r="A4573" t="str">
            <v>MDV</v>
          </cell>
          <cell r="B4573">
            <v>2009</v>
          </cell>
          <cell r="C4573" t="str">
            <v>maconz</v>
          </cell>
          <cell r="D4573">
            <v>-7.2288365364074707</v>
          </cell>
        </row>
        <row r="4574">
          <cell r="A4574" t="str">
            <v>MDV</v>
          </cell>
          <cell r="B4574">
            <v>2012</v>
          </cell>
          <cell r="C4574" t="str">
            <v>mar_srvfc</v>
          </cell>
          <cell r="D4574">
            <v>81.370330810546875</v>
          </cell>
        </row>
        <row r="4575">
          <cell r="A4575" t="str">
            <v>MDV</v>
          </cell>
          <cell r="B4575">
            <v>2021</v>
          </cell>
          <cell r="C4575" t="str">
            <v>mar_taxfc</v>
          </cell>
          <cell r="D4575">
            <v>12.595145225524902</v>
          </cell>
        </row>
        <row r="4576">
          <cell r="A4576" t="str">
            <v>MDV</v>
          </cell>
          <cell r="B4576">
            <v>2011</v>
          </cell>
          <cell r="C4576" t="str">
            <v>macpiz</v>
          </cell>
          <cell r="D4576">
            <v>11.270949363708496</v>
          </cell>
        </row>
        <row r="4577">
          <cell r="A4577" t="str">
            <v>MDV</v>
          </cell>
          <cell r="B4577">
            <v>2013</v>
          </cell>
          <cell r="C4577" t="str">
            <v>mapanusatls</v>
          </cell>
          <cell r="D4577">
            <v>15.409999847412109</v>
          </cell>
        </row>
        <row r="4578">
          <cell r="A4578" t="str">
            <v>MDV</v>
          </cell>
          <cell r="B4578">
            <v>2013</v>
          </cell>
          <cell r="C4578" t="str">
            <v>maexpz</v>
          </cell>
          <cell r="D4578">
            <v>7.2810764312744141</v>
          </cell>
        </row>
        <row r="4579">
          <cell r="A4579" t="str">
            <v>MDV</v>
          </cell>
          <cell r="B4579">
            <v>2021</v>
          </cell>
          <cell r="C4579" t="str">
            <v>mar_expz</v>
          </cell>
          <cell r="D4579">
            <v>76.400283813476563</v>
          </cell>
        </row>
        <row r="4580">
          <cell r="A4580" t="str">
            <v>MDV</v>
          </cell>
          <cell r="B4580">
            <v>2009</v>
          </cell>
          <cell r="C4580" t="str">
            <v>madeficit_</v>
          </cell>
          <cell r="D4580">
            <v>-16.51844596862793</v>
          </cell>
        </row>
        <row r="4581">
          <cell r="A4581" t="str">
            <v>MDV</v>
          </cell>
          <cell r="B4581">
            <v>2021</v>
          </cell>
          <cell r="C4581" t="str">
            <v>maindfc</v>
          </cell>
          <cell r="D4581">
            <v>-4.5840549468994141</v>
          </cell>
        </row>
        <row r="4582">
          <cell r="A4582" t="str">
            <v>MDV</v>
          </cell>
          <cell r="B4582">
            <v>2006</v>
          </cell>
          <cell r="C4582" t="str">
            <v>mar_indfc</v>
          </cell>
          <cell r="D4582">
            <v>11.650376319885254</v>
          </cell>
        </row>
        <row r="4583">
          <cell r="A4583" t="str">
            <v>MDV</v>
          </cell>
          <cell r="B4583">
            <v>2011</v>
          </cell>
          <cell r="C4583" t="str">
            <v>mac_labz</v>
          </cell>
          <cell r="D4583">
            <v>3.4156820774078369</v>
          </cell>
        </row>
        <row r="4584">
          <cell r="A4584" t="str">
            <v>MDV</v>
          </cell>
          <cell r="B4584">
            <v>2007</v>
          </cell>
          <cell r="C4584" t="str">
            <v>malabz</v>
          </cell>
          <cell r="D4584">
            <v>6.0633382797241211</v>
          </cell>
        </row>
        <row r="4585">
          <cell r="A4585" t="str">
            <v>MDV</v>
          </cell>
          <cell r="B4585">
            <v>2021</v>
          </cell>
          <cell r="C4585" t="str">
            <v>mainvz</v>
          </cell>
          <cell r="D4585">
            <v>10.21522045135498</v>
          </cell>
        </row>
        <row r="4586">
          <cell r="A4586" t="str">
            <v>MDV</v>
          </cell>
          <cell r="B4586">
            <v>2016</v>
          </cell>
          <cell r="C4586" t="str">
            <v>maexpz</v>
          </cell>
          <cell r="D4586">
            <v>9.5350255966186523</v>
          </cell>
        </row>
        <row r="4587">
          <cell r="A4587" t="str">
            <v>MDV</v>
          </cell>
          <cell r="B4587">
            <v>2016</v>
          </cell>
          <cell r="C4587" t="str">
            <v>matfpz</v>
          </cell>
          <cell r="D4587">
            <v>0.36442351341247559</v>
          </cell>
        </row>
        <row r="4588">
          <cell r="A4588" t="str">
            <v>MDV</v>
          </cell>
          <cell r="B4588">
            <v>2022</v>
          </cell>
          <cell r="C4588" t="str">
            <v>matfpz</v>
          </cell>
          <cell r="D4588">
            <v>0.1418316662311554</v>
          </cell>
        </row>
        <row r="4589">
          <cell r="A4589" t="str">
            <v>MDV</v>
          </cell>
          <cell r="B4589">
            <v>2012</v>
          </cell>
          <cell r="C4589" t="str">
            <v>mareer</v>
          </cell>
          <cell r="D4589">
            <v>82.387748718261719</v>
          </cell>
        </row>
        <row r="4590">
          <cell r="A4590" t="str">
            <v>MDV</v>
          </cell>
          <cell r="B4590">
            <v>2005</v>
          </cell>
          <cell r="C4590" t="str">
            <v>matfpz</v>
          </cell>
          <cell r="D4590">
            <v>0.92890793085098267</v>
          </cell>
        </row>
        <row r="4591">
          <cell r="A4591" t="str">
            <v>MDV</v>
          </cell>
          <cell r="B4591">
            <v>2010</v>
          </cell>
          <cell r="C4591" t="str">
            <v>magdpz</v>
          </cell>
          <cell r="D4591">
            <v>6.8354716300964355</v>
          </cell>
        </row>
        <row r="4592">
          <cell r="A4592" t="str">
            <v>MDV</v>
          </cell>
          <cell r="B4592">
            <v>2016</v>
          </cell>
          <cell r="C4592" t="str">
            <v>macab_</v>
          </cell>
          <cell r="D4592">
            <v>-23.382694244384766</v>
          </cell>
        </row>
        <row r="4593">
          <cell r="A4593" t="str">
            <v>MDV</v>
          </cell>
          <cell r="B4593">
            <v>2024</v>
          </cell>
          <cell r="C4593" t="str">
            <v>macpiz</v>
          </cell>
          <cell r="D4593">
            <v>109.7657470703125</v>
          </cell>
        </row>
        <row r="4594">
          <cell r="A4594" t="str">
            <v>MDV</v>
          </cell>
          <cell r="B4594">
            <v>2023</v>
          </cell>
          <cell r="C4594" t="str">
            <v>macpiz</v>
          </cell>
          <cell r="D4594">
            <v>2.9000000953674316</v>
          </cell>
        </row>
        <row r="4595">
          <cell r="A4595" t="str">
            <v>MDV</v>
          </cell>
          <cell r="B4595">
            <v>2005</v>
          </cell>
          <cell r="C4595" t="str">
            <v>mainvz</v>
          </cell>
          <cell r="D4595">
            <v>-13.129290580749512</v>
          </cell>
        </row>
        <row r="4596">
          <cell r="A4596" t="str">
            <v>MDV</v>
          </cell>
          <cell r="B4596">
            <v>2011</v>
          </cell>
          <cell r="C4596" t="str">
            <v>madeficit_</v>
          </cell>
          <cell r="D4596">
            <v>-6.9869766235351563</v>
          </cell>
        </row>
        <row r="4597">
          <cell r="A4597" t="str">
            <v>MDV</v>
          </cell>
          <cell r="B4597">
            <v>2026</v>
          </cell>
          <cell r="C4597" t="str">
            <v>macpiz</v>
          </cell>
          <cell r="D4597">
            <v>122.74553680419922</v>
          </cell>
        </row>
        <row r="4598">
          <cell r="A4598" t="str">
            <v>MDV</v>
          </cell>
          <cell r="B4598">
            <v>2024</v>
          </cell>
          <cell r="C4598" t="str">
            <v>maconz</v>
          </cell>
          <cell r="D4598">
            <v>5.9439001083374023</v>
          </cell>
        </row>
        <row r="4599">
          <cell r="A4599" t="str">
            <v>MDV</v>
          </cell>
          <cell r="B4599">
            <v>2012</v>
          </cell>
          <cell r="C4599" t="str">
            <v>madebt_</v>
          </cell>
          <cell r="D4599">
            <v>57.123199462890625</v>
          </cell>
        </row>
        <row r="4600">
          <cell r="A4600" t="str">
            <v>MDV</v>
          </cell>
          <cell r="B4600">
            <v>2017</v>
          </cell>
          <cell r="C4600" t="str">
            <v>matfpz</v>
          </cell>
          <cell r="D4600">
            <v>0.42597439885139465</v>
          </cell>
        </row>
        <row r="4601">
          <cell r="A4601" t="str">
            <v>MDV</v>
          </cell>
          <cell r="B4601">
            <v>2008</v>
          </cell>
          <cell r="C4601" t="str">
            <v>maagrfc</v>
          </cell>
          <cell r="D4601">
            <v>-5.9319972991943359</v>
          </cell>
        </row>
        <row r="4602">
          <cell r="A4602" t="str">
            <v>MDV</v>
          </cell>
          <cell r="B4602">
            <v>2024</v>
          </cell>
          <cell r="C4602" t="str">
            <v>maexpz</v>
          </cell>
          <cell r="D4602">
            <v>1.0294100046157837</v>
          </cell>
        </row>
        <row r="4603">
          <cell r="A4603" t="str">
            <v>MDV</v>
          </cell>
          <cell r="B4603">
            <v>2010</v>
          </cell>
          <cell r="C4603" t="str">
            <v>mac_tfpz</v>
          </cell>
          <cell r="D4603">
            <v>-0.15028645098209381</v>
          </cell>
        </row>
        <row r="4604">
          <cell r="A4604" t="str">
            <v>MDV</v>
          </cell>
          <cell r="B4604">
            <v>2016</v>
          </cell>
          <cell r="C4604" t="str">
            <v>mac_tfpz</v>
          </cell>
          <cell r="D4604">
            <v>0.36442351341247559</v>
          </cell>
        </row>
        <row r="4605">
          <cell r="A4605" t="str">
            <v>MDV</v>
          </cell>
          <cell r="B4605">
            <v>2013</v>
          </cell>
          <cell r="C4605" t="str">
            <v>madeficit_</v>
          </cell>
          <cell r="D4605">
            <v>-3.4868371486663818</v>
          </cell>
        </row>
        <row r="4606">
          <cell r="A4606" t="str">
            <v>MDV</v>
          </cell>
          <cell r="B4606">
            <v>2022</v>
          </cell>
          <cell r="C4606" t="str">
            <v>mar_expz</v>
          </cell>
          <cell r="D4606">
            <v>85.765861511230469</v>
          </cell>
        </row>
        <row r="4607">
          <cell r="A4607" t="str">
            <v>MDV</v>
          </cell>
          <cell r="B4607">
            <v>2020</v>
          </cell>
          <cell r="C4607" t="str">
            <v>mar_impz</v>
          </cell>
          <cell r="D4607">
            <v>70.012107849121094</v>
          </cell>
        </row>
        <row r="4608">
          <cell r="A4608" t="str">
            <v>MDV</v>
          </cell>
          <cell r="B4608">
            <v>2007</v>
          </cell>
          <cell r="C4608" t="str">
            <v>matfpz</v>
          </cell>
          <cell r="D4608">
            <v>0.45039659738540649</v>
          </cell>
        </row>
        <row r="4609">
          <cell r="A4609" t="str">
            <v>MDV</v>
          </cell>
          <cell r="B4609">
            <v>2022</v>
          </cell>
          <cell r="C4609" t="str">
            <v>mar_agrfc</v>
          </cell>
          <cell r="D4609">
            <v>5.1964993476867676</v>
          </cell>
        </row>
        <row r="4610">
          <cell r="A4610" t="str">
            <v>MDV</v>
          </cell>
          <cell r="B4610">
            <v>2011</v>
          </cell>
          <cell r="C4610" t="str">
            <v>macab_</v>
          </cell>
          <cell r="D4610">
            <v>-13.823137283325195</v>
          </cell>
        </row>
        <row r="4611">
          <cell r="A4611" t="str">
            <v>MDV</v>
          </cell>
          <cell r="B4611">
            <v>2014</v>
          </cell>
          <cell r="C4611" t="str">
            <v>malabz</v>
          </cell>
          <cell r="D4611">
            <v>4.6899929046630859</v>
          </cell>
        </row>
        <row r="4612">
          <cell r="A4612" t="str">
            <v>MDV</v>
          </cell>
          <cell r="B4612">
            <v>2005</v>
          </cell>
          <cell r="C4612" t="str">
            <v>mafdi_</v>
          </cell>
          <cell r="D4612">
            <v>0</v>
          </cell>
        </row>
        <row r="4613">
          <cell r="A4613" t="str">
            <v>MDV</v>
          </cell>
          <cell r="B4613">
            <v>2013</v>
          </cell>
          <cell r="C4613" t="str">
            <v>malabz</v>
          </cell>
          <cell r="D4613">
            <v>4.1604046821594238</v>
          </cell>
        </row>
        <row r="4614">
          <cell r="A4614" t="str">
            <v>MDV</v>
          </cell>
          <cell r="B4614">
            <v>2012</v>
          </cell>
          <cell r="C4614" t="str">
            <v>mainvz</v>
          </cell>
          <cell r="D4614">
            <v>2.5173847675323486</v>
          </cell>
        </row>
        <row r="4615">
          <cell r="A4615" t="str">
            <v>MDV</v>
          </cell>
          <cell r="B4615">
            <v>2019</v>
          </cell>
          <cell r="C4615" t="str">
            <v>mar_taxfc</v>
          </cell>
          <cell r="D4615">
            <v>14.022439002990723</v>
          </cell>
        </row>
        <row r="4616">
          <cell r="A4616" t="str">
            <v>MDV</v>
          </cell>
          <cell r="B4616">
            <v>2005</v>
          </cell>
          <cell r="C4616" t="str">
            <v>madeficit_</v>
          </cell>
          <cell r="D4616">
            <v>-8.4010257720947266</v>
          </cell>
        </row>
        <row r="4617">
          <cell r="A4617" t="str">
            <v>MDV</v>
          </cell>
          <cell r="B4617">
            <v>2005</v>
          </cell>
          <cell r="C4617" t="str">
            <v>macpiz</v>
          </cell>
          <cell r="D4617">
            <v>1.2929370403289795</v>
          </cell>
        </row>
        <row r="4618">
          <cell r="A4618" t="str">
            <v>MDV</v>
          </cell>
          <cell r="B4618">
            <v>2014</v>
          </cell>
          <cell r="C4618" t="str">
            <v>macpiz</v>
          </cell>
          <cell r="D4618">
            <v>2.115363597869873</v>
          </cell>
        </row>
        <row r="4619">
          <cell r="A4619" t="str">
            <v>MDV</v>
          </cell>
          <cell r="B4619">
            <v>2022</v>
          </cell>
          <cell r="C4619" t="str">
            <v>mapanusatls</v>
          </cell>
          <cell r="D4619">
            <v>15.390800476074219</v>
          </cell>
        </row>
        <row r="4620">
          <cell r="A4620" t="str">
            <v>MDV</v>
          </cell>
          <cell r="B4620">
            <v>2005</v>
          </cell>
          <cell r="C4620" t="str">
            <v>maconz</v>
          </cell>
          <cell r="D4620">
            <v>0</v>
          </cell>
        </row>
        <row r="4621">
          <cell r="A4621" t="str">
            <v>MDV</v>
          </cell>
          <cell r="B4621">
            <v>2014</v>
          </cell>
          <cell r="C4621" t="str">
            <v>macab_</v>
          </cell>
          <cell r="D4621">
            <v>-3.1906661987304688</v>
          </cell>
        </row>
        <row r="4622">
          <cell r="A4622" t="str">
            <v>MDV</v>
          </cell>
          <cell r="B4622">
            <v>2018</v>
          </cell>
          <cell r="C4622" t="str">
            <v>mac_labz</v>
          </cell>
          <cell r="D4622">
            <v>2.7852303981781006</v>
          </cell>
        </row>
        <row r="4623">
          <cell r="A4623" t="str">
            <v>MDV</v>
          </cell>
          <cell r="B4623">
            <v>2023</v>
          </cell>
          <cell r="C4623" t="str">
            <v>mar_agrfc</v>
          </cell>
          <cell r="D4623">
            <v>5.1588301658630371</v>
          </cell>
        </row>
        <row r="4624">
          <cell r="A4624" t="str">
            <v>MDV</v>
          </cell>
          <cell r="B4624">
            <v>2009</v>
          </cell>
          <cell r="C4624" t="str">
            <v>mar_srvfc</v>
          </cell>
          <cell r="D4624">
            <v>80.982254028320313</v>
          </cell>
        </row>
        <row r="4625">
          <cell r="A4625" t="str">
            <v>MDV</v>
          </cell>
          <cell r="B4625">
            <v>2021</v>
          </cell>
          <cell r="C4625" t="str">
            <v>mataxfc</v>
          </cell>
          <cell r="D4625">
            <v>79.528076171875</v>
          </cell>
        </row>
        <row r="4626">
          <cell r="A4626" t="str">
            <v>MDV</v>
          </cell>
          <cell r="B4626">
            <v>2019</v>
          </cell>
          <cell r="C4626" t="str">
            <v>matfpz</v>
          </cell>
          <cell r="D4626">
            <v>0.40266132354736328</v>
          </cell>
        </row>
        <row r="4627">
          <cell r="A4627" t="str">
            <v>MDV</v>
          </cell>
          <cell r="B4627">
            <v>2017</v>
          </cell>
          <cell r="C4627" t="str">
            <v>mar_srvfc</v>
          </cell>
          <cell r="D4627">
            <v>80.567893981933594</v>
          </cell>
        </row>
        <row r="4628">
          <cell r="A4628" t="str">
            <v>MDV</v>
          </cell>
          <cell r="B4628">
            <v>2013</v>
          </cell>
          <cell r="C4628" t="str">
            <v>mar_taxfc</v>
          </cell>
          <cell r="D4628">
            <v>16.497295379638672</v>
          </cell>
        </row>
        <row r="4629">
          <cell r="A4629" t="str">
            <v>MDV</v>
          </cell>
          <cell r="B4629">
            <v>2009</v>
          </cell>
          <cell r="C4629" t="str">
            <v>madebt_</v>
          </cell>
          <cell r="D4629">
            <v>48.386940002441406</v>
          </cell>
        </row>
        <row r="4630">
          <cell r="A4630" t="str">
            <v>MDV</v>
          </cell>
          <cell r="B4630">
            <v>2013</v>
          </cell>
          <cell r="C4630" t="str">
            <v>mar_indfc</v>
          </cell>
          <cell r="D4630">
            <v>9.7640981674194336</v>
          </cell>
        </row>
        <row r="4631">
          <cell r="A4631" t="str">
            <v>MDV</v>
          </cell>
          <cell r="B4631">
            <v>2005</v>
          </cell>
          <cell r="C4631" t="str">
            <v>mapanusatls</v>
          </cell>
          <cell r="D4631">
            <v>12.800000190734863</v>
          </cell>
        </row>
        <row r="4632">
          <cell r="A4632" t="str">
            <v>MDV</v>
          </cell>
          <cell r="B4632">
            <v>2025</v>
          </cell>
          <cell r="C4632" t="str">
            <v>malabz</v>
          </cell>
          <cell r="D4632">
            <v>-0.77042001485824585</v>
          </cell>
        </row>
        <row r="4633">
          <cell r="A4633" t="str">
            <v>MDV</v>
          </cell>
          <cell r="B4633">
            <v>2013</v>
          </cell>
          <cell r="C4633" t="str">
            <v>mar_agrfc</v>
          </cell>
          <cell r="D4633">
            <v>7.4302654266357422</v>
          </cell>
        </row>
        <row r="4634">
          <cell r="A4634" t="str">
            <v>MDV</v>
          </cell>
          <cell r="B4634">
            <v>2016</v>
          </cell>
          <cell r="C4634" t="str">
            <v>mar_indfc</v>
          </cell>
          <cell r="D4634">
            <v>12.481453895568848</v>
          </cell>
        </row>
        <row r="4635">
          <cell r="A4635" t="str">
            <v>MDV</v>
          </cell>
          <cell r="B4635">
            <v>2015</v>
          </cell>
          <cell r="C4635" t="str">
            <v>mareer</v>
          </cell>
          <cell r="D4635">
            <v>100</v>
          </cell>
        </row>
        <row r="4636">
          <cell r="A4636" t="str">
            <v>MDV</v>
          </cell>
          <cell r="B4636">
            <v>2008</v>
          </cell>
          <cell r="C4636" t="str">
            <v>mar_srvfc</v>
          </cell>
          <cell r="D4636">
            <v>78.618949890136719</v>
          </cell>
        </row>
        <row r="4637">
          <cell r="A4637" t="str">
            <v>MDV</v>
          </cell>
          <cell r="B4637">
            <v>2008</v>
          </cell>
          <cell r="C4637" t="str">
            <v>malabz</v>
          </cell>
          <cell r="D4637">
            <v>6.058596134185791</v>
          </cell>
        </row>
        <row r="4638">
          <cell r="A4638" t="str">
            <v>MDV</v>
          </cell>
          <cell r="B4638">
            <v>2021</v>
          </cell>
          <cell r="C4638" t="str">
            <v>maagrfc</v>
          </cell>
          <cell r="D4638">
            <v>-0.72668832540512085</v>
          </cell>
        </row>
        <row r="4639">
          <cell r="A4639" t="str">
            <v>MDV</v>
          </cell>
          <cell r="B4639">
            <v>2024</v>
          </cell>
          <cell r="C4639" t="str">
            <v>mareer</v>
          </cell>
          <cell r="D4639">
            <v>54.841812133789063</v>
          </cell>
        </row>
        <row r="4640">
          <cell r="A4640" t="str">
            <v>MDV</v>
          </cell>
          <cell r="B4640">
            <v>2013</v>
          </cell>
          <cell r="C4640" t="str">
            <v>magovz</v>
          </cell>
          <cell r="D4640">
            <v>7.2810764312744141</v>
          </cell>
        </row>
        <row r="4641">
          <cell r="A4641" t="str">
            <v>MDV</v>
          </cell>
          <cell r="B4641">
            <v>2023</v>
          </cell>
          <cell r="C4641" t="str">
            <v>madebt_</v>
          </cell>
          <cell r="D4641">
            <v>122.87100982666016</v>
          </cell>
        </row>
        <row r="4642">
          <cell r="A4642" t="str">
            <v>MDV</v>
          </cell>
          <cell r="B4642">
            <v>2020</v>
          </cell>
          <cell r="C4642" t="str">
            <v>mac_tfpz</v>
          </cell>
          <cell r="D4642">
            <v>0.32792282104492188</v>
          </cell>
        </row>
        <row r="4643">
          <cell r="A4643" t="str">
            <v>MDV</v>
          </cell>
          <cell r="B4643">
            <v>2009</v>
          </cell>
          <cell r="C4643" t="str">
            <v>magovz</v>
          </cell>
          <cell r="D4643">
            <v>-7.2288365364074707</v>
          </cell>
        </row>
        <row r="4644">
          <cell r="A4644" t="str">
            <v>MDV</v>
          </cell>
          <cell r="B4644">
            <v>2013</v>
          </cell>
          <cell r="C4644" t="str">
            <v>mafdi_</v>
          </cell>
          <cell r="D4644">
            <v>-10.98134938040932</v>
          </cell>
        </row>
        <row r="4645">
          <cell r="A4645" t="str">
            <v>MDV</v>
          </cell>
          <cell r="B4645">
            <v>2005</v>
          </cell>
          <cell r="C4645" t="str">
            <v>malabz</v>
          </cell>
          <cell r="D4645">
            <v>0</v>
          </cell>
        </row>
        <row r="4646">
          <cell r="A4646" t="str">
            <v>MDV</v>
          </cell>
          <cell r="B4646">
            <v>2007</v>
          </cell>
          <cell r="C4646" t="str">
            <v>mar_con</v>
          </cell>
          <cell r="D4646">
            <v>33.814811706542969</v>
          </cell>
        </row>
        <row r="4647">
          <cell r="A4647" t="str">
            <v>MDV</v>
          </cell>
          <cell r="B4647">
            <v>2013</v>
          </cell>
          <cell r="C4647" t="str">
            <v>mac_tfpz</v>
          </cell>
          <cell r="D4647">
            <v>4.7704387456178665E-2</v>
          </cell>
        </row>
        <row r="4648">
          <cell r="A4648" t="str">
            <v>MDV</v>
          </cell>
          <cell r="B4648">
            <v>2021</v>
          </cell>
          <cell r="C4648" t="str">
            <v>maimpz</v>
          </cell>
          <cell r="D4648">
            <v>49.731159210205078</v>
          </cell>
        </row>
        <row r="4649">
          <cell r="A4649" t="str">
            <v>MDV</v>
          </cell>
          <cell r="B4649">
            <v>2014</v>
          </cell>
          <cell r="C4649" t="str">
            <v>mainvz</v>
          </cell>
          <cell r="D4649">
            <v>7.329627513885498</v>
          </cell>
        </row>
        <row r="4650">
          <cell r="A4650" t="str">
            <v>MDV</v>
          </cell>
          <cell r="B4650">
            <v>2009</v>
          </cell>
          <cell r="C4650" t="str">
            <v>mar_expz</v>
          </cell>
          <cell r="D4650">
            <v>75.444236755371094</v>
          </cell>
        </row>
        <row r="4651">
          <cell r="A4651" t="str">
            <v>MDV</v>
          </cell>
          <cell r="B4651">
            <v>2007</v>
          </cell>
          <cell r="C4651" t="str">
            <v>magdpz</v>
          </cell>
          <cell r="D4651">
            <v>7.1234273910522461</v>
          </cell>
        </row>
        <row r="4652">
          <cell r="A4652" t="str">
            <v>MDV</v>
          </cell>
          <cell r="B4652">
            <v>2008</v>
          </cell>
          <cell r="C4652" t="str">
            <v>maindfc</v>
          </cell>
          <cell r="D4652">
            <v>9.9335393905639648</v>
          </cell>
        </row>
        <row r="4653">
          <cell r="A4653" t="str">
            <v>MDV</v>
          </cell>
          <cell r="B4653">
            <v>2018</v>
          </cell>
          <cell r="C4653" t="str">
            <v>madeficit_</v>
          </cell>
          <cell r="D4653">
            <v>-5.1688570976257324</v>
          </cell>
        </row>
        <row r="4654">
          <cell r="A4654" t="str">
            <v>MDV</v>
          </cell>
          <cell r="B4654">
            <v>2012</v>
          </cell>
          <cell r="C4654" t="str">
            <v>mar_taxfc</v>
          </cell>
          <cell r="D4654">
            <v>16.31109619140625</v>
          </cell>
        </row>
        <row r="4655">
          <cell r="A4655" t="str">
            <v>MDV</v>
          </cell>
          <cell r="B4655">
            <v>2008</v>
          </cell>
          <cell r="C4655" t="str">
            <v>matfpz</v>
          </cell>
          <cell r="D4655">
            <v>0.16086553037166595</v>
          </cell>
        </row>
        <row r="4656">
          <cell r="A4656" t="str">
            <v>MDV</v>
          </cell>
          <cell r="B4656">
            <v>2009</v>
          </cell>
          <cell r="C4656" t="str">
            <v>maexpz</v>
          </cell>
          <cell r="D4656">
            <v>-7.2288365364074707</v>
          </cell>
        </row>
        <row r="4657">
          <cell r="A4657" t="str">
            <v>MDV</v>
          </cell>
          <cell r="B4657">
            <v>2026</v>
          </cell>
          <cell r="C4657" t="str">
            <v>masrvfc</v>
          </cell>
          <cell r="D4657">
            <v>12.181966781616211</v>
          </cell>
        </row>
        <row r="4658">
          <cell r="A4658" t="str">
            <v>MDV</v>
          </cell>
          <cell r="B4658">
            <v>2026</v>
          </cell>
          <cell r="C4658" t="str">
            <v>mar_con</v>
          </cell>
          <cell r="D4658">
            <v>0.1591716855764389</v>
          </cell>
        </row>
        <row r="4659">
          <cell r="A4659" t="str">
            <v>MDV</v>
          </cell>
          <cell r="B4659">
            <v>2006</v>
          </cell>
          <cell r="C4659" t="str">
            <v>maimpz</v>
          </cell>
          <cell r="D4659">
            <v>26.111515045166016</v>
          </cell>
        </row>
        <row r="4660">
          <cell r="A4660" t="str">
            <v>MDV</v>
          </cell>
          <cell r="B4660">
            <v>2026</v>
          </cell>
          <cell r="C4660" t="str">
            <v>magovz</v>
          </cell>
          <cell r="D4660">
            <v>16.156423568725586</v>
          </cell>
        </row>
        <row r="4661">
          <cell r="A4661" t="str">
            <v>MDV</v>
          </cell>
          <cell r="B4661">
            <v>2026</v>
          </cell>
          <cell r="C4661" t="str">
            <v>magap_</v>
          </cell>
          <cell r="D4661">
            <v>3775.023681640625</v>
          </cell>
        </row>
        <row r="4662">
          <cell r="A4662" t="str">
            <v>MDV</v>
          </cell>
          <cell r="B4662">
            <v>2023</v>
          </cell>
          <cell r="C4662" t="str">
            <v>maexpz</v>
          </cell>
          <cell r="D4662">
            <v>-5.0844125747680664</v>
          </cell>
        </row>
        <row r="4663">
          <cell r="A4663" t="str">
            <v>MDV</v>
          </cell>
          <cell r="B4663">
            <v>2018</v>
          </cell>
          <cell r="C4663" t="str">
            <v>mataxfc</v>
          </cell>
          <cell r="D4663">
            <v>7.452479362487793</v>
          </cell>
        </row>
        <row r="4664">
          <cell r="A4664" t="str">
            <v>MDV</v>
          </cell>
          <cell r="B4664">
            <v>2026</v>
          </cell>
          <cell r="C4664" t="str">
            <v>mac_labz</v>
          </cell>
          <cell r="D4664">
            <v>-0.35267400741577148</v>
          </cell>
        </row>
        <row r="4665">
          <cell r="A4665" t="str">
            <v>MDV</v>
          </cell>
          <cell r="B4665">
            <v>2025</v>
          </cell>
          <cell r="C4665" t="str">
            <v>mataxfc</v>
          </cell>
          <cell r="D4665">
            <v>5.1640415191650391</v>
          </cell>
        </row>
        <row r="4666">
          <cell r="A4666" t="str">
            <v>MDV</v>
          </cell>
          <cell r="B4666">
            <v>2011</v>
          </cell>
          <cell r="C4666" t="str">
            <v>maimpz</v>
          </cell>
          <cell r="D4666">
            <v>8.5667362213134766</v>
          </cell>
        </row>
        <row r="4667">
          <cell r="A4667" t="str">
            <v>MDV</v>
          </cell>
          <cell r="B4667">
            <v>2012</v>
          </cell>
          <cell r="C4667" t="str">
            <v>maindfc</v>
          </cell>
          <cell r="D4667">
            <v>3.2899596691131592</v>
          </cell>
        </row>
        <row r="4668">
          <cell r="A4668" t="str">
            <v>MDV</v>
          </cell>
          <cell r="B4668">
            <v>2025</v>
          </cell>
          <cell r="C4668" t="str">
            <v>mar_expz</v>
          </cell>
          <cell r="D4668">
            <v>0.29955810308456421</v>
          </cell>
        </row>
        <row r="4669">
          <cell r="A4669" t="str">
            <v>MDV</v>
          </cell>
          <cell r="B4669">
            <v>2017</v>
          </cell>
          <cell r="C4669" t="str">
            <v>mafdi_</v>
          </cell>
          <cell r="D4669">
            <v>-9.5194075212821119</v>
          </cell>
        </row>
        <row r="4670">
          <cell r="A4670" t="str">
            <v>MDV</v>
          </cell>
          <cell r="B4670">
            <v>2022</v>
          </cell>
          <cell r="C4670" t="str">
            <v>madebt_</v>
          </cell>
          <cell r="D4670">
            <v>114.50306701660156</v>
          </cell>
        </row>
        <row r="4671">
          <cell r="A4671" t="str">
            <v>MDV</v>
          </cell>
          <cell r="B4671">
            <v>2012</v>
          </cell>
          <cell r="C4671" t="str">
            <v>mar_indfc</v>
          </cell>
          <cell r="D4671">
            <v>11.219130516052246</v>
          </cell>
        </row>
        <row r="4672">
          <cell r="A4672" t="str">
            <v>MDV</v>
          </cell>
          <cell r="B4672">
            <v>2025</v>
          </cell>
          <cell r="C4672" t="str">
            <v>magdpz</v>
          </cell>
          <cell r="D4672">
            <v>15.567696571350098</v>
          </cell>
        </row>
        <row r="4673">
          <cell r="A4673" t="str">
            <v>MDV</v>
          </cell>
          <cell r="B4673">
            <v>2012</v>
          </cell>
          <cell r="C4673" t="str">
            <v>maexpz</v>
          </cell>
          <cell r="D4673">
            <v>2.5173847675323486</v>
          </cell>
        </row>
        <row r="4674">
          <cell r="A4674" t="str">
            <v>MDV</v>
          </cell>
          <cell r="B4674">
            <v>2006</v>
          </cell>
          <cell r="C4674" t="str">
            <v>mar_con</v>
          </cell>
          <cell r="D4674">
            <v>33.629451751708984</v>
          </cell>
        </row>
        <row r="4675">
          <cell r="A4675" t="str">
            <v>MDV</v>
          </cell>
          <cell r="B4675">
            <v>2012</v>
          </cell>
          <cell r="C4675" t="str">
            <v>maagrfc</v>
          </cell>
          <cell r="D4675">
            <v>-0.18276476860046387</v>
          </cell>
        </row>
        <row r="4676">
          <cell r="A4676" t="str">
            <v>MDV</v>
          </cell>
          <cell r="B4676">
            <v>2015</v>
          </cell>
          <cell r="C4676" t="str">
            <v>mapanusatls</v>
          </cell>
          <cell r="D4676">
            <v>15.409999847412109</v>
          </cell>
        </row>
        <row r="4677">
          <cell r="A4677" t="str">
            <v>MDV</v>
          </cell>
          <cell r="B4677">
            <v>2022</v>
          </cell>
          <cell r="C4677" t="str">
            <v>magovz</v>
          </cell>
          <cell r="D4677">
            <v>8.1057424545288086</v>
          </cell>
        </row>
        <row r="4678">
          <cell r="A4678" t="str">
            <v>MDV</v>
          </cell>
          <cell r="B4678">
            <v>2018</v>
          </cell>
          <cell r="C4678" t="str">
            <v>mar_impz</v>
          </cell>
          <cell r="D4678">
            <v>85.064910888671875</v>
          </cell>
        </row>
        <row r="4679">
          <cell r="A4679" t="str">
            <v>MDV</v>
          </cell>
          <cell r="B4679">
            <v>2008</v>
          </cell>
          <cell r="C4679" t="str">
            <v>mar_indfc</v>
          </cell>
          <cell r="D4679">
            <v>12.85093879699707</v>
          </cell>
        </row>
        <row r="4680">
          <cell r="A4680" t="str">
            <v>MDV</v>
          </cell>
          <cell r="B4680">
            <v>2011</v>
          </cell>
          <cell r="C4680" t="str">
            <v>mataxfc</v>
          </cell>
          <cell r="D4680">
            <v>21.20854377746582</v>
          </cell>
        </row>
        <row r="4681">
          <cell r="A4681" t="str">
            <v>MDV</v>
          </cell>
          <cell r="B4681">
            <v>2023</v>
          </cell>
          <cell r="C4681" t="str">
            <v>macab_</v>
          </cell>
          <cell r="D4681">
            <v>-23.396816253662109</v>
          </cell>
        </row>
        <row r="4682">
          <cell r="A4682" t="str">
            <v>MDV</v>
          </cell>
          <cell r="B4682">
            <v>2024</v>
          </cell>
          <cell r="C4682" t="str">
            <v>maindfc</v>
          </cell>
          <cell r="D4682">
            <v>2.6055600643157959</v>
          </cell>
        </row>
        <row r="4683">
          <cell r="A4683" t="str">
            <v>MDV</v>
          </cell>
          <cell r="B4683">
            <v>2014</v>
          </cell>
          <cell r="C4683" t="str">
            <v>masrvfc</v>
          </cell>
          <cell r="D4683">
            <v>7.4052538871765137</v>
          </cell>
        </row>
        <row r="4684">
          <cell r="A4684" t="str">
            <v>MDV</v>
          </cell>
          <cell r="B4684">
            <v>2018</v>
          </cell>
          <cell r="C4684" t="str">
            <v>maimpz</v>
          </cell>
          <cell r="D4684">
            <v>12.805608749389648</v>
          </cell>
        </row>
        <row r="4685">
          <cell r="A4685" t="str">
            <v>MDV</v>
          </cell>
          <cell r="B4685">
            <v>2015</v>
          </cell>
          <cell r="C4685" t="str">
            <v>mar_indfc</v>
          </cell>
          <cell r="D4685">
            <v>12.208017349243164</v>
          </cell>
        </row>
        <row r="4686">
          <cell r="A4686" t="str">
            <v>MDV</v>
          </cell>
          <cell r="B4686">
            <v>2025</v>
          </cell>
          <cell r="C4686" t="str">
            <v>maagrfc</v>
          </cell>
          <cell r="D4686">
            <v>1.9670599699020386</v>
          </cell>
        </row>
        <row r="4687">
          <cell r="A4687" t="str">
            <v>MDV</v>
          </cell>
          <cell r="B4687">
            <v>2024</v>
          </cell>
          <cell r="C4687" t="str">
            <v>matfpz</v>
          </cell>
          <cell r="D4687">
            <v>-2.5755284354090691E-2</v>
          </cell>
        </row>
        <row r="4688">
          <cell r="A4688" t="str">
            <v>MDV</v>
          </cell>
          <cell r="B4688">
            <v>2011</v>
          </cell>
          <cell r="C4688" t="str">
            <v>mar_indfc</v>
          </cell>
          <cell r="D4688">
            <v>11.121503829956055</v>
          </cell>
        </row>
        <row r="4689">
          <cell r="A4689" t="str">
            <v>MDV</v>
          </cell>
          <cell r="B4689">
            <v>2024</v>
          </cell>
          <cell r="C4689" t="str">
            <v>mainvz</v>
          </cell>
          <cell r="D4689">
            <v>11356.3681640625</v>
          </cell>
        </row>
        <row r="4690">
          <cell r="A4690" t="str">
            <v>MDV</v>
          </cell>
          <cell r="B4690">
            <v>2011</v>
          </cell>
          <cell r="C4690" t="str">
            <v>malabz</v>
          </cell>
          <cell r="D4690">
            <v>4.8795456886291504</v>
          </cell>
        </row>
        <row r="4691">
          <cell r="A4691" t="str">
            <v>MDV</v>
          </cell>
          <cell r="B4691">
            <v>2007</v>
          </cell>
          <cell r="C4691" t="str">
            <v>maconz</v>
          </cell>
          <cell r="D4691">
            <v>7.7138724327087402</v>
          </cell>
        </row>
        <row r="4692">
          <cell r="A4692" t="str">
            <v>MDV</v>
          </cell>
          <cell r="B4692">
            <v>2024</v>
          </cell>
          <cell r="C4692" t="str">
            <v>magdpz</v>
          </cell>
          <cell r="D4692">
            <v>24016.791015625</v>
          </cell>
        </row>
        <row r="4693">
          <cell r="A4693" t="str">
            <v>MDV</v>
          </cell>
          <cell r="B4693">
            <v>2024</v>
          </cell>
          <cell r="C4693" t="str">
            <v>magap_</v>
          </cell>
          <cell r="D4693">
            <v>22536.927734375</v>
          </cell>
        </row>
        <row r="4694">
          <cell r="A4694" t="str">
            <v>MDV</v>
          </cell>
          <cell r="B4694">
            <v>2011</v>
          </cell>
          <cell r="C4694" t="str">
            <v>maconz</v>
          </cell>
          <cell r="D4694">
            <v>8.5667362213134766</v>
          </cell>
        </row>
        <row r="4695">
          <cell r="A4695" t="str">
            <v>MDV</v>
          </cell>
          <cell r="B4695">
            <v>2023</v>
          </cell>
          <cell r="C4695" t="str">
            <v>mar_taxfc</v>
          </cell>
          <cell r="D4695">
            <v>11.602957725524902</v>
          </cell>
        </row>
        <row r="4696">
          <cell r="A4696" t="str">
            <v>MDV</v>
          </cell>
          <cell r="B4696">
            <v>2009</v>
          </cell>
          <cell r="C4696" t="str">
            <v>mar_con</v>
          </cell>
          <cell r="D4696">
            <v>34.315265655517578</v>
          </cell>
        </row>
        <row r="4697">
          <cell r="A4697" t="str">
            <v>MDV</v>
          </cell>
          <cell r="B4697">
            <v>2021</v>
          </cell>
          <cell r="C4697" t="str">
            <v>madeficit_</v>
          </cell>
          <cell r="D4697">
            <v>-14.178778648376465</v>
          </cell>
        </row>
        <row r="4698">
          <cell r="A4698" t="str">
            <v>MDV</v>
          </cell>
          <cell r="B4698">
            <v>2021</v>
          </cell>
          <cell r="C4698" t="str">
            <v>maexpz</v>
          </cell>
          <cell r="D4698">
            <v>113.26426696777344</v>
          </cell>
        </row>
        <row r="4699">
          <cell r="A4699" t="str">
            <v>MDV</v>
          </cell>
          <cell r="B4699">
            <v>2023</v>
          </cell>
          <cell r="C4699" t="str">
            <v>mar_impz</v>
          </cell>
          <cell r="D4699">
            <v>97.31683349609375</v>
          </cell>
        </row>
        <row r="4700">
          <cell r="A4700" t="str">
            <v>MDV</v>
          </cell>
          <cell r="B4700">
            <v>2026</v>
          </cell>
          <cell r="C4700" t="str">
            <v>maimpz</v>
          </cell>
          <cell r="D4700">
            <v>1.3992899656295776</v>
          </cell>
        </row>
        <row r="4701">
          <cell r="A4701" t="str">
            <v>MDV</v>
          </cell>
          <cell r="B4701">
            <v>2023</v>
          </cell>
          <cell r="C4701" t="str">
            <v>madeficit_</v>
          </cell>
          <cell r="D4701">
            <v>-13.248481750488281</v>
          </cell>
        </row>
        <row r="4702">
          <cell r="A4702" t="str">
            <v>MDV</v>
          </cell>
          <cell r="B4702">
            <v>2018</v>
          </cell>
          <cell r="C4702" t="str">
            <v>magdpz</v>
          </cell>
          <cell r="D4702">
            <v>8.6680059432983398</v>
          </cell>
        </row>
        <row r="4703">
          <cell r="A4703" t="str">
            <v>MDV</v>
          </cell>
          <cell r="B4703">
            <v>2025</v>
          </cell>
          <cell r="C4703" t="str">
            <v>mar_con</v>
          </cell>
          <cell r="D4703">
            <v>0.16957318782806396</v>
          </cell>
        </row>
        <row r="4704">
          <cell r="A4704" t="str">
            <v>MDV</v>
          </cell>
          <cell r="B4704">
            <v>2023</v>
          </cell>
          <cell r="C4704" t="str">
            <v>maconz</v>
          </cell>
          <cell r="D4704">
            <v>12.703819274902344</v>
          </cell>
        </row>
        <row r="4705">
          <cell r="A4705" t="str">
            <v>MDV</v>
          </cell>
          <cell r="B4705">
            <v>2024</v>
          </cell>
          <cell r="C4705" t="str">
            <v>macab_</v>
          </cell>
          <cell r="D4705">
            <v>4011.92919921875</v>
          </cell>
        </row>
        <row r="4706">
          <cell r="A4706" t="str">
            <v>MDV</v>
          </cell>
          <cell r="B4706">
            <v>2008</v>
          </cell>
          <cell r="C4706" t="str">
            <v>macpiz</v>
          </cell>
          <cell r="D4706">
            <v>12.03125</v>
          </cell>
        </row>
        <row r="4707">
          <cell r="A4707" t="str">
            <v>MDV</v>
          </cell>
          <cell r="B4707">
            <v>2022</v>
          </cell>
          <cell r="C4707" t="str">
            <v>mataxfc</v>
          </cell>
          <cell r="D4707">
            <v>5.5714917182922363</v>
          </cell>
        </row>
        <row r="4708">
          <cell r="A4708" t="str">
            <v>MDV</v>
          </cell>
          <cell r="B4708">
            <v>2025</v>
          </cell>
          <cell r="C4708" t="str">
            <v>macab_</v>
          </cell>
          <cell r="D4708">
            <v>1321.3922119140625</v>
          </cell>
        </row>
        <row r="4709">
          <cell r="A4709" t="str">
            <v>MDV</v>
          </cell>
          <cell r="B4709">
            <v>2014</v>
          </cell>
          <cell r="C4709" t="str">
            <v>mar_expz</v>
          </cell>
          <cell r="D4709">
            <v>75.749809265136719</v>
          </cell>
        </row>
        <row r="4710">
          <cell r="A4710" t="str">
            <v>MDV</v>
          </cell>
          <cell r="B4710">
            <v>2022</v>
          </cell>
          <cell r="C4710" t="str">
            <v>mar_con</v>
          </cell>
          <cell r="D4710">
            <v>38.679168701171875</v>
          </cell>
        </row>
        <row r="4711">
          <cell r="A4711" t="str">
            <v>MDV</v>
          </cell>
          <cell r="B4711">
            <v>2010</v>
          </cell>
          <cell r="C4711" t="str">
            <v>masrvfc</v>
          </cell>
          <cell r="D4711">
            <v>6.5606980323791504</v>
          </cell>
        </row>
        <row r="4712">
          <cell r="A4712" t="str">
            <v>MDV</v>
          </cell>
          <cell r="B4712">
            <v>2010</v>
          </cell>
          <cell r="C4712" t="str">
            <v>mareer</v>
          </cell>
          <cell r="D4712">
            <v>85.777259826660156</v>
          </cell>
        </row>
        <row r="4713">
          <cell r="A4713" t="str">
            <v>MDV</v>
          </cell>
          <cell r="B4713">
            <v>2010</v>
          </cell>
          <cell r="C4713" t="str">
            <v>mar_indfc</v>
          </cell>
          <cell r="D4713">
            <v>10.240544319152832</v>
          </cell>
        </row>
        <row r="4714">
          <cell r="A4714" t="str">
            <v>MDV</v>
          </cell>
          <cell r="B4714">
            <v>2010</v>
          </cell>
          <cell r="C4714" t="str">
            <v>mar_impz</v>
          </cell>
          <cell r="D4714">
            <v>81.068443298339844</v>
          </cell>
        </row>
        <row r="4715">
          <cell r="A4715" t="str">
            <v>MDV</v>
          </cell>
          <cell r="B4715">
            <v>2025</v>
          </cell>
          <cell r="C4715" t="str">
            <v>mac_labz</v>
          </cell>
          <cell r="D4715">
            <v>-0.53929400444030762</v>
          </cell>
        </row>
        <row r="4716">
          <cell r="A4716" t="str">
            <v>MDV</v>
          </cell>
          <cell r="B4716">
            <v>2021</v>
          </cell>
          <cell r="C4716" t="str">
            <v>mac_labz</v>
          </cell>
          <cell r="D4716">
            <v>0.86994987726211548</v>
          </cell>
        </row>
        <row r="4717">
          <cell r="A4717" t="str">
            <v>MDV</v>
          </cell>
          <cell r="B4717">
            <v>2010</v>
          </cell>
          <cell r="C4717" t="str">
            <v>mar_agrfc</v>
          </cell>
          <cell r="D4717">
            <v>8.1190509796142578</v>
          </cell>
        </row>
        <row r="4718">
          <cell r="A4718" t="str">
            <v>MDV</v>
          </cell>
          <cell r="B4718">
            <v>2022</v>
          </cell>
          <cell r="C4718" t="str">
            <v>macab_</v>
          </cell>
          <cell r="D4718">
            <v>-16.74420166015625</v>
          </cell>
        </row>
        <row r="4719">
          <cell r="A4719" t="str">
            <v>MDV</v>
          </cell>
          <cell r="B4719">
            <v>2021</v>
          </cell>
          <cell r="C4719" t="str">
            <v>mareer</v>
          </cell>
          <cell r="D4719">
            <v>92.00677490234375</v>
          </cell>
        </row>
        <row r="4720">
          <cell r="A4720" t="str">
            <v>MDV</v>
          </cell>
          <cell r="B4720">
            <v>2021</v>
          </cell>
          <cell r="C4720" t="str">
            <v>mar_impz</v>
          </cell>
          <cell r="D4720">
            <v>76.136306762695313</v>
          </cell>
        </row>
        <row r="4721">
          <cell r="A4721" t="str">
            <v>MDV</v>
          </cell>
          <cell r="B4721">
            <v>2014</v>
          </cell>
          <cell r="C4721" t="str">
            <v>magdpz</v>
          </cell>
          <cell r="D4721">
            <v>7.8010945320129395</v>
          </cell>
        </row>
        <row r="4722">
          <cell r="A4722" t="str">
            <v>MDV</v>
          </cell>
          <cell r="B4722">
            <v>2006</v>
          </cell>
          <cell r="C4722" t="str">
            <v>masrvfc</v>
          </cell>
          <cell r="D4722">
            <v>26.969028472900391</v>
          </cell>
        </row>
        <row r="4723">
          <cell r="A4723" t="str">
            <v>MDV</v>
          </cell>
          <cell r="B4723">
            <v>2006</v>
          </cell>
          <cell r="C4723" t="str">
            <v>mareer</v>
          </cell>
          <cell r="D4723">
            <v>70.387313842773438</v>
          </cell>
        </row>
        <row r="4724">
          <cell r="A4724" t="str">
            <v>MDV</v>
          </cell>
          <cell r="B4724">
            <v>2009</v>
          </cell>
          <cell r="C4724" t="str">
            <v>matfpz</v>
          </cell>
          <cell r="D4724">
            <v>-7.0152647793292999E-2</v>
          </cell>
        </row>
        <row r="4725">
          <cell r="A4725" t="str">
            <v>MDV</v>
          </cell>
          <cell r="B4725">
            <v>2008</v>
          </cell>
          <cell r="C4725" t="str">
            <v>mac_labz</v>
          </cell>
          <cell r="D4725">
            <v>4.2410173416137695</v>
          </cell>
        </row>
        <row r="4726">
          <cell r="A4726" t="str">
            <v>MDV</v>
          </cell>
          <cell r="B4726">
            <v>2020</v>
          </cell>
          <cell r="C4726" t="str">
            <v>mataxfc</v>
          </cell>
          <cell r="D4726">
            <v>-53.196662902832031</v>
          </cell>
        </row>
        <row r="4727">
          <cell r="A4727" t="str">
            <v>MDV</v>
          </cell>
          <cell r="B4727">
            <v>2006</v>
          </cell>
          <cell r="C4727" t="str">
            <v>mar_srvfc</v>
          </cell>
          <cell r="D4727">
            <v>75.304985046386719</v>
          </cell>
        </row>
        <row r="4728">
          <cell r="A4728" t="str">
            <v>MDV</v>
          </cell>
          <cell r="B4728">
            <v>2025</v>
          </cell>
          <cell r="C4728" t="str">
            <v>mafdi_</v>
          </cell>
          <cell r="D4728">
            <v>-70187.332307815785</v>
          </cell>
        </row>
        <row r="4729">
          <cell r="A4729" t="str">
            <v>MDV</v>
          </cell>
          <cell r="B4729">
            <v>2018</v>
          </cell>
          <cell r="C4729" t="str">
            <v>magap_</v>
          </cell>
          <cell r="D4729">
            <v>1.656551718711853</v>
          </cell>
        </row>
        <row r="4730">
          <cell r="A4730" t="str">
            <v>MDV</v>
          </cell>
          <cell r="B4730">
            <v>2011</v>
          </cell>
          <cell r="C4730" t="str">
            <v>maagrfc</v>
          </cell>
          <cell r="D4730">
            <v>-4.9425691366195679E-2</v>
          </cell>
        </row>
        <row r="4731">
          <cell r="A4731" t="str">
            <v>MDV</v>
          </cell>
          <cell r="B4731">
            <v>2020</v>
          </cell>
          <cell r="C4731" t="str">
            <v>malabz</v>
          </cell>
          <cell r="D4731">
            <v>1.9283051490783691</v>
          </cell>
        </row>
        <row r="4732">
          <cell r="A4732" t="str">
            <v>MDV</v>
          </cell>
          <cell r="B4732">
            <v>2020</v>
          </cell>
          <cell r="C4732" t="str">
            <v>maindfc</v>
          </cell>
          <cell r="D4732">
            <v>-34.082199096679688</v>
          </cell>
        </row>
        <row r="4733">
          <cell r="A4733" t="str">
            <v>MDV</v>
          </cell>
          <cell r="B4733">
            <v>2007</v>
          </cell>
          <cell r="C4733" t="str">
            <v>mar_srvfc</v>
          </cell>
          <cell r="D4733">
            <v>77.4183349609375</v>
          </cell>
        </row>
        <row r="4734">
          <cell r="A4734" t="str">
            <v>MDV</v>
          </cell>
          <cell r="B4734">
            <v>2020</v>
          </cell>
          <cell r="C4734" t="str">
            <v>magap_</v>
          </cell>
          <cell r="D4734">
            <v>-35.174831390380859</v>
          </cell>
        </row>
        <row r="4735">
          <cell r="A4735" t="str">
            <v>MDV</v>
          </cell>
          <cell r="B4735">
            <v>2022</v>
          </cell>
          <cell r="C4735" t="str">
            <v>magap_</v>
          </cell>
          <cell r="D4735">
            <v>-2.5758259296417236</v>
          </cell>
        </row>
        <row r="4736">
          <cell r="A4736" t="str">
            <v>MDV</v>
          </cell>
          <cell r="B4736">
            <v>2007</v>
          </cell>
          <cell r="C4736" t="str">
            <v>masrvfc</v>
          </cell>
          <cell r="D4736">
            <v>9.9300289154052734</v>
          </cell>
        </row>
        <row r="4737">
          <cell r="A4737" t="str">
            <v>MDV</v>
          </cell>
          <cell r="B4737">
            <v>2006</v>
          </cell>
          <cell r="C4737" t="str">
            <v>mar_agrfc</v>
          </cell>
          <cell r="D4737">
            <v>13.044635772705078</v>
          </cell>
        </row>
        <row r="4738">
          <cell r="A4738" t="str">
            <v>MDV</v>
          </cell>
          <cell r="B4738">
            <v>2020</v>
          </cell>
          <cell r="C4738" t="str">
            <v>maexpz</v>
          </cell>
          <cell r="D4738">
            <v>-51.377910614013672</v>
          </cell>
        </row>
        <row r="4739">
          <cell r="A4739" t="str">
            <v>MDV</v>
          </cell>
          <cell r="B4739">
            <v>2019</v>
          </cell>
          <cell r="C4739" t="str">
            <v>maconz</v>
          </cell>
          <cell r="D4739">
            <v>5.5202465057373047</v>
          </cell>
        </row>
        <row r="4740">
          <cell r="A4740" t="str">
            <v>MDV</v>
          </cell>
          <cell r="B4740">
            <v>2020</v>
          </cell>
          <cell r="C4740" t="str">
            <v>macpiz</v>
          </cell>
          <cell r="D4740">
            <v>-1.370423436164856</v>
          </cell>
        </row>
        <row r="4741">
          <cell r="A4741" t="str">
            <v>MDV</v>
          </cell>
          <cell r="B4741">
            <v>2017</v>
          </cell>
          <cell r="C4741" t="str">
            <v>madebt_</v>
          </cell>
          <cell r="D4741">
            <v>63.686519622802734</v>
          </cell>
        </row>
        <row r="4742">
          <cell r="A4742" t="str">
            <v>MDV</v>
          </cell>
          <cell r="B4742">
            <v>2019</v>
          </cell>
          <cell r="C4742" t="str">
            <v>mareer</v>
          </cell>
          <cell r="D4742">
            <v>97.6107177734375</v>
          </cell>
        </row>
        <row r="4743">
          <cell r="A4743" t="str">
            <v>MDV</v>
          </cell>
          <cell r="B4743">
            <v>2019</v>
          </cell>
          <cell r="C4743" t="str">
            <v>mar_impz</v>
          </cell>
          <cell r="D4743">
            <v>76.63458251953125</v>
          </cell>
        </row>
        <row r="4744">
          <cell r="A4744" t="str">
            <v>MDV</v>
          </cell>
          <cell r="B4744">
            <v>2019</v>
          </cell>
          <cell r="C4744" t="str">
            <v>mainvz</v>
          </cell>
          <cell r="D4744">
            <v>-3.2411932945251465</v>
          </cell>
        </row>
        <row r="4745">
          <cell r="A4745" t="str">
            <v>MDV</v>
          </cell>
          <cell r="B4745">
            <v>2021</v>
          </cell>
          <cell r="C4745" t="str">
            <v>maconz</v>
          </cell>
          <cell r="D4745">
            <v>13.544904708862305</v>
          </cell>
        </row>
        <row r="4746">
          <cell r="A4746" t="str">
            <v>MDV</v>
          </cell>
          <cell r="B4746">
            <v>2010</v>
          </cell>
          <cell r="C4746" t="str">
            <v>macpiz</v>
          </cell>
          <cell r="D4746">
            <v>6.1527056694030762</v>
          </cell>
        </row>
        <row r="4747">
          <cell r="A4747" t="str">
            <v>MDV</v>
          </cell>
          <cell r="B4747">
            <v>2019</v>
          </cell>
          <cell r="C4747" t="str">
            <v>maexpz</v>
          </cell>
          <cell r="D4747">
            <v>6.687171459197998</v>
          </cell>
        </row>
        <row r="4748">
          <cell r="A4748" t="str">
            <v>MDV</v>
          </cell>
          <cell r="B4748">
            <v>2019</v>
          </cell>
          <cell r="C4748" t="str">
            <v>magovz</v>
          </cell>
          <cell r="D4748">
            <v>-2.8844437599182129</v>
          </cell>
        </row>
        <row r="4749">
          <cell r="A4749" t="str">
            <v>MDV</v>
          </cell>
          <cell r="B4749">
            <v>2006</v>
          </cell>
          <cell r="C4749" t="str">
            <v>malabz</v>
          </cell>
          <cell r="D4749">
            <v>4.8016819953918457</v>
          </cell>
        </row>
        <row r="4750">
          <cell r="A4750" t="str">
            <v>MDV</v>
          </cell>
          <cell r="B4750">
            <v>2019</v>
          </cell>
          <cell r="C4750" t="str">
            <v>maagrfc</v>
          </cell>
          <cell r="D4750">
            <v>-8.0706710815429688</v>
          </cell>
        </row>
        <row r="4751">
          <cell r="A4751" t="str">
            <v>MDV</v>
          </cell>
          <cell r="B4751">
            <v>2007</v>
          </cell>
          <cell r="C4751" t="str">
            <v>mar_impz</v>
          </cell>
          <cell r="D4751">
            <v>79.566169738769531</v>
          </cell>
        </row>
        <row r="4752">
          <cell r="A4752" t="str">
            <v>MDV</v>
          </cell>
          <cell r="B4752">
            <v>2018</v>
          </cell>
          <cell r="C4752" t="str">
            <v>mainvz</v>
          </cell>
          <cell r="D4752">
            <v>28.994352340698242</v>
          </cell>
        </row>
        <row r="4753">
          <cell r="A4753" t="str">
            <v>MDV</v>
          </cell>
          <cell r="B4753">
            <v>2018</v>
          </cell>
          <cell r="C4753" t="str">
            <v>magovz</v>
          </cell>
          <cell r="D4753">
            <v>8.9511575698852539</v>
          </cell>
        </row>
        <row r="4754">
          <cell r="A4754" t="str">
            <v>MDV</v>
          </cell>
          <cell r="B4754">
            <v>2009</v>
          </cell>
          <cell r="C4754" t="str">
            <v>mapanusatls</v>
          </cell>
          <cell r="D4754">
            <v>12.800000190734863</v>
          </cell>
        </row>
        <row r="4755">
          <cell r="A4755" t="str">
            <v>MDV</v>
          </cell>
          <cell r="B4755">
            <v>2018</v>
          </cell>
          <cell r="C4755" t="str">
            <v>madebt_</v>
          </cell>
          <cell r="D4755">
            <v>72.447097778320313</v>
          </cell>
        </row>
        <row r="4756">
          <cell r="A4756" t="str">
            <v>MDV</v>
          </cell>
          <cell r="B4756">
            <v>2020</v>
          </cell>
          <cell r="C4756" t="str">
            <v>matfpz</v>
          </cell>
          <cell r="D4756">
            <v>0.32792282104492188</v>
          </cell>
        </row>
        <row r="4757">
          <cell r="A4757" t="str">
            <v>MDV</v>
          </cell>
          <cell r="B4757">
            <v>2018</v>
          </cell>
          <cell r="C4757" t="str">
            <v>maconz</v>
          </cell>
          <cell r="D4757">
            <v>10.612758636474609</v>
          </cell>
        </row>
        <row r="4758">
          <cell r="A4758" t="str">
            <v>MDV</v>
          </cell>
          <cell r="B4758">
            <v>2018</v>
          </cell>
          <cell r="C4758" t="str">
            <v>maagrfc</v>
          </cell>
          <cell r="D4758">
            <v>4.9329633712768555</v>
          </cell>
        </row>
        <row r="4759">
          <cell r="A4759" t="str">
            <v>MDV</v>
          </cell>
          <cell r="B4759">
            <v>2008</v>
          </cell>
          <cell r="C4759" t="str">
            <v>mareer</v>
          </cell>
          <cell r="D4759">
            <v>73.64630126953125</v>
          </cell>
        </row>
        <row r="4760">
          <cell r="A4760" t="str">
            <v>MDV</v>
          </cell>
          <cell r="B4760">
            <v>2017</v>
          </cell>
          <cell r="C4760" t="str">
            <v>mar_expz</v>
          </cell>
          <cell r="D4760">
            <v>67.047744750976563</v>
          </cell>
        </row>
        <row r="4761">
          <cell r="A4761" t="str">
            <v>MDV</v>
          </cell>
          <cell r="B4761">
            <v>2023</v>
          </cell>
          <cell r="C4761" t="str">
            <v>masrvfc</v>
          </cell>
          <cell r="D4761">
            <v>3.512437105178833</v>
          </cell>
        </row>
        <row r="4762">
          <cell r="A4762" t="str">
            <v>MDV</v>
          </cell>
          <cell r="B4762">
            <v>2014</v>
          </cell>
          <cell r="C4762" t="str">
            <v>mac_labz</v>
          </cell>
          <cell r="D4762">
            <v>3.2829949855804443</v>
          </cell>
        </row>
        <row r="4763">
          <cell r="A4763" t="str">
            <v>MDV</v>
          </cell>
          <cell r="B4763">
            <v>2010</v>
          </cell>
          <cell r="C4763" t="str">
            <v>mac_labz</v>
          </cell>
          <cell r="D4763">
            <v>3.6804637908935547</v>
          </cell>
        </row>
        <row r="4764">
          <cell r="A4764" t="str">
            <v>MDV</v>
          </cell>
          <cell r="B4764">
            <v>2006</v>
          </cell>
          <cell r="C4764" t="str">
            <v>magdpz</v>
          </cell>
          <cell r="D4764">
            <v>23.605798721313477</v>
          </cell>
        </row>
        <row r="4765">
          <cell r="A4765" t="str">
            <v>MDV</v>
          </cell>
          <cell r="B4765">
            <v>2017</v>
          </cell>
          <cell r="C4765" t="str">
            <v>mar_agrfc</v>
          </cell>
          <cell r="D4765">
            <v>6.2147426605224609</v>
          </cell>
        </row>
        <row r="4766">
          <cell r="A4766" t="str">
            <v>MDV</v>
          </cell>
          <cell r="B4766">
            <v>2017</v>
          </cell>
          <cell r="C4766" t="str">
            <v>mainvz</v>
          </cell>
          <cell r="D4766">
            <v>7.6555542945861816</v>
          </cell>
        </row>
        <row r="4767">
          <cell r="A4767" t="str">
            <v>MDV</v>
          </cell>
          <cell r="B4767">
            <v>2020</v>
          </cell>
          <cell r="C4767" t="str">
            <v>magovz</v>
          </cell>
          <cell r="D4767">
            <v>2.3540229797363281</v>
          </cell>
        </row>
        <row r="4768">
          <cell r="A4768" t="str">
            <v>MDV</v>
          </cell>
          <cell r="B4768">
            <v>2006</v>
          </cell>
          <cell r="C4768" t="str">
            <v>maexpz</v>
          </cell>
          <cell r="D4768">
            <v>26.111515045166016</v>
          </cell>
        </row>
        <row r="4769">
          <cell r="A4769" t="str">
            <v>MDV</v>
          </cell>
          <cell r="B4769">
            <v>2017</v>
          </cell>
          <cell r="C4769" t="str">
            <v>maconz</v>
          </cell>
          <cell r="D4769">
            <v>13.080608367919922</v>
          </cell>
        </row>
        <row r="4770">
          <cell r="A4770" t="str">
            <v>MDV</v>
          </cell>
          <cell r="B4770">
            <v>2010</v>
          </cell>
          <cell r="C4770" t="str">
            <v>maagrfc</v>
          </cell>
          <cell r="D4770">
            <v>-3.8657932281494141</v>
          </cell>
        </row>
        <row r="4771">
          <cell r="A4771" t="str">
            <v>MDV</v>
          </cell>
          <cell r="B4771">
            <v>2006</v>
          </cell>
          <cell r="C4771" t="str">
            <v>maconz</v>
          </cell>
          <cell r="D4771">
            <v>26.111515045166016</v>
          </cell>
        </row>
        <row r="4772">
          <cell r="A4772" t="str">
            <v>MDV</v>
          </cell>
          <cell r="B4772">
            <v>2006</v>
          </cell>
          <cell r="C4772" t="str">
            <v>macab_</v>
          </cell>
          <cell r="D4772">
            <v>-19.172163009643555</v>
          </cell>
        </row>
        <row r="4773">
          <cell r="A4773" t="str">
            <v>MDV</v>
          </cell>
          <cell r="B4773">
            <v>2020</v>
          </cell>
          <cell r="C4773" t="str">
            <v>mar_srvfc</v>
          </cell>
          <cell r="D4773">
            <v>79.358306884765625</v>
          </cell>
        </row>
        <row r="4774">
          <cell r="A4774" t="str">
            <v>MDV</v>
          </cell>
          <cell r="B4774">
            <v>2016</v>
          </cell>
          <cell r="C4774" t="str">
            <v>magdpz</v>
          </cell>
          <cell r="D4774">
            <v>6.5722360610961914</v>
          </cell>
        </row>
        <row r="4775">
          <cell r="A4775" t="str">
            <v>MDV</v>
          </cell>
          <cell r="B4775">
            <v>2016</v>
          </cell>
          <cell r="C4775" t="str">
            <v>magap_</v>
          </cell>
          <cell r="D4775">
            <v>-1.6444324254989624</v>
          </cell>
        </row>
        <row r="4776">
          <cell r="A4776" t="str">
            <v>MDV</v>
          </cell>
          <cell r="B4776">
            <v>2016</v>
          </cell>
          <cell r="C4776" t="str">
            <v>madeficit_</v>
          </cell>
          <cell r="D4776">
            <v>-9.9277162551879883</v>
          </cell>
        </row>
        <row r="4777">
          <cell r="A4777" t="str">
            <v>MDV</v>
          </cell>
          <cell r="B4777">
            <v>2009</v>
          </cell>
          <cell r="C4777" t="str">
            <v>mar_agrfc</v>
          </cell>
          <cell r="D4777">
            <v>8.9270725250244141</v>
          </cell>
        </row>
        <row r="4778">
          <cell r="A4778" t="str">
            <v>MDV</v>
          </cell>
          <cell r="B4778">
            <v>2016</v>
          </cell>
          <cell r="C4778" t="str">
            <v>maagrfc</v>
          </cell>
          <cell r="D4778">
            <v>1.501533031463623</v>
          </cell>
        </row>
        <row r="4779">
          <cell r="A4779" t="str">
            <v>MDV</v>
          </cell>
          <cell r="B4779">
            <v>2011</v>
          </cell>
          <cell r="C4779" t="str">
            <v>mar_impz</v>
          </cell>
          <cell r="D4779">
            <v>81.063995361328125</v>
          </cell>
        </row>
        <row r="4780">
          <cell r="A4780" t="str">
            <v>MDV</v>
          </cell>
          <cell r="B4780">
            <v>2018</v>
          </cell>
          <cell r="C4780" t="str">
            <v>macab_</v>
          </cell>
          <cell r="D4780">
            <v>-27.837064743041992</v>
          </cell>
        </row>
        <row r="4781">
          <cell r="A4781" t="str">
            <v>MDV</v>
          </cell>
          <cell r="B4781">
            <v>2009</v>
          </cell>
          <cell r="C4781" t="str">
            <v>mar_taxfc</v>
          </cell>
          <cell r="D4781">
            <v>13.179327011108398</v>
          </cell>
        </row>
        <row r="4782">
          <cell r="A4782" t="str">
            <v>MDV</v>
          </cell>
          <cell r="B4782">
            <v>2010</v>
          </cell>
          <cell r="C4782" t="str">
            <v>magap_</v>
          </cell>
          <cell r="D4782">
            <v>-4.1215043067932129</v>
          </cell>
        </row>
        <row r="4783">
          <cell r="A4783" t="str">
            <v>MDV</v>
          </cell>
          <cell r="B4783">
            <v>2014</v>
          </cell>
          <cell r="C4783" t="str">
            <v>mar_agrfc</v>
          </cell>
          <cell r="D4783">
            <v>6.8660097122192383</v>
          </cell>
        </row>
        <row r="4784">
          <cell r="A4784" t="str">
            <v>MDV</v>
          </cell>
          <cell r="B4784">
            <v>2026</v>
          </cell>
          <cell r="C4784" t="str">
            <v>mar_expz</v>
          </cell>
          <cell r="D4784">
            <v>0.28084743022918701</v>
          </cell>
        </row>
        <row r="4785">
          <cell r="A4785" t="str">
            <v>MDV</v>
          </cell>
          <cell r="B4785">
            <v>2025</v>
          </cell>
          <cell r="C4785" t="str">
            <v>magovz</v>
          </cell>
          <cell r="D4785">
            <v>12.578221321105957</v>
          </cell>
        </row>
        <row r="4786">
          <cell r="A4786" t="str">
            <v>MDV</v>
          </cell>
          <cell r="B4786">
            <v>2017</v>
          </cell>
          <cell r="C4786" t="str">
            <v>maexpz</v>
          </cell>
          <cell r="D4786">
            <v>8.5317773818969727</v>
          </cell>
        </row>
        <row r="4787">
          <cell r="A4787" t="str">
            <v>MDV</v>
          </cell>
          <cell r="B4787">
            <v>2015</v>
          </cell>
          <cell r="C4787" t="str">
            <v>mar_agrfc</v>
          </cell>
          <cell r="D4787">
            <v>6.4815678596496582</v>
          </cell>
        </row>
        <row r="4788">
          <cell r="A4788" t="str">
            <v>MDV</v>
          </cell>
          <cell r="B4788">
            <v>2019</v>
          </cell>
          <cell r="C4788" t="str">
            <v>maimpz</v>
          </cell>
          <cell r="D4788">
            <v>-3.3354222774505615</v>
          </cell>
        </row>
        <row r="4789">
          <cell r="A4789" t="str">
            <v>MDV</v>
          </cell>
          <cell r="B4789">
            <v>2026</v>
          </cell>
          <cell r="C4789" t="str">
            <v>maconz</v>
          </cell>
          <cell r="D4789">
            <v>5.2941799163818359</v>
          </cell>
        </row>
        <row r="4790">
          <cell r="A4790" t="str">
            <v>MDV</v>
          </cell>
          <cell r="B4790">
            <v>2005</v>
          </cell>
          <cell r="C4790" t="str">
            <v>magdpz</v>
          </cell>
          <cell r="D4790">
            <v>-11.223166465759277</v>
          </cell>
        </row>
        <row r="4791">
          <cell r="A4791" t="str">
            <v>MDV</v>
          </cell>
          <cell r="B4791">
            <v>2009</v>
          </cell>
          <cell r="C4791" t="str">
            <v>malabz</v>
          </cell>
          <cell r="D4791">
            <v>5.657893180847168</v>
          </cell>
        </row>
        <row r="4792">
          <cell r="A4792" t="str">
            <v>MDV</v>
          </cell>
          <cell r="B4792">
            <v>2006</v>
          </cell>
          <cell r="C4792" t="str">
            <v>madebt_</v>
          </cell>
          <cell r="D4792">
            <v>36.779541015625</v>
          </cell>
        </row>
        <row r="4793">
          <cell r="A4793" t="str">
            <v>MDV</v>
          </cell>
          <cell r="B4793">
            <v>2020</v>
          </cell>
          <cell r="C4793" t="str">
            <v>mafdi_</v>
          </cell>
          <cell r="D4793">
            <v>-11.89281468947781</v>
          </cell>
        </row>
        <row r="4794">
          <cell r="A4794" t="str">
            <v>MDV</v>
          </cell>
          <cell r="B4794">
            <v>2021</v>
          </cell>
          <cell r="C4794" t="str">
            <v>mac_tfpz</v>
          </cell>
          <cell r="D4794">
            <v>0.23646415770053864</v>
          </cell>
        </row>
        <row r="4795">
          <cell r="A4795" t="str">
            <v>MDV</v>
          </cell>
          <cell r="B4795">
            <v>2016</v>
          </cell>
          <cell r="C4795" t="str">
            <v>mar_impz</v>
          </cell>
          <cell r="D4795">
            <v>81.060462951660156</v>
          </cell>
        </row>
        <row r="4796">
          <cell r="A4796" t="str">
            <v>MDV</v>
          </cell>
          <cell r="B4796">
            <v>2005</v>
          </cell>
          <cell r="C4796" t="str">
            <v>magovz</v>
          </cell>
          <cell r="D4796">
            <v>0</v>
          </cell>
        </row>
        <row r="4797">
          <cell r="A4797" t="str">
            <v>MDV</v>
          </cell>
          <cell r="B4797">
            <v>2006</v>
          </cell>
          <cell r="C4797" t="str">
            <v>macpiz</v>
          </cell>
          <cell r="D4797">
            <v>2.7433795928955078</v>
          </cell>
        </row>
        <row r="4798">
          <cell r="A4798" t="str">
            <v>MDV</v>
          </cell>
          <cell r="B4798">
            <v>2010</v>
          </cell>
          <cell r="C4798" t="str">
            <v>mapanusatls</v>
          </cell>
          <cell r="D4798">
            <v>12.800000190734863</v>
          </cell>
        </row>
        <row r="4799">
          <cell r="A4799" t="str">
            <v>MDV</v>
          </cell>
          <cell r="B4799">
            <v>2014</v>
          </cell>
          <cell r="C4799" t="str">
            <v>mar_impz</v>
          </cell>
          <cell r="D4799">
            <v>81.070777893066406</v>
          </cell>
        </row>
        <row r="4800">
          <cell r="A4800" t="str">
            <v>MDV</v>
          </cell>
          <cell r="B4800">
            <v>2009</v>
          </cell>
          <cell r="C4800" t="str">
            <v>mac_tfpz</v>
          </cell>
          <cell r="D4800">
            <v>-7.0152647793292999E-2</v>
          </cell>
        </row>
        <row r="4801">
          <cell r="A4801" t="str">
            <v>MDV</v>
          </cell>
          <cell r="B4801">
            <v>2016</v>
          </cell>
          <cell r="C4801" t="str">
            <v>malabz</v>
          </cell>
          <cell r="D4801">
            <v>4.791532039642334</v>
          </cell>
        </row>
        <row r="4802">
          <cell r="A4802" t="str">
            <v>MDV</v>
          </cell>
          <cell r="B4802">
            <v>2015</v>
          </cell>
          <cell r="C4802" t="str">
            <v>mar_expz</v>
          </cell>
          <cell r="D4802">
            <v>64.346275329589844</v>
          </cell>
        </row>
        <row r="4803">
          <cell r="A4803" t="str">
            <v>MDV</v>
          </cell>
          <cell r="B4803">
            <v>2023</v>
          </cell>
          <cell r="C4803" t="str">
            <v>mar_indfc</v>
          </cell>
          <cell r="D4803">
            <v>10.406790733337402</v>
          </cell>
        </row>
        <row r="4804">
          <cell r="A4804" t="str">
            <v>MDV</v>
          </cell>
          <cell r="B4804">
            <v>2012</v>
          </cell>
          <cell r="C4804" t="str">
            <v>mar_con</v>
          </cell>
          <cell r="D4804">
            <v>34.503082275390625</v>
          </cell>
        </row>
        <row r="4805">
          <cell r="A4805" t="str">
            <v>MDV</v>
          </cell>
          <cell r="B4805">
            <v>2011</v>
          </cell>
          <cell r="C4805" t="str">
            <v>mareer</v>
          </cell>
          <cell r="D4805">
            <v>79.58514404296875</v>
          </cell>
        </row>
        <row r="4806">
          <cell r="A4806" t="str">
            <v>MDV</v>
          </cell>
          <cell r="B4806">
            <v>2021</v>
          </cell>
          <cell r="C4806" t="str">
            <v>mar_srvfc</v>
          </cell>
          <cell r="D4806">
            <v>85.050468444824219</v>
          </cell>
        </row>
        <row r="4807">
          <cell r="A4807" t="str">
            <v>MDV</v>
          </cell>
          <cell r="B4807">
            <v>2018</v>
          </cell>
          <cell r="C4807" t="str">
            <v>mar_con</v>
          </cell>
          <cell r="D4807">
            <v>46.0970458984375</v>
          </cell>
        </row>
        <row r="4808">
          <cell r="A4808" t="str">
            <v>MDV</v>
          </cell>
          <cell r="B4808">
            <v>2014</v>
          </cell>
          <cell r="C4808" t="str">
            <v>mar_indfc</v>
          </cell>
          <cell r="D4808">
            <v>10.658756256103516</v>
          </cell>
        </row>
        <row r="4809">
          <cell r="A4809" t="str">
            <v>MDV</v>
          </cell>
          <cell r="B4809">
            <v>2009</v>
          </cell>
          <cell r="C4809" t="str">
            <v>magap_</v>
          </cell>
          <cell r="D4809">
            <v>-5.5514497756958008</v>
          </cell>
        </row>
        <row r="4810">
          <cell r="A4810" t="str">
            <v>MDV</v>
          </cell>
          <cell r="B4810">
            <v>2016</v>
          </cell>
          <cell r="C4810" t="str">
            <v>mataxfc</v>
          </cell>
          <cell r="D4810">
            <v>2.8710956573486328</v>
          </cell>
        </row>
        <row r="4811">
          <cell r="A4811" t="str">
            <v>MDV</v>
          </cell>
          <cell r="B4811">
            <v>2020</v>
          </cell>
          <cell r="C4811" t="str">
            <v>mar_expz</v>
          </cell>
          <cell r="D4811">
            <v>49.32537841796875</v>
          </cell>
        </row>
        <row r="4812">
          <cell r="A4812" t="str">
            <v>MDV</v>
          </cell>
          <cell r="B4812">
            <v>2025</v>
          </cell>
          <cell r="C4812" t="str">
            <v>mar_srvfc</v>
          </cell>
          <cell r="D4812">
            <v>99.947021484375</v>
          </cell>
        </row>
        <row r="4813">
          <cell r="A4813" t="str">
            <v>MDV</v>
          </cell>
          <cell r="B4813">
            <v>2014</v>
          </cell>
          <cell r="C4813" t="str">
            <v>mataxfc</v>
          </cell>
          <cell r="D4813">
            <v>7.5923771858215332</v>
          </cell>
        </row>
        <row r="4814">
          <cell r="A4814" t="str">
            <v>MDV</v>
          </cell>
          <cell r="B4814">
            <v>2010</v>
          </cell>
          <cell r="C4814" t="str">
            <v>mainvz</v>
          </cell>
          <cell r="D4814">
            <v>7.2651124000549316</v>
          </cell>
        </row>
        <row r="4815">
          <cell r="A4815" t="str">
            <v>MDV</v>
          </cell>
          <cell r="B4815">
            <v>2019</v>
          </cell>
          <cell r="C4815" t="str">
            <v>mafdi_</v>
          </cell>
          <cell r="D4815">
            <v>-16.78128731313797</v>
          </cell>
        </row>
        <row r="4816">
          <cell r="A4816" t="str">
            <v>MDV</v>
          </cell>
          <cell r="B4816">
            <v>2011</v>
          </cell>
          <cell r="C4816" t="str">
            <v>mar_srvfc</v>
          </cell>
          <cell r="D4816">
            <v>81.276870727539063</v>
          </cell>
        </row>
        <row r="4817">
          <cell r="A4817" t="str">
            <v>MDV</v>
          </cell>
          <cell r="B4817">
            <v>2010</v>
          </cell>
          <cell r="C4817" t="str">
            <v>mar_taxfc</v>
          </cell>
          <cell r="D4817">
            <v>14.393362998962402</v>
          </cell>
        </row>
        <row r="4818">
          <cell r="A4818" t="str">
            <v>MDV</v>
          </cell>
          <cell r="B4818">
            <v>2011</v>
          </cell>
          <cell r="C4818" t="str">
            <v>madebt_</v>
          </cell>
          <cell r="D4818">
            <v>51.863433837890625</v>
          </cell>
        </row>
        <row r="4819">
          <cell r="A4819" t="str">
            <v>MDV</v>
          </cell>
          <cell r="B4819">
            <v>2015</v>
          </cell>
          <cell r="C4819" t="str">
            <v>mac_labz</v>
          </cell>
          <cell r="D4819">
            <v>3.6171391010284424</v>
          </cell>
        </row>
        <row r="4820">
          <cell r="A4820" t="str">
            <v>MDV</v>
          </cell>
          <cell r="B4820">
            <v>2008</v>
          </cell>
          <cell r="C4820" t="str">
            <v>mac_tfpz</v>
          </cell>
          <cell r="D4820">
            <v>0.16086553037166595</v>
          </cell>
        </row>
        <row r="4821">
          <cell r="A4821" t="str">
            <v>MDV</v>
          </cell>
          <cell r="B4821">
            <v>2021</v>
          </cell>
          <cell r="C4821" t="str">
            <v>matfpz</v>
          </cell>
          <cell r="D4821">
            <v>0.23646415770053864</v>
          </cell>
        </row>
        <row r="4822">
          <cell r="A4822" t="str">
            <v>MDV</v>
          </cell>
          <cell r="B4822">
            <v>2009</v>
          </cell>
          <cell r="C4822" t="str">
            <v>maimpz</v>
          </cell>
          <cell r="D4822">
            <v>-7.2288365364074707</v>
          </cell>
        </row>
        <row r="4823">
          <cell r="A4823" t="str">
            <v>MDV</v>
          </cell>
          <cell r="B4823">
            <v>2008</v>
          </cell>
          <cell r="C4823" t="str">
            <v>mataxfc</v>
          </cell>
          <cell r="D4823">
            <v>10.286230087280273</v>
          </cell>
        </row>
        <row r="4824">
          <cell r="A4824" t="str">
            <v>MDV</v>
          </cell>
          <cell r="B4824">
            <v>2011</v>
          </cell>
          <cell r="C4824" t="str">
            <v>mar_con</v>
          </cell>
          <cell r="D4824">
            <v>34.451374053955078</v>
          </cell>
        </row>
        <row r="4825">
          <cell r="A4825" t="str">
            <v>MDV</v>
          </cell>
          <cell r="B4825">
            <v>2023</v>
          </cell>
          <cell r="C4825" t="str">
            <v>mac_labz</v>
          </cell>
          <cell r="D4825">
            <v>-0.66786956787109375</v>
          </cell>
        </row>
        <row r="4826">
          <cell r="A4826" t="str">
            <v>MDV</v>
          </cell>
          <cell r="B4826">
            <v>2025</v>
          </cell>
          <cell r="C4826" t="str">
            <v>maexpz</v>
          </cell>
          <cell r="D4826">
            <v>5.6114501953125</v>
          </cell>
        </row>
        <row r="4827">
          <cell r="A4827" t="str">
            <v>MDV</v>
          </cell>
          <cell r="B4827">
            <v>2017</v>
          </cell>
          <cell r="C4827" t="str">
            <v>magovz</v>
          </cell>
          <cell r="D4827">
            <v>-10.227967262268066</v>
          </cell>
        </row>
        <row r="4828">
          <cell r="A4828" t="str">
            <v>MDV</v>
          </cell>
          <cell r="B4828">
            <v>2025</v>
          </cell>
          <cell r="C4828" t="str">
            <v>mainvz</v>
          </cell>
          <cell r="D4828">
            <v>22.909473419189453</v>
          </cell>
        </row>
        <row r="4829">
          <cell r="A4829" t="str">
            <v>MDV</v>
          </cell>
          <cell r="B4829">
            <v>2005</v>
          </cell>
          <cell r="C4829" t="str">
            <v>mar_agrfc</v>
          </cell>
          <cell r="D4829">
            <v>15.544610023498535</v>
          </cell>
        </row>
        <row r="4830">
          <cell r="A4830" t="str">
            <v>MDV</v>
          </cell>
          <cell r="B4830">
            <v>2016</v>
          </cell>
          <cell r="C4830" t="str">
            <v>mac_labz</v>
          </cell>
          <cell r="D4830">
            <v>3.3540725708007813</v>
          </cell>
        </row>
        <row r="4831">
          <cell r="A4831" t="str">
            <v>MDV</v>
          </cell>
          <cell r="B4831">
            <v>2017</v>
          </cell>
          <cell r="C4831" t="str">
            <v>macab_</v>
          </cell>
          <cell r="D4831">
            <v>-21.348333358764648</v>
          </cell>
        </row>
        <row r="4832">
          <cell r="A4832" t="str">
            <v>MDV</v>
          </cell>
          <cell r="B4832">
            <v>2005</v>
          </cell>
          <cell r="C4832" t="str">
            <v>mar_taxfc</v>
          </cell>
          <cell r="D4832">
            <v>12.384439468383789</v>
          </cell>
        </row>
        <row r="4833">
          <cell r="A4833" t="str">
            <v>MDV</v>
          </cell>
          <cell r="B4833">
            <v>2019</v>
          </cell>
          <cell r="C4833" t="str">
            <v>mataxfc</v>
          </cell>
          <cell r="D4833">
            <v>5.9608235359191895</v>
          </cell>
        </row>
        <row r="4834">
          <cell r="A4834" t="str">
            <v>MDV</v>
          </cell>
          <cell r="B4834">
            <v>2025</v>
          </cell>
          <cell r="C4834" t="str">
            <v>matfpz</v>
          </cell>
          <cell r="D4834">
            <v>-9.1331727802753448E-2</v>
          </cell>
        </row>
        <row r="4835">
          <cell r="A4835" t="str">
            <v>MDV</v>
          </cell>
          <cell r="B4835">
            <v>2010</v>
          </cell>
          <cell r="C4835" t="str">
            <v>magovz</v>
          </cell>
          <cell r="D4835">
            <v>7.2651124000549316</v>
          </cell>
        </row>
        <row r="4836">
          <cell r="A4836" t="str">
            <v>MDV</v>
          </cell>
          <cell r="B4836">
            <v>2026</v>
          </cell>
          <cell r="C4836" t="str">
            <v>maexpz</v>
          </cell>
          <cell r="D4836">
            <v>5.1683602333068848</v>
          </cell>
        </row>
        <row r="4837">
          <cell r="A4837" t="str">
            <v>MDV</v>
          </cell>
          <cell r="B4837">
            <v>2025</v>
          </cell>
          <cell r="C4837" t="str">
            <v>madebt_</v>
          </cell>
          <cell r="D4837">
            <v>31.407451629638672</v>
          </cell>
        </row>
        <row r="4838">
          <cell r="A4838" t="str">
            <v>MDV</v>
          </cell>
          <cell r="B4838">
            <v>2009</v>
          </cell>
          <cell r="C4838" t="str">
            <v>mareer</v>
          </cell>
          <cell r="D4838">
            <v>83.478683471679688</v>
          </cell>
        </row>
        <row r="4839">
          <cell r="A4839" t="str">
            <v>MDV</v>
          </cell>
          <cell r="B4839">
            <v>2026</v>
          </cell>
          <cell r="C4839" t="str">
            <v>matfpz</v>
          </cell>
          <cell r="D4839">
            <v>-0.14350642263889313</v>
          </cell>
        </row>
        <row r="4840">
          <cell r="A4840" t="str">
            <v>MDV</v>
          </cell>
          <cell r="B4840">
            <v>2016</v>
          </cell>
          <cell r="C4840" t="str">
            <v>mar_srvfc</v>
          </cell>
          <cell r="D4840">
            <v>81.377159118652344</v>
          </cell>
        </row>
        <row r="4841">
          <cell r="A4841" t="str">
            <v>MDV</v>
          </cell>
          <cell r="B4841">
            <v>2025</v>
          </cell>
          <cell r="C4841" t="str">
            <v>madeficit_</v>
          </cell>
          <cell r="D4841">
            <v>-28.274465560913086</v>
          </cell>
        </row>
        <row r="4842">
          <cell r="A4842" t="str">
            <v>MDV</v>
          </cell>
          <cell r="B4842">
            <v>2019</v>
          </cell>
          <cell r="C4842" t="str">
            <v>malabz</v>
          </cell>
          <cell r="D4842">
            <v>3.1792228221893311</v>
          </cell>
        </row>
        <row r="4843">
          <cell r="A4843" t="str">
            <v>MDV</v>
          </cell>
          <cell r="B4843">
            <v>2005</v>
          </cell>
          <cell r="C4843" t="str">
            <v>mar_indfc</v>
          </cell>
          <cell r="D4843">
            <v>12.551385879516602</v>
          </cell>
        </row>
        <row r="4844">
          <cell r="A4844" t="str">
            <v>MDV</v>
          </cell>
          <cell r="B4844">
            <v>2005</v>
          </cell>
          <cell r="C4844" t="str">
            <v>maindfc</v>
          </cell>
          <cell r="D4844">
            <v>15.205915451049805</v>
          </cell>
        </row>
        <row r="4845">
          <cell r="A4845" t="str">
            <v>MDV</v>
          </cell>
          <cell r="B4845">
            <v>2019</v>
          </cell>
          <cell r="C4845" t="str">
            <v>mar_srvfc</v>
          </cell>
          <cell r="D4845">
            <v>81.258621215820313</v>
          </cell>
        </row>
        <row r="4846">
          <cell r="A4846" t="str">
            <v>MDV</v>
          </cell>
          <cell r="B4846">
            <v>2026</v>
          </cell>
          <cell r="C4846" t="str">
            <v>mapanusatls</v>
          </cell>
          <cell r="D4846">
            <v>23.901340484619141</v>
          </cell>
        </row>
        <row r="4847">
          <cell r="A4847" t="str">
            <v>MDV</v>
          </cell>
          <cell r="B4847">
            <v>2020</v>
          </cell>
          <cell r="C4847" t="str">
            <v>magdpz</v>
          </cell>
          <cell r="D4847">
            <v>-32.908828735351563</v>
          </cell>
        </row>
        <row r="4848">
          <cell r="A4848" t="str">
            <v>MDV</v>
          </cell>
          <cell r="B4848">
            <v>2007</v>
          </cell>
          <cell r="C4848" t="str">
            <v>mar_taxfc</v>
          </cell>
          <cell r="D4848">
            <v>14.790545463562012</v>
          </cell>
        </row>
        <row r="4849">
          <cell r="A4849" t="str">
            <v>MDV</v>
          </cell>
          <cell r="B4849">
            <v>2021</v>
          </cell>
          <cell r="C4849" t="str">
            <v>mapanusatls</v>
          </cell>
          <cell r="D4849">
            <v>15.390800476074219</v>
          </cell>
        </row>
        <row r="4850">
          <cell r="A4850" t="str">
            <v>MDV</v>
          </cell>
          <cell r="B4850">
            <v>2024</v>
          </cell>
          <cell r="C4850" t="str">
            <v>mac_tfpz</v>
          </cell>
          <cell r="D4850">
            <v>-2.5755284354090691E-2</v>
          </cell>
        </row>
        <row r="4851">
          <cell r="A4851" t="str">
            <v>MDV</v>
          </cell>
          <cell r="B4851">
            <v>2006</v>
          </cell>
          <cell r="C4851" t="str">
            <v>maindfc</v>
          </cell>
          <cell r="D4851">
            <v>12.531832695007324</v>
          </cell>
        </row>
        <row r="4852">
          <cell r="A4852" t="str">
            <v>MDV</v>
          </cell>
          <cell r="B4852">
            <v>2017</v>
          </cell>
          <cell r="C4852" t="str">
            <v>mar_con</v>
          </cell>
          <cell r="D4852">
            <v>45.286586761474609</v>
          </cell>
        </row>
        <row r="4853">
          <cell r="A4853" t="str">
            <v>MDV</v>
          </cell>
          <cell r="B4853">
            <v>2021</v>
          </cell>
          <cell r="C4853" t="str">
            <v>mar_agrfc</v>
          </cell>
          <cell r="D4853">
            <v>5.7940526008605957</v>
          </cell>
        </row>
        <row r="4854">
          <cell r="A4854" t="str">
            <v>MDV</v>
          </cell>
          <cell r="B4854">
            <v>2024</v>
          </cell>
          <cell r="C4854" t="str">
            <v>mar_expz</v>
          </cell>
          <cell r="D4854">
            <v>0.32779818773269653</v>
          </cell>
        </row>
        <row r="4855">
          <cell r="A4855" t="str">
            <v>MDV</v>
          </cell>
          <cell r="B4855">
            <v>2024</v>
          </cell>
          <cell r="C4855" t="str">
            <v>maagrfc</v>
          </cell>
          <cell r="D4855">
            <v>-1.9042400121688843</v>
          </cell>
        </row>
        <row r="4856">
          <cell r="A4856" t="str">
            <v>MDV</v>
          </cell>
          <cell r="B4856">
            <v>2016</v>
          </cell>
          <cell r="C4856" t="str">
            <v>mar_expz</v>
          </cell>
          <cell r="D4856">
            <v>66.135147094726563</v>
          </cell>
        </row>
        <row r="4857">
          <cell r="A4857" t="str">
            <v>MDV</v>
          </cell>
          <cell r="B4857">
            <v>2010</v>
          </cell>
          <cell r="C4857" t="str">
            <v>maconz</v>
          </cell>
          <cell r="D4857">
            <v>7.2651124000549316</v>
          </cell>
        </row>
        <row r="4858">
          <cell r="A4858" t="str">
            <v>MDV</v>
          </cell>
          <cell r="B4858">
            <v>2007</v>
          </cell>
          <cell r="C4858" t="str">
            <v>maagrfc</v>
          </cell>
          <cell r="D4858">
            <v>-19.136503219604492</v>
          </cell>
        </row>
        <row r="4859">
          <cell r="A4859" t="str">
            <v>MDV</v>
          </cell>
          <cell r="B4859">
            <v>2023</v>
          </cell>
          <cell r="C4859" t="str">
            <v>magovz</v>
          </cell>
          <cell r="D4859">
            <v>7.3167023658752441</v>
          </cell>
        </row>
        <row r="4860">
          <cell r="A4860" t="str">
            <v>MDV</v>
          </cell>
          <cell r="B4860">
            <v>2009</v>
          </cell>
          <cell r="C4860" t="str">
            <v>maagrfc</v>
          </cell>
          <cell r="D4860">
            <v>-2.3423037528991699</v>
          </cell>
        </row>
        <row r="4861">
          <cell r="A4861" t="str">
            <v>MDV</v>
          </cell>
          <cell r="B4861">
            <v>2010</v>
          </cell>
          <cell r="C4861" t="str">
            <v>macab_</v>
          </cell>
          <cell r="D4861">
            <v>-7.5806279182434082</v>
          </cell>
        </row>
        <row r="4862">
          <cell r="A4862" t="str">
            <v>MDV</v>
          </cell>
          <cell r="B4862">
            <v>2012</v>
          </cell>
          <cell r="C4862" t="str">
            <v>matfpz</v>
          </cell>
          <cell r="D4862">
            <v>-6.5828196704387665E-2</v>
          </cell>
        </row>
        <row r="4863">
          <cell r="A4863" t="str">
            <v>MDV</v>
          </cell>
          <cell r="B4863">
            <v>2020</v>
          </cell>
          <cell r="C4863" t="str">
            <v>maagrfc</v>
          </cell>
          <cell r="D4863">
            <v>6.5500802993774414</v>
          </cell>
        </row>
        <row r="4864">
          <cell r="A4864" t="str">
            <v>MDV</v>
          </cell>
          <cell r="B4864">
            <v>2005</v>
          </cell>
          <cell r="C4864" t="str">
            <v>mar_expz</v>
          </cell>
          <cell r="D4864">
            <v>72.467384338378906</v>
          </cell>
        </row>
        <row r="4865">
          <cell r="A4865" t="str">
            <v>MDV</v>
          </cell>
          <cell r="B4865">
            <v>2007</v>
          </cell>
          <cell r="C4865" t="str">
            <v>maimpz</v>
          </cell>
          <cell r="D4865">
            <v>7.7138724327087402</v>
          </cell>
        </row>
        <row r="4866">
          <cell r="A4866" t="str">
            <v>MDV</v>
          </cell>
          <cell r="B4866">
            <v>2026</v>
          </cell>
          <cell r="C4866" t="str">
            <v>macab_</v>
          </cell>
          <cell r="D4866">
            <v>-36038552</v>
          </cell>
        </row>
        <row r="4867">
          <cell r="A4867" t="str">
            <v>MDV</v>
          </cell>
          <cell r="B4867">
            <v>2006</v>
          </cell>
          <cell r="C4867" t="str">
            <v>mataxfc</v>
          </cell>
          <cell r="D4867">
            <v>42.751167297363281</v>
          </cell>
        </row>
        <row r="4868">
          <cell r="A4868" t="str">
            <v>MDV</v>
          </cell>
          <cell r="B4868">
            <v>2013</v>
          </cell>
          <cell r="C4868" t="str">
            <v>macab_</v>
          </cell>
          <cell r="D4868">
            <v>-3.8771591186523438</v>
          </cell>
        </row>
        <row r="4869">
          <cell r="A4869" t="str">
            <v>MDV</v>
          </cell>
          <cell r="B4869">
            <v>2013</v>
          </cell>
          <cell r="C4869" t="str">
            <v>matfpz</v>
          </cell>
          <cell r="D4869">
            <v>4.7704387456178665E-2</v>
          </cell>
        </row>
        <row r="4870">
          <cell r="A4870" t="str">
            <v>MDV</v>
          </cell>
          <cell r="B4870">
            <v>2012</v>
          </cell>
          <cell r="C4870" t="str">
            <v>mataxfc</v>
          </cell>
          <cell r="D4870">
            <v>2.1960558891296387</v>
          </cell>
        </row>
        <row r="4871">
          <cell r="A4871" t="str">
            <v>MDV</v>
          </cell>
          <cell r="B4871">
            <v>2008</v>
          </cell>
          <cell r="C4871" t="str">
            <v>magovz</v>
          </cell>
          <cell r="D4871">
            <v>9.4853229522705078</v>
          </cell>
        </row>
        <row r="4872">
          <cell r="A4872" t="str">
            <v>MDV</v>
          </cell>
          <cell r="B4872">
            <v>2019</v>
          </cell>
          <cell r="C4872" t="str">
            <v>magdpz</v>
          </cell>
          <cell r="D4872">
            <v>7.2983355522155762</v>
          </cell>
        </row>
        <row r="4873">
          <cell r="A4873" t="str">
            <v>MDV</v>
          </cell>
          <cell r="B4873">
            <v>2006</v>
          </cell>
          <cell r="C4873" t="str">
            <v>mapanusatls</v>
          </cell>
          <cell r="D4873">
            <v>12.800000190734863</v>
          </cell>
        </row>
        <row r="4874">
          <cell r="A4874" t="str">
            <v>MDV</v>
          </cell>
          <cell r="B4874">
            <v>2023</v>
          </cell>
          <cell r="C4874" t="str">
            <v>mac_tfpz</v>
          </cell>
          <cell r="D4874">
            <v>5.2747078239917755E-2</v>
          </cell>
        </row>
        <row r="4875">
          <cell r="A4875" t="str">
            <v>MDV</v>
          </cell>
          <cell r="B4875">
            <v>2023</v>
          </cell>
          <cell r="C4875" t="str">
            <v>mar_srvfc</v>
          </cell>
          <cell r="D4875">
            <v>84.434379577636719</v>
          </cell>
        </row>
        <row r="4876">
          <cell r="A4876" t="str">
            <v>MDV</v>
          </cell>
          <cell r="B4876">
            <v>2018</v>
          </cell>
          <cell r="C4876" t="str">
            <v>mar_indfc</v>
          </cell>
          <cell r="D4876">
            <v>14.262027740478516</v>
          </cell>
        </row>
        <row r="4877">
          <cell r="A4877" t="str">
            <v>MDV</v>
          </cell>
          <cell r="B4877">
            <v>2016</v>
          </cell>
          <cell r="C4877" t="str">
            <v>magovz</v>
          </cell>
          <cell r="D4877">
            <v>3.2930350303649902</v>
          </cell>
        </row>
        <row r="4878">
          <cell r="A4878" t="str">
            <v>MDV</v>
          </cell>
          <cell r="B4878">
            <v>2020</v>
          </cell>
          <cell r="C4878" t="str">
            <v>mareer</v>
          </cell>
          <cell r="D4878">
            <v>96.90313720703125</v>
          </cell>
        </row>
        <row r="4879">
          <cell r="A4879" t="str">
            <v>MDV</v>
          </cell>
          <cell r="B4879">
            <v>2008</v>
          </cell>
          <cell r="C4879" t="str">
            <v>mar_taxfc</v>
          </cell>
          <cell r="D4879">
            <v>14.99443531036377</v>
          </cell>
        </row>
        <row r="4880">
          <cell r="A4880" t="str">
            <v>MDV</v>
          </cell>
          <cell r="B4880">
            <v>2025</v>
          </cell>
          <cell r="C4880" t="str">
            <v>mac_tfpz</v>
          </cell>
          <cell r="D4880">
            <v>-9.1331727802753448E-2</v>
          </cell>
        </row>
        <row r="4881">
          <cell r="A4881" t="str">
            <v>MDV</v>
          </cell>
          <cell r="B4881">
            <v>2017</v>
          </cell>
          <cell r="C4881" t="str">
            <v>mac_tfpz</v>
          </cell>
          <cell r="D4881">
            <v>0.42597439885139465</v>
          </cell>
        </row>
        <row r="4882">
          <cell r="A4882" t="str">
            <v>MDV</v>
          </cell>
          <cell r="B4882">
            <v>2007</v>
          </cell>
          <cell r="C4882" t="str">
            <v>maindfc</v>
          </cell>
          <cell r="D4882">
            <v>16.717584609985352</v>
          </cell>
        </row>
        <row r="4883">
          <cell r="A4883" t="str">
            <v>MDV</v>
          </cell>
          <cell r="B4883">
            <v>2008</v>
          </cell>
          <cell r="C4883" t="str">
            <v>magdpz</v>
          </cell>
          <cell r="D4883">
            <v>8.9798173904418945</v>
          </cell>
        </row>
        <row r="4884">
          <cell r="A4884" t="str">
            <v>MDV</v>
          </cell>
          <cell r="B4884">
            <v>2019</v>
          </cell>
          <cell r="C4884" t="str">
            <v>magap_</v>
          </cell>
          <cell r="D4884">
            <v>1.9168297052383423</v>
          </cell>
        </row>
        <row r="4885">
          <cell r="A4885" t="str">
            <v>MDV</v>
          </cell>
          <cell r="B4885">
            <v>2016</v>
          </cell>
          <cell r="C4885" t="str">
            <v>maindfc</v>
          </cell>
          <cell r="D4885">
            <v>9.5232810974121094</v>
          </cell>
        </row>
        <row r="4886">
          <cell r="A4886" t="str">
            <v>MDV</v>
          </cell>
          <cell r="B4886">
            <v>2014</v>
          </cell>
          <cell r="C4886" t="str">
            <v>mar_con</v>
          </cell>
          <cell r="D4886">
            <v>34.454254150390625</v>
          </cell>
        </row>
        <row r="4887">
          <cell r="A4887" t="str">
            <v>MDV</v>
          </cell>
          <cell r="B4887">
            <v>2016</v>
          </cell>
          <cell r="C4887" t="str">
            <v>mafdi_</v>
          </cell>
          <cell r="D4887">
            <v>-10.34238047638525</v>
          </cell>
        </row>
        <row r="4888">
          <cell r="A4888" t="str">
            <v>MDV</v>
          </cell>
          <cell r="B4888">
            <v>2015</v>
          </cell>
          <cell r="C4888" t="str">
            <v>macab_</v>
          </cell>
          <cell r="D4888">
            <v>-7.3262367248535156</v>
          </cell>
        </row>
        <row r="4889">
          <cell r="A4889" t="str">
            <v>MDV</v>
          </cell>
          <cell r="B4889">
            <v>2019</v>
          </cell>
          <cell r="C4889" t="str">
            <v>masrvfc</v>
          </cell>
          <cell r="D4889">
            <v>9.5267610549926758</v>
          </cell>
        </row>
        <row r="4890">
          <cell r="A4890" t="str">
            <v>MDV</v>
          </cell>
          <cell r="B4890">
            <v>2022</v>
          </cell>
          <cell r="C4890" t="str">
            <v>maagrfc</v>
          </cell>
          <cell r="D4890">
            <v>3.1007962226867676</v>
          </cell>
        </row>
        <row r="4891">
          <cell r="A4891" t="str">
            <v>MDV</v>
          </cell>
          <cell r="B4891">
            <v>2025</v>
          </cell>
          <cell r="C4891" t="str">
            <v>magap_</v>
          </cell>
          <cell r="D4891">
            <v>5170.81640625</v>
          </cell>
        </row>
        <row r="4892">
          <cell r="A4892" t="str">
            <v>MDV</v>
          </cell>
          <cell r="B4892">
            <v>2020</v>
          </cell>
          <cell r="C4892" t="str">
            <v>mar_agrfc</v>
          </cell>
          <cell r="D4892">
            <v>7.8068990707397461</v>
          </cell>
        </row>
        <row r="4893">
          <cell r="A4893" t="str">
            <v>MDV</v>
          </cell>
          <cell r="B4893">
            <v>2017</v>
          </cell>
          <cell r="C4893" t="str">
            <v>mar_indfc</v>
          </cell>
          <cell r="D4893">
            <v>13.217360496520996</v>
          </cell>
        </row>
        <row r="4894">
          <cell r="A4894" t="str">
            <v>MDV</v>
          </cell>
          <cell r="B4894">
            <v>2007</v>
          </cell>
          <cell r="C4894" t="str">
            <v>macpiz</v>
          </cell>
          <cell r="D4894">
            <v>6.8051176071166992</v>
          </cell>
        </row>
        <row r="4895">
          <cell r="A4895" t="str">
            <v>MDV</v>
          </cell>
          <cell r="B4895">
            <v>2017</v>
          </cell>
          <cell r="C4895" t="str">
            <v>macpiz</v>
          </cell>
          <cell r="D4895">
            <v>2.8204588890075684</v>
          </cell>
        </row>
        <row r="4896">
          <cell r="A4896" t="str">
            <v>MDV</v>
          </cell>
          <cell r="B4896">
            <v>2016</v>
          </cell>
          <cell r="C4896" t="str">
            <v>mainvz</v>
          </cell>
          <cell r="D4896">
            <v>2.8881068229675293</v>
          </cell>
        </row>
        <row r="4897">
          <cell r="A4897" t="str">
            <v>MDV</v>
          </cell>
          <cell r="B4897">
            <v>2023</v>
          </cell>
          <cell r="C4897" t="str">
            <v>mataxfc</v>
          </cell>
          <cell r="D4897">
            <v>4.3243694305419922</v>
          </cell>
        </row>
        <row r="4898">
          <cell r="A4898" t="str">
            <v>MDV</v>
          </cell>
          <cell r="B4898">
            <v>2017</v>
          </cell>
          <cell r="C4898" t="str">
            <v>mar_taxfc</v>
          </cell>
          <cell r="D4898">
            <v>14.40871524810791</v>
          </cell>
        </row>
        <row r="4899">
          <cell r="A4899" t="str">
            <v>MDV</v>
          </cell>
          <cell r="B4899">
            <v>2025</v>
          </cell>
          <cell r="C4899" t="str">
            <v>maimpz</v>
          </cell>
          <cell r="D4899">
            <v>2.6433401107788086</v>
          </cell>
        </row>
        <row r="4900">
          <cell r="A4900" t="str">
            <v>MDV</v>
          </cell>
          <cell r="B4900">
            <v>2007</v>
          </cell>
          <cell r="C4900" t="str">
            <v>madebt_</v>
          </cell>
          <cell r="D4900">
            <v>35.82366943359375</v>
          </cell>
        </row>
        <row r="4901">
          <cell r="A4901" t="str">
            <v>MDV</v>
          </cell>
          <cell r="B4901">
            <v>2022</v>
          </cell>
          <cell r="C4901" t="str">
            <v>mafdi_</v>
          </cell>
          <cell r="D4901">
            <v>-11.86952996812408</v>
          </cell>
        </row>
        <row r="4902">
          <cell r="A4902" t="str">
            <v>MDV</v>
          </cell>
          <cell r="B4902">
            <v>2014</v>
          </cell>
          <cell r="C4902" t="str">
            <v>magovz</v>
          </cell>
          <cell r="D4902">
            <v>7.329627513885498</v>
          </cell>
        </row>
        <row r="4903">
          <cell r="A4903" t="str">
            <v>MDV</v>
          </cell>
          <cell r="B4903">
            <v>2026</v>
          </cell>
          <cell r="C4903" t="str">
            <v>mafdi_</v>
          </cell>
          <cell r="D4903">
            <v>-71566.636481952461</v>
          </cell>
        </row>
        <row r="4904">
          <cell r="A4904" t="str">
            <v>MDV</v>
          </cell>
          <cell r="B4904">
            <v>2022</v>
          </cell>
          <cell r="C4904" t="str">
            <v>mac_labz</v>
          </cell>
          <cell r="D4904">
            <v>0.12160868942737579</v>
          </cell>
        </row>
        <row r="4905">
          <cell r="A4905" t="str">
            <v>MDV</v>
          </cell>
          <cell r="B4905">
            <v>2007</v>
          </cell>
          <cell r="C4905" t="str">
            <v>mac_labz</v>
          </cell>
          <cell r="D4905">
            <v>4.2443366050720215</v>
          </cell>
        </row>
        <row r="4906">
          <cell r="A4906" t="str">
            <v>MDV</v>
          </cell>
          <cell r="B4906">
            <v>2005</v>
          </cell>
          <cell r="C4906" t="str">
            <v>macab_</v>
          </cell>
          <cell r="D4906">
            <v>-23.466461181640625</v>
          </cell>
        </row>
        <row r="4907">
          <cell r="A4907" t="str">
            <v>MDV</v>
          </cell>
          <cell r="B4907">
            <v>2009</v>
          </cell>
          <cell r="C4907" t="str">
            <v>mar_indfc</v>
          </cell>
          <cell r="D4907">
            <v>10.090676307678223</v>
          </cell>
        </row>
        <row r="4908">
          <cell r="A4908" t="str">
            <v>MDV</v>
          </cell>
          <cell r="B4908">
            <v>2007</v>
          </cell>
          <cell r="C4908" t="str">
            <v>magovz</v>
          </cell>
          <cell r="D4908">
            <v>7.7138724327087402</v>
          </cell>
        </row>
        <row r="4909">
          <cell r="A4909" t="str">
            <v>MDV</v>
          </cell>
          <cell r="B4909">
            <v>2026</v>
          </cell>
          <cell r="C4909" t="str">
            <v>madeficit_</v>
          </cell>
          <cell r="D4909">
            <v>-24.866605758666992</v>
          </cell>
        </row>
        <row r="4910">
          <cell r="A4910" t="str">
            <v>MDV</v>
          </cell>
          <cell r="B4910">
            <v>2016</v>
          </cell>
          <cell r="C4910" t="str">
            <v>mar_con</v>
          </cell>
          <cell r="D4910">
            <v>42.873260498046875</v>
          </cell>
        </row>
        <row r="4911">
          <cell r="A4911" t="str">
            <v>MDV</v>
          </cell>
          <cell r="B4911">
            <v>2009</v>
          </cell>
          <cell r="C4911" t="str">
            <v>macpiz</v>
          </cell>
          <cell r="D4911">
            <v>4.5250272750854492</v>
          </cell>
        </row>
        <row r="4912">
          <cell r="A4912" t="str">
            <v>MDV</v>
          </cell>
          <cell r="B4912">
            <v>2010</v>
          </cell>
          <cell r="C4912" t="str">
            <v>maindfc</v>
          </cell>
          <cell r="D4912">
            <v>7.2715320587158203</v>
          </cell>
        </row>
        <row r="4913">
          <cell r="A4913" t="str">
            <v>MDV</v>
          </cell>
          <cell r="B4913">
            <v>2006</v>
          </cell>
          <cell r="C4913" t="str">
            <v>mar_expz</v>
          </cell>
          <cell r="D4913">
            <v>73.936431884765625</v>
          </cell>
        </row>
        <row r="4914">
          <cell r="A4914" t="str">
            <v>MDV</v>
          </cell>
          <cell r="B4914">
            <v>2021</v>
          </cell>
          <cell r="C4914" t="str">
            <v>malabz</v>
          </cell>
          <cell r="D4914">
            <v>1.2427855730056763</v>
          </cell>
        </row>
        <row r="4915">
          <cell r="A4915" t="str">
            <v>MDV</v>
          </cell>
          <cell r="B4915">
            <v>2026</v>
          </cell>
          <cell r="C4915" t="str">
            <v>mar_taxfc</v>
          </cell>
          <cell r="D4915">
            <v>3.8094505667686462E-2</v>
          </cell>
        </row>
        <row r="4916">
          <cell r="A4916" t="str">
            <v>MDV</v>
          </cell>
          <cell r="B4916">
            <v>2008</v>
          </cell>
          <cell r="C4916" t="str">
            <v>maimpz</v>
          </cell>
          <cell r="D4916">
            <v>9.4853229522705078</v>
          </cell>
        </row>
        <row r="4917">
          <cell r="A4917" t="str">
            <v>MDV</v>
          </cell>
          <cell r="B4917">
            <v>2011</v>
          </cell>
          <cell r="C4917" t="str">
            <v>mac_tfpz</v>
          </cell>
          <cell r="D4917">
            <v>-0.13525150716304779</v>
          </cell>
        </row>
        <row r="4918">
          <cell r="A4918" t="str">
            <v>MDV</v>
          </cell>
          <cell r="B4918">
            <v>2009</v>
          </cell>
          <cell r="C4918" t="str">
            <v>masrvfc</v>
          </cell>
          <cell r="D4918">
            <v>-3.8797743320465088</v>
          </cell>
        </row>
        <row r="4919">
          <cell r="A4919" t="str">
            <v>MDV</v>
          </cell>
          <cell r="B4919">
            <v>2020</v>
          </cell>
          <cell r="C4919" t="str">
            <v>madeficit_</v>
          </cell>
          <cell r="D4919">
            <v>-23.696245193481445</v>
          </cell>
        </row>
        <row r="4920">
          <cell r="A4920" t="str">
            <v>MDV</v>
          </cell>
          <cell r="B4920">
            <v>2025</v>
          </cell>
          <cell r="C4920" t="str">
            <v>mar_taxfc</v>
          </cell>
          <cell r="D4920">
            <v>4.105684906244278E-2</v>
          </cell>
        </row>
        <row r="4921">
          <cell r="A4921" t="str">
            <v>MDV</v>
          </cell>
          <cell r="B4921">
            <v>2020</v>
          </cell>
          <cell r="C4921" t="str">
            <v>maimpz</v>
          </cell>
          <cell r="D4921">
            <v>-38.706600189208984</v>
          </cell>
        </row>
        <row r="4922">
          <cell r="A4922" t="str">
            <v>MDV</v>
          </cell>
          <cell r="B4922">
            <v>2025</v>
          </cell>
          <cell r="C4922" t="str">
            <v>mareer</v>
          </cell>
          <cell r="D4922">
            <v>46.160045623779297</v>
          </cell>
        </row>
        <row r="4923">
          <cell r="A4923" t="str">
            <v>MDV</v>
          </cell>
          <cell r="B4923">
            <v>2026</v>
          </cell>
          <cell r="C4923" t="str">
            <v>mainvz</v>
          </cell>
          <cell r="D4923">
            <v>3.2094197273254395</v>
          </cell>
        </row>
        <row r="4924">
          <cell r="A4924" t="str">
            <v>MDV</v>
          </cell>
          <cell r="B4924">
            <v>2017</v>
          </cell>
          <cell r="C4924" t="str">
            <v>magdpz</v>
          </cell>
          <cell r="D4924">
            <v>7.0545392036437988</v>
          </cell>
        </row>
        <row r="4925">
          <cell r="A4925" t="str">
            <v>MDV</v>
          </cell>
          <cell r="B4925">
            <v>2023</v>
          </cell>
          <cell r="C4925" t="str">
            <v>mapanusatls</v>
          </cell>
          <cell r="D4925">
            <v>15.390800476074219</v>
          </cell>
        </row>
        <row r="4926">
          <cell r="A4926" t="str">
            <v>MDV</v>
          </cell>
          <cell r="B4926">
            <v>2026</v>
          </cell>
          <cell r="C4926" t="str">
            <v>mar_impz</v>
          </cell>
          <cell r="D4926">
            <v>0.30359423160552979</v>
          </cell>
        </row>
        <row r="4927">
          <cell r="A4927" t="str">
            <v>MDV</v>
          </cell>
          <cell r="B4927">
            <v>2011</v>
          </cell>
          <cell r="C4927" t="str">
            <v>mar_taxfc</v>
          </cell>
          <cell r="D4927">
            <v>16.342235565185547</v>
          </cell>
        </row>
        <row r="4928">
          <cell r="A4928" t="str">
            <v>MDV</v>
          </cell>
          <cell r="B4928">
            <v>2023</v>
          </cell>
          <cell r="C4928" t="str">
            <v>matfpz</v>
          </cell>
          <cell r="D4928">
            <v>5.2747078239917755E-2</v>
          </cell>
        </row>
        <row r="4929">
          <cell r="A4929" t="str">
            <v>MDV</v>
          </cell>
          <cell r="B4929">
            <v>2018</v>
          </cell>
          <cell r="C4929" t="str">
            <v>maexpz</v>
          </cell>
          <cell r="D4929">
            <v>10.943146705627441</v>
          </cell>
        </row>
        <row r="4930">
          <cell r="A4930" t="str">
            <v>MDV</v>
          </cell>
          <cell r="B4930">
            <v>2017</v>
          </cell>
          <cell r="C4930" t="str">
            <v>magap_</v>
          </cell>
          <cell r="D4930">
            <v>-0.80432116985321045</v>
          </cell>
        </row>
        <row r="4931">
          <cell r="A4931" t="str">
            <v>MDV</v>
          </cell>
          <cell r="B4931">
            <v>2009</v>
          </cell>
          <cell r="C4931" t="str">
            <v>macab_</v>
          </cell>
          <cell r="D4931">
            <v>-9.4145946502685547</v>
          </cell>
        </row>
        <row r="4932">
          <cell r="A4932" t="str">
            <v>MDV</v>
          </cell>
          <cell r="B4932">
            <v>2024</v>
          </cell>
          <cell r="C4932" t="str">
            <v>mar_impz</v>
          </cell>
          <cell r="D4932">
            <v>0.37814640998840332</v>
          </cell>
        </row>
        <row r="4933">
          <cell r="A4933" t="str">
            <v>MDV</v>
          </cell>
          <cell r="B4933">
            <v>2020</v>
          </cell>
          <cell r="C4933" t="str">
            <v>mac_labz</v>
          </cell>
          <cell r="D4933">
            <v>1.3498135805130005</v>
          </cell>
        </row>
        <row r="4934">
          <cell r="A4934" t="str">
            <v>MDV</v>
          </cell>
          <cell r="B4934">
            <v>2022</v>
          </cell>
          <cell r="C4934" t="str">
            <v>masrvfc</v>
          </cell>
          <cell r="D4934">
            <v>14.661331176757813</v>
          </cell>
        </row>
        <row r="4935">
          <cell r="A4935" t="str">
            <v>MDV</v>
          </cell>
          <cell r="B4935">
            <v>2011</v>
          </cell>
          <cell r="C4935" t="str">
            <v>maexpz</v>
          </cell>
          <cell r="D4935">
            <v>8.5667362213134766</v>
          </cell>
        </row>
        <row r="4936">
          <cell r="A4936" t="str">
            <v>MDV</v>
          </cell>
          <cell r="B4936">
            <v>2024</v>
          </cell>
          <cell r="C4936" t="str">
            <v>mar_indfc</v>
          </cell>
          <cell r="D4936">
            <v>3.9690665900707245E-2</v>
          </cell>
        </row>
        <row r="4937">
          <cell r="A4937" t="str">
            <v>MDV</v>
          </cell>
          <cell r="B4937">
            <v>2014</v>
          </cell>
          <cell r="C4937" t="str">
            <v>maconz</v>
          </cell>
          <cell r="D4937">
            <v>7.329627513885498</v>
          </cell>
        </row>
        <row r="4938">
          <cell r="A4938" t="str">
            <v>MDV</v>
          </cell>
          <cell r="B4938">
            <v>2015</v>
          </cell>
          <cell r="C4938" t="str">
            <v>mar_taxfc</v>
          </cell>
          <cell r="D4938">
            <v>14.905557632446289</v>
          </cell>
        </row>
        <row r="4939">
          <cell r="A4939" t="str">
            <v>MDV</v>
          </cell>
          <cell r="B4939">
            <v>2019</v>
          </cell>
          <cell r="C4939" t="str">
            <v>mar_expz</v>
          </cell>
          <cell r="D4939">
            <v>68.061599731445313</v>
          </cell>
        </row>
        <row r="4940">
          <cell r="A4940" t="str">
            <v>MDV</v>
          </cell>
          <cell r="B4940">
            <v>2005</v>
          </cell>
          <cell r="C4940" t="str">
            <v>mar_con</v>
          </cell>
          <cell r="D4940">
            <v>32.961265563964844</v>
          </cell>
        </row>
        <row r="4941">
          <cell r="A4941" t="str">
            <v>MDV</v>
          </cell>
          <cell r="B4941">
            <v>2007</v>
          </cell>
          <cell r="C4941" t="str">
            <v>mainvz</v>
          </cell>
          <cell r="D4941">
            <v>7.7138724327087402</v>
          </cell>
        </row>
        <row r="4942">
          <cell r="A4942" t="str">
            <v>MDV</v>
          </cell>
          <cell r="B4942">
            <v>2005</v>
          </cell>
          <cell r="C4942" t="str">
            <v>maagrfc</v>
          </cell>
          <cell r="D4942">
            <v>12.271816253662109</v>
          </cell>
        </row>
        <row r="4943">
          <cell r="A4943" t="str">
            <v>MDV</v>
          </cell>
          <cell r="B4943">
            <v>2019</v>
          </cell>
          <cell r="C4943" t="str">
            <v>mac_labz</v>
          </cell>
          <cell r="D4943">
            <v>2.2254559993743896</v>
          </cell>
        </row>
        <row r="4944">
          <cell r="A4944" t="str">
            <v>MDV</v>
          </cell>
          <cell r="B4944">
            <v>2006</v>
          </cell>
          <cell r="C4944" t="str">
            <v>matfpz</v>
          </cell>
          <cell r="D4944">
            <v>0.72948986291885376</v>
          </cell>
        </row>
        <row r="4945">
          <cell r="A4945" t="str">
            <v>MDV</v>
          </cell>
          <cell r="B4945">
            <v>2017</v>
          </cell>
          <cell r="C4945" t="str">
            <v>mareer</v>
          </cell>
          <cell r="D4945">
            <v>100.59654235839844</v>
          </cell>
        </row>
        <row r="4946">
          <cell r="A4946" t="str">
            <v>MDV</v>
          </cell>
          <cell r="B4946">
            <v>2010</v>
          </cell>
          <cell r="C4946" t="str">
            <v>mafdi_</v>
          </cell>
        </row>
        <row r="4947">
          <cell r="A4947" t="str">
            <v>MDV</v>
          </cell>
          <cell r="B4947">
            <v>2021</v>
          </cell>
          <cell r="C4947" t="str">
            <v>magap_</v>
          </cell>
          <cell r="D4947">
            <v>-12.730414390563965</v>
          </cell>
        </row>
        <row r="4948">
          <cell r="A4948" t="str">
            <v>MDV</v>
          </cell>
          <cell r="B4948">
            <v>2007</v>
          </cell>
          <cell r="C4948" t="str">
            <v>mapanusatls</v>
          </cell>
          <cell r="D4948">
            <v>12.800000190734863</v>
          </cell>
        </row>
        <row r="4949">
          <cell r="A4949" t="str">
            <v>MDV</v>
          </cell>
          <cell r="B4949">
            <v>2021</v>
          </cell>
          <cell r="C4949" t="str">
            <v>mar_con</v>
          </cell>
          <cell r="D4949">
            <v>40.391384124755859</v>
          </cell>
        </row>
        <row r="4950">
          <cell r="A4950" t="str">
            <v>MDV</v>
          </cell>
          <cell r="B4950">
            <v>2013</v>
          </cell>
          <cell r="C4950" t="str">
            <v>mar_srvfc</v>
          </cell>
          <cell r="D4950">
            <v>82.805633544921875</v>
          </cell>
        </row>
        <row r="4951">
          <cell r="A4951" t="str">
            <v>MDV</v>
          </cell>
          <cell r="B4951">
            <v>2018</v>
          </cell>
          <cell r="C4951" t="str">
            <v>mar_srvfc</v>
          </cell>
          <cell r="D4951">
            <v>79.746490478515625</v>
          </cell>
        </row>
        <row r="4952">
          <cell r="A4952" t="str">
            <v>MDV</v>
          </cell>
          <cell r="B4952">
            <v>2019</v>
          </cell>
          <cell r="C4952" t="str">
            <v>maindfc</v>
          </cell>
          <cell r="D4952">
            <v>2.6285643577575684</v>
          </cell>
        </row>
        <row r="4953">
          <cell r="A4953" t="str">
            <v>MDV</v>
          </cell>
          <cell r="B4953">
            <v>2006</v>
          </cell>
          <cell r="C4953" t="str">
            <v>mac_labz</v>
          </cell>
          <cell r="D4953">
            <v>3.3611774444580078</v>
          </cell>
        </row>
        <row r="4954">
          <cell r="A4954" t="str">
            <v>MDV</v>
          </cell>
          <cell r="B4954">
            <v>2020</v>
          </cell>
          <cell r="C4954" t="str">
            <v>mar_taxfc</v>
          </cell>
          <cell r="D4954">
            <v>9.3842477798461914</v>
          </cell>
        </row>
        <row r="4955">
          <cell r="A4955" t="str">
            <v>MDV</v>
          </cell>
          <cell r="B4955">
            <v>2024</v>
          </cell>
          <cell r="C4955" t="str">
            <v>mar_taxfc</v>
          </cell>
          <cell r="D4955">
            <v>4.5120351016521454E-2</v>
          </cell>
        </row>
        <row r="4956">
          <cell r="A4956" t="str">
            <v>MDV</v>
          </cell>
          <cell r="B4956">
            <v>2007</v>
          </cell>
          <cell r="C4956" t="str">
            <v>mataxfc</v>
          </cell>
          <cell r="D4956">
            <v>8.4554862976074219</v>
          </cell>
        </row>
        <row r="4957">
          <cell r="A4957" t="str">
            <v>MDV</v>
          </cell>
          <cell r="B4957">
            <v>2011</v>
          </cell>
          <cell r="C4957" t="str">
            <v>mar_expz</v>
          </cell>
          <cell r="D4957">
            <v>75.743476867675781</v>
          </cell>
        </row>
        <row r="4958">
          <cell r="A4958" t="str">
            <v>MDV</v>
          </cell>
          <cell r="B4958">
            <v>2026</v>
          </cell>
          <cell r="C4958" t="str">
            <v>mar_srvfc</v>
          </cell>
          <cell r="D4958">
            <v>99.950355529785156</v>
          </cell>
        </row>
        <row r="4959">
          <cell r="A4959" t="str">
            <v>MDV</v>
          </cell>
          <cell r="B4959">
            <v>2020</v>
          </cell>
          <cell r="C4959" t="str">
            <v>mainvz</v>
          </cell>
          <cell r="D4959">
            <v>-34.851299285888672</v>
          </cell>
        </row>
        <row r="4960">
          <cell r="A4960" t="str">
            <v>MDV</v>
          </cell>
          <cell r="B4960">
            <v>2023</v>
          </cell>
          <cell r="C4960" t="str">
            <v>malabz</v>
          </cell>
          <cell r="D4960">
            <v>-0.95409935712814331</v>
          </cell>
        </row>
        <row r="4961">
          <cell r="A4961" t="str">
            <v>MDV</v>
          </cell>
          <cell r="B4961">
            <v>2023</v>
          </cell>
          <cell r="C4961" t="str">
            <v>mainvz</v>
          </cell>
          <cell r="D4961">
            <v>53.501144409179688</v>
          </cell>
        </row>
        <row r="4962">
          <cell r="A4962" t="str">
            <v>MDV</v>
          </cell>
          <cell r="B4962">
            <v>2015</v>
          </cell>
          <cell r="C4962" t="str">
            <v>mac_tfpz</v>
          </cell>
          <cell r="D4962">
            <v>0.27257019281387329</v>
          </cell>
        </row>
        <row r="4963">
          <cell r="A4963" t="str">
            <v>MDV</v>
          </cell>
          <cell r="B4963">
            <v>2025</v>
          </cell>
          <cell r="C4963" t="str">
            <v>mar_impz</v>
          </cell>
          <cell r="D4963">
            <v>0.33585691452026367</v>
          </cell>
        </row>
        <row r="4964">
          <cell r="A4964" t="str">
            <v>MDV</v>
          </cell>
          <cell r="B4964">
            <v>2026</v>
          </cell>
          <cell r="C4964" t="str">
            <v>maindfc</v>
          </cell>
          <cell r="D4964">
            <v>6.6516599655151367</v>
          </cell>
        </row>
        <row r="4965">
          <cell r="A4965" t="str">
            <v>MDV</v>
          </cell>
          <cell r="B4965">
            <v>2020</v>
          </cell>
          <cell r="C4965" t="str">
            <v>maconz</v>
          </cell>
          <cell r="D4965">
            <v>-27.512334823608398</v>
          </cell>
        </row>
        <row r="4966">
          <cell r="A4966" t="str">
            <v>MDV</v>
          </cell>
          <cell r="B4966">
            <v>2024</v>
          </cell>
          <cell r="C4966" t="str">
            <v>mapanusatls</v>
          </cell>
          <cell r="D4966">
            <v>17.759445190429688</v>
          </cell>
        </row>
        <row r="4967">
          <cell r="A4967" t="str">
            <v>MDV</v>
          </cell>
          <cell r="B4967">
            <v>2013</v>
          </cell>
          <cell r="C4967" t="str">
            <v>mar_con</v>
          </cell>
          <cell r="D4967">
            <v>34.605602264404297</v>
          </cell>
        </row>
        <row r="4968">
          <cell r="A4968" t="str">
            <v>MDV</v>
          </cell>
          <cell r="B4968">
            <v>2022</v>
          </cell>
          <cell r="C4968" t="str">
            <v>mareer</v>
          </cell>
          <cell r="D4968">
            <v>95.830642700195313</v>
          </cell>
        </row>
        <row r="4969">
          <cell r="A4969" t="str">
            <v>MDV</v>
          </cell>
          <cell r="B4969">
            <v>2014</v>
          </cell>
          <cell r="C4969" t="str">
            <v>madeficit_</v>
          </cell>
          <cell r="D4969">
            <v>-2.4181795120239258</v>
          </cell>
        </row>
        <row r="4970">
          <cell r="A4970" t="str">
            <v>MDV</v>
          </cell>
          <cell r="B4970">
            <v>2012</v>
          </cell>
          <cell r="C4970" t="str">
            <v>macab_</v>
          </cell>
          <cell r="D4970">
            <v>-6.3922767639160156</v>
          </cell>
        </row>
        <row r="4971">
          <cell r="A4971" t="str">
            <v>MDV</v>
          </cell>
          <cell r="B4971">
            <v>2008</v>
          </cell>
          <cell r="C4971" t="str">
            <v>maconz</v>
          </cell>
          <cell r="D4971">
            <v>9.4853229522705078</v>
          </cell>
        </row>
        <row r="4972">
          <cell r="A4972" t="str">
            <v>MDV</v>
          </cell>
          <cell r="B4972">
            <v>2020</v>
          </cell>
          <cell r="C4972" t="str">
            <v>mapanusatls</v>
          </cell>
          <cell r="D4972">
            <v>15.409999847412109</v>
          </cell>
        </row>
        <row r="4973">
          <cell r="A4973" t="str">
            <v>MDV</v>
          </cell>
          <cell r="B4973">
            <v>2021</v>
          </cell>
          <cell r="C4973" t="str">
            <v>mar_indfc</v>
          </cell>
          <cell r="D4973">
            <v>9.155482292175293</v>
          </cell>
        </row>
        <row r="4974">
          <cell r="A4974" t="str">
            <v>MDV</v>
          </cell>
          <cell r="B4974">
            <v>2020</v>
          </cell>
          <cell r="C4974" t="str">
            <v>madebt_</v>
          </cell>
          <cell r="D4974">
            <v>151.55020141601563</v>
          </cell>
        </row>
        <row r="4975">
          <cell r="A4975" t="str">
            <v>MDV</v>
          </cell>
          <cell r="B4975">
            <v>2026</v>
          </cell>
          <cell r="C4975" t="str">
            <v>maagrfc</v>
          </cell>
          <cell r="D4975">
            <v>1.7720999717712402</v>
          </cell>
        </row>
        <row r="4976">
          <cell r="A4976" t="str">
            <v>MDV</v>
          </cell>
          <cell r="B4976">
            <v>2007</v>
          </cell>
          <cell r="C4976" t="str">
            <v>mar_expz</v>
          </cell>
          <cell r="D4976">
            <v>74.343955993652344</v>
          </cell>
        </row>
        <row r="4977">
          <cell r="A4977" t="str">
            <v>MDV</v>
          </cell>
          <cell r="B4977">
            <v>2021</v>
          </cell>
          <cell r="C4977" t="str">
            <v>masrvfc</v>
          </cell>
          <cell r="D4977">
            <v>43.35504150390625</v>
          </cell>
        </row>
        <row r="4978">
          <cell r="A4978" t="str">
            <v>MDV</v>
          </cell>
          <cell r="B4978">
            <v>2006</v>
          </cell>
          <cell r="C4978" t="str">
            <v>mar_impz</v>
          </cell>
          <cell r="D4978">
            <v>79.130020141601563</v>
          </cell>
        </row>
        <row r="4979">
          <cell r="A4979" t="str">
            <v>MDV</v>
          </cell>
          <cell r="B4979">
            <v>2006</v>
          </cell>
          <cell r="C4979" t="str">
            <v>magovz</v>
          </cell>
          <cell r="D4979">
            <v>26.111515045166016</v>
          </cell>
        </row>
        <row r="4980">
          <cell r="A4980" t="str">
            <v>MDV</v>
          </cell>
          <cell r="B4980">
            <v>2019</v>
          </cell>
          <cell r="C4980" t="str">
            <v>madeficit_</v>
          </cell>
          <cell r="D4980">
            <v>-6.5428400039672852</v>
          </cell>
        </row>
        <row r="4981">
          <cell r="A4981" t="str">
            <v>MDV</v>
          </cell>
          <cell r="B4981">
            <v>2025</v>
          </cell>
          <cell r="C4981" t="str">
            <v>mapanusatls</v>
          </cell>
          <cell r="D4981">
            <v>20.565437316894531</v>
          </cell>
        </row>
        <row r="4982">
          <cell r="A4982" t="str">
            <v>MDV</v>
          </cell>
          <cell r="B4982">
            <v>2010</v>
          </cell>
          <cell r="C4982" t="str">
            <v>mar_srvfc</v>
          </cell>
          <cell r="D4982">
            <v>81.640403747558594</v>
          </cell>
        </row>
        <row r="4983">
          <cell r="A4983" t="str">
            <v>MDV</v>
          </cell>
          <cell r="B4983">
            <v>2005</v>
          </cell>
          <cell r="C4983" t="str">
            <v>maexpz</v>
          </cell>
          <cell r="D4983">
            <v>-35.543869018554688</v>
          </cell>
        </row>
        <row r="4984">
          <cell r="A4984" t="str">
            <v>MDV</v>
          </cell>
          <cell r="B4984">
            <v>2018</v>
          </cell>
          <cell r="C4984" t="str">
            <v>mar_agrfc</v>
          </cell>
          <cell r="D4984">
            <v>5.991478443145752</v>
          </cell>
        </row>
        <row r="4985">
          <cell r="A4985" t="str">
            <v>MDV</v>
          </cell>
          <cell r="B4985">
            <v>2012</v>
          </cell>
          <cell r="C4985" t="str">
            <v>mar_agrfc</v>
          </cell>
          <cell r="D4985">
            <v>7.4105358123779297</v>
          </cell>
        </row>
        <row r="4986">
          <cell r="A4986" t="str">
            <v>MDV</v>
          </cell>
          <cell r="B4986">
            <v>2008</v>
          </cell>
          <cell r="C4986" t="str">
            <v>maexpz</v>
          </cell>
          <cell r="D4986">
            <v>9.4853229522705078</v>
          </cell>
        </row>
        <row r="4987">
          <cell r="A4987" t="str">
            <v>MDV</v>
          </cell>
          <cell r="B4987">
            <v>2015</v>
          </cell>
          <cell r="C4987" t="str">
            <v>maimpz</v>
          </cell>
          <cell r="D4987">
            <v>1.0242283344268799</v>
          </cell>
        </row>
        <row r="4988">
          <cell r="A4988" t="str">
            <v>MDV</v>
          </cell>
          <cell r="B4988">
            <v>2008</v>
          </cell>
          <cell r="C4988" t="str">
            <v>masrvfc</v>
          </cell>
          <cell r="D4988">
            <v>10.473663330078125</v>
          </cell>
        </row>
        <row r="4989">
          <cell r="A4989" t="str">
            <v>MDV</v>
          </cell>
          <cell r="B4989">
            <v>2012</v>
          </cell>
          <cell r="C4989" t="str">
            <v>mar_expz</v>
          </cell>
          <cell r="D4989">
            <v>75.857154846191406</v>
          </cell>
        </row>
        <row r="4990">
          <cell r="A4990" t="str">
            <v>MDV</v>
          </cell>
          <cell r="B4990">
            <v>2011</v>
          </cell>
          <cell r="C4990" t="str">
            <v>mapanusatls</v>
          </cell>
          <cell r="D4990">
            <v>14.60200023651123</v>
          </cell>
        </row>
        <row r="4991">
          <cell r="A4991" t="str">
            <v>MDV</v>
          </cell>
          <cell r="B4991">
            <v>2011</v>
          </cell>
          <cell r="C4991" t="str">
            <v>magdpz</v>
          </cell>
          <cell r="D4991">
            <v>8.5726985931396484</v>
          </cell>
        </row>
        <row r="4992">
          <cell r="A4992" t="str">
            <v>MDV</v>
          </cell>
          <cell r="B4992">
            <v>2017</v>
          </cell>
          <cell r="C4992" t="str">
            <v>maindfc</v>
          </cell>
          <cell r="D4992">
            <v>13.272430419921875</v>
          </cell>
        </row>
        <row r="4993">
          <cell r="A4993" t="str">
            <v>MDV</v>
          </cell>
          <cell r="B4993">
            <v>2007</v>
          </cell>
          <cell r="C4993" t="str">
            <v>mareer</v>
          </cell>
          <cell r="D4993">
            <v>72.142219543457031</v>
          </cell>
        </row>
        <row r="4994">
          <cell r="A4994" t="str">
            <v>MDV</v>
          </cell>
          <cell r="B4994">
            <v>2009</v>
          </cell>
          <cell r="C4994" t="str">
            <v>magdpz</v>
          </cell>
          <cell r="D4994">
            <v>-8.1577634811401367</v>
          </cell>
        </row>
        <row r="4995">
          <cell r="A4995" t="str">
            <v>MDV</v>
          </cell>
          <cell r="B4995">
            <v>2020</v>
          </cell>
          <cell r="C4995" t="str">
            <v>mar_con</v>
          </cell>
          <cell r="D4995">
            <v>48.979534149169922</v>
          </cell>
        </row>
        <row r="4996">
          <cell r="A4996" t="str">
            <v>MDV</v>
          </cell>
          <cell r="B4996">
            <v>2013</v>
          </cell>
          <cell r="C4996" t="str">
            <v>maimpz</v>
          </cell>
          <cell r="D4996">
            <v>7.2810764312744141</v>
          </cell>
        </row>
        <row r="4997">
          <cell r="A4997" t="str">
            <v>MDV</v>
          </cell>
          <cell r="B4997">
            <v>2014</v>
          </cell>
          <cell r="C4997" t="str">
            <v>mac_tfpz</v>
          </cell>
          <cell r="D4997">
            <v>0.1673530638217926</v>
          </cell>
        </row>
        <row r="4998">
          <cell r="A4998" t="str">
            <v>MDV</v>
          </cell>
          <cell r="B4998">
            <v>2013</v>
          </cell>
          <cell r="C4998" t="str">
            <v>mar_expz</v>
          </cell>
          <cell r="D4998">
            <v>76.082557678222656</v>
          </cell>
        </row>
        <row r="4999">
          <cell r="A4999" t="str">
            <v>MDV</v>
          </cell>
          <cell r="B4999">
            <v>2005</v>
          </cell>
          <cell r="C4999" t="str">
            <v>maimpz</v>
          </cell>
          <cell r="D4999">
            <v>10.170134544372559</v>
          </cell>
        </row>
        <row r="5000">
          <cell r="A5000" t="str">
            <v>MDV</v>
          </cell>
          <cell r="B5000">
            <v>2019</v>
          </cell>
          <cell r="C5000" t="str">
            <v>mac_tfpz</v>
          </cell>
          <cell r="D5000">
            <v>0.40266132354736328</v>
          </cell>
        </row>
        <row r="5001">
          <cell r="A5001" t="str">
            <v>MDV</v>
          </cell>
          <cell r="B5001">
            <v>2026</v>
          </cell>
          <cell r="C5001" t="str">
            <v>mareer</v>
          </cell>
          <cell r="D5001">
            <v>38.650508880615234</v>
          </cell>
        </row>
        <row r="5002">
          <cell r="A5002" t="str">
            <v>MDV</v>
          </cell>
          <cell r="B5002">
            <v>2014</v>
          </cell>
          <cell r="C5002" t="str">
            <v>matfpz</v>
          </cell>
          <cell r="D5002">
            <v>0.1673530638217926</v>
          </cell>
        </row>
        <row r="5003">
          <cell r="A5003" t="str">
            <v>MDV</v>
          </cell>
          <cell r="B5003">
            <v>2015</v>
          </cell>
          <cell r="C5003" t="str">
            <v>mainvz</v>
          </cell>
          <cell r="D5003">
            <v>17.761989593505859</v>
          </cell>
        </row>
        <row r="5004">
          <cell r="A5004" t="str">
            <v>MDV</v>
          </cell>
          <cell r="B5004">
            <v>2022</v>
          </cell>
          <cell r="C5004" t="str">
            <v>maimpz</v>
          </cell>
          <cell r="D5004">
            <v>40.759998321533203</v>
          </cell>
        </row>
        <row r="5005">
          <cell r="A5005" t="str">
            <v>MDV</v>
          </cell>
          <cell r="B5005">
            <v>2008</v>
          </cell>
          <cell r="C5005" t="str">
            <v>madebt_</v>
          </cell>
          <cell r="D5005">
            <v>38.957843780517578</v>
          </cell>
        </row>
        <row r="5006">
          <cell r="A5006" t="str">
            <v>MDV</v>
          </cell>
          <cell r="B5006">
            <v>2015</v>
          </cell>
          <cell r="C5006" t="str">
            <v>malabz</v>
          </cell>
          <cell r="D5006">
            <v>5.1673412322998047</v>
          </cell>
        </row>
        <row r="5007">
          <cell r="A5007" t="str">
            <v>MDV</v>
          </cell>
          <cell r="B5007">
            <v>2021</v>
          </cell>
          <cell r="C5007" t="str">
            <v>macpiz</v>
          </cell>
          <cell r="D5007">
            <v>0.54956448078155518</v>
          </cell>
        </row>
        <row r="5008">
          <cell r="A5008" t="str">
            <v>MDV</v>
          </cell>
          <cell r="B5008">
            <v>2016</v>
          </cell>
          <cell r="C5008" t="str">
            <v>maimpz</v>
          </cell>
          <cell r="D5008">
            <v>9.6676454544067383</v>
          </cell>
        </row>
        <row r="5009">
          <cell r="A5009" t="str">
            <v>MDV</v>
          </cell>
          <cell r="B5009">
            <v>2012</v>
          </cell>
          <cell r="C5009" t="str">
            <v>magap_</v>
          </cell>
          <cell r="D5009">
            <v>-3.7771048545837402</v>
          </cell>
        </row>
        <row r="5010">
          <cell r="A5010" t="str">
            <v>MDV</v>
          </cell>
          <cell r="B5010">
            <v>2006</v>
          </cell>
          <cell r="C5010" t="str">
            <v>mainvz</v>
          </cell>
          <cell r="D5010">
            <v>26.111515045166016</v>
          </cell>
        </row>
        <row r="5011">
          <cell r="A5011" t="str">
            <v>MDV</v>
          </cell>
          <cell r="B5011">
            <v>2024</v>
          </cell>
          <cell r="C5011" t="str">
            <v>madebt_</v>
          </cell>
          <cell r="D5011">
            <v>11.31691837310791</v>
          </cell>
        </row>
        <row r="5012">
          <cell r="A5012" t="str">
            <v>MDV</v>
          </cell>
          <cell r="B5012">
            <v>2015</v>
          </cell>
          <cell r="C5012" t="str">
            <v>maindfc</v>
          </cell>
          <cell r="D5012">
            <v>20.695184707641602</v>
          </cell>
        </row>
        <row r="5013">
          <cell r="A5013" t="str">
            <v>MDV</v>
          </cell>
          <cell r="B5013">
            <v>2017</v>
          </cell>
          <cell r="C5013" t="str">
            <v>mapanusatls</v>
          </cell>
          <cell r="D5013">
            <v>15.409999847412109</v>
          </cell>
        </row>
        <row r="5014">
          <cell r="A5014" t="str">
            <v>MDV</v>
          </cell>
          <cell r="B5014">
            <v>2018</v>
          </cell>
          <cell r="C5014" t="str">
            <v>mar_expz</v>
          </cell>
          <cell r="D5014">
            <v>68.451499938964844</v>
          </cell>
        </row>
        <row r="5015">
          <cell r="A5015" t="str">
            <v>MDV</v>
          </cell>
          <cell r="B5015">
            <v>2019</v>
          </cell>
          <cell r="C5015" t="str">
            <v>macpiz</v>
          </cell>
          <cell r="D5015">
            <v>0.21523009240627289</v>
          </cell>
        </row>
        <row r="5016">
          <cell r="A5016" t="str">
            <v>MDV</v>
          </cell>
          <cell r="B5016">
            <v>2014</v>
          </cell>
          <cell r="C5016" t="str">
            <v>maagrfc</v>
          </cell>
          <cell r="D5016">
            <v>-0.35352241992950439</v>
          </cell>
        </row>
        <row r="5017">
          <cell r="A5017" t="str">
            <v>MDV</v>
          </cell>
          <cell r="B5017">
            <v>2010</v>
          </cell>
          <cell r="C5017" t="str">
            <v>mar_con</v>
          </cell>
          <cell r="D5017">
            <v>34.453266143798828</v>
          </cell>
        </row>
        <row r="5018">
          <cell r="A5018" t="str">
            <v>MDV</v>
          </cell>
          <cell r="B5018">
            <v>2010</v>
          </cell>
          <cell r="C5018" t="str">
            <v>mataxfc</v>
          </cell>
          <cell r="D5018">
            <v>15.438533782958984</v>
          </cell>
        </row>
        <row r="5019">
          <cell r="A5019" t="str">
            <v>MDV</v>
          </cell>
          <cell r="B5019">
            <v>2007</v>
          </cell>
          <cell r="C5019" t="str">
            <v>magap_</v>
          </cell>
          <cell r="D5019">
            <v>7.1309537887573242</v>
          </cell>
        </row>
        <row r="5020">
          <cell r="A5020" t="str">
            <v>MDV</v>
          </cell>
          <cell r="B5020">
            <v>2023</v>
          </cell>
          <cell r="C5020" t="str">
            <v>mareer</v>
          </cell>
          <cell r="D5020">
            <v>64.735298156738281</v>
          </cell>
        </row>
        <row r="5021">
          <cell r="A5021" t="str">
            <v>MDV</v>
          </cell>
          <cell r="B5021">
            <v>2012</v>
          </cell>
          <cell r="C5021" t="str">
            <v>macpiz</v>
          </cell>
          <cell r="D5021">
            <v>10.894941329956055</v>
          </cell>
        </row>
        <row r="5022">
          <cell r="A5022" t="str">
            <v>MDV</v>
          </cell>
          <cell r="B5022">
            <v>2011</v>
          </cell>
          <cell r="C5022" t="str">
            <v>mafdi_</v>
          </cell>
          <cell r="D5022">
            <v>-15.26590847076776</v>
          </cell>
        </row>
        <row r="5023">
          <cell r="A5023" t="str">
            <v>MDV</v>
          </cell>
          <cell r="B5023">
            <v>2013</v>
          </cell>
          <cell r="C5023" t="str">
            <v>mareer</v>
          </cell>
          <cell r="D5023">
            <v>85.704147338867188</v>
          </cell>
        </row>
        <row r="5024">
          <cell r="A5024" t="str">
            <v>MDV</v>
          </cell>
          <cell r="B5024">
            <v>2007</v>
          </cell>
          <cell r="C5024" t="str">
            <v>mafdi_</v>
          </cell>
        </row>
        <row r="5025">
          <cell r="A5025" t="str">
            <v>MDV</v>
          </cell>
          <cell r="B5025">
            <v>2008</v>
          </cell>
          <cell r="C5025" t="str">
            <v>magap_</v>
          </cell>
          <cell r="D5025">
            <v>9.4441452026367188</v>
          </cell>
        </row>
        <row r="5026">
          <cell r="A5026" t="str">
            <v>MDV</v>
          </cell>
          <cell r="B5026">
            <v>2022</v>
          </cell>
          <cell r="C5026" t="str">
            <v>madeficit_</v>
          </cell>
          <cell r="D5026">
            <v>-11.960769653320313</v>
          </cell>
        </row>
        <row r="5027">
          <cell r="A5027" t="str">
            <v>MDV</v>
          </cell>
          <cell r="B5027">
            <v>2019</v>
          </cell>
          <cell r="C5027" t="str">
            <v>mapanusatls</v>
          </cell>
          <cell r="D5027">
            <v>15.380000114440918</v>
          </cell>
        </row>
        <row r="5028">
          <cell r="A5028" t="str">
            <v>MDV</v>
          </cell>
          <cell r="B5028">
            <v>2025</v>
          </cell>
          <cell r="C5028" t="str">
            <v>mar_indfc</v>
          </cell>
          <cell r="D5028">
            <v>3.6379054188728333E-2</v>
          </cell>
        </row>
        <row r="5029">
          <cell r="A5029" t="str">
            <v>MDV</v>
          </cell>
          <cell r="B5029">
            <v>2017</v>
          </cell>
          <cell r="C5029" t="str">
            <v>malabz</v>
          </cell>
          <cell r="D5029">
            <v>4.4077019691467285</v>
          </cell>
        </row>
        <row r="5030">
          <cell r="A5030" t="str">
            <v>MDV</v>
          </cell>
          <cell r="B5030">
            <v>2013</v>
          </cell>
          <cell r="C5030" t="str">
            <v>maagrfc</v>
          </cell>
          <cell r="D5030">
            <v>7.0766072273254395</v>
          </cell>
        </row>
        <row r="5031">
          <cell r="A5031" t="str">
            <v>MDV</v>
          </cell>
          <cell r="B5031">
            <v>2023</v>
          </cell>
          <cell r="C5031" t="str">
            <v>mafdi_</v>
          </cell>
          <cell r="D5031">
            <v>-12.10156002935288</v>
          </cell>
        </row>
        <row r="5032">
          <cell r="A5032" t="str">
            <v>MDV</v>
          </cell>
          <cell r="B5032">
            <v>2008</v>
          </cell>
          <cell r="C5032" t="str">
            <v>mainvz</v>
          </cell>
          <cell r="D5032">
            <v>9.4853229522705078</v>
          </cell>
        </row>
        <row r="5033">
          <cell r="A5033" t="str">
            <v>MDV</v>
          </cell>
          <cell r="B5033">
            <v>2018</v>
          </cell>
          <cell r="C5033" t="str">
            <v>malabz</v>
          </cell>
          <cell r="D5033">
            <v>3.9789004325866699</v>
          </cell>
        </row>
        <row r="5034">
          <cell r="A5034" t="str">
            <v>MDV</v>
          </cell>
          <cell r="B5034">
            <v>2005</v>
          </cell>
          <cell r="C5034" t="str">
            <v>mar_impz</v>
          </cell>
          <cell r="D5034">
            <v>77.557777404785156</v>
          </cell>
        </row>
        <row r="5035">
          <cell r="A5035" t="str">
            <v>MDV</v>
          </cell>
          <cell r="B5035">
            <v>2008</v>
          </cell>
          <cell r="C5035" t="str">
            <v>madeficit_</v>
          </cell>
          <cell r="D5035">
            <v>-10.267196655273438</v>
          </cell>
        </row>
        <row r="5036">
          <cell r="A5036" t="str">
            <v>MDV</v>
          </cell>
          <cell r="B5036">
            <v>2013</v>
          </cell>
          <cell r="C5036" t="str">
            <v>mac_labz</v>
          </cell>
          <cell r="D5036">
            <v>2.912283182144165</v>
          </cell>
        </row>
        <row r="5037">
          <cell r="A5037" t="str">
            <v>MDV</v>
          </cell>
          <cell r="B5037">
            <v>2024</v>
          </cell>
          <cell r="C5037" t="str">
            <v>mar_agrfc</v>
          </cell>
          <cell r="D5037">
            <v>1.8810579553246498E-2</v>
          </cell>
        </row>
        <row r="5038">
          <cell r="A5038" t="str">
            <v>MDV</v>
          </cell>
          <cell r="B5038">
            <v>2009</v>
          </cell>
          <cell r="C5038" t="str">
            <v>mar_impz</v>
          </cell>
          <cell r="D5038">
            <v>80.743728637695313</v>
          </cell>
        </row>
        <row r="5039">
          <cell r="A5039" t="str">
            <v>MDV</v>
          </cell>
          <cell r="B5039">
            <v>2018</v>
          </cell>
          <cell r="C5039" t="str">
            <v>mareer</v>
          </cell>
          <cell r="D5039">
            <v>97.071319580078125</v>
          </cell>
        </row>
        <row r="5040">
          <cell r="A5040" t="str">
            <v>MDV</v>
          </cell>
          <cell r="B5040">
            <v>2016</v>
          </cell>
          <cell r="C5040" t="str">
            <v>maconz</v>
          </cell>
          <cell r="D5040">
            <v>12.929277420043945</v>
          </cell>
        </row>
        <row r="5041">
          <cell r="A5041" t="str">
            <v>MDV</v>
          </cell>
          <cell r="B5041">
            <v>2022</v>
          </cell>
          <cell r="C5041" t="str">
            <v>macpiz</v>
          </cell>
          <cell r="D5041">
            <v>2.3306176662445068</v>
          </cell>
        </row>
        <row r="5042">
          <cell r="A5042" t="str">
            <v>MDV</v>
          </cell>
          <cell r="B5042">
            <v>2012</v>
          </cell>
          <cell r="C5042" t="str">
            <v>madeficit_</v>
          </cell>
          <cell r="D5042">
            <v>-6.9051632881164551</v>
          </cell>
        </row>
        <row r="5043">
          <cell r="A5043" t="str">
            <v>MDV</v>
          </cell>
          <cell r="B5043">
            <v>2010</v>
          </cell>
          <cell r="C5043" t="str">
            <v>matfpz</v>
          </cell>
          <cell r="D5043">
            <v>-0.15028645098209381</v>
          </cell>
        </row>
        <row r="5044">
          <cell r="A5044" t="str">
            <v>MDV</v>
          </cell>
          <cell r="B5044">
            <v>2007</v>
          </cell>
          <cell r="C5044" t="str">
            <v>mar_agrfc</v>
          </cell>
          <cell r="D5044">
            <v>9.8647985458374023</v>
          </cell>
        </row>
        <row r="5045">
          <cell r="A5045" t="str">
            <v>MDV</v>
          </cell>
          <cell r="B5045">
            <v>2022</v>
          </cell>
          <cell r="C5045" t="str">
            <v>mar_indfc</v>
          </cell>
          <cell r="D5045">
            <v>9.9714193344116211</v>
          </cell>
        </row>
        <row r="5046">
          <cell r="A5046" t="str">
            <v>MDV</v>
          </cell>
          <cell r="B5046">
            <v>2022</v>
          </cell>
          <cell r="C5046" t="str">
            <v>mac_tfpz</v>
          </cell>
          <cell r="D5046">
            <v>0.1418316662311554</v>
          </cell>
        </row>
        <row r="5047">
          <cell r="A5047" t="str">
            <v>MDV</v>
          </cell>
          <cell r="B5047">
            <v>2017</v>
          </cell>
          <cell r="C5047" t="str">
            <v>maimpz</v>
          </cell>
          <cell r="D5047">
            <v>8.2224674224853516</v>
          </cell>
        </row>
        <row r="5048">
          <cell r="A5048" t="str">
            <v>MDV</v>
          </cell>
          <cell r="B5048">
            <v>2016</v>
          </cell>
          <cell r="C5048" t="str">
            <v>mapanusatls</v>
          </cell>
          <cell r="D5048">
            <v>15.350000381469727</v>
          </cell>
        </row>
        <row r="5049">
          <cell r="A5049" t="str">
            <v>MDV</v>
          </cell>
          <cell r="B5049">
            <v>2024</v>
          </cell>
          <cell r="C5049" t="str">
            <v>madeficit_</v>
          </cell>
          <cell r="D5049">
            <v>-30.949878692626953</v>
          </cell>
        </row>
        <row r="5050">
          <cell r="A5050" t="str">
            <v>MDV</v>
          </cell>
          <cell r="B5050">
            <v>2005</v>
          </cell>
          <cell r="C5050" t="str">
            <v>masrvfc</v>
          </cell>
          <cell r="D5050">
            <v>-15.312660217285156</v>
          </cell>
        </row>
        <row r="5051">
          <cell r="A5051" t="str">
            <v>MDV</v>
          </cell>
          <cell r="B5051">
            <v>2012</v>
          </cell>
          <cell r="C5051" t="str">
            <v>mar_impz</v>
          </cell>
          <cell r="D5051">
            <v>81.185661315917969</v>
          </cell>
        </row>
        <row r="5052">
          <cell r="A5052" t="str">
            <v>MDV</v>
          </cell>
          <cell r="B5052">
            <v>2012</v>
          </cell>
          <cell r="C5052" t="str">
            <v>mapanusatls</v>
          </cell>
          <cell r="D5052">
            <v>15.364800453186035</v>
          </cell>
        </row>
        <row r="5053">
          <cell r="A5053" t="str">
            <v>MDV</v>
          </cell>
          <cell r="B5053">
            <v>2026</v>
          </cell>
          <cell r="C5053" t="str">
            <v>mataxfc</v>
          </cell>
          <cell r="D5053">
            <v>4.0843181610107422</v>
          </cell>
        </row>
        <row r="5054">
          <cell r="A5054" t="str">
            <v>MDV</v>
          </cell>
          <cell r="B5054">
            <v>2022</v>
          </cell>
          <cell r="C5054" t="str">
            <v>mar_taxfc</v>
          </cell>
          <cell r="D5054">
            <v>11.56688117980957</v>
          </cell>
        </row>
        <row r="5055">
          <cell r="A5055" t="str">
            <v>MDV</v>
          </cell>
          <cell r="B5055">
            <v>2025</v>
          </cell>
          <cell r="C5055" t="str">
            <v>maconz</v>
          </cell>
          <cell r="D5055">
            <v>6.4621400833129883</v>
          </cell>
        </row>
        <row r="5056">
          <cell r="A5056" t="str">
            <v>MDV</v>
          </cell>
          <cell r="B5056">
            <v>2023</v>
          </cell>
          <cell r="C5056" t="str">
            <v>mar_con</v>
          </cell>
          <cell r="D5056">
            <v>41.902698516845703</v>
          </cell>
        </row>
        <row r="5057">
          <cell r="A5057" t="str">
            <v>MDV</v>
          </cell>
          <cell r="B5057">
            <v>2026</v>
          </cell>
          <cell r="C5057" t="str">
            <v>mar_agrfc</v>
          </cell>
          <cell r="D5057">
            <v>1.5056641772389412E-2</v>
          </cell>
        </row>
        <row r="5058">
          <cell r="A5058" t="str">
            <v>MDV</v>
          </cell>
          <cell r="B5058">
            <v>2023</v>
          </cell>
          <cell r="C5058" t="str">
            <v>maimpz</v>
          </cell>
          <cell r="D5058">
            <v>7.6068301200866699</v>
          </cell>
        </row>
        <row r="5059">
          <cell r="A5059" t="str">
            <v>MDV</v>
          </cell>
          <cell r="B5059">
            <v>2013</v>
          </cell>
          <cell r="C5059" t="str">
            <v>maindfc</v>
          </cell>
          <cell r="D5059">
            <v>-7.0578227043151855</v>
          </cell>
        </row>
        <row r="5060">
          <cell r="A5060" t="str">
            <v>MDV</v>
          </cell>
          <cell r="B5060">
            <v>2013</v>
          </cell>
          <cell r="C5060" t="str">
            <v>mataxfc</v>
          </cell>
          <cell r="D5060">
            <v>8.0113716125488281</v>
          </cell>
        </row>
        <row r="5061">
          <cell r="A5061" t="str">
            <v>MDV</v>
          </cell>
          <cell r="B5061">
            <v>2005</v>
          </cell>
          <cell r="C5061" t="str">
            <v>mataxfc</v>
          </cell>
          <cell r="D5061">
            <v>-26.920656204223633</v>
          </cell>
        </row>
        <row r="5062">
          <cell r="A5062" t="str">
            <v>MDV</v>
          </cell>
          <cell r="B5062">
            <v>2011</v>
          </cell>
          <cell r="C5062" t="str">
            <v>mar_agrfc</v>
          </cell>
          <cell r="D5062">
            <v>7.6016263961791992</v>
          </cell>
        </row>
        <row r="5063">
          <cell r="A5063" t="str">
            <v>MDV</v>
          </cell>
          <cell r="B5063">
            <v>2006</v>
          </cell>
          <cell r="C5063" t="str">
            <v>madeficit_</v>
          </cell>
          <cell r="D5063">
            <v>-4.7677464485168457</v>
          </cell>
        </row>
        <row r="5064">
          <cell r="A5064" t="str">
            <v>MDV</v>
          </cell>
          <cell r="B5064">
            <v>2008</v>
          </cell>
          <cell r="C5064" t="str">
            <v>mafdi_</v>
          </cell>
        </row>
        <row r="5065">
          <cell r="A5065" t="str">
            <v>MDV</v>
          </cell>
          <cell r="B5065">
            <v>2014</v>
          </cell>
          <cell r="C5065" t="str">
            <v>mareer</v>
          </cell>
          <cell r="D5065">
            <v>89.082069396972656</v>
          </cell>
        </row>
        <row r="5066">
          <cell r="A5066" t="str">
            <v>MDV</v>
          </cell>
          <cell r="B5066">
            <v>2009</v>
          </cell>
          <cell r="C5066" t="str">
            <v>mataxfc</v>
          </cell>
          <cell r="D5066">
            <v>-17.980846405029297</v>
          </cell>
        </row>
        <row r="5067">
          <cell r="A5067" t="str">
            <v>MDV</v>
          </cell>
          <cell r="B5067">
            <v>2018</v>
          </cell>
          <cell r="C5067" t="str">
            <v>mar_taxfc</v>
          </cell>
          <cell r="D5067">
            <v>14.224617004394531</v>
          </cell>
        </row>
        <row r="5068">
          <cell r="A5068" t="str">
            <v>MDV</v>
          </cell>
          <cell r="B5068">
            <v>2011</v>
          </cell>
          <cell r="C5068" t="str">
            <v>magovz</v>
          </cell>
          <cell r="D5068">
            <v>8.5667362213134766</v>
          </cell>
        </row>
        <row r="5069">
          <cell r="A5069" t="str">
            <v>MDV</v>
          </cell>
          <cell r="B5069">
            <v>2015</v>
          </cell>
          <cell r="C5069" t="str">
            <v>madebt_</v>
          </cell>
          <cell r="D5069">
            <v>54.758708953857422</v>
          </cell>
        </row>
        <row r="5070">
          <cell r="A5070" t="str">
            <v>MDV</v>
          </cell>
          <cell r="B5070">
            <v>2012</v>
          </cell>
          <cell r="C5070" t="str">
            <v>magovz</v>
          </cell>
          <cell r="D5070">
            <v>2.5173847675323486</v>
          </cell>
        </row>
        <row r="5071">
          <cell r="A5071" t="str">
            <v>MDV</v>
          </cell>
          <cell r="B5071">
            <v>2017</v>
          </cell>
          <cell r="C5071" t="str">
            <v>masrvfc</v>
          </cell>
          <cell r="D5071">
            <v>5.9019989967346191</v>
          </cell>
        </row>
        <row r="5072">
          <cell r="A5072" t="str">
            <v>MDV</v>
          </cell>
          <cell r="B5072">
            <v>2013</v>
          </cell>
          <cell r="C5072" t="str">
            <v>mainvz</v>
          </cell>
          <cell r="D5072">
            <v>7.2810764312744141</v>
          </cell>
        </row>
        <row r="5073">
          <cell r="A5073" t="str">
            <v>MDV</v>
          </cell>
          <cell r="B5073">
            <v>2018</v>
          </cell>
          <cell r="C5073" t="str">
            <v>maindfc</v>
          </cell>
          <cell r="D5073">
            <v>17.445846557617188</v>
          </cell>
        </row>
        <row r="5074">
          <cell r="A5074" t="str">
            <v>MDV</v>
          </cell>
          <cell r="B5074">
            <v>2019</v>
          </cell>
          <cell r="C5074" t="str">
            <v>mar_con</v>
          </cell>
          <cell r="D5074">
            <v>45.333152770996094</v>
          </cell>
        </row>
        <row r="5075">
          <cell r="A5075" t="str">
            <v>MDV</v>
          </cell>
          <cell r="B5075">
            <v>2015</v>
          </cell>
          <cell r="C5075" t="str">
            <v>mafdi_</v>
          </cell>
          <cell r="D5075">
            <v>-7.236382933250149</v>
          </cell>
        </row>
        <row r="5076">
          <cell r="A5076" t="str">
            <v>MDV</v>
          </cell>
          <cell r="B5076">
            <v>2008</v>
          </cell>
          <cell r="C5076" t="str">
            <v>mar_expz</v>
          </cell>
          <cell r="D5076">
            <v>74.688804626464844</v>
          </cell>
        </row>
        <row r="5077">
          <cell r="A5077" t="str">
            <v>MDV</v>
          </cell>
          <cell r="B5077">
            <v>2022</v>
          </cell>
          <cell r="C5077" t="str">
            <v>magdpz</v>
          </cell>
          <cell r="D5077">
            <v>13.906676292419434</v>
          </cell>
        </row>
        <row r="5078">
          <cell r="A5078" t="str">
            <v>MDV</v>
          </cell>
          <cell r="B5078">
            <v>2012</v>
          </cell>
          <cell r="C5078" t="str">
            <v>maconz</v>
          </cell>
          <cell r="D5078">
            <v>2.5173847675323486</v>
          </cell>
        </row>
        <row r="5079">
          <cell r="A5079" t="str">
            <v>MDV</v>
          </cell>
          <cell r="B5079">
            <v>2019</v>
          </cell>
          <cell r="C5079" t="str">
            <v>madebt_</v>
          </cell>
          <cell r="D5079">
            <v>77.154457092285156</v>
          </cell>
        </row>
        <row r="5080">
          <cell r="A5080" t="str">
            <v>MDV</v>
          </cell>
          <cell r="B5080">
            <v>2024</v>
          </cell>
          <cell r="C5080" t="str">
            <v>mar_con</v>
          </cell>
          <cell r="D5080">
            <v>0.18407653272151947</v>
          </cell>
        </row>
        <row r="5081">
          <cell r="A5081" t="str">
            <v>MDV</v>
          </cell>
          <cell r="B5081">
            <v>2011</v>
          </cell>
          <cell r="C5081" t="str">
            <v>masrvfc</v>
          </cell>
          <cell r="D5081">
            <v>6.2786135673522949</v>
          </cell>
        </row>
        <row r="5082">
          <cell r="A5082" t="str">
            <v>MDV</v>
          </cell>
          <cell r="B5082">
            <v>2011</v>
          </cell>
          <cell r="C5082" t="str">
            <v>mainvz</v>
          </cell>
          <cell r="D5082">
            <v>8.5667362213134766</v>
          </cell>
        </row>
        <row r="5083">
          <cell r="A5083" t="str">
            <v>MDV</v>
          </cell>
          <cell r="B5083">
            <v>2021</v>
          </cell>
          <cell r="C5083" t="str">
            <v>magovz</v>
          </cell>
          <cell r="D5083">
            <v>-0.96127933263778687</v>
          </cell>
        </row>
        <row r="5084">
          <cell r="A5084" t="str">
            <v>MDV</v>
          </cell>
          <cell r="B5084">
            <v>2023</v>
          </cell>
          <cell r="C5084" t="str">
            <v>maagrfc</v>
          </cell>
          <cell r="D5084">
            <v>3.2461099624633789</v>
          </cell>
        </row>
        <row r="5085">
          <cell r="A5085" t="str">
            <v>MDV</v>
          </cell>
          <cell r="B5085">
            <v>2015</v>
          </cell>
          <cell r="C5085" t="str">
            <v>madeficit_</v>
          </cell>
          <cell r="D5085">
            <v>-6.5159206390380859</v>
          </cell>
        </row>
        <row r="5086">
          <cell r="A5086" t="str">
            <v>MDV</v>
          </cell>
          <cell r="B5086">
            <v>2019</v>
          </cell>
          <cell r="C5086" t="str">
            <v>macab_</v>
          </cell>
          <cell r="D5086">
            <v>-26.011484146118164</v>
          </cell>
        </row>
        <row r="5087">
          <cell r="A5087" t="str">
            <v>MDV</v>
          </cell>
          <cell r="B5087">
            <v>2019</v>
          </cell>
          <cell r="C5087" t="str">
            <v>mar_indfc</v>
          </cell>
          <cell r="D5087">
            <v>13.617179870605469</v>
          </cell>
        </row>
        <row r="5088">
          <cell r="A5088" t="str">
            <v>MDV</v>
          </cell>
          <cell r="B5088">
            <v>2013</v>
          </cell>
          <cell r="C5088" t="str">
            <v>madebt_</v>
          </cell>
          <cell r="D5088">
            <v>56.608821868896484</v>
          </cell>
        </row>
        <row r="5089">
          <cell r="A5089" t="str">
            <v>MDV</v>
          </cell>
          <cell r="B5089">
            <v>2015</v>
          </cell>
          <cell r="C5089" t="str">
            <v>matfpz</v>
          </cell>
          <cell r="D5089">
            <v>0.27257019281387329</v>
          </cell>
        </row>
        <row r="5090">
          <cell r="A5090" t="str">
            <v>MDV</v>
          </cell>
          <cell r="B5090">
            <v>2015</v>
          </cell>
          <cell r="C5090" t="str">
            <v>maconz</v>
          </cell>
          <cell r="D5090">
            <v>22.094581604003906</v>
          </cell>
        </row>
        <row r="5091">
          <cell r="A5091" t="str">
            <v>MDV</v>
          </cell>
          <cell r="B5091">
            <v>2012</v>
          </cell>
          <cell r="C5091" t="str">
            <v>maimpz</v>
          </cell>
          <cell r="D5091">
            <v>2.5173847675323486</v>
          </cell>
        </row>
        <row r="5092">
          <cell r="A5092" t="str">
            <v>MDV</v>
          </cell>
          <cell r="B5092">
            <v>2005</v>
          </cell>
          <cell r="C5092" t="str">
            <v>mac_tfpz</v>
          </cell>
          <cell r="D5092">
            <v>0.92890793085098267</v>
          </cell>
        </row>
        <row r="5093">
          <cell r="A5093" t="str">
            <v>MDV</v>
          </cell>
          <cell r="B5093">
            <v>2020</v>
          </cell>
          <cell r="C5093" t="str">
            <v>macab_</v>
          </cell>
          <cell r="D5093">
            <v>-35.821197509765625</v>
          </cell>
        </row>
        <row r="5094">
          <cell r="A5094" t="str">
            <v>MDV</v>
          </cell>
          <cell r="B5094">
            <v>2018</v>
          </cell>
          <cell r="C5094" t="str">
            <v>matfpz</v>
          </cell>
          <cell r="D5094">
            <v>0.44114112854003906</v>
          </cell>
        </row>
        <row r="5095">
          <cell r="A5095" t="str">
            <v>MDV</v>
          </cell>
          <cell r="B5095">
            <v>2012</v>
          </cell>
          <cell r="C5095" t="str">
            <v>masrvfc</v>
          </cell>
          <cell r="D5095">
            <v>2.5088961124420166</v>
          </cell>
        </row>
        <row r="5096">
          <cell r="A5096" t="str">
            <v>MDV</v>
          </cell>
          <cell r="B5096">
            <v>2008</v>
          </cell>
          <cell r="C5096" t="str">
            <v>mar_impz</v>
          </cell>
          <cell r="D5096">
            <v>79.935234069824219</v>
          </cell>
        </row>
        <row r="5097">
          <cell r="A5097" t="str">
            <v>MDV</v>
          </cell>
          <cell r="B5097">
            <v>2026</v>
          </cell>
          <cell r="C5097" t="str">
            <v>malabz</v>
          </cell>
          <cell r="D5097">
            <v>-0.50382000207901001</v>
          </cell>
        </row>
        <row r="5098">
          <cell r="A5098" t="str">
            <v>MDV</v>
          </cell>
          <cell r="B5098">
            <v>2026</v>
          </cell>
          <cell r="C5098" t="str">
            <v>madebt_</v>
          </cell>
          <cell r="D5098">
            <v>41.916305541992188</v>
          </cell>
        </row>
        <row r="5099">
          <cell r="A5099" t="str">
            <v>MDV</v>
          </cell>
          <cell r="B5099">
            <v>2010</v>
          </cell>
          <cell r="C5099" t="str">
            <v>madeficit_</v>
          </cell>
          <cell r="D5099">
            <v>-10.717308044433594</v>
          </cell>
        </row>
        <row r="5100">
          <cell r="A5100" t="str">
            <v>MDV</v>
          </cell>
          <cell r="B5100">
            <v>2015</v>
          </cell>
          <cell r="C5100" t="str">
            <v>magovz</v>
          </cell>
          <cell r="D5100">
            <v>3.7244994640350342</v>
          </cell>
        </row>
        <row r="5101">
          <cell r="A5101" t="str">
            <v>MDV</v>
          </cell>
          <cell r="B5101">
            <v>2015</v>
          </cell>
          <cell r="C5101" t="str">
            <v>magap_</v>
          </cell>
          <cell r="D5101">
            <v>-1.6875269412994385</v>
          </cell>
        </row>
        <row r="5102">
          <cell r="A5102" t="str">
            <v>MDV</v>
          </cell>
          <cell r="B5102">
            <v>2018</v>
          </cell>
          <cell r="C5102" t="str">
            <v>mac_tfpz</v>
          </cell>
          <cell r="D5102">
            <v>0.44114112854003906</v>
          </cell>
        </row>
        <row r="5103">
          <cell r="A5103" t="str">
            <v>MDV</v>
          </cell>
          <cell r="B5103">
            <v>2014</v>
          </cell>
          <cell r="C5103" t="str">
            <v>mar_srvfc</v>
          </cell>
          <cell r="D5103">
            <v>82.475234985351563</v>
          </cell>
        </row>
        <row r="5104">
          <cell r="A5104" t="str">
            <v>MDV</v>
          </cell>
          <cell r="B5104">
            <v>2015</v>
          </cell>
          <cell r="C5104" t="str">
            <v>mar_con</v>
          </cell>
          <cell r="D5104">
            <v>40.459831237792969</v>
          </cell>
        </row>
        <row r="5105">
          <cell r="A5105" t="str">
            <v>MDV</v>
          </cell>
          <cell r="B5105">
            <v>2007</v>
          </cell>
          <cell r="C5105" t="str">
            <v>mar_indfc</v>
          </cell>
          <cell r="D5105">
            <v>12.716863632202148</v>
          </cell>
        </row>
        <row r="5106">
          <cell r="A5106" t="str">
            <v>MDV</v>
          </cell>
          <cell r="B5106">
            <v>2021</v>
          </cell>
          <cell r="C5106" t="str">
            <v>madebt_</v>
          </cell>
          <cell r="D5106">
            <v>117.05635070800781</v>
          </cell>
        </row>
        <row r="5107">
          <cell r="A5107" t="str">
            <v>MDV</v>
          </cell>
          <cell r="B5107">
            <v>2025</v>
          </cell>
          <cell r="C5107" t="str">
            <v>masrvfc</v>
          </cell>
          <cell r="D5107">
            <v>15.578781127929688</v>
          </cell>
        </row>
        <row r="5108">
          <cell r="A5108" t="str">
            <v>MDV</v>
          </cell>
          <cell r="B5108">
            <v>2014</v>
          </cell>
          <cell r="C5108" t="str">
            <v>mar_taxfc</v>
          </cell>
          <cell r="D5108">
            <v>16.46009635925293</v>
          </cell>
        </row>
        <row r="5109">
          <cell r="A5109" t="str">
            <v>MDV</v>
          </cell>
          <cell r="B5109">
            <v>2005</v>
          </cell>
          <cell r="C5109" t="str">
            <v>mareer</v>
          </cell>
          <cell r="D5109">
            <v>67.112136840820313</v>
          </cell>
        </row>
        <row r="5110">
          <cell r="A5110" t="str">
            <v>NPL</v>
          </cell>
          <cell r="B5110">
            <v>2018</v>
          </cell>
          <cell r="C5110" t="str">
            <v>magdpz</v>
          </cell>
          <cell r="D5110">
            <v>7.6223759651184082</v>
          </cell>
        </row>
        <row r="5111">
          <cell r="A5111" t="str">
            <v>NPL</v>
          </cell>
          <cell r="B5111">
            <v>2014</v>
          </cell>
          <cell r="C5111" t="str">
            <v>mar_taxfc</v>
          </cell>
          <cell r="D5111">
            <v>9.035670280456543</v>
          </cell>
        </row>
        <row r="5112">
          <cell r="A5112" t="str">
            <v>NPL</v>
          </cell>
          <cell r="B5112">
            <v>2025</v>
          </cell>
          <cell r="C5112" t="str">
            <v>mafdi_</v>
          </cell>
          <cell r="D5112">
            <v>-0.40564000606536865</v>
          </cell>
        </row>
        <row r="5113">
          <cell r="A5113" t="str">
            <v>NPL</v>
          </cell>
          <cell r="B5113">
            <v>2016</v>
          </cell>
          <cell r="C5113" t="str">
            <v>macab_</v>
          </cell>
          <cell r="D5113">
            <v>5.3837661743164063</v>
          </cell>
        </row>
        <row r="5114">
          <cell r="A5114" t="str">
            <v>NPL</v>
          </cell>
          <cell r="B5114">
            <v>2007</v>
          </cell>
          <cell r="C5114" t="str">
            <v>mar_con</v>
          </cell>
          <cell r="D5114">
            <v>81.749603271484375</v>
          </cell>
        </row>
        <row r="5115">
          <cell r="A5115" t="str">
            <v>NPL</v>
          </cell>
          <cell r="B5115">
            <v>2024</v>
          </cell>
          <cell r="C5115" t="str">
            <v>madeficit_</v>
          </cell>
          <cell r="D5115">
            <v>-5.3867440223693848</v>
          </cell>
        </row>
        <row r="5116">
          <cell r="A5116" t="str">
            <v>NPL</v>
          </cell>
          <cell r="B5116">
            <v>2023</v>
          </cell>
          <cell r="C5116" t="str">
            <v>maexpz</v>
          </cell>
          <cell r="D5116">
            <v>5.5469861030578613</v>
          </cell>
        </row>
        <row r="5117">
          <cell r="A5117" t="str">
            <v>NPL</v>
          </cell>
          <cell r="B5117">
            <v>2025</v>
          </cell>
          <cell r="C5117" t="str">
            <v>mar_srvfc</v>
          </cell>
          <cell r="D5117">
            <v>55.024589538574219</v>
          </cell>
        </row>
        <row r="5118">
          <cell r="A5118" t="str">
            <v>NPL</v>
          </cell>
          <cell r="B5118">
            <v>2005</v>
          </cell>
          <cell r="C5118" t="str">
            <v>matfpz</v>
          </cell>
          <cell r="D5118">
            <v>0.54555755853652954</v>
          </cell>
        </row>
        <row r="5119">
          <cell r="A5119" t="str">
            <v>NPL</v>
          </cell>
          <cell r="B5119">
            <v>2009</v>
          </cell>
          <cell r="C5119" t="str">
            <v>mac_tfpz</v>
          </cell>
          <cell r="D5119">
            <v>0.73302644491195679</v>
          </cell>
        </row>
        <row r="5120">
          <cell r="A5120" t="str">
            <v>NPL</v>
          </cell>
          <cell r="B5120">
            <v>2006</v>
          </cell>
          <cell r="C5120" t="str">
            <v>malabz</v>
          </cell>
          <cell r="D5120">
            <v>1.6410449743270874</v>
          </cell>
        </row>
        <row r="5121">
          <cell r="A5121" t="str">
            <v>NPL</v>
          </cell>
          <cell r="B5121">
            <v>2022</v>
          </cell>
          <cell r="C5121" t="str">
            <v>macab_</v>
          </cell>
          <cell r="D5121">
            <v>-12.635080337524414</v>
          </cell>
        </row>
        <row r="5122">
          <cell r="A5122" t="str">
            <v>NPL</v>
          </cell>
          <cell r="B5122">
            <v>2011</v>
          </cell>
          <cell r="C5122" t="str">
            <v>magovz</v>
          </cell>
          <cell r="D5122">
            <v>-10.131331443786621</v>
          </cell>
        </row>
        <row r="5123">
          <cell r="A5123" t="str">
            <v>NPL</v>
          </cell>
          <cell r="B5123">
            <v>2024</v>
          </cell>
          <cell r="C5123" t="str">
            <v>mafdi_</v>
          </cell>
          <cell r="D5123">
            <v>-0.1670600026845932</v>
          </cell>
        </row>
        <row r="5124">
          <cell r="A5124" t="str">
            <v>NPL</v>
          </cell>
          <cell r="B5124">
            <v>2017</v>
          </cell>
          <cell r="C5124" t="str">
            <v>mar_srvfc</v>
          </cell>
          <cell r="D5124">
            <v>54.020782470703125</v>
          </cell>
        </row>
        <row r="5125">
          <cell r="A5125" t="str">
            <v>NPL</v>
          </cell>
          <cell r="B5125">
            <v>2015</v>
          </cell>
          <cell r="C5125" t="str">
            <v>macab_</v>
          </cell>
          <cell r="D5125">
            <v>4.4693050384521484</v>
          </cell>
        </row>
        <row r="5126">
          <cell r="A5126" t="str">
            <v>NPL</v>
          </cell>
          <cell r="B5126">
            <v>2007</v>
          </cell>
          <cell r="C5126" t="str">
            <v>maimpz</v>
          </cell>
          <cell r="D5126">
            <v>2.9457018375396729</v>
          </cell>
        </row>
        <row r="5127">
          <cell r="A5127" t="str">
            <v>NPL</v>
          </cell>
          <cell r="B5127">
            <v>2014</v>
          </cell>
          <cell r="C5127" t="str">
            <v>magap_</v>
          </cell>
          <cell r="D5127">
            <v>1.9594330787658691</v>
          </cell>
        </row>
        <row r="5128">
          <cell r="A5128" t="str">
            <v>NPL</v>
          </cell>
          <cell r="B5128">
            <v>2014</v>
          </cell>
          <cell r="C5128" t="str">
            <v>madebt_</v>
          </cell>
          <cell r="D5128">
            <v>24.792898178100586</v>
          </cell>
        </row>
        <row r="5129">
          <cell r="A5129" t="str">
            <v>NPL</v>
          </cell>
          <cell r="B5129">
            <v>2011</v>
          </cell>
          <cell r="C5129" t="str">
            <v>mar_taxfc</v>
          </cell>
          <cell r="D5129">
            <v>8.575439453125</v>
          </cell>
        </row>
        <row r="5130">
          <cell r="A5130" t="str">
            <v>NPL</v>
          </cell>
          <cell r="B5130">
            <v>2013</v>
          </cell>
          <cell r="C5130" t="str">
            <v>masrvfc</v>
          </cell>
          <cell r="D5130">
            <v>4.3025393486022949</v>
          </cell>
        </row>
        <row r="5131">
          <cell r="A5131" t="str">
            <v>NPL</v>
          </cell>
          <cell r="B5131">
            <v>2016</v>
          </cell>
          <cell r="C5131" t="str">
            <v>madebt_</v>
          </cell>
          <cell r="D5131">
            <v>24.069969177246094</v>
          </cell>
        </row>
        <row r="5132">
          <cell r="A5132" t="str">
            <v>NPL</v>
          </cell>
          <cell r="B5132">
            <v>2009</v>
          </cell>
          <cell r="C5132" t="str">
            <v>mareer</v>
          </cell>
          <cell r="D5132">
            <v>80.490303039550781</v>
          </cell>
        </row>
        <row r="5133">
          <cell r="A5133" t="str">
            <v>NPL</v>
          </cell>
          <cell r="B5133">
            <v>2019</v>
          </cell>
          <cell r="C5133" t="str">
            <v>madebt_</v>
          </cell>
          <cell r="D5133">
            <v>27.161846160888672</v>
          </cell>
        </row>
        <row r="5134">
          <cell r="A5134" t="str">
            <v>NPL</v>
          </cell>
          <cell r="B5134">
            <v>2020</v>
          </cell>
          <cell r="C5134" t="str">
            <v>macab_</v>
          </cell>
          <cell r="D5134">
            <v>-0.86823248863220215</v>
          </cell>
        </row>
        <row r="5135">
          <cell r="A5135" t="str">
            <v>NPL</v>
          </cell>
          <cell r="B5135">
            <v>2013</v>
          </cell>
          <cell r="C5135" t="str">
            <v>maconz</v>
          </cell>
          <cell r="D5135">
            <v>2.6482248306274414</v>
          </cell>
        </row>
        <row r="5136">
          <cell r="A5136" t="str">
            <v>NPL</v>
          </cell>
          <cell r="B5136">
            <v>2024</v>
          </cell>
          <cell r="C5136" t="str">
            <v>mar_indfc</v>
          </cell>
          <cell r="D5136">
            <v>16.333976745605469</v>
          </cell>
        </row>
        <row r="5137">
          <cell r="A5137" t="str">
            <v>NPL</v>
          </cell>
          <cell r="B5137">
            <v>2022</v>
          </cell>
          <cell r="C5137" t="str">
            <v>mar_taxfc</v>
          </cell>
          <cell r="D5137">
            <v>11.736935615539551</v>
          </cell>
        </row>
        <row r="5138">
          <cell r="A5138" t="str">
            <v>NPL</v>
          </cell>
          <cell r="B5138">
            <v>2016</v>
          </cell>
          <cell r="C5138" t="str">
            <v>magovz</v>
          </cell>
          <cell r="D5138">
            <v>-11.961391448974609</v>
          </cell>
        </row>
        <row r="5139">
          <cell r="A5139" t="str">
            <v>NPL</v>
          </cell>
          <cell r="B5139">
            <v>2012</v>
          </cell>
          <cell r="C5139" t="str">
            <v>macpiz</v>
          </cell>
          <cell r="D5139">
            <v>8.3051376342773438</v>
          </cell>
        </row>
        <row r="5140">
          <cell r="A5140" t="str">
            <v>NPL</v>
          </cell>
          <cell r="B5140">
            <v>2017</v>
          </cell>
          <cell r="C5140" t="str">
            <v>maindfc</v>
          </cell>
          <cell r="D5140">
            <v>17.13740348815918</v>
          </cell>
        </row>
        <row r="5141">
          <cell r="A5141" t="str">
            <v>NPL</v>
          </cell>
          <cell r="B5141">
            <v>2015</v>
          </cell>
          <cell r="C5141" t="str">
            <v>mapanusatls</v>
          </cell>
          <cell r="D5141">
            <v>99.489273071289063</v>
          </cell>
        </row>
        <row r="5142">
          <cell r="A5142" t="str">
            <v>NPL</v>
          </cell>
          <cell r="B5142">
            <v>2018</v>
          </cell>
          <cell r="C5142" t="str">
            <v>mac_tfpz</v>
          </cell>
          <cell r="D5142">
            <v>0.5128512978553772</v>
          </cell>
        </row>
        <row r="5143">
          <cell r="A5143" t="str">
            <v>NPL</v>
          </cell>
          <cell r="B5143">
            <v>2014</v>
          </cell>
          <cell r="C5143" t="str">
            <v>mar_agrfc</v>
          </cell>
          <cell r="D5143">
            <v>32.588172912597656</v>
          </cell>
        </row>
        <row r="5144">
          <cell r="A5144" t="str">
            <v>NPL</v>
          </cell>
          <cell r="B5144">
            <v>2012</v>
          </cell>
          <cell r="C5144" t="str">
            <v>maimpz</v>
          </cell>
          <cell r="D5144">
            <v>3.041987419128418</v>
          </cell>
        </row>
        <row r="5145">
          <cell r="A5145" t="str">
            <v>NPL</v>
          </cell>
          <cell r="B5145">
            <v>2024</v>
          </cell>
          <cell r="C5145" t="str">
            <v>mataxfc</v>
          </cell>
          <cell r="D5145">
            <v>3.2999720573425293</v>
          </cell>
        </row>
        <row r="5146">
          <cell r="A5146" t="str">
            <v>NPL</v>
          </cell>
          <cell r="B5146">
            <v>2006</v>
          </cell>
          <cell r="C5146" t="str">
            <v>mar_con</v>
          </cell>
          <cell r="D5146">
            <v>81.944839477539063</v>
          </cell>
        </row>
        <row r="5147">
          <cell r="A5147" t="str">
            <v>NPL</v>
          </cell>
          <cell r="B5147">
            <v>2018</v>
          </cell>
          <cell r="C5147" t="str">
            <v>magap_</v>
          </cell>
          <cell r="D5147">
            <v>-0.1111956462264061</v>
          </cell>
        </row>
        <row r="5148">
          <cell r="A5148" t="str">
            <v>NPL</v>
          </cell>
          <cell r="B5148">
            <v>2023</v>
          </cell>
          <cell r="C5148" t="str">
            <v>magovz</v>
          </cell>
          <cell r="D5148">
            <v>-35.157371520996094</v>
          </cell>
        </row>
        <row r="5149">
          <cell r="A5149" t="str">
            <v>NPL</v>
          </cell>
          <cell r="B5149">
            <v>2023</v>
          </cell>
          <cell r="C5149" t="str">
            <v>madeficit_</v>
          </cell>
          <cell r="D5149">
            <v>-6.201667308807373</v>
          </cell>
        </row>
        <row r="5150">
          <cell r="A5150" t="str">
            <v>NPL</v>
          </cell>
          <cell r="B5150">
            <v>2012</v>
          </cell>
          <cell r="C5150" t="str">
            <v>mainvz</v>
          </cell>
          <cell r="D5150">
            <v>1.9338427782058716</v>
          </cell>
        </row>
        <row r="5151">
          <cell r="A5151" t="str">
            <v>NPL</v>
          </cell>
          <cell r="B5151">
            <v>2010</v>
          </cell>
          <cell r="C5151" t="str">
            <v>maconz</v>
          </cell>
          <cell r="D5151">
            <v>6.2323780059814453</v>
          </cell>
        </row>
        <row r="5152">
          <cell r="A5152" t="str">
            <v>NPL</v>
          </cell>
          <cell r="B5152">
            <v>2015</v>
          </cell>
          <cell r="C5152" t="str">
            <v>mar_indfc</v>
          </cell>
          <cell r="D5152">
            <v>14.64776611328125</v>
          </cell>
        </row>
        <row r="5153">
          <cell r="A5153" t="str">
            <v>NPL</v>
          </cell>
          <cell r="B5153">
            <v>2007</v>
          </cell>
          <cell r="C5153" t="str">
            <v>mar_indfc</v>
          </cell>
          <cell r="D5153">
            <v>16.861614227294922</v>
          </cell>
        </row>
        <row r="5154">
          <cell r="A5154" t="str">
            <v>NPL</v>
          </cell>
          <cell r="B5154">
            <v>2016</v>
          </cell>
          <cell r="C5154" t="str">
            <v>masrvfc</v>
          </cell>
          <cell r="D5154">
            <v>1.1867355108261108</v>
          </cell>
        </row>
        <row r="5155">
          <cell r="A5155" t="str">
            <v>NPL</v>
          </cell>
          <cell r="B5155">
            <v>2015</v>
          </cell>
          <cell r="C5155" t="str">
            <v>magovz</v>
          </cell>
          <cell r="D5155">
            <v>11.502138137817383</v>
          </cell>
        </row>
        <row r="5156">
          <cell r="A5156" t="str">
            <v>NPL</v>
          </cell>
          <cell r="B5156">
            <v>2022</v>
          </cell>
          <cell r="C5156" t="str">
            <v>magdpz</v>
          </cell>
          <cell r="D5156">
            <v>5.6131930351257324</v>
          </cell>
        </row>
        <row r="5157">
          <cell r="A5157" t="str">
            <v>NPL</v>
          </cell>
          <cell r="B5157">
            <v>2013</v>
          </cell>
          <cell r="C5157" t="str">
            <v>mar_con</v>
          </cell>
          <cell r="D5157">
            <v>82.648231506347656</v>
          </cell>
        </row>
        <row r="5158">
          <cell r="A5158" t="str">
            <v>NPL</v>
          </cell>
          <cell r="B5158">
            <v>2006</v>
          </cell>
          <cell r="C5158" t="str">
            <v>masrvfc</v>
          </cell>
          <cell r="D5158">
            <v>5.790931224822998</v>
          </cell>
        </row>
        <row r="5159">
          <cell r="A5159" t="str">
            <v>NPL</v>
          </cell>
          <cell r="B5159">
            <v>2011</v>
          </cell>
          <cell r="C5159" t="str">
            <v>mac_tfpz</v>
          </cell>
          <cell r="D5159">
            <v>0.63031578063964844</v>
          </cell>
        </row>
        <row r="5160">
          <cell r="A5160" t="str">
            <v>NPL</v>
          </cell>
          <cell r="B5160">
            <v>2007</v>
          </cell>
          <cell r="C5160" t="str">
            <v>magap_</v>
          </cell>
          <cell r="D5160">
            <v>-1.7445236444473267</v>
          </cell>
        </row>
        <row r="5161">
          <cell r="A5161" t="str">
            <v>NPL</v>
          </cell>
          <cell r="B5161">
            <v>2010</v>
          </cell>
          <cell r="C5161" t="str">
            <v>mar_indfc</v>
          </cell>
          <cell r="D5161">
            <v>15.471446990966797</v>
          </cell>
        </row>
        <row r="5162">
          <cell r="A5162" t="str">
            <v>NPL</v>
          </cell>
          <cell r="B5162">
            <v>2009</v>
          </cell>
          <cell r="C5162" t="str">
            <v>masrvfc</v>
          </cell>
          <cell r="D5162">
            <v>6.0019874572753906</v>
          </cell>
        </row>
        <row r="5163">
          <cell r="A5163" t="str">
            <v>NPL</v>
          </cell>
          <cell r="B5163">
            <v>2022</v>
          </cell>
          <cell r="C5163" t="str">
            <v>mar_impz</v>
          </cell>
          <cell r="D5163">
            <v>49.398509979248047</v>
          </cell>
        </row>
        <row r="5164">
          <cell r="A5164" t="str">
            <v>NPL</v>
          </cell>
          <cell r="B5164">
            <v>2010</v>
          </cell>
          <cell r="C5164" t="str">
            <v>mafdi_</v>
          </cell>
          <cell r="D5164">
            <v>-0.20915775001049042</v>
          </cell>
        </row>
        <row r="5165">
          <cell r="A5165" t="str">
            <v>NPL</v>
          </cell>
          <cell r="B5165">
            <v>2020</v>
          </cell>
          <cell r="C5165" t="str">
            <v>mar_agrfc</v>
          </cell>
          <cell r="D5165">
            <v>30.572580337524414</v>
          </cell>
        </row>
        <row r="5166">
          <cell r="A5166" t="str">
            <v>NPL</v>
          </cell>
          <cell r="B5166">
            <v>2026</v>
          </cell>
          <cell r="C5166" t="str">
            <v>maexpz</v>
          </cell>
          <cell r="D5166">
            <v>14.699999809265137</v>
          </cell>
        </row>
        <row r="5167">
          <cell r="A5167" t="str">
            <v>NPL</v>
          </cell>
          <cell r="B5167">
            <v>2024</v>
          </cell>
          <cell r="C5167" t="str">
            <v>mar_agrfc</v>
          </cell>
          <cell r="D5167">
            <v>29.081317901611328</v>
          </cell>
        </row>
        <row r="5168">
          <cell r="A5168" t="str">
            <v>NPL</v>
          </cell>
          <cell r="B5168">
            <v>2019</v>
          </cell>
          <cell r="C5168" t="str">
            <v>mataxfc</v>
          </cell>
          <cell r="D5168">
            <v>9.2044353485107422</v>
          </cell>
        </row>
        <row r="5169">
          <cell r="A5169" t="str">
            <v>NPL</v>
          </cell>
          <cell r="B5169">
            <v>2013</v>
          </cell>
          <cell r="C5169" t="str">
            <v>maindfc</v>
          </cell>
          <cell r="D5169">
            <v>2.7806253433227539</v>
          </cell>
        </row>
        <row r="5170">
          <cell r="A5170" t="str">
            <v>NPL</v>
          </cell>
          <cell r="B5170">
            <v>2012</v>
          </cell>
          <cell r="C5170" t="str">
            <v>madebt_</v>
          </cell>
          <cell r="D5170">
            <v>29.755071640014648</v>
          </cell>
        </row>
        <row r="5171">
          <cell r="A5171" t="str">
            <v>NPL</v>
          </cell>
          <cell r="B5171">
            <v>2005</v>
          </cell>
          <cell r="C5171" t="str">
            <v>masrvfc</v>
          </cell>
          <cell r="D5171">
            <v>3.3290791511535645</v>
          </cell>
        </row>
        <row r="5172">
          <cell r="A5172" t="str">
            <v>NPL</v>
          </cell>
          <cell r="B5172">
            <v>2026</v>
          </cell>
          <cell r="C5172" t="str">
            <v>mac_tfpz</v>
          </cell>
          <cell r="D5172">
            <v>0.53300601243972778</v>
          </cell>
        </row>
        <row r="5173">
          <cell r="A5173" t="str">
            <v>NPL</v>
          </cell>
          <cell r="B5173">
            <v>2005</v>
          </cell>
          <cell r="C5173" t="str">
            <v>magap_</v>
          </cell>
          <cell r="D5173">
            <v>-0.98109763860702515</v>
          </cell>
        </row>
        <row r="5174">
          <cell r="A5174" t="str">
            <v>NPL</v>
          </cell>
          <cell r="B5174">
            <v>2019</v>
          </cell>
          <cell r="C5174" t="str">
            <v>mar_taxfc</v>
          </cell>
          <cell r="D5174">
            <v>10.927021980285645</v>
          </cell>
        </row>
        <row r="5175">
          <cell r="A5175" t="str">
            <v>NPL</v>
          </cell>
          <cell r="B5175">
            <v>2013</v>
          </cell>
          <cell r="C5175" t="str">
            <v>mar_taxfc</v>
          </cell>
          <cell r="D5175">
            <v>8.7589187622070313</v>
          </cell>
        </row>
        <row r="5176">
          <cell r="A5176" t="str">
            <v>NPL</v>
          </cell>
          <cell r="B5176">
            <v>2019</v>
          </cell>
          <cell r="C5176" t="str">
            <v>maindfc</v>
          </cell>
          <cell r="D5176">
            <v>7.3792996406555176</v>
          </cell>
        </row>
        <row r="5177">
          <cell r="A5177" t="str">
            <v>NPL</v>
          </cell>
          <cell r="B5177">
            <v>2019</v>
          </cell>
          <cell r="C5177" t="str">
            <v>maagrfc</v>
          </cell>
          <cell r="D5177">
            <v>5.1569280624389648</v>
          </cell>
        </row>
        <row r="5178">
          <cell r="A5178" t="str">
            <v>NPL</v>
          </cell>
          <cell r="B5178">
            <v>2010</v>
          </cell>
          <cell r="C5178" t="str">
            <v>macab_</v>
          </cell>
          <cell r="D5178">
            <v>-2.0633573532104492</v>
          </cell>
        </row>
        <row r="5179">
          <cell r="A5179" t="str">
            <v>NPL</v>
          </cell>
          <cell r="B5179">
            <v>2013</v>
          </cell>
          <cell r="C5179" t="str">
            <v>madeficit_</v>
          </cell>
          <cell r="D5179">
            <v>1.5963852405548096</v>
          </cell>
        </row>
        <row r="5180">
          <cell r="A5180" t="str">
            <v>NPL</v>
          </cell>
          <cell r="B5180">
            <v>2026</v>
          </cell>
          <cell r="C5180" t="str">
            <v>maindfc</v>
          </cell>
          <cell r="D5180">
            <v>8.6000003814697266</v>
          </cell>
        </row>
        <row r="5181">
          <cell r="A5181" t="str">
            <v>NPL</v>
          </cell>
          <cell r="B5181">
            <v>2007</v>
          </cell>
          <cell r="C5181" t="str">
            <v>maagrfc</v>
          </cell>
          <cell r="D5181">
            <v>0.97314351797103882</v>
          </cell>
        </row>
        <row r="5182">
          <cell r="A5182" t="str">
            <v>NPL</v>
          </cell>
          <cell r="B5182">
            <v>2022</v>
          </cell>
          <cell r="C5182" t="str">
            <v>mac_tfpz</v>
          </cell>
          <cell r="D5182">
            <v>-1.1993358135223389</v>
          </cell>
        </row>
        <row r="5183">
          <cell r="A5183" t="str">
            <v>NPL</v>
          </cell>
          <cell r="B5183">
            <v>2016</v>
          </cell>
          <cell r="C5183" t="str">
            <v>mar_impz</v>
          </cell>
          <cell r="D5183">
            <v>38.206615447998047</v>
          </cell>
        </row>
        <row r="5184">
          <cell r="A5184" t="str">
            <v>NPL</v>
          </cell>
          <cell r="B5184">
            <v>2020</v>
          </cell>
          <cell r="C5184" t="str">
            <v>masrvfc</v>
          </cell>
          <cell r="D5184">
            <v>-4.5306873321533203</v>
          </cell>
        </row>
        <row r="5185">
          <cell r="A5185" t="str">
            <v>NPL</v>
          </cell>
          <cell r="B5185">
            <v>2008</v>
          </cell>
          <cell r="C5185" t="str">
            <v>mapanusatls</v>
          </cell>
          <cell r="D5185">
            <v>65.016860961914063</v>
          </cell>
        </row>
        <row r="5186">
          <cell r="A5186" t="str">
            <v>NPL</v>
          </cell>
          <cell r="B5186">
            <v>2012</v>
          </cell>
          <cell r="C5186" t="str">
            <v>maagrfc</v>
          </cell>
          <cell r="D5186">
            <v>5.2898659706115723</v>
          </cell>
        </row>
        <row r="5187">
          <cell r="A5187" t="str">
            <v>NPL</v>
          </cell>
          <cell r="B5187">
            <v>2020</v>
          </cell>
          <cell r="C5187" t="str">
            <v>magovz</v>
          </cell>
          <cell r="D5187">
            <v>3.8147420883178711</v>
          </cell>
        </row>
        <row r="5188">
          <cell r="A5188" t="str">
            <v>NPL</v>
          </cell>
          <cell r="B5188">
            <v>2021</v>
          </cell>
          <cell r="C5188" t="str">
            <v>macpiz</v>
          </cell>
          <cell r="D5188">
            <v>3.5970625877380371</v>
          </cell>
        </row>
        <row r="5189">
          <cell r="A5189" t="str">
            <v>NPL</v>
          </cell>
          <cell r="B5189">
            <v>2005</v>
          </cell>
          <cell r="C5189" t="str">
            <v>maconz</v>
          </cell>
          <cell r="D5189">
            <v>4.6931118965148926</v>
          </cell>
        </row>
        <row r="5190">
          <cell r="A5190" t="str">
            <v>NPL</v>
          </cell>
          <cell r="B5190">
            <v>2023</v>
          </cell>
          <cell r="C5190" t="str">
            <v>magdpz</v>
          </cell>
          <cell r="D5190">
            <v>1.858551025390625</v>
          </cell>
        </row>
        <row r="5191">
          <cell r="A5191" t="str">
            <v>NPL</v>
          </cell>
          <cell r="B5191">
            <v>2026</v>
          </cell>
          <cell r="C5191" t="str">
            <v>mataxfc</v>
          </cell>
          <cell r="D5191">
            <v>5.3000001907348633</v>
          </cell>
        </row>
        <row r="5192">
          <cell r="A5192" t="str">
            <v>NPL</v>
          </cell>
          <cell r="B5192">
            <v>2006</v>
          </cell>
          <cell r="C5192" t="str">
            <v>madeficit_</v>
          </cell>
          <cell r="D5192">
            <v>-0.3577343225479126</v>
          </cell>
        </row>
        <row r="5193">
          <cell r="A5193" t="str">
            <v>NPL</v>
          </cell>
          <cell r="B5193">
            <v>2020</v>
          </cell>
          <cell r="C5193" t="str">
            <v>macpiz</v>
          </cell>
          <cell r="D5193">
            <v>6.1495065689086914</v>
          </cell>
        </row>
        <row r="5194">
          <cell r="A5194" t="str">
            <v>NPL</v>
          </cell>
          <cell r="B5194">
            <v>2021</v>
          </cell>
          <cell r="C5194" t="str">
            <v>maimpz</v>
          </cell>
          <cell r="D5194">
            <v>18.814065933227539</v>
          </cell>
        </row>
        <row r="5195">
          <cell r="A5195" t="str">
            <v>NPL</v>
          </cell>
          <cell r="B5195">
            <v>2022</v>
          </cell>
          <cell r="C5195" t="str">
            <v>maimpz</v>
          </cell>
          <cell r="D5195">
            <v>15.085247039794922</v>
          </cell>
        </row>
        <row r="5196">
          <cell r="A5196" t="str">
            <v>NPL</v>
          </cell>
          <cell r="B5196">
            <v>2020</v>
          </cell>
          <cell r="C5196" t="str">
            <v>maimpz</v>
          </cell>
          <cell r="D5196">
            <v>-20.848091125488281</v>
          </cell>
        </row>
        <row r="5197">
          <cell r="A5197" t="str">
            <v>NPL</v>
          </cell>
          <cell r="B5197">
            <v>2026</v>
          </cell>
          <cell r="C5197" t="str">
            <v>matfpz</v>
          </cell>
          <cell r="D5197">
            <v>0.53300601243972778</v>
          </cell>
        </row>
        <row r="5198">
          <cell r="A5198" t="str">
            <v>NPL</v>
          </cell>
          <cell r="B5198">
            <v>2014</v>
          </cell>
          <cell r="C5198" t="str">
            <v>mafdi_</v>
          </cell>
          <cell r="D5198">
            <v>-0.14309357106685638</v>
          </cell>
        </row>
        <row r="5199">
          <cell r="A5199" t="str">
            <v>NPL</v>
          </cell>
          <cell r="B5199">
            <v>2020</v>
          </cell>
          <cell r="C5199" t="str">
            <v>mar_impz</v>
          </cell>
          <cell r="D5199">
            <v>40.000354766845703</v>
          </cell>
        </row>
        <row r="5200">
          <cell r="A5200" t="str">
            <v>NPL</v>
          </cell>
          <cell r="B5200">
            <v>2011</v>
          </cell>
          <cell r="C5200" t="str">
            <v>mac_labz</v>
          </cell>
          <cell r="D5200">
            <v>0.95934545993804932</v>
          </cell>
        </row>
        <row r="5201">
          <cell r="A5201" t="str">
            <v>NPL</v>
          </cell>
          <cell r="B5201">
            <v>2023</v>
          </cell>
          <cell r="C5201" t="str">
            <v>mar_impz</v>
          </cell>
          <cell r="D5201">
            <v>40.165206909179688</v>
          </cell>
        </row>
        <row r="5202">
          <cell r="A5202" t="str">
            <v>NPL</v>
          </cell>
          <cell r="B5202">
            <v>2017</v>
          </cell>
          <cell r="C5202" t="str">
            <v>maconz</v>
          </cell>
          <cell r="D5202">
            <v>0.78737539052963257</v>
          </cell>
        </row>
        <row r="5203">
          <cell r="A5203" t="str">
            <v>NPL</v>
          </cell>
          <cell r="B5203">
            <v>2018</v>
          </cell>
          <cell r="C5203" t="str">
            <v>mar_indfc</v>
          </cell>
          <cell r="D5203">
            <v>15.569350242614746</v>
          </cell>
        </row>
        <row r="5204">
          <cell r="A5204" t="str">
            <v>NPL</v>
          </cell>
          <cell r="B5204">
            <v>2013</v>
          </cell>
          <cell r="C5204" t="str">
            <v>macab_</v>
          </cell>
          <cell r="D5204">
            <v>2.9272503852844238</v>
          </cell>
        </row>
        <row r="5205">
          <cell r="A5205" t="str">
            <v>NPL</v>
          </cell>
          <cell r="B5205">
            <v>2009</v>
          </cell>
          <cell r="C5205" t="str">
            <v>mar_indfc</v>
          </cell>
          <cell r="D5205">
            <v>15.499192237854004</v>
          </cell>
        </row>
        <row r="5206">
          <cell r="A5206" t="str">
            <v>NPL</v>
          </cell>
          <cell r="B5206">
            <v>2012</v>
          </cell>
          <cell r="C5206" t="str">
            <v>mar_taxfc</v>
          </cell>
          <cell r="D5206">
            <v>8.28497314453125</v>
          </cell>
        </row>
        <row r="5207">
          <cell r="A5207" t="str">
            <v>NPL</v>
          </cell>
          <cell r="B5207">
            <v>2012</v>
          </cell>
          <cell r="C5207" t="str">
            <v>mar_expz</v>
          </cell>
          <cell r="D5207">
            <v>8.9638032913208008</v>
          </cell>
        </row>
        <row r="5208">
          <cell r="A5208" t="str">
            <v>NPL</v>
          </cell>
          <cell r="B5208">
            <v>2015</v>
          </cell>
          <cell r="C5208" t="str">
            <v>mafdi_</v>
          </cell>
          <cell r="D5208">
            <v>-0.1808273047208786</v>
          </cell>
        </row>
        <row r="5209">
          <cell r="A5209" t="str">
            <v>NPL</v>
          </cell>
          <cell r="B5209">
            <v>2005</v>
          </cell>
          <cell r="C5209" t="str">
            <v>mar_srvfc</v>
          </cell>
          <cell r="D5209">
            <v>45.8170166015625</v>
          </cell>
        </row>
        <row r="5210">
          <cell r="A5210" t="str">
            <v>NPL</v>
          </cell>
          <cell r="B5210">
            <v>2017</v>
          </cell>
          <cell r="C5210" t="str">
            <v>magovz</v>
          </cell>
          <cell r="D5210">
            <v>21.419658660888672</v>
          </cell>
        </row>
        <row r="5211">
          <cell r="A5211" t="str">
            <v>NPL</v>
          </cell>
          <cell r="B5211">
            <v>2011</v>
          </cell>
          <cell r="C5211" t="str">
            <v>maimpz</v>
          </cell>
          <cell r="D5211">
            <v>-26.603242874145508</v>
          </cell>
        </row>
        <row r="5212">
          <cell r="A5212" t="str">
            <v>NPL</v>
          </cell>
          <cell r="B5212">
            <v>2017</v>
          </cell>
          <cell r="C5212" t="str">
            <v>macab_</v>
          </cell>
          <cell r="D5212">
            <v>-0.32922106981277466</v>
          </cell>
        </row>
        <row r="5213">
          <cell r="A5213" t="str">
            <v>NPL</v>
          </cell>
          <cell r="B5213">
            <v>2014</v>
          </cell>
          <cell r="C5213" t="str">
            <v>maexpz</v>
          </cell>
          <cell r="D5213">
            <v>17.835819244384766</v>
          </cell>
        </row>
        <row r="5214">
          <cell r="A5214" t="str">
            <v>NPL</v>
          </cell>
          <cell r="B5214">
            <v>2018</v>
          </cell>
          <cell r="C5214" t="str">
            <v>mar_taxfc</v>
          </cell>
          <cell r="D5214">
            <v>10.644996643066406</v>
          </cell>
        </row>
        <row r="5215">
          <cell r="A5215" t="str">
            <v>NPL</v>
          </cell>
          <cell r="B5215">
            <v>2019</v>
          </cell>
          <cell r="C5215" t="str">
            <v>maexpz</v>
          </cell>
          <cell r="D5215">
            <v>5.5435070991516113</v>
          </cell>
        </row>
        <row r="5216">
          <cell r="A5216" t="str">
            <v>NPL</v>
          </cell>
          <cell r="B5216">
            <v>2012</v>
          </cell>
          <cell r="C5216" t="str">
            <v>mar_agrfc</v>
          </cell>
          <cell r="D5216">
            <v>33.555213928222656</v>
          </cell>
        </row>
        <row r="5217">
          <cell r="A5217" t="str">
            <v>NPL</v>
          </cell>
          <cell r="B5217">
            <v>2006</v>
          </cell>
          <cell r="C5217" t="str">
            <v>macab_</v>
          </cell>
          <cell r="D5217">
            <v>1.9023305177688599</v>
          </cell>
        </row>
        <row r="5218">
          <cell r="A5218" t="str">
            <v>NPL</v>
          </cell>
          <cell r="B5218">
            <v>2018</v>
          </cell>
          <cell r="C5218" t="str">
            <v>malabz</v>
          </cell>
          <cell r="D5218">
            <v>2.1031179428100586</v>
          </cell>
        </row>
        <row r="5219">
          <cell r="A5219" t="str">
            <v>NPL</v>
          </cell>
          <cell r="B5219">
            <v>2026</v>
          </cell>
          <cell r="C5219" t="str">
            <v>magdpz</v>
          </cell>
          <cell r="D5219">
            <v>5.3000001907348633</v>
          </cell>
        </row>
        <row r="5220">
          <cell r="A5220" t="str">
            <v>NPL</v>
          </cell>
          <cell r="B5220">
            <v>2009</v>
          </cell>
          <cell r="C5220" t="str">
            <v>matfpz</v>
          </cell>
          <cell r="D5220">
            <v>0.73302644491195679</v>
          </cell>
        </row>
        <row r="5221">
          <cell r="A5221" t="str">
            <v>NPL</v>
          </cell>
          <cell r="B5221">
            <v>2012</v>
          </cell>
          <cell r="C5221" t="str">
            <v>mar_srvfc</v>
          </cell>
          <cell r="D5221">
            <v>51.777923583984375</v>
          </cell>
        </row>
        <row r="5222">
          <cell r="A5222" t="str">
            <v>NPL</v>
          </cell>
          <cell r="B5222">
            <v>2009</v>
          </cell>
          <cell r="C5222" t="str">
            <v>mac_labz</v>
          </cell>
          <cell r="D5222">
            <v>1.0824300050735474</v>
          </cell>
        </row>
        <row r="5223">
          <cell r="A5223" t="str">
            <v>NPL</v>
          </cell>
          <cell r="B5223">
            <v>2015</v>
          </cell>
          <cell r="C5223" t="str">
            <v>maexpz</v>
          </cell>
          <cell r="D5223">
            <v>2.3159794807434082</v>
          </cell>
        </row>
        <row r="5224">
          <cell r="A5224" t="str">
            <v>NPL</v>
          </cell>
          <cell r="B5224">
            <v>2006</v>
          </cell>
          <cell r="C5224" t="str">
            <v>maimpz</v>
          </cell>
          <cell r="D5224">
            <v>6.4572901725769043</v>
          </cell>
        </row>
        <row r="5225">
          <cell r="A5225" t="str">
            <v>NPL</v>
          </cell>
          <cell r="B5225">
            <v>2026</v>
          </cell>
          <cell r="C5225" t="str">
            <v>mafdi_</v>
          </cell>
          <cell r="D5225">
            <v>-0.61792999505996704</v>
          </cell>
        </row>
        <row r="5226">
          <cell r="A5226" t="str">
            <v>NPL</v>
          </cell>
          <cell r="B5226">
            <v>2019</v>
          </cell>
          <cell r="C5226" t="str">
            <v>mac_tfpz</v>
          </cell>
          <cell r="D5226">
            <v>0.57112008333206177</v>
          </cell>
        </row>
        <row r="5227">
          <cell r="A5227" t="str">
            <v>NPL</v>
          </cell>
          <cell r="B5227">
            <v>2010</v>
          </cell>
          <cell r="C5227" t="str">
            <v>magdpz</v>
          </cell>
          <cell r="D5227">
            <v>4.816403865814209</v>
          </cell>
        </row>
        <row r="5228">
          <cell r="A5228" t="str">
            <v>NPL</v>
          </cell>
          <cell r="B5228">
            <v>2023</v>
          </cell>
          <cell r="C5228" t="str">
            <v>macpiz</v>
          </cell>
          <cell r="D5228">
            <v>7.7307643890380859</v>
          </cell>
        </row>
        <row r="5229">
          <cell r="A5229" t="str">
            <v>NPL</v>
          </cell>
          <cell r="B5229">
            <v>2010</v>
          </cell>
          <cell r="C5229" t="str">
            <v>madebt_</v>
          </cell>
          <cell r="D5229">
            <v>29.61784553527832</v>
          </cell>
        </row>
        <row r="5230">
          <cell r="A5230" t="str">
            <v>NPL</v>
          </cell>
          <cell r="B5230">
            <v>2025</v>
          </cell>
          <cell r="C5230" t="str">
            <v>mac_labz</v>
          </cell>
          <cell r="D5230">
            <v>1.034642219543457</v>
          </cell>
        </row>
        <row r="5231">
          <cell r="A5231" t="str">
            <v>NPL</v>
          </cell>
          <cell r="B5231">
            <v>2008</v>
          </cell>
          <cell r="C5231" t="str">
            <v>mar_indfc</v>
          </cell>
          <cell r="D5231">
            <v>16.193767547607422</v>
          </cell>
        </row>
        <row r="5232">
          <cell r="A5232" t="str">
            <v>NPL</v>
          </cell>
          <cell r="B5232">
            <v>2025</v>
          </cell>
          <cell r="C5232" t="str">
            <v>mar_expz</v>
          </cell>
          <cell r="D5232">
            <v>8.1309843063354492</v>
          </cell>
        </row>
        <row r="5233">
          <cell r="A5233" t="str">
            <v>NPL</v>
          </cell>
          <cell r="B5233">
            <v>2019</v>
          </cell>
          <cell r="C5233" t="str">
            <v>mar_agrfc</v>
          </cell>
          <cell r="D5233">
            <v>29.123531341552734</v>
          </cell>
        </row>
        <row r="5234">
          <cell r="A5234" t="str">
            <v>NPL</v>
          </cell>
          <cell r="B5234">
            <v>2017</v>
          </cell>
          <cell r="C5234" t="str">
            <v>malabz</v>
          </cell>
          <cell r="D5234">
            <v>2.1653695106506348</v>
          </cell>
        </row>
        <row r="5235">
          <cell r="A5235" t="str">
            <v>NPL</v>
          </cell>
          <cell r="B5235">
            <v>2018</v>
          </cell>
          <cell r="C5235" t="str">
            <v>maimpz</v>
          </cell>
          <cell r="D5235">
            <v>19.038969039916992</v>
          </cell>
        </row>
        <row r="5236">
          <cell r="A5236" t="str">
            <v>NPL</v>
          </cell>
          <cell r="B5236">
            <v>2008</v>
          </cell>
          <cell r="C5236" t="str">
            <v>mac_tfpz</v>
          </cell>
          <cell r="D5236">
            <v>0.73238354921340942</v>
          </cell>
        </row>
        <row r="5237">
          <cell r="A5237" t="str">
            <v>NPL</v>
          </cell>
          <cell r="B5237">
            <v>2022</v>
          </cell>
          <cell r="C5237" t="str">
            <v>magovz</v>
          </cell>
          <cell r="D5237">
            <v>9.6335296630859375</v>
          </cell>
        </row>
        <row r="5238">
          <cell r="A5238" t="str">
            <v>NPL</v>
          </cell>
          <cell r="B5238">
            <v>2016</v>
          </cell>
          <cell r="C5238" t="str">
            <v>matfpz</v>
          </cell>
          <cell r="D5238">
            <v>0.40215650200843811</v>
          </cell>
        </row>
        <row r="5239">
          <cell r="A5239" t="str">
            <v>NPL</v>
          </cell>
          <cell r="B5239">
            <v>2007</v>
          </cell>
          <cell r="C5239" t="str">
            <v>mapanusatls</v>
          </cell>
          <cell r="D5239">
            <v>70.487388610839844</v>
          </cell>
        </row>
        <row r="5240">
          <cell r="A5240" t="str">
            <v>NPL</v>
          </cell>
          <cell r="B5240">
            <v>2015</v>
          </cell>
          <cell r="C5240" t="str">
            <v>masrvfc</v>
          </cell>
          <cell r="D5240">
            <v>5.3727431297302246</v>
          </cell>
        </row>
        <row r="5241">
          <cell r="A5241" t="str">
            <v>NPL</v>
          </cell>
          <cell r="B5241">
            <v>2013</v>
          </cell>
          <cell r="C5241" t="str">
            <v>malabz</v>
          </cell>
          <cell r="D5241">
            <v>0.96721631288528442</v>
          </cell>
        </row>
        <row r="5242">
          <cell r="A5242" t="str">
            <v>NPL</v>
          </cell>
          <cell r="B5242">
            <v>2021</v>
          </cell>
          <cell r="C5242" t="str">
            <v>mainvz</v>
          </cell>
          <cell r="D5242">
            <v>9.7969999313354492</v>
          </cell>
        </row>
        <row r="5243">
          <cell r="A5243" t="str">
            <v>NPL</v>
          </cell>
          <cell r="B5243">
            <v>2011</v>
          </cell>
          <cell r="C5243" t="str">
            <v>mar_indfc</v>
          </cell>
          <cell r="D5243">
            <v>14.542040824890137</v>
          </cell>
        </row>
        <row r="5244">
          <cell r="A5244" t="str">
            <v>NPL</v>
          </cell>
          <cell r="B5244">
            <v>2018</v>
          </cell>
          <cell r="C5244" t="str">
            <v>mafdi_</v>
          </cell>
          <cell r="D5244">
            <v>-0.50650757551193237</v>
          </cell>
        </row>
        <row r="5245">
          <cell r="A5245" t="str">
            <v>NPL</v>
          </cell>
          <cell r="B5245">
            <v>2007</v>
          </cell>
          <cell r="C5245" t="str">
            <v>mar_srvfc</v>
          </cell>
          <cell r="D5245">
            <v>47.236930847167969</v>
          </cell>
        </row>
        <row r="5246">
          <cell r="A5246" t="str">
            <v>NPL</v>
          </cell>
          <cell r="B5246">
            <v>2008</v>
          </cell>
          <cell r="C5246" t="str">
            <v>magovz</v>
          </cell>
          <cell r="D5246">
            <v>3.2709686756134033</v>
          </cell>
        </row>
        <row r="5247">
          <cell r="A5247" t="str">
            <v>NPL</v>
          </cell>
          <cell r="B5247">
            <v>2017</v>
          </cell>
          <cell r="C5247" t="str">
            <v>mar_con</v>
          </cell>
          <cell r="D5247">
            <v>76.01861572265625</v>
          </cell>
        </row>
        <row r="5248">
          <cell r="A5248" t="str">
            <v>NPL</v>
          </cell>
          <cell r="B5248">
            <v>2007</v>
          </cell>
          <cell r="C5248" t="str">
            <v>maexpz</v>
          </cell>
          <cell r="D5248">
            <v>-0.94487142562866211</v>
          </cell>
        </row>
        <row r="5249">
          <cell r="A5249" t="str">
            <v>NPL</v>
          </cell>
          <cell r="B5249">
            <v>2007</v>
          </cell>
          <cell r="C5249" t="str">
            <v>mac_tfpz</v>
          </cell>
          <cell r="D5249">
            <v>0.69056969881057739</v>
          </cell>
        </row>
        <row r="5250">
          <cell r="A5250" t="str">
            <v>NPL</v>
          </cell>
          <cell r="B5250">
            <v>2015</v>
          </cell>
          <cell r="C5250" t="str">
            <v>madeficit_</v>
          </cell>
          <cell r="D5250">
            <v>0.9073062539100647</v>
          </cell>
        </row>
        <row r="5251">
          <cell r="A5251" t="str">
            <v>NPL</v>
          </cell>
          <cell r="B5251">
            <v>2018</v>
          </cell>
          <cell r="C5251" t="str">
            <v>mainvz</v>
          </cell>
          <cell r="D5251">
            <v>11.811357498168945</v>
          </cell>
        </row>
        <row r="5252">
          <cell r="A5252" t="str">
            <v>NPL</v>
          </cell>
          <cell r="B5252">
            <v>2010</v>
          </cell>
          <cell r="C5252" t="str">
            <v>mac_tfpz</v>
          </cell>
          <cell r="D5252">
            <v>0.69581186771392822</v>
          </cell>
        </row>
        <row r="5253">
          <cell r="A5253" t="str">
            <v>NPL</v>
          </cell>
          <cell r="B5253">
            <v>2026</v>
          </cell>
          <cell r="C5253" t="str">
            <v>masrvfc</v>
          </cell>
          <cell r="D5253">
            <v>5.758814811706543</v>
          </cell>
        </row>
        <row r="5254">
          <cell r="A5254" t="str">
            <v>NPL</v>
          </cell>
          <cell r="B5254">
            <v>2018</v>
          </cell>
          <cell r="C5254" t="str">
            <v>matfpz</v>
          </cell>
          <cell r="D5254">
            <v>0.5128512978553772</v>
          </cell>
        </row>
        <row r="5255">
          <cell r="A5255" t="str">
            <v>NPL</v>
          </cell>
          <cell r="B5255">
            <v>2006</v>
          </cell>
          <cell r="C5255" t="str">
            <v>magap_</v>
          </cell>
          <cell r="D5255">
            <v>-1.2162536382675171</v>
          </cell>
        </row>
        <row r="5256">
          <cell r="A5256" t="str">
            <v>NPL</v>
          </cell>
          <cell r="B5256">
            <v>2024</v>
          </cell>
          <cell r="C5256" t="str">
            <v>malabz</v>
          </cell>
          <cell r="D5256">
            <v>1.544471263885498</v>
          </cell>
        </row>
        <row r="5257">
          <cell r="A5257" t="str">
            <v>NPL</v>
          </cell>
          <cell r="B5257">
            <v>2011</v>
          </cell>
          <cell r="C5257" t="str">
            <v>mar_expz</v>
          </cell>
          <cell r="D5257">
            <v>7.8061356544494629</v>
          </cell>
        </row>
        <row r="5258">
          <cell r="A5258" t="str">
            <v>NPL</v>
          </cell>
          <cell r="B5258">
            <v>2009</v>
          </cell>
          <cell r="C5258" t="str">
            <v>mataxfc</v>
          </cell>
          <cell r="D5258">
            <v>13.154538154602051</v>
          </cell>
        </row>
        <row r="5259">
          <cell r="A5259" t="str">
            <v>NPL</v>
          </cell>
          <cell r="B5259">
            <v>2023</v>
          </cell>
          <cell r="C5259" t="str">
            <v>mainvz</v>
          </cell>
          <cell r="D5259">
            <v>-10.855799674987793</v>
          </cell>
        </row>
        <row r="5260">
          <cell r="A5260" t="str">
            <v>NPL</v>
          </cell>
          <cell r="B5260">
            <v>2025</v>
          </cell>
          <cell r="C5260" t="str">
            <v>maindfc</v>
          </cell>
          <cell r="D5260">
            <v>5.6999998092651367</v>
          </cell>
        </row>
        <row r="5261">
          <cell r="A5261" t="str">
            <v>NPL</v>
          </cell>
          <cell r="B5261">
            <v>2012</v>
          </cell>
          <cell r="C5261" t="str">
            <v>mar_indfc</v>
          </cell>
          <cell r="D5261">
            <v>14.666862487792969</v>
          </cell>
        </row>
        <row r="5262">
          <cell r="A5262" t="str">
            <v>NPL</v>
          </cell>
          <cell r="B5262">
            <v>2016</v>
          </cell>
          <cell r="C5262" t="str">
            <v>mar_srvfc</v>
          </cell>
          <cell r="D5262">
            <v>54.125152587890625</v>
          </cell>
        </row>
        <row r="5263">
          <cell r="A5263" t="str">
            <v>NPL</v>
          </cell>
          <cell r="B5263">
            <v>2025</v>
          </cell>
          <cell r="C5263" t="str">
            <v>macpiz</v>
          </cell>
          <cell r="D5263">
            <v>6</v>
          </cell>
        </row>
        <row r="5264">
          <cell r="A5264" t="str">
            <v>NPL</v>
          </cell>
          <cell r="B5264">
            <v>2022</v>
          </cell>
          <cell r="C5264" t="str">
            <v>matfpz</v>
          </cell>
          <cell r="D5264">
            <v>-1.1993358135223389</v>
          </cell>
        </row>
        <row r="5265">
          <cell r="A5265" t="str">
            <v>NPL</v>
          </cell>
          <cell r="B5265">
            <v>2013</v>
          </cell>
          <cell r="C5265" t="str">
            <v>maagrfc</v>
          </cell>
          <cell r="D5265">
            <v>1.3065598011016846</v>
          </cell>
        </row>
        <row r="5266">
          <cell r="A5266" t="str">
            <v>NPL</v>
          </cell>
          <cell r="B5266">
            <v>2016</v>
          </cell>
          <cell r="C5266" t="str">
            <v>mafdi_</v>
          </cell>
          <cell r="D5266">
            <v>-0.22701327502727509</v>
          </cell>
        </row>
        <row r="5267">
          <cell r="A5267" t="str">
            <v>NPL</v>
          </cell>
          <cell r="B5267">
            <v>2026</v>
          </cell>
          <cell r="C5267" t="str">
            <v>mar_taxfc</v>
          </cell>
          <cell r="D5267">
            <v>11.411042213439941</v>
          </cell>
        </row>
        <row r="5268">
          <cell r="A5268" t="str">
            <v>NPL</v>
          </cell>
          <cell r="B5268">
            <v>2021</v>
          </cell>
          <cell r="C5268" t="str">
            <v>mapanusatls</v>
          </cell>
          <cell r="D5268">
            <v>117.86827850341797</v>
          </cell>
        </row>
        <row r="5269">
          <cell r="A5269" t="str">
            <v>NPL</v>
          </cell>
          <cell r="B5269">
            <v>2007</v>
          </cell>
          <cell r="C5269" t="str">
            <v>mareer</v>
          </cell>
          <cell r="D5269">
            <v>71.401039123535156</v>
          </cell>
        </row>
        <row r="5270">
          <cell r="A5270" t="str">
            <v>NPL</v>
          </cell>
          <cell r="B5270">
            <v>2024</v>
          </cell>
          <cell r="C5270" t="str">
            <v>mac_tfpz</v>
          </cell>
          <cell r="D5270">
            <v>0.50951564311981201</v>
          </cell>
        </row>
        <row r="5271">
          <cell r="A5271" t="str">
            <v>NPL</v>
          </cell>
          <cell r="B5271">
            <v>2008</v>
          </cell>
          <cell r="C5271" t="str">
            <v>macpiz</v>
          </cell>
          <cell r="D5271">
            <v>6.7044296264648438</v>
          </cell>
        </row>
        <row r="5272">
          <cell r="A5272" t="str">
            <v>NPL</v>
          </cell>
          <cell r="B5272">
            <v>2006</v>
          </cell>
          <cell r="C5272" t="str">
            <v>mar_expz</v>
          </cell>
          <cell r="D5272">
            <v>15.222599029541016</v>
          </cell>
        </row>
        <row r="5273">
          <cell r="A5273" t="str">
            <v>NPL</v>
          </cell>
          <cell r="B5273">
            <v>2012</v>
          </cell>
          <cell r="C5273" t="str">
            <v>masrvfc</v>
          </cell>
          <cell r="D5273">
            <v>4.4810628890991211</v>
          </cell>
        </row>
        <row r="5274">
          <cell r="A5274" t="str">
            <v>NPL</v>
          </cell>
          <cell r="B5274">
            <v>2016</v>
          </cell>
          <cell r="C5274" t="str">
            <v>mataxfc</v>
          </cell>
          <cell r="D5274">
            <v>4.9540519714355469</v>
          </cell>
        </row>
        <row r="5275">
          <cell r="A5275" t="str">
            <v>NPL</v>
          </cell>
          <cell r="B5275">
            <v>2014</v>
          </cell>
          <cell r="C5275" t="str">
            <v>magovz</v>
          </cell>
          <cell r="D5275">
            <v>11.490702629089355</v>
          </cell>
        </row>
        <row r="5276">
          <cell r="A5276" t="str">
            <v>NPL</v>
          </cell>
          <cell r="B5276">
            <v>2013</v>
          </cell>
          <cell r="C5276" t="str">
            <v>macpiz</v>
          </cell>
          <cell r="D5276">
            <v>9.8728723526000977</v>
          </cell>
        </row>
        <row r="5277">
          <cell r="A5277" t="str">
            <v>NPL</v>
          </cell>
          <cell r="B5277">
            <v>2013</v>
          </cell>
          <cell r="C5277" t="str">
            <v>madebt_</v>
          </cell>
          <cell r="D5277">
            <v>27.982580184936523</v>
          </cell>
        </row>
        <row r="5278">
          <cell r="A5278" t="str">
            <v>NPL</v>
          </cell>
          <cell r="B5278">
            <v>2010</v>
          </cell>
          <cell r="C5278" t="str">
            <v>madeficit_</v>
          </cell>
          <cell r="D5278">
            <v>-0.77579629421234131</v>
          </cell>
        </row>
        <row r="5279">
          <cell r="A5279" t="str">
            <v>NPL</v>
          </cell>
          <cell r="B5279">
            <v>2013</v>
          </cell>
          <cell r="C5279" t="str">
            <v>magap_</v>
          </cell>
          <cell r="D5279">
            <v>0.4313245415687561</v>
          </cell>
        </row>
        <row r="5280">
          <cell r="A5280" t="str">
            <v>NPL</v>
          </cell>
          <cell r="B5280">
            <v>2013</v>
          </cell>
          <cell r="C5280" t="str">
            <v>mapanusatls</v>
          </cell>
          <cell r="D5280">
            <v>87.955818176269531</v>
          </cell>
        </row>
        <row r="5281">
          <cell r="A5281" t="str">
            <v>NPL</v>
          </cell>
          <cell r="B5281">
            <v>2025</v>
          </cell>
          <cell r="C5281" t="str">
            <v>maexpz</v>
          </cell>
          <cell r="D5281">
            <v>12.5</v>
          </cell>
        </row>
        <row r="5282">
          <cell r="A5282" t="str">
            <v>NPL</v>
          </cell>
          <cell r="B5282">
            <v>2013</v>
          </cell>
          <cell r="C5282" t="str">
            <v>mar_indfc</v>
          </cell>
          <cell r="D5282">
            <v>14.625115394592285</v>
          </cell>
        </row>
        <row r="5283">
          <cell r="A5283" t="str">
            <v>NPL</v>
          </cell>
          <cell r="B5283">
            <v>2006</v>
          </cell>
          <cell r="C5283" t="str">
            <v>macpiz</v>
          </cell>
          <cell r="D5283">
            <v>7.9624953269958496</v>
          </cell>
        </row>
        <row r="5284">
          <cell r="A5284" t="str">
            <v>NPL</v>
          </cell>
          <cell r="B5284">
            <v>2017</v>
          </cell>
          <cell r="C5284" t="str">
            <v>maimpz</v>
          </cell>
          <cell r="D5284">
            <v>28.244775772094727</v>
          </cell>
        </row>
        <row r="5285">
          <cell r="A5285" t="str">
            <v>NPL</v>
          </cell>
          <cell r="B5285">
            <v>2021</v>
          </cell>
          <cell r="C5285" t="str">
            <v>matfpz</v>
          </cell>
          <cell r="D5285">
            <v>1.3556143045425415</v>
          </cell>
        </row>
        <row r="5286">
          <cell r="A5286" t="str">
            <v>NPL</v>
          </cell>
          <cell r="B5286">
            <v>2013</v>
          </cell>
          <cell r="C5286" t="str">
            <v>mareer</v>
          </cell>
          <cell r="D5286">
            <v>95.104667663574219</v>
          </cell>
        </row>
        <row r="5287">
          <cell r="A5287" t="str">
            <v>NPL</v>
          </cell>
          <cell r="B5287">
            <v>2006</v>
          </cell>
          <cell r="C5287" t="str">
            <v>mainvz</v>
          </cell>
          <cell r="D5287">
            <v>11.094097137451172</v>
          </cell>
        </row>
        <row r="5288">
          <cell r="A5288" t="str">
            <v>NPL</v>
          </cell>
          <cell r="B5288">
            <v>2017</v>
          </cell>
          <cell r="C5288" t="str">
            <v>mac_labz</v>
          </cell>
          <cell r="D5288">
            <v>1.5157586336135864</v>
          </cell>
        </row>
        <row r="5289">
          <cell r="A5289" t="str">
            <v>NPL</v>
          </cell>
          <cell r="B5289">
            <v>2013</v>
          </cell>
          <cell r="C5289" t="str">
            <v>mataxfc</v>
          </cell>
          <cell r="D5289">
            <v>8.9704132080078125</v>
          </cell>
        </row>
        <row r="5290">
          <cell r="A5290" t="str">
            <v>NPL</v>
          </cell>
          <cell r="B5290">
            <v>2014</v>
          </cell>
          <cell r="C5290" t="str">
            <v>maagrfc</v>
          </cell>
          <cell r="D5290">
            <v>4.4866480827331543</v>
          </cell>
        </row>
        <row r="5291">
          <cell r="A5291" t="str">
            <v>NPL</v>
          </cell>
          <cell r="B5291">
            <v>2024</v>
          </cell>
          <cell r="C5291" t="str">
            <v>mar_con</v>
          </cell>
          <cell r="D5291">
            <v>86.030181884765625</v>
          </cell>
        </row>
        <row r="5292">
          <cell r="A5292" t="str">
            <v>NPL</v>
          </cell>
          <cell r="B5292">
            <v>2026</v>
          </cell>
          <cell r="C5292" t="str">
            <v>mareer</v>
          </cell>
          <cell r="D5292">
            <v>113.18443298339844</v>
          </cell>
        </row>
        <row r="5293">
          <cell r="A5293" t="str">
            <v>NPL</v>
          </cell>
          <cell r="B5293">
            <v>2023</v>
          </cell>
          <cell r="C5293" t="str">
            <v>mar_agrfc</v>
          </cell>
          <cell r="D5293">
            <v>29.394327163696289</v>
          </cell>
        </row>
        <row r="5294">
          <cell r="A5294" t="str">
            <v>NPL</v>
          </cell>
          <cell r="B5294">
            <v>2014</v>
          </cell>
          <cell r="C5294" t="str">
            <v>mac_labz</v>
          </cell>
          <cell r="D5294">
            <v>0.76409941911697388</v>
          </cell>
        </row>
        <row r="5295">
          <cell r="A5295" t="str">
            <v>NPL</v>
          </cell>
          <cell r="B5295">
            <v>2014</v>
          </cell>
          <cell r="C5295" t="str">
            <v>mac_tfpz</v>
          </cell>
          <cell r="D5295">
            <v>0.43409439921379089</v>
          </cell>
        </row>
        <row r="5296">
          <cell r="A5296" t="str">
            <v>NPL</v>
          </cell>
          <cell r="B5296">
            <v>2016</v>
          </cell>
          <cell r="C5296" t="str">
            <v>maindfc</v>
          </cell>
          <cell r="D5296">
            <v>-4.1331548690795898</v>
          </cell>
        </row>
        <row r="5297">
          <cell r="A5297" t="str">
            <v>NPL</v>
          </cell>
          <cell r="B5297">
            <v>2021</v>
          </cell>
          <cell r="C5297" t="str">
            <v>mar_srvfc</v>
          </cell>
          <cell r="D5297">
            <v>54.085948944091797</v>
          </cell>
        </row>
        <row r="5298">
          <cell r="A5298" t="str">
            <v>NPL</v>
          </cell>
          <cell r="B5298">
            <v>2005</v>
          </cell>
          <cell r="C5298" t="str">
            <v>mar_agrfc</v>
          </cell>
          <cell r="D5298">
            <v>37.509998321533203</v>
          </cell>
        </row>
        <row r="5299">
          <cell r="A5299" t="str">
            <v>NPL</v>
          </cell>
          <cell r="B5299">
            <v>2021</v>
          </cell>
          <cell r="C5299" t="str">
            <v>mafdi_</v>
          </cell>
          <cell r="D5299">
            <v>-0.44830533862113953</v>
          </cell>
        </row>
        <row r="5300">
          <cell r="A5300" t="str">
            <v>NPL</v>
          </cell>
          <cell r="B5300">
            <v>2014</v>
          </cell>
          <cell r="C5300" t="str">
            <v>mapanusatls</v>
          </cell>
          <cell r="D5300">
            <v>98.212356567382813</v>
          </cell>
        </row>
        <row r="5301">
          <cell r="A5301" t="str">
            <v>NPL</v>
          </cell>
          <cell r="B5301">
            <v>2022</v>
          </cell>
          <cell r="C5301" t="str">
            <v>mapanusatls</v>
          </cell>
          <cell r="D5301">
            <v>120.84027099609375</v>
          </cell>
        </row>
        <row r="5302">
          <cell r="A5302" t="str">
            <v>NPL</v>
          </cell>
          <cell r="B5302">
            <v>2008</v>
          </cell>
          <cell r="C5302" t="str">
            <v>maimpz</v>
          </cell>
          <cell r="D5302">
            <v>8.1918716430664063</v>
          </cell>
        </row>
        <row r="5303">
          <cell r="A5303" t="str">
            <v>NPL</v>
          </cell>
          <cell r="B5303">
            <v>2014</v>
          </cell>
          <cell r="C5303" t="str">
            <v>mar_impz</v>
          </cell>
          <cell r="D5303">
            <v>35.296382904052734</v>
          </cell>
        </row>
        <row r="5304">
          <cell r="A5304" t="str">
            <v>NPL</v>
          </cell>
          <cell r="B5304">
            <v>2017</v>
          </cell>
          <cell r="C5304" t="str">
            <v>masrvfc</v>
          </cell>
          <cell r="D5304">
            <v>8.3799781799316406</v>
          </cell>
        </row>
        <row r="5305">
          <cell r="A5305" t="str">
            <v>NPL</v>
          </cell>
          <cell r="B5305">
            <v>2021</v>
          </cell>
          <cell r="C5305" t="str">
            <v>mareer</v>
          </cell>
          <cell r="D5305">
            <v>102.44869232177734</v>
          </cell>
        </row>
        <row r="5306">
          <cell r="A5306" t="str">
            <v>NPL</v>
          </cell>
          <cell r="B5306">
            <v>2010</v>
          </cell>
          <cell r="C5306" t="str">
            <v>mataxfc</v>
          </cell>
          <cell r="D5306">
            <v>12.279151916503906</v>
          </cell>
        </row>
        <row r="5307">
          <cell r="A5307" t="str">
            <v>NPL</v>
          </cell>
          <cell r="B5307">
            <v>2023</v>
          </cell>
          <cell r="C5307" t="str">
            <v>mareer</v>
          </cell>
          <cell r="D5307">
            <v>104.23457336425781</v>
          </cell>
        </row>
        <row r="5308">
          <cell r="A5308" t="str">
            <v>NPL</v>
          </cell>
          <cell r="B5308">
            <v>2008</v>
          </cell>
          <cell r="C5308" t="str">
            <v>magdpz</v>
          </cell>
          <cell r="D5308">
            <v>6.1046395301818848</v>
          </cell>
        </row>
        <row r="5309">
          <cell r="A5309" t="str">
            <v>NPL</v>
          </cell>
          <cell r="B5309">
            <v>2014</v>
          </cell>
          <cell r="C5309" t="str">
            <v>matfpz</v>
          </cell>
          <cell r="D5309">
            <v>0.43409439921379089</v>
          </cell>
        </row>
        <row r="5310">
          <cell r="A5310" t="str">
            <v>NPL</v>
          </cell>
          <cell r="B5310">
            <v>2015</v>
          </cell>
          <cell r="C5310" t="str">
            <v>maagrfc</v>
          </cell>
          <cell r="D5310">
            <v>1.2008568048477173</v>
          </cell>
        </row>
        <row r="5311">
          <cell r="A5311" t="str">
            <v>NPL</v>
          </cell>
          <cell r="B5311">
            <v>2014</v>
          </cell>
          <cell r="C5311" t="str">
            <v>maconz</v>
          </cell>
          <cell r="D5311">
            <v>3.043724536895752</v>
          </cell>
        </row>
        <row r="5312">
          <cell r="A5312" t="str">
            <v>NPL</v>
          </cell>
          <cell r="B5312">
            <v>2022</v>
          </cell>
          <cell r="C5312" t="str">
            <v>madeficit_</v>
          </cell>
          <cell r="D5312">
            <v>-3.661125659942627</v>
          </cell>
        </row>
        <row r="5313">
          <cell r="A5313" t="str">
            <v>NPL</v>
          </cell>
          <cell r="B5313">
            <v>2007</v>
          </cell>
          <cell r="C5313" t="str">
            <v>madebt_</v>
          </cell>
          <cell r="D5313">
            <v>38.027694702148438</v>
          </cell>
        </row>
        <row r="5314">
          <cell r="A5314" t="str">
            <v>NPL</v>
          </cell>
          <cell r="B5314">
            <v>2019</v>
          </cell>
          <cell r="C5314" t="str">
            <v>mac_labz</v>
          </cell>
          <cell r="D5314">
            <v>1.4288650751113892</v>
          </cell>
        </row>
        <row r="5315">
          <cell r="A5315" t="str">
            <v>NPL</v>
          </cell>
          <cell r="B5315">
            <v>2015</v>
          </cell>
          <cell r="C5315" t="str">
            <v>madebt_</v>
          </cell>
          <cell r="D5315">
            <v>22.483493804931641</v>
          </cell>
        </row>
        <row r="5316">
          <cell r="A5316" t="str">
            <v>NPL</v>
          </cell>
          <cell r="B5316">
            <v>2015</v>
          </cell>
          <cell r="C5316" t="str">
            <v>maindfc</v>
          </cell>
          <cell r="D5316">
            <v>2.0019657611846924</v>
          </cell>
        </row>
        <row r="5317">
          <cell r="A5317" t="str">
            <v>NPL</v>
          </cell>
          <cell r="B5317">
            <v>2017</v>
          </cell>
          <cell r="C5317" t="str">
            <v>mar_impz</v>
          </cell>
          <cell r="D5317">
            <v>44.961654663085938</v>
          </cell>
        </row>
        <row r="5318">
          <cell r="A5318" t="str">
            <v>NPL</v>
          </cell>
          <cell r="B5318">
            <v>2006</v>
          </cell>
          <cell r="C5318" t="str">
            <v>mac_labz</v>
          </cell>
          <cell r="D5318">
            <v>1.1487314701080322</v>
          </cell>
        </row>
        <row r="5319">
          <cell r="A5319" t="str">
            <v>NPL</v>
          </cell>
          <cell r="B5319">
            <v>2018</v>
          </cell>
          <cell r="C5319" t="str">
            <v>masrvfc</v>
          </cell>
          <cell r="D5319">
            <v>9.2534666061401367</v>
          </cell>
        </row>
        <row r="5320">
          <cell r="A5320" t="str">
            <v>NPL</v>
          </cell>
          <cell r="B5320">
            <v>2025</v>
          </cell>
          <cell r="C5320" t="str">
            <v>madebt_</v>
          </cell>
          <cell r="D5320">
            <v>44.869148254394531</v>
          </cell>
        </row>
        <row r="5321">
          <cell r="A5321" t="str">
            <v>NPL</v>
          </cell>
          <cell r="B5321">
            <v>2012</v>
          </cell>
          <cell r="C5321" t="str">
            <v>mapanusatls</v>
          </cell>
          <cell r="D5321">
            <v>81.019721984863281</v>
          </cell>
        </row>
        <row r="5322">
          <cell r="A5322" t="str">
            <v>NPL</v>
          </cell>
          <cell r="B5322">
            <v>2015</v>
          </cell>
          <cell r="C5322" t="str">
            <v>mar_agrfc</v>
          </cell>
          <cell r="D5322">
            <v>31.860519409179688</v>
          </cell>
        </row>
        <row r="5323">
          <cell r="A5323" t="str">
            <v>NPL</v>
          </cell>
          <cell r="B5323">
            <v>2005</v>
          </cell>
          <cell r="C5323" t="str">
            <v>madeficit_</v>
          </cell>
          <cell r="D5323">
            <v>0.42755523324012756</v>
          </cell>
        </row>
        <row r="5324">
          <cell r="A5324" t="str">
            <v>NPL</v>
          </cell>
          <cell r="B5324">
            <v>2022</v>
          </cell>
          <cell r="C5324" t="str">
            <v>maagrfc</v>
          </cell>
          <cell r="D5324">
            <v>2.2407450675964355</v>
          </cell>
        </row>
        <row r="5325">
          <cell r="A5325" t="str">
            <v>NPL</v>
          </cell>
          <cell r="B5325">
            <v>2015</v>
          </cell>
          <cell r="C5325" t="str">
            <v>mar_expz</v>
          </cell>
          <cell r="D5325">
            <v>10.696918487548828</v>
          </cell>
        </row>
        <row r="5326">
          <cell r="A5326" t="str">
            <v>NPL</v>
          </cell>
          <cell r="B5326">
            <v>2025</v>
          </cell>
          <cell r="C5326" t="str">
            <v>mataxfc</v>
          </cell>
          <cell r="D5326">
            <v>4.5999999046325684</v>
          </cell>
        </row>
        <row r="5327">
          <cell r="A5327" t="str">
            <v>NPL</v>
          </cell>
          <cell r="B5327">
            <v>2015</v>
          </cell>
          <cell r="C5327" t="str">
            <v>magap_</v>
          </cell>
          <cell r="D5327">
            <v>1.058276891708374</v>
          </cell>
        </row>
        <row r="5328">
          <cell r="A5328" t="str">
            <v>NPL</v>
          </cell>
          <cell r="B5328">
            <v>2009</v>
          </cell>
          <cell r="C5328" t="str">
            <v>mafdi_</v>
          </cell>
          <cell r="D5328">
            <v>-0.16190771758556366</v>
          </cell>
        </row>
        <row r="5329">
          <cell r="A5329" t="str">
            <v>NPL</v>
          </cell>
          <cell r="B5329">
            <v>2012</v>
          </cell>
          <cell r="C5329" t="str">
            <v>magovz</v>
          </cell>
          <cell r="D5329">
            <v>0.81857520341873169</v>
          </cell>
        </row>
        <row r="5330">
          <cell r="A5330" t="str">
            <v>NPL</v>
          </cell>
          <cell r="B5330">
            <v>2016</v>
          </cell>
          <cell r="C5330" t="str">
            <v>maagrfc</v>
          </cell>
          <cell r="D5330">
            <v>-8.4322676062583923E-2</v>
          </cell>
        </row>
        <row r="5331">
          <cell r="A5331" t="str">
            <v>NPL</v>
          </cell>
          <cell r="B5331">
            <v>2013</v>
          </cell>
          <cell r="C5331" t="str">
            <v>mar_srvfc</v>
          </cell>
          <cell r="D5331">
            <v>52.395057678222656</v>
          </cell>
        </row>
        <row r="5332">
          <cell r="A5332" t="str">
            <v>NPL</v>
          </cell>
          <cell r="B5332">
            <v>2005</v>
          </cell>
          <cell r="C5332" t="str">
            <v>madebt_</v>
          </cell>
          <cell r="D5332">
            <v>44.420207977294922</v>
          </cell>
        </row>
        <row r="5333">
          <cell r="A5333" t="str">
            <v>NPL</v>
          </cell>
          <cell r="B5333">
            <v>2014</v>
          </cell>
          <cell r="C5333" t="str">
            <v>maindfc</v>
          </cell>
          <cell r="D5333">
            <v>7.4741649627685547</v>
          </cell>
        </row>
        <row r="5334">
          <cell r="A5334" t="str">
            <v>NPL</v>
          </cell>
          <cell r="B5334">
            <v>2025</v>
          </cell>
          <cell r="C5334" t="str">
            <v>maimpz</v>
          </cell>
          <cell r="D5334">
            <v>13.100000381469727</v>
          </cell>
        </row>
        <row r="5335">
          <cell r="A5335" t="str">
            <v>NPL</v>
          </cell>
          <cell r="B5335">
            <v>2023</v>
          </cell>
          <cell r="C5335" t="str">
            <v>maagrfc</v>
          </cell>
          <cell r="D5335">
            <v>2.7287383079528809</v>
          </cell>
        </row>
        <row r="5336">
          <cell r="A5336" t="str">
            <v>NPL</v>
          </cell>
          <cell r="B5336">
            <v>2016</v>
          </cell>
          <cell r="C5336" t="str">
            <v>maexpz</v>
          </cell>
          <cell r="D5336">
            <v>-17.305917739868164</v>
          </cell>
        </row>
        <row r="5337">
          <cell r="A5337" t="str">
            <v>NPL</v>
          </cell>
          <cell r="B5337">
            <v>2026</v>
          </cell>
          <cell r="C5337" t="str">
            <v>mar_agrfc</v>
          </cell>
          <cell r="D5337">
            <v>27.712636947631836</v>
          </cell>
        </row>
        <row r="5338">
          <cell r="A5338" t="str">
            <v>NPL</v>
          </cell>
          <cell r="B5338">
            <v>2016</v>
          </cell>
          <cell r="C5338" t="str">
            <v>magdpz</v>
          </cell>
          <cell r="D5338">
            <v>0.43311372399330139</v>
          </cell>
        </row>
        <row r="5339">
          <cell r="A5339" t="str">
            <v>NPL</v>
          </cell>
          <cell r="B5339">
            <v>2021</v>
          </cell>
          <cell r="C5339" t="str">
            <v>mar_expz</v>
          </cell>
          <cell r="D5339">
            <v>5.6331644058227539</v>
          </cell>
        </row>
        <row r="5340">
          <cell r="A5340" t="str">
            <v>NPL</v>
          </cell>
          <cell r="B5340">
            <v>2008</v>
          </cell>
          <cell r="C5340" t="str">
            <v>mar_impz</v>
          </cell>
          <cell r="D5340">
            <v>30.381601333618164</v>
          </cell>
        </row>
        <row r="5341">
          <cell r="A5341" t="str">
            <v>NPL</v>
          </cell>
          <cell r="B5341">
            <v>2015</v>
          </cell>
          <cell r="C5341" t="str">
            <v>mataxfc</v>
          </cell>
          <cell r="D5341">
            <v>9.1102085113525391</v>
          </cell>
        </row>
        <row r="5342">
          <cell r="A5342" t="str">
            <v>NPL</v>
          </cell>
          <cell r="B5342">
            <v>2025</v>
          </cell>
          <cell r="C5342" t="str">
            <v>mar_impz</v>
          </cell>
          <cell r="D5342">
            <v>40.149852752685547</v>
          </cell>
        </row>
        <row r="5343">
          <cell r="A5343" t="str">
            <v>NPL</v>
          </cell>
          <cell r="B5343">
            <v>2016</v>
          </cell>
          <cell r="C5343" t="str">
            <v>mainvz</v>
          </cell>
          <cell r="D5343">
            <v>6.3873538970947266</v>
          </cell>
        </row>
        <row r="5344">
          <cell r="A5344" t="str">
            <v>NPL</v>
          </cell>
          <cell r="B5344">
            <v>2026</v>
          </cell>
          <cell r="C5344" t="str">
            <v>mar_indfc</v>
          </cell>
          <cell r="D5344">
            <v>17.023021697998047</v>
          </cell>
        </row>
        <row r="5345">
          <cell r="A5345" t="str">
            <v>NPL</v>
          </cell>
          <cell r="B5345">
            <v>2009</v>
          </cell>
          <cell r="C5345" t="str">
            <v>mar_impz</v>
          </cell>
          <cell r="D5345">
            <v>32.735645294189453</v>
          </cell>
        </row>
        <row r="5346">
          <cell r="A5346" t="str">
            <v>NPL</v>
          </cell>
          <cell r="B5346">
            <v>2017</v>
          </cell>
          <cell r="C5346" t="str">
            <v>mar_taxfc</v>
          </cell>
          <cell r="D5346">
            <v>10.388848304748535</v>
          </cell>
        </row>
        <row r="5347">
          <cell r="A5347" t="str">
            <v>NPL</v>
          </cell>
          <cell r="B5347">
            <v>2016</v>
          </cell>
          <cell r="C5347" t="str">
            <v>mar_indfc</v>
          </cell>
          <cell r="D5347">
            <v>14.041996955871582</v>
          </cell>
        </row>
        <row r="5348">
          <cell r="A5348" t="str">
            <v>NPL</v>
          </cell>
          <cell r="B5348">
            <v>2022</v>
          </cell>
          <cell r="C5348" t="str">
            <v>mafdi_</v>
          </cell>
          <cell r="D5348">
            <v>-0.37619477510452271</v>
          </cell>
        </row>
        <row r="5349">
          <cell r="A5349" t="str">
            <v>NPL</v>
          </cell>
          <cell r="B5349">
            <v>2026</v>
          </cell>
          <cell r="C5349" t="str">
            <v>maimpz</v>
          </cell>
          <cell r="D5349">
            <v>9.6999998092651367</v>
          </cell>
        </row>
        <row r="5350">
          <cell r="A5350" t="str">
            <v>NPL</v>
          </cell>
          <cell r="B5350">
            <v>2011</v>
          </cell>
          <cell r="C5350" t="str">
            <v>malabz</v>
          </cell>
          <cell r="D5350">
            <v>1.3704935312271118</v>
          </cell>
        </row>
        <row r="5351">
          <cell r="A5351" t="str">
            <v>NPL</v>
          </cell>
          <cell r="B5351">
            <v>2019</v>
          </cell>
          <cell r="C5351" t="str">
            <v>magdpz</v>
          </cell>
          <cell r="D5351">
            <v>6.6570553779602051</v>
          </cell>
        </row>
        <row r="5352">
          <cell r="A5352" t="str">
            <v>NPL</v>
          </cell>
          <cell r="B5352">
            <v>2011</v>
          </cell>
          <cell r="C5352" t="str">
            <v>mataxfc</v>
          </cell>
          <cell r="D5352">
            <v>-2.3072898387908936</v>
          </cell>
        </row>
        <row r="5353">
          <cell r="A5353" t="str">
            <v>NPL</v>
          </cell>
          <cell r="B5353">
            <v>2017</v>
          </cell>
          <cell r="C5353" t="str">
            <v>madeficit_</v>
          </cell>
          <cell r="D5353">
            <v>-2.6919076442718506</v>
          </cell>
        </row>
        <row r="5354">
          <cell r="A5354" t="str">
            <v>NPL</v>
          </cell>
          <cell r="B5354">
            <v>2017</v>
          </cell>
          <cell r="C5354" t="str">
            <v>magap_</v>
          </cell>
          <cell r="D5354">
            <v>-0.93644124269485474</v>
          </cell>
        </row>
        <row r="5355">
          <cell r="A5355" t="str">
            <v>NPL</v>
          </cell>
          <cell r="B5355">
            <v>2025</v>
          </cell>
          <cell r="C5355" t="str">
            <v>mar_taxfc</v>
          </cell>
          <cell r="D5355">
            <v>11.411042213439941</v>
          </cell>
        </row>
        <row r="5356">
          <cell r="A5356" t="str">
            <v>NPL</v>
          </cell>
          <cell r="B5356">
            <v>2020</v>
          </cell>
          <cell r="C5356" t="str">
            <v>mac_tfpz</v>
          </cell>
          <cell r="D5356">
            <v>-9.4357414245605469</v>
          </cell>
        </row>
        <row r="5357">
          <cell r="A5357" t="str">
            <v>NPL</v>
          </cell>
          <cell r="B5357">
            <v>2026</v>
          </cell>
          <cell r="C5357" t="str">
            <v>mar_impz</v>
          </cell>
          <cell r="D5357">
            <v>41.827529907226563</v>
          </cell>
        </row>
        <row r="5358">
          <cell r="A5358" t="str">
            <v>NPL</v>
          </cell>
          <cell r="B5358">
            <v>2007</v>
          </cell>
          <cell r="C5358" t="str">
            <v>mataxfc</v>
          </cell>
          <cell r="D5358">
            <v>6.5550537109375</v>
          </cell>
        </row>
        <row r="5359">
          <cell r="A5359" t="str">
            <v>NPL</v>
          </cell>
          <cell r="B5359">
            <v>2017</v>
          </cell>
          <cell r="C5359" t="str">
            <v>mar_agrfc</v>
          </cell>
          <cell r="D5359">
            <v>30.831851959228516</v>
          </cell>
        </row>
        <row r="5360">
          <cell r="A5360" t="str">
            <v>NPL</v>
          </cell>
          <cell r="B5360">
            <v>2026</v>
          </cell>
          <cell r="C5360" t="str">
            <v>maconz</v>
          </cell>
          <cell r="D5360">
            <v>3.7000000476837158</v>
          </cell>
        </row>
        <row r="5361">
          <cell r="A5361" t="str">
            <v>NPL</v>
          </cell>
          <cell r="B5361">
            <v>2006</v>
          </cell>
          <cell r="C5361" t="str">
            <v>mar_agrfc</v>
          </cell>
          <cell r="D5361">
            <v>36.686355590820313</v>
          </cell>
        </row>
        <row r="5362">
          <cell r="A5362" t="str">
            <v>NPL</v>
          </cell>
          <cell r="B5362">
            <v>2022</v>
          </cell>
          <cell r="C5362" t="str">
            <v>mar_agrfc</v>
          </cell>
          <cell r="D5362">
            <v>29.230588912963867</v>
          </cell>
        </row>
        <row r="5363">
          <cell r="A5363" t="str">
            <v>NPL</v>
          </cell>
          <cell r="B5363">
            <v>2018</v>
          </cell>
          <cell r="C5363" t="str">
            <v>maagrfc</v>
          </cell>
          <cell r="D5363">
            <v>2.6092596054077148</v>
          </cell>
        </row>
        <row r="5364">
          <cell r="A5364" t="str">
            <v>NPL</v>
          </cell>
          <cell r="B5364">
            <v>2018</v>
          </cell>
          <cell r="C5364" t="str">
            <v>macpiz</v>
          </cell>
          <cell r="D5364">
            <v>4.1464991569519043</v>
          </cell>
        </row>
        <row r="5365">
          <cell r="A5365" t="str">
            <v>NPL</v>
          </cell>
          <cell r="B5365">
            <v>2019</v>
          </cell>
          <cell r="C5365" t="str">
            <v>mar_expz</v>
          </cell>
          <cell r="D5365">
            <v>8.7116670608520508</v>
          </cell>
        </row>
        <row r="5366">
          <cell r="A5366" t="str">
            <v>NPL</v>
          </cell>
          <cell r="B5366">
            <v>2014</v>
          </cell>
          <cell r="C5366" t="str">
            <v>macab_</v>
          </cell>
          <cell r="D5366">
            <v>4.0243663787841797</v>
          </cell>
        </row>
        <row r="5367">
          <cell r="A5367" t="str">
            <v>NPL</v>
          </cell>
          <cell r="B5367">
            <v>2026</v>
          </cell>
          <cell r="C5367" t="str">
            <v>magap_</v>
          </cell>
          <cell r="D5367">
            <v>-1.3952928781509399</v>
          </cell>
        </row>
        <row r="5368">
          <cell r="A5368" t="str">
            <v>NPL</v>
          </cell>
          <cell r="B5368">
            <v>2018</v>
          </cell>
          <cell r="C5368" t="str">
            <v>magovz</v>
          </cell>
          <cell r="D5368">
            <v>2.0515615940093994</v>
          </cell>
        </row>
        <row r="5369">
          <cell r="A5369" t="str">
            <v>NPL</v>
          </cell>
          <cell r="B5369">
            <v>2008</v>
          </cell>
          <cell r="C5369" t="str">
            <v>mareer</v>
          </cell>
          <cell r="D5369">
            <v>85.672714233398438</v>
          </cell>
        </row>
        <row r="5370">
          <cell r="A5370" t="str">
            <v>NPL</v>
          </cell>
          <cell r="B5370">
            <v>2023</v>
          </cell>
          <cell r="C5370" t="str">
            <v>madebt_</v>
          </cell>
          <cell r="D5370">
            <v>42.728290557861328</v>
          </cell>
        </row>
        <row r="5371">
          <cell r="A5371" t="str">
            <v>NPL</v>
          </cell>
          <cell r="B5371">
            <v>2008</v>
          </cell>
          <cell r="C5371" t="str">
            <v>masrvfc</v>
          </cell>
          <cell r="D5371">
            <v>7.5244350433349609</v>
          </cell>
        </row>
        <row r="5372">
          <cell r="A5372" t="str">
            <v>NPL</v>
          </cell>
          <cell r="B5372">
            <v>2025</v>
          </cell>
          <cell r="C5372" t="str">
            <v>mar_con</v>
          </cell>
          <cell r="D5372">
            <v>85.289955139160156</v>
          </cell>
        </row>
        <row r="5373">
          <cell r="A5373" t="str">
            <v>NPL</v>
          </cell>
          <cell r="B5373">
            <v>2022</v>
          </cell>
          <cell r="C5373" t="str">
            <v>mac_labz</v>
          </cell>
          <cell r="D5373">
            <v>1.7064467668533325</v>
          </cell>
        </row>
        <row r="5374">
          <cell r="A5374" t="str">
            <v>NPL</v>
          </cell>
          <cell r="B5374">
            <v>2013</v>
          </cell>
          <cell r="C5374" t="str">
            <v>mac_labz</v>
          </cell>
          <cell r="D5374">
            <v>0.67705142498016357</v>
          </cell>
        </row>
        <row r="5375">
          <cell r="A5375" t="str">
            <v>NPL</v>
          </cell>
          <cell r="B5375">
            <v>2016</v>
          </cell>
          <cell r="C5375" t="str">
            <v>mac_labz</v>
          </cell>
          <cell r="D5375">
            <v>1.3246597051620483</v>
          </cell>
        </row>
        <row r="5376">
          <cell r="A5376" t="str">
            <v>NPL</v>
          </cell>
          <cell r="B5376">
            <v>2016</v>
          </cell>
          <cell r="C5376" t="str">
            <v>mar_agrfc</v>
          </cell>
          <cell r="D5376">
            <v>31.832851409912109</v>
          </cell>
        </row>
        <row r="5377">
          <cell r="A5377" t="str">
            <v>NPL</v>
          </cell>
          <cell r="B5377">
            <v>2013</v>
          </cell>
          <cell r="C5377" t="str">
            <v>magdpz</v>
          </cell>
          <cell r="D5377">
            <v>3.5251531600952148</v>
          </cell>
        </row>
        <row r="5378">
          <cell r="A5378" t="str">
            <v>NPL</v>
          </cell>
          <cell r="B5378">
            <v>2005</v>
          </cell>
          <cell r="C5378" t="str">
            <v>macpiz</v>
          </cell>
          <cell r="D5378">
            <v>4.5388603210449219</v>
          </cell>
        </row>
        <row r="5379">
          <cell r="A5379" t="str">
            <v>NPL</v>
          </cell>
          <cell r="B5379">
            <v>2005</v>
          </cell>
          <cell r="C5379" t="str">
            <v>mapanusatls</v>
          </cell>
          <cell r="D5379">
            <v>72.055572509765625</v>
          </cell>
        </row>
        <row r="5380">
          <cell r="A5380" t="str">
            <v>NPL</v>
          </cell>
          <cell r="B5380">
            <v>2016</v>
          </cell>
          <cell r="C5380" t="str">
            <v>mar_expz</v>
          </cell>
          <cell r="D5380">
            <v>8.8075723648071289</v>
          </cell>
        </row>
        <row r="5381">
          <cell r="A5381" t="str">
            <v>NPL</v>
          </cell>
          <cell r="B5381">
            <v>2019</v>
          </cell>
          <cell r="C5381" t="str">
            <v>macpiz</v>
          </cell>
          <cell r="D5381">
            <v>4.6384749412536621</v>
          </cell>
        </row>
        <row r="5382">
          <cell r="A5382" t="str">
            <v>NPL</v>
          </cell>
          <cell r="B5382">
            <v>2014</v>
          </cell>
          <cell r="C5382" t="str">
            <v>macpiz</v>
          </cell>
          <cell r="D5382">
            <v>9.0404281616210938</v>
          </cell>
        </row>
        <row r="5383">
          <cell r="A5383" t="str">
            <v>NPL</v>
          </cell>
          <cell r="B5383">
            <v>2016</v>
          </cell>
          <cell r="C5383" t="str">
            <v>malabz</v>
          </cell>
          <cell r="D5383">
            <v>1.8923710584640503</v>
          </cell>
        </row>
        <row r="5384">
          <cell r="A5384" t="str">
            <v>NPL</v>
          </cell>
          <cell r="B5384">
            <v>2026</v>
          </cell>
          <cell r="C5384" t="str">
            <v>mapanusatls</v>
          </cell>
          <cell r="D5384">
            <v>132.86567687988281</v>
          </cell>
        </row>
        <row r="5385">
          <cell r="A5385" t="str">
            <v>NPL</v>
          </cell>
          <cell r="B5385">
            <v>2022</v>
          </cell>
          <cell r="C5385" t="str">
            <v>mataxfc</v>
          </cell>
          <cell r="D5385">
            <v>8.7399997711181641</v>
          </cell>
        </row>
        <row r="5386">
          <cell r="A5386" t="str">
            <v>NPL</v>
          </cell>
          <cell r="B5386">
            <v>2019</v>
          </cell>
          <cell r="C5386" t="str">
            <v>mar_indfc</v>
          </cell>
          <cell r="D5386">
            <v>15.714734077453613</v>
          </cell>
        </row>
        <row r="5387">
          <cell r="A5387" t="str">
            <v>NPL</v>
          </cell>
          <cell r="B5387">
            <v>2013</v>
          </cell>
          <cell r="C5387" t="str">
            <v>mac_tfpz</v>
          </cell>
          <cell r="D5387">
            <v>0.48814341425895691</v>
          </cell>
        </row>
        <row r="5388">
          <cell r="A5388" t="str">
            <v>NPL</v>
          </cell>
          <cell r="B5388">
            <v>2015</v>
          </cell>
          <cell r="C5388" t="str">
            <v>mar_taxfc</v>
          </cell>
          <cell r="D5388">
            <v>9.5243301391601563</v>
          </cell>
        </row>
        <row r="5389">
          <cell r="A5389" t="str">
            <v>NPL</v>
          </cell>
          <cell r="B5389">
            <v>2019</v>
          </cell>
          <cell r="C5389" t="str">
            <v>maimpz</v>
          </cell>
          <cell r="D5389">
            <v>5.8152203559875488</v>
          </cell>
        </row>
        <row r="5390">
          <cell r="A5390" t="str">
            <v>NPL</v>
          </cell>
          <cell r="B5390">
            <v>2022</v>
          </cell>
          <cell r="C5390" t="str">
            <v>mar_indfc</v>
          </cell>
          <cell r="D5390">
            <v>16.653314590454102</v>
          </cell>
        </row>
        <row r="5391">
          <cell r="A5391" t="str">
            <v>NPL</v>
          </cell>
          <cell r="B5391">
            <v>2008</v>
          </cell>
          <cell r="C5391" t="str">
            <v>mar_agrfc</v>
          </cell>
          <cell r="D5391">
            <v>35.86248779296875</v>
          </cell>
        </row>
        <row r="5392">
          <cell r="A5392" t="str">
            <v>NPL</v>
          </cell>
          <cell r="B5392">
            <v>2019</v>
          </cell>
          <cell r="C5392" t="str">
            <v>matfpz</v>
          </cell>
          <cell r="D5392">
            <v>0.57112008333206177</v>
          </cell>
        </row>
        <row r="5393">
          <cell r="A5393" t="str">
            <v>NPL</v>
          </cell>
          <cell r="B5393">
            <v>2006</v>
          </cell>
          <cell r="C5393" t="str">
            <v>maconz</v>
          </cell>
          <cell r="D5393">
            <v>5.4024491310119629</v>
          </cell>
        </row>
        <row r="5394">
          <cell r="A5394" t="str">
            <v>NPL</v>
          </cell>
          <cell r="B5394">
            <v>2008</v>
          </cell>
          <cell r="C5394" t="str">
            <v>maindfc</v>
          </cell>
          <cell r="D5394">
            <v>1.7432498931884766</v>
          </cell>
        </row>
        <row r="5395">
          <cell r="A5395" t="str">
            <v>NPL</v>
          </cell>
          <cell r="B5395">
            <v>2012</v>
          </cell>
          <cell r="C5395" t="str">
            <v>mar_impz</v>
          </cell>
          <cell r="D5395">
            <v>28.047449111938477</v>
          </cell>
        </row>
        <row r="5396">
          <cell r="A5396" t="str">
            <v>NPL</v>
          </cell>
          <cell r="B5396">
            <v>2010</v>
          </cell>
          <cell r="C5396" t="str">
            <v>magap_</v>
          </cell>
          <cell r="D5396">
            <v>2.0195150375366211</v>
          </cell>
        </row>
        <row r="5397">
          <cell r="A5397" t="str">
            <v>NPL</v>
          </cell>
          <cell r="B5397">
            <v>2014</v>
          </cell>
          <cell r="C5397" t="str">
            <v>malabz</v>
          </cell>
          <cell r="D5397">
            <v>1.0915706157684326</v>
          </cell>
        </row>
        <row r="5398">
          <cell r="A5398" t="str">
            <v>NPL</v>
          </cell>
          <cell r="B5398">
            <v>2007</v>
          </cell>
          <cell r="C5398" t="str">
            <v>mainvz</v>
          </cell>
          <cell r="D5398">
            <v>5.286994457244873</v>
          </cell>
        </row>
        <row r="5399">
          <cell r="A5399" t="str">
            <v>NPL</v>
          </cell>
          <cell r="B5399">
            <v>2005</v>
          </cell>
          <cell r="C5399" t="str">
            <v>magdpz</v>
          </cell>
          <cell r="D5399">
            <v>3.4791815280914307</v>
          </cell>
        </row>
        <row r="5400">
          <cell r="A5400" t="str">
            <v>NPL</v>
          </cell>
          <cell r="B5400">
            <v>2009</v>
          </cell>
          <cell r="C5400" t="str">
            <v>maindfc</v>
          </cell>
          <cell r="D5400">
            <v>-0.59000056982040405</v>
          </cell>
        </row>
        <row r="5401">
          <cell r="A5401" t="str">
            <v>NPL</v>
          </cell>
          <cell r="B5401">
            <v>2019</v>
          </cell>
          <cell r="C5401" t="str">
            <v>magovz</v>
          </cell>
          <cell r="D5401">
            <v>9.7612848281860352</v>
          </cell>
        </row>
        <row r="5402">
          <cell r="A5402" t="str">
            <v>NPL</v>
          </cell>
          <cell r="B5402">
            <v>2007</v>
          </cell>
          <cell r="C5402" t="str">
            <v>matfpz</v>
          </cell>
          <cell r="D5402">
            <v>0.69056969881057739</v>
          </cell>
        </row>
        <row r="5403">
          <cell r="A5403" t="str">
            <v>NPL</v>
          </cell>
          <cell r="B5403">
            <v>2007</v>
          </cell>
          <cell r="C5403" t="str">
            <v>maindfc</v>
          </cell>
          <cell r="D5403">
            <v>3.9450051784515381</v>
          </cell>
        </row>
        <row r="5404">
          <cell r="A5404" t="str">
            <v>NPL</v>
          </cell>
          <cell r="B5404">
            <v>2024</v>
          </cell>
          <cell r="C5404" t="str">
            <v>maagrfc</v>
          </cell>
          <cell r="D5404">
            <v>2.2000000476837158</v>
          </cell>
        </row>
        <row r="5405">
          <cell r="A5405" t="str">
            <v>NPL</v>
          </cell>
          <cell r="B5405">
            <v>2012</v>
          </cell>
          <cell r="C5405" t="str">
            <v>matfpz</v>
          </cell>
          <cell r="D5405">
            <v>0.55728238821029663</v>
          </cell>
        </row>
        <row r="5406">
          <cell r="A5406" t="str">
            <v>NPL</v>
          </cell>
          <cell r="B5406">
            <v>2023</v>
          </cell>
          <cell r="C5406" t="str">
            <v>mar_con</v>
          </cell>
          <cell r="D5406">
            <v>85.863937377929688</v>
          </cell>
        </row>
        <row r="5407">
          <cell r="A5407" t="str">
            <v>NPL</v>
          </cell>
          <cell r="B5407">
            <v>2026</v>
          </cell>
          <cell r="C5407" t="str">
            <v>madeficit_</v>
          </cell>
          <cell r="D5407">
            <v>-6.5128917694091797</v>
          </cell>
        </row>
        <row r="5408">
          <cell r="A5408" t="str">
            <v>NPL</v>
          </cell>
          <cell r="B5408">
            <v>2012</v>
          </cell>
          <cell r="C5408" t="str">
            <v>mar_con</v>
          </cell>
          <cell r="D5408">
            <v>83.354301452636719</v>
          </cell>
        </row>
        <row r="5409">
          <cell r="A5409" t="str">
            <v>NPL</v>
          </cell>
          <cell r="B5409">
            <v>2024</v>
          </cell>
          <cell r="C5409" t="str">
            <v>mar_expz</v>
          </cell>
          <cell r="D5409">
            <v>7.5600085258483887</v>
          </cell>
        </row>
        <row r="5410">
          <cell r="A5410" t="str">
            <v>NPL</v>
          </cell>
          <cell r="B5410">
            <v>2006</v>
          </cell>
          <cell r="C5410" t="str">
            <v>mar_taxfc</v>
          </cell>
          <cell r="D5410">
            <v>7.3445563316345215</v>
          </cell>
        </row>
        <row r="5411">
          <cell r="A5411" t="str">
            <v>NPL</v>
          </cell>
          <cell r="B5411">
            <v>2012</v>
          </cell>
          <cell r="C5411" t="str">
            <v>magap_</v>
          </cell>
          <cell r="D5411">
            <v>1.1468757390975952</v>
          </cell>
        </row>
        <row r="5412">
          <cell r="A5412" t="str">
            <v>NPL</v>
          </cell>
          <cell r="B5412">
            <v>2009</v>
          </cell>
          <cell r="C5412" t="str">
            <v>magdpz</v>
          </cell>
          <cell r="D5412">
            <v>4.533299446105957</v>
          </cell>
        </row>
        <row r="5413">
          <cell r="A5413" t="str">
            <v>NPL</v>
          </cell>
          <cell r="B5413">
            <v>2023</v>
          </cell>
          <cell r="C5413" t="str">
            <v>mataxfc</v>
          </cell>
          <cell r="D5413">
            <v>-0.68000000715255737</v>
          </cell>
        </row>
        <row r="5414">
          <cell r="A5414" t="str">
            <v>NPL</v>
          </cell>
          <cell r="B5414">
            <v>2023</v>
          </cell>
          <cell r="C5414" t="str">
            <v>maconz</v>
          </cell>
          <cell r="D5414">
            <v>4.0604352951049805</v>
          </cell>
        </row>
        <row r="5415">
          <cell r="A5415" t="str">
            <v>NPL</v>
          </cell>
          <cell r="B5415">
            <v>2010</v>
          </cell>
          <cell r="C5415" t="str">
            <v>mar_agrfc</v>
          </cell>
          <cell r="D5415">
            <v>34.828254699707031</v>
          </cell>
        </row>
        <row r="5416">
          <cell r="A5416" t="str">
            <v>NPL</v>
          </cell>
          <cell r="B5416">
            <v>2011</v>
          </cell>
          <cell r="C5416" t="str">
            <v>maindfc</v>
          </cell>
          <cell r="D5416">
            <v>-2.5355446338653564</v>
          </cell>
        </row>
        <row r="5417">
          <cell r="A5417" t="str">
            <v>NPL</v>
          </cell>
          <cell r="B5417">
            <v>2020</v>
          </cell>
          <cell r="C5417" t="str">
            <v>madeficit_</v>
          </cell>
          <cell r="D5417">
            <v>-5.3639287948608398</v>
          </cell>
        </row>
        <row r="5418">
          <cell r="A5418" t="str">
            <v>NPL</v>
          </cell>
          <cell r="B5418">
            <v>2021</v>
          </cell>
          <cell r="C5418" t="str">
            <v>maindfc</v>
          </cell>
          <cell r="D5418">
            <v>6.9462637901306152</v>
          </cell>
        </row>
        <row r="5419">
          <cell r="A5419" t="str">
            <v>NPL</v>
          </cell>
          <cell r="B5419">
            <v>2011</v>
          </cell>
          <cell r="C5419" t="str">
            <v>mar_con</v>
          </cell>
          <cell r="D5419">
            <v>84.676910400390625</v>
          </cell>
        </row>
        <row r="5420">
          <cell r="A5420" t="str">
            <v>NPL</v>
          </cell>
          <cell r="B5420">
            <v>2026</v>
          </cell>
          <cell r="C5420" t="str">
            <v>magovz</v>
          </cell>
          <cell r="D5420">
            <v>9.2949838638305664</v>
          </cell>
        </row>
        <row r="5421">
          <cell r="A5421" t="str">
            <v>NPL</v>
          </cell>
          <cell r="B5421">
            <v>2023</v>
          </cell>
          <cell r="C5421" t="str">
            <v>magap_</v>
          </cell>
          <cell r="D5421">
            <v>-2.2456803321838379</v>
          </cell>
        </row>
        <row r="5422">
          <cell r="A5422" t="str">
            <v>NPL</v>
          </cell>
          <cell r="B5422">
            <v>2024</v>
          </cell>
          <cell r="C5422" t="str">
            <v>mainvz</v>
          </cell>
          <cell r="D5422">
            <v>-4.4258027076721191</v>
          </cell>
        </row>
        <row r="5423">
          <cell r="A5423" t="str">
            <v>NPL</v>
          </cell>
          <cell r="B5423">
            <v>2010</v>
          </cell>
          <cell r="C5423" t="str">
            <v>mar_taxfc</v>
          </cell>
          <cell r="D5423">
            <v>9.1021938323974609</v>
          </cell>
        </row>
        <row r="5424">
          <cell r="A5424" t="str">
            <v>NPL</v>
          </cell>
          <cell r="B5424">
            <v>2011</v>
          </cell>
          <cell r="C5424" t="str">
            <v>magdpz</v>
          </cell>
          <cell r="D5424">
            <v>3.1929309368133545</v>
          </cell>
        </row>
        <row r="5425">
          <cell r="A5425" t="str">
            <v>NPL</v>
          </cell>
          <cell r="B5425">
            <v>2023</v>
          </cell>
          <cell r="C5425" t="str">
            <v>malabz</v>
          </cell>
          <cell r="D5425">
            <v>1.6269873380661011</v>
          </cell>
        </row>
        <row r="5426">
          <cell r="A5426" t="str">
            <v>NPL</v>
          </cell>
          <cell r="B5426">
            <v>2021</v>
          </cell>
          <cell r="C5426" t="str">
            <v>magdpz</v>
          </cell>
          <cell r="D5426">
            <v>4.8381495475769043</v>
          </cell>
        </row>
        <row r="5427">
          <cell r="A5427" t="str">
            <v>NPL</v>
          </cell>
          <cell r="B5427">
            <v>2011</v>
          </cell>
          <cell r="C5427" t="str">
            <v>maconz</v>
          </cell>
          <cell r="D5427">
            <v>9.3067474365234375</v>
          </cell>
        </row>
        <row r="5428">
          <cell r="A5428" t="str">
            <v>NPL</v>
          </cell>
          <cell r="B5428">
            <v>2005</v>
          </cell>
          <cell r="C5428" t="str">
            <v>mataxfc</v>
          </cell>
          <cell r="D5428">
            <v>5.2439570426940918</v>
          </cell>
        </row>
        <row r="5429">
          <cell r="A5429" t="str">
            <v>NPL</v>
          </cell>
          <cell r="B5429">
            <v>2010</v>
          </cell>
          <cell r="C5429" t="str">
            <v>masrvfc</v>
          </cell>
          <cell r="D5429">
            <v>5.8258237838745117</v>
          </cell>
        </row>
        <row r="5430">
          <cell r="A5430" t="str">
            <v>NPL</v>
          </cell>
          <cell r="B5430">
            <v>2019</v>
          </cell>
          <cell r="C5430" t="str">
            <v>maconz</v>
          </cell>
          <cell r="D5430">
            <v>8.1394767761230469</v>
          </cell>
        </row>
        <row r="5431">
          <cell r="A5431" t="str">
            <v>NPL</v>
          </cell>
          <cell r="B5431">
            <v>2012</v>
          </cell>
          <cell r="C5431" t="str">
            <v>malabz</v>
          </cell>
          <cell r="D5431">
            <v>1.0882893800735474</v>
          </cell>
        </row>
        <row r="5432">
          <cell r="A5432" t="str">
            <v>NPL</v>
          </cell>
          <cell r="B5432">
            <v>2007</v>
          </cell>
          <cell r="C5432" t="str">
            <v>mac_labz</v>
          </cell>
          <cell r="D5432">
            <v>1.0886484384536743</v>
          </cell>
        </row>
        <row r="5433">
          <cell r="A5433" t="str">
            <v>NPL</v>
          </cell>
          <cell r="B5433">
            <v>2016</v>
          </cell>
          <cell r="C5433" t="str">
            <v>mar_taxfc</v>
          </cell>
          <cell r="D5433">
            <v>9.9959182739257813</v>
          </cell>
        </row>
        <row r="5434">
          <cell r="A5434" t="str">
            <v>NPL</v>
          </cell>
          <cell r="B5434">
            <v>2021</v>
          </cell>
          <cell r="C5434" t="str">
            <v>magap_</v>
          </cell>
          <cell r="D5434">
            <v>-1.5340485572814941</v>
          </cell>
        </row>
        <row r="5435">
          <cell r="A5435" t="str">
            <v>NPL</v>
          </cell>
          <cell r="B5435">
            <v>2010</v>
          </cell>
          <cell r="C5435" t="str">
            <v>mar_srvfc</v>
          </cell>
          <cell r="D5435">
            <v>49.700298309326172</v>
          </cell>
        </row>
        <row r="5436">
          <cell r="A5436" t="str">
            <v>NPL</v>
          </cell>
          <cell r="B5436">
            <v>2020</v>
          </cell>
          <cell r="C5436" t="str">
            <v>maagrfc</v>
          </cell>
          <cell r="D5436">
            <v>2.4316577911376953</v>
          </cell>
        </row>
        <row r="5437">
          <cell r="A5437" t="str">
            <v>NPL</v>
          </cell>
          <cell r="B5437">
            <v>2006</v>
          </cell>
          <cell r="C5437" t="str">
            <v>mapanusatls</v>
          </cell>
          <cell r="D5437">
            <v>72.324661254882813</v>
          </cell>
        </row>
        <row r="5438">
          <cell r="A5438" t="str">
            <v>NPL</v>
          </cell>
          <cell r="B5438">
            <v>2010</v>
          </cell>
          <cell r="C5438" t="str">
            <v>mapanusatls</v>
          </cell>
          <cell r="D5438">
            <v>74.535987854003906</v>
          </cell>
        </row>
        <row r="5439">
          <cell r="A5439" t="str">
            <v>NPL</v>
          </cell>
          <cell r="B5439">
            <v>2024</v>
          </cell>
          <cell r="C5439" t="str">
            <v>mac_labz</v>
          </cell>
          <cell r="D5439">
            <v>1.0811299085617065</v>
          </cell>
        </row>
        <row r="5440">
          <cell r="A5440" t="str">
            <v>NPL</v>
          </cell>
          <cell r="B5440">
            <v>2019</v>
          </cell>
          <cell r="C5440" t="str">
            <v>mafdi_</v>
          </cell>
          <cell r="D5440">
            <v>-0.33856987953186035</v>
          </cell>
        </row>
        <row r="5441">
          <cell r="A5441" t="str">
            <v>NPL</v>
          </cell>
          <cell r="B5441">
            <v>2024</v>
          </cell>
          <cell r="C5441" t="str">
            <v>macpiz</v>
          </cell>
          <cell r="D5441">
            <v>6.6999998092651367</v>
          </cell>
        </row>
        <row r="5442">
          <cell r="A5442" t="str">
            <v>NPL</v>
          </cell>
          <cell r="B5442">
            <v>2021</v>
          </cell>
          <cell r="C5442" t="str">
            <v>mac_tfpz</v>
          </cell>
          <cell r="D5442">
            <v>1.3556143045425415</v>
          </cell>
        </row>
        <row r="5443">
          <cell r="A5443" t="str">
            <v>NPL</v>
          </cell>
          <cell r="B5443">
            <v>2010</v>
          </cell>
          <cell r="C5443" t="str">
            <v>malabz</v>
          </cell>
          <cell r="D5443">
            <v>1.5390366315841675</v>
          </cell>
        </row>
        <row r="5444">
          <cell r="A5444" t="str">
            <v>NPL</v>
          </cell>
          <cell r="B5444">
            <v>2010</v>
          </cell>
          <cell r="C5444" t="str">
            <v>magovz</v>
          </cell>
          <cell r="D5444">
            <v>1.3189685344696045</v>
          </cell>
        </row>
        <row r="5445">
          <cell r="A5445" t="str">
            <v>NPL</v>
          </cell>
          <cell r="B5445">
            <v>2023</v>
          </cell>
          <cell r="C5445" t="str">
            <v>mar_taxfc</v>
          </cell>
          <cell r="D5445">
            <v>11.411045074462891</v>
          </cell>
        </row>
        <row r="5446">
          <cell r="A5446" t="str">
            <v>NPL</v>
          </cell>
          <cell r="B5446">
            <v>2022</v>
          </cell>
          <cell r="C5446" t="str">
            <v>mar_expz</v>
          </cell>
          <cell r="D5446">
            <v>7.1504545211791992</v>
          </cell>
        </row>
        <row r="5447">
          <cell r="A5447" t="str">
            <v>NPL</v>
          </cell>
          <cell r="B5447">
            <v>2010</v>
          </cell>
          <cell r="C5447" t="str">
            <v>macpiz</v>
          </cell>
          <cell r="D5447">
            <v>9.5761117935180664</v>
          </cell>
        </row>
        <row r="5448">
          <cell r="A5448" t="str">
            <v>NPL</v>
          </cell>
          <cell r="B5448">
            <v>2021</v>
          </cell>
          <cell r="C5448" t="str">
            <v>maagrfc</v>
          </cell>
          <cell r="D5448">
            <v>2.8486068248748779</v>
          </cell>
        </row>
        <row r="5449">
          <cell r="A5449" t="str">
            <v>NPL</v>
          </cell>
          <cell r="B5449">
            <v>2009</v>
          </cell>
          <cell r="C5449" t="str">
            <v>mar_srvfc</v>
          </cell>
          <cell r="D5449">
            <v>48.930210113525391</v>
          </cell>
        </row>
        <row r="5450">
          <cell r="A5450" t="str">
            <v>NPL</v>
          </cell>
          <cell r="B5450">
            <v>2010</v>
          </cell>
          <cell r="C5450" t="str">
            <v>mac_labz</v>
          </cell>
          <cell r="D5450">
            <v>1.077325701713562</v>
          </cell>
        </row>
        <row r="5451">
          <cell r="A5451" t="str">
            <v>NPL</v>
          </cell>
          <cell r="B5451">
            <v>2011</v>
          </cell>
          <cell r="C5451" t="str">
            <v>maexpz</v>
          </cell>
          <cell r="D5451">
            <v>-31.460847854614258</v>
          </cell>
        </row>
        <row r="5452">
          <cell r="A5452" t="str">
            <v>NPL</v>
          </cell>
          <cell r="B5452">
            <v>2023</v>
          </cell>
          <cell r="C5452" t="str">
            <v>mar_indfc</v>
          </cell>
          <cell r="D5452">
            <v>16.397470474243164</v>
          </cell>
        </row>
        <row r="5453">
          <cell r="A5453" t="str">
            <v>NPL</v>
          </cell>
          <cell r="B5453">
            <v>2021</v>
          </cell>
          <cell r="C5453" t="str">
            <v>mar_impz</v>
          </cell>
          <cell r="D5453">
            <v>45.332778930664063</v>
          </cell>
        </row>
        <row r="5454">
          <cell r="A5454" t="str">
            <v>NPL</v>
          </cell>
          <cell r="B5454">
            <v>2017</v>
          </cell>
          <cell r="C5454" t="str">
            <v>maexpz</v>
          </cell>
          <cell r="D5454">
            <v>8.8553037643432617</v>
          </cell>
        </row>
        <row r="5455">
          <cell r="A5455" t="str">
            <v>NPL</v>
          </cell>
          <cell r="B5455">
            <v>2023</v>
          </cell>
          <cell r="C5455" t="str">
            <v>mafdi_</v>
          </cell>
          <cell r="D5455">
            <v>-0.11077747493982315</v>
          </cell>
        </row>
        <row r="5456">
          <cell r="A5456" t="str">
            <v>NPL</v>
          </cell>
          <cell r="B5456">
            <v>2005</v>
          </cell>
          <cell r="C5456" t="str">
            <v>mar_taxfc</v>
          </cell>
          <cell r="D5456">
            <v>8.0739536285400391</v>
          </cell>
        </row>
        <row r="5457">
          <cell r="A5457" t="str">
            <v>NPL</v>
          </cell>
          <cell r="B5457">
            <v>2006</v>
          </cell>
          <cell r="C5457" t="str">
            <v>magdpz</v>
          </cell>
          <cell r="D5457">
            <v>3.3646144866943359</v>
          </cell>
        </row>
        <row r="5458">
          <cell r="A5458" t="str">
            <v>NPL</v>
          </cell>
          <cell r="B5458">
            <v>2009</v>
          </cell>
          <cell r="C5458" t="str">
            <v>mainvz</v>
          </cell>
          <cell r="D5458">
            <v>0.4939359724521637</v>
          </cell>
        </row>
        <row r="5459">
          <cell r="A5459" t="str">
            <v>NPL</v>
          </cell>
          <cell r="B5459">
            <v>2022</v>
          </cell>
          <cell r="C5459" t="str">
            <v>magap_</v>
          </cell>
          <cell r="D5459">
            <v>-9.8649412393569946E-2</v>
          </cell>
        </row>
        <row r="5460">
          <cell r="A5460" t="str">
            <v>NPL</v>
          </cell>
          <cell r="B5460">
            <v>2007</v>
          </cell>
          <cell r="C5460" t="str">
            <v>madeficit_</v>
          </cell>
          <cell r="D5460">
            <v>-0.65419375896453857</v>
          </cell>
        </row>
        <row r="5461">
          <cell r="A5461" t="str">
            <v>NPL</v>
          </cell>
          <cell r="B5461">
            <v>2009</v>
          </cell>
          <cell r="C5461" t="str">
            <v>magovz</v>
          </cell>
          <cell r="D5461">
            <v>9.7063655853271484</v>
          </cell>
        </row>
        <row r="5462">
          <cell r="A5462" t="str">
            <v>NPL</v>
          </cell>
          <cell r="B5462">
            <v>2013</v>
          </cell>
          <cell r="C5462" t="str">
            <v>mafdi_</v>
          </cell>
          <cell r="D5462">
            <v>-0.46590694785118103</v>
          </cell>
        </row>
        <row r="5463">
          <cell r="A5463" t="str">
            <v>NPL</v>
          </cell>
          <cell r="B5463">
            <v>2006</v>
          </cell>
          <cell r="C5463" t="str">
            <v>mareer</v>
          </cell>
          <cell r="D5463">
            <v>76.372543334960938</v>
          </cell>
        </row>
        <row r="5464">
          <cell r="A5464" t="str">
            <v>NPL</v>
          </cell>
          <cell r="B5464">
            <v>2025</v>
          </cell>
          <cell r="C5464" t="str">
            <v>magap_</v>
          </cell>
          <cell r="D5464">
            <v>-2.5229959487915039</v>
          </cell>
        </row>
        <row r="5465">
          <cell r="A5465" t="str">
            <v>NPL</v>
          </cell>
          <cell r="B5465">
            <v>2019</v>
          </cell>
          <cell r="C5465" t="str">
            <v>malabz</v>
          </cell>
          <cell r="D5465">
            <v>2.0412356853485107</v>
          </cell>
        </row>
        <row r="5466">
          <cell r="A5466" t="str">
            <v>NPL</v>
          </cell>
          <cell r="B5466">
            <v>2023</v>
          </cell>
          <cell r="C5466" t="str">
            <v>maimpz</v>
          </cell>
          <cell r="D5466">
            <v>-17.180299758911133</v>
          </cell>
        </row>
        <row r="5467">
          <cell r="A5467" t="str">
            <v>NPL</v>
          </cell>
          <cell r="B5467">
            <v>2005</v>
          </cell>
          <cell r="C5467" t="str">
            <v>maagrfc</v>
          </cell>
          <cell r="D5467">
            <v>3.4978744983673096</v>
          </cell>
        </row>
        <row r="5468">
          <cell r="A5468" t="str">
            <v>NPL</v>
          </cell>
          <cell r="B5468">
            <v>2005</v>
          </cell>
          <cell r="C5468" t="str">
            <v>macab_</v>
          </cell>
          <cell r="D5468">
            <v>1.7133356332778931</v>
          </cell>
        </row>
        <row r="5469">
          <cell r="A5469" t="str">
            <v>NPL</v>
          </cell>
          <cell r="B5469">
            <v>2008</v>
          </cell>
          <cell r="C5469" t="str">
            <v>mar_expz</v>
          </cell>
          <cell r="D5469">
            <v>13.842300415039063</v>
          </cell>
        </row>
        <row r="5470">
          <cell r="A5470" t="str">
            <v>NPL</v>
          </cell>
          <cell r="B5470">
            <v>2008</v>
          </cell>
          <cell r="C5470" t="str">
            <v>mar_con</v>
          </cell>
          <cell r="D5470">
            <v>78.02630615234375</v>
          </cell>
        </row>
        <row r="5471">
          <cell r="A5471" t="str">
            <v>NPL</v>
          </cell>
          <cell r="B5471">
            <v>2026</v>
          </cell>
          <cell r="C5471" t="str">
            <v>macpiz</v>
          </cell>
          <cell r="D5471">
            <v>5.5</v>
          </cell>
        </row>
        <row r="5472">
          <cell r="A5472" t="str">
            <v>NPL</v>
          </cell>
          <cell r="B5472">
            <v>2020</v>
          </cell>
          <cell r="C5472" t="str">
            <v>mar_indfc</v>
          </cell>
          <cell r="D5472">
            <v>15.457028388977051</v>
          </cell>
        </row>
        <row r="5473">
          <cell r="A5473" t="str">
            <v>NPL</v>
          </cell>
          <cell r="B5473">
            <v>2011</v>
          </cell>
          <cell r="C5473" t="str">
            <v>mar_impz</v>
          </cell>
          <cell r="D5473">
            <v>28.490623474121094</v>
          </cell>
        </row>
        <row r="5474">
          <cell r="A5474" t="str">
            <v>NPL</v>
          </cell>
          <cell r="B5474">
            <v>2005</v>
          </cell>
          <cell r="C5474" t="str">
            <v>magovz</v>
          </cell>
          <cell r="D5474">
            <v>1.2414673566818237</v>
          </cell>
        </row>
        <row r="5475">
          <cell r="A5475" t="str">
            <v>NPL</v>
          </cell>
          <cell r="B5475">
            <v>2021</v>
          </cell>
          <cell r="C5475" t="str">
            <v>macab_</v>
          </cell>
          <cell r="D5475">
            <v>-7.6661248207092285</v>
          </cell>
        </row>
        <row r="5476">
          <cell r="A5476" t="str">
            <v>NPL</v>
          </cell>
          <cell r="B5476">
            <v>2005</v>
          </cell>
          <cell r="C5476" t="str">
            <v>mainvz</v>
          </cell>
          <cell r="D5476">
            <v>0.5255693793296814</v>
          </cell>
        </row>
        <row r="5477">
          <cell r="A5477" t="str">
            <v>NPL</v>
          </cell>
          <cell r="B5477">
            <v>2005</v>
          </cell>
          <cell r="C5477" t="str">
            <v>mar_expz</v>
          </cell>
          <cell r="D5477">
            <v>15.941013336181641</v>
          </cell>
        </row>
        <row r="5478">
          <cell r="A5478" t="str">
            <v>NPL</v>
          </cell>
          <cell r="B5478">
            <v>2024</v>
          </cell>
          <cell r="C5478" t="str">
            <v>mar_srvfc</v>
          </cell>
          <cell r="D5478">
            <v>54.584705352783203</v>
          </cell>
        </row>
        <row r="5479">
          <cell r="A5479" t="str">
            <v>NPL</v>
          </cell>
          <cell r="B5479">
            <v>2011</v>
          </cell>
          <cell r="C5479" t="str">
            <v>mar_srvfc</v>
          </cell>
          <cell r="D5479">
            <v>52.010768890380859</v>
          </cell>
        </row>
        <row r="5480">
          <cell r="A5480" t="str">
            <v>NPL</v>
          </cell>
          <cell r="B5480">
            <v>2008</v>
          </cell>
          <cell r="C5480" t="str">
            <v>magap_</v>
          </cell>
          <cell r="D5480">
            <v>0.21620060503482819</v>
          </cell>
        </row>
        <row r="5481">
          <cell r="A5481" t="str">
            <v>NPL</v>
          </cell>
          <cell r="B5481">
            <v>2005</v>
          </cell>
          <cell r="C5481" t="str">
            <v>mar_con</v>
          </cell>
          <cell r="D5481">
            <v>80.36053466796875</v>
          </cell>
        </row>
        <row r="5482">
          <cell r="A5482" t="str">
            <v>NPL</v>
          </cell>
          <cell r="B5482">
            <v>2005</v>
          </cell>
          <cell r="C5482" t="str">
            <v>mareer</v>
          </cell>
          <cell r="D5482">
            <v>0</v>
          </cell>
        </row>
        <row r="5483">
          <cell r="A5483" t="str">
            <v>NPL</v>
          </cell>
          <cell r="B5483">
            <v>2008</v>
          </cell>
          <cell r="C5483" t="str">
            <v>maexpz</v>
          </cell>
          <cell r="D5483">
            <v>0.72701311111450195</v>
          </cell>
        </row>
        <row r="5484">
          <cell r="A5484" t="str">
            <v>NPL</v>
          </cell>
          <cell r="B5484">
            <v>2008</v>
          </cell>
          <cell r="C5484" t="str">
            <v>madeficit_</v>
          </cell>
          <cell r="D5484">
            <v>-0.18292658030986786</v>
          </cell>
        </row>
        <row r="5485">
          <cell r="A5485" t="str">
            <v>NPL</v>
          </cell>
          <cell r="B5485">
            <v>2020</v>
          </cell>
          <cell r="C5485" t="str">
            <v>mareer</v>
          </cell>
          <cell r="D5485">
            <v>105.58545684814453</v>
          </cell>
        </row>
        <row r="5486">
          <cell r="A5486" t="str">
            <v>NPL</v>
          </cell>
          <cell r="B5486">
            <v>2008</v>
          </cell>
          <cell r="C5486" t="str">
            <v>macab_</v>
          </cell>
          <cell r="D5486">
            <v>2.5395033359527588</v>
          </cell>
        </row>
        <row r="5487">
          <cell r="A5487" t="str">
            <v>NPL</v>
          </cell>
          <cell r="B5487">
            <v>2020</v>
          </cell>
          <cell r="C5487" t="str">
            <v>mainvz</v>
          </cell>
          <cell r="D5487">
            <v>-8.9300003051757813</v>
          </cell>
        </row>
        <row r="5488">
          <cell r="A5488" t="str">
            <v>NPL</v>
          </cell>
          <cell r="B5488">
            <v>2018</v>
          </cell>
          <cell r="C5488" t="str">
            <v>mataxfc</v>
          </cell>
          <cell r="D5488">
            <v>10.020631790161133</v>
          </cell>
        </row>
        <row r="5489">
          <cell r="A5489" t="str">
            <v>NPL</v>
          </cell>
          <cell r="B5489">
            <v>2021</v>
          </cell>
          <cell r="C5489" t="str">
            <v>magovz</v>
          </cell>
          <cell r="D5489">
            <v>-1.6557058095932007</v>
          </cell>
        </row>
        <row r="5490">
          <cell r="A5490" t="str">
            <v>NPL</v>
          </cell>
          <cell r="B5490">
            <v>2020</v>
          </cell>
          <cell r="C5490" t="str">
            <v>maconz</v>
          </cell>
          <cell r="D5490">
            <v>3.5960607528686523</v>
          </cell>
        </row>
        <row r="5491">
          <cell r="A5491" t="str">
            <v>NPL</v>
          </cell>
          <cell r="B5491">
            <v>2006</v>
          </cell>
          <cell r="C5491" t="str">
            <v>mar_indfc</v>
          </cell>
          <cell r="D5491">
            <v>16.737628936767578</v>
          </cell>
        </row>
        <row r="5492">
          <cell r="A5492" t="str">
            <v>NPL</v>
          </cell>
          <cell r="B5492">
            <v>2020</v>
          </cell>
          <cell r="C5492" t="str">
            <v>madebt_</v>
          </cell>
          <cell r="D5492">
            <v>36.860675811767578</v>
          </cell>
        </row>
        <row r="5493">
          <cell r="A5493" t="str">
            <v>NPL</v>
          </cell>
          <cell r="B5493">
            <v>2007</v>
          </cell>
          <cell r="C5493" t="str">
            <v>mar_impz</v>
          </cell>
          <cell r="D5493">
            <v>29.795480728149414</v>
          </cell>
        </row>
        <row r="5494">
          <cell r="A5494" t="str">
            <v>NPL</v>
          </cell>
          <cell r="B5494">
            <v>2020</v>
          </cell>
          <cell r="C5494" t="str">
            <v>maexpz</v>
          </cell>
          <cell r="D5494">
            <v>-15.882139205932617</v>
          </cell>
        </row>
        <row r="5495">
          <cell r="A5495" t="str">
            <v>NPL</v>
          </cell>
          <cell r="B5495">
            <v>2020</v>
          </cell>
          <cell r="C5495" t="str">
            <v>mafdi_</v>
          </cell>
          <cell r="D5495">
            <v>-0.4994964599609375</v>
          </cell>
        </row>
        <row r="5496">
          <cell r="A5496" t="str">
            <v>NPL</v>
          </cell>
          <cell r="B5496">
            <v>2006</v>
          </cell>
          <cell r="C5496" t="str">
            <v>mataxfc</v>
          </cell>
          <cell r="D5496">
            <v>-5.3343915939331055</v>
          </cell>
        </row>
        <row r="5497">
          <cell r="A5497" t="str">
            <v>NPL</v>
          </cell>
          <cell r="B5497">
            <v>2015</v>
          </cell>
          <cell r="C5497" t="str">
            <v>magdpz</v>
          </cell>
          <cell r="D5497">
            <v>3.9760532379150391</v>
          </cell>
        </row>
        <row r="5498">
          <cell r="A5498" t="str">
            <v>NPL</v>
          </cell>
          <cell r="B5498">
            <v>2020</v>
          </cell>
          <cell r="C5498" t="str">
            <v>maindfc</v>
          </cell>
          <cell r="D5498">
            <v>-4.0234551429748535</v>
          </cell>
        </row>
        <row r="5499">
          <cell r="A5499" t="str">
            <v>NPL</v>
          </cell>
          <cell r="B5499">
            <v>2007</v>
          </cell>
          <cell r="C5499" t="str">
            <v>magovz</v>
          </cell>
          <cell r="D5499">
            <v>7.1648945808410645</v>
          </cell>
        </row>
        <row r="5500">
          <cell r="A5500" t="str">
            <v>NPL</v>
          </cell>
          <cell r="B5500">
            <v>2007</v>
          </cell>
          <cell r="C5500" t="str">
            <v>mafdi_</v>
          </cell>
          <cell r="D5500">
            <v>-4.3543435633182526E-2</v>
          </cell>
        </row>
        <row r="5501">
          <cell r="A5501" t="str">
            <v>NPL</v>
          </cell>
          <cell r="B5501">
            <v>2021</v>
          </cell>
          <cell r="C5501" t="str">
            <v>mar_indfc</v>
          </cell>
          <cell r="D5501">
            <v>15.820841789245605</v>
          </cell>
        </row>
        <row r="5502">
          <cell r="A5502" t="str">
            <v>NPL</v>
          </cell>
          <cell r="B5502">
            <v>2007</v>
          </cell>
          <cell r="C5502" t="str">
            <v>macpiz</v>
          </cell>
          <cell r="D5502">
            <v>5.9000067710876465</v>
          </cell>
        </row>
        <row r="5503">
          <cell r="A5503" t="str">
            <v>NPL</v>
          </cell>
          <cell r="B5503">
            <v>2016</v>
          </cell>
          <cell r="C5503" t="str">
            <v>maimpz</v>
          </cell>
          <cell r="D5503">
            <v>3.1511096954345703</v>
          </cell>
        </row>
        <row r="5504">
          <cell r="A5504" t="str">
            <v>NPL</v>
          </cell>
          <cell r="B5504">
            <v>2011</v>
          </cell>
          <cell r="C5504" t="str">
            <v>matfpz</v>
          </cell>
          <cell r="D5504">
            <v>0.63031578063964844</v>
          </cell>
        </row>
        <row r="5505">
          <cell r="A5505" t="str">
            <v>NPL</v>
          </cell>
          <cell r="B5505">
            <v>2024</v>
          </cell>
          <cell r="C5505" t="str">
            <v>masrvfc</v>
          </cell>
          <cell r="D5505">
            <v>4.0174756050109863</v>
          </cell>
        </row>
        <row r="5506">
          <cell r="A5506" t="str">
            <v>NPL</v>
          </cell>
          <cell r="B5506">
            <v>2021</v>
          </cell>
          <cell r="C5506" t="str">
            <v>masrvfc</v>
          </cell>
          <cell r="D5506">
            <v>4.710667610168457</v>
          </cell>
        </row>
        <row r="5507">
          <cell r="A5507" t="str">
            <v>NPL</v>
          </cell>
          <cell r="B5507">
            <v>2026</v>
          </cell>
          <cell r="C5507" t="str">
            <v>mar_expz</v>
          </cell>
          <cell r="D5507">
            <v>8.8568277359008789</v>
          </cell>
        </row>
        <row r="5508">
          <cell r="A5508" t="str">
            <v>NPL</v>
          </cell>
          <cell r="B5508">
            <v>2014</v>
          </cell>
          <cell r="C5508" t="str">
            <v>mar_expz</v>
          </cell>
          <cell r="D5508">
            <v>10.870475769042969</v>
          </cell>
        </row>
        <row r="5509">
          <cell r="A5509" t="str">
            <v>NPL</v>
          </cell>
          <cell r="B5509">
            <v>2017</v>
          </cell>
          <cell r="C5509" t="str">
            <v>mar_expz</v>
          </cell>
          <cell r="D5509">
            <v>8.7977142333984375</v>
          </cell>
        </row>
        <row r="5510">
          <cell r="A5510" t="str">
            <v>NPL</v>
          </cell>
          <cell r="B5510">
            <v>2022</v>
          </cell>
          <cell r="C5510" t="str">
            <v>maindfc</v>
          </cell>
          <cell r="D5510">
            <v>10.796493530273438</v>
          </cell>
        </row>
        <row r="5511">
          <cell r="A5511" t="str">
            <v>NPL</v>
          </cell>
          <cell r="B5511">
            <v>2012</v>
          </cell>
          <cell r="C5511" t="str">
            <v>maindfc</v>
          </cell>
          <cell r="D5511">
            <v>5.8517565727233887</v>
          </cell>
        </row>
        <row r="5512">
          <cell r="A5512" t="str">
            <v>NPL</v>
          </cell>
          <cell r="B5512">
            <v>2007</v>
          </cell>
          <cell r="C5512" t="str">
            <v>magdpz</v>
          </cell>
          <cell r="D5512">
            <v>3.41156005859375</v>
          </cell>
        </row>
        <row r="5513">
          <cell r="A5513" t="str">
            <v>NPL</v>
          </cell>
          <cell r="B5513">
            <v>2024</v>
          </cell>
          <cell r="C5513" t="str">
            <v>maexpz</v>
          </cell>
          <cell r="D5513">
            <v>5.4000000953674316</v>
          </cell>
        </row>
        <row r="5514">
          <cell r="A5514" t="str">
            <v>NPL</v>
          </cell>
          <cell r="B5514">
            <v>2020</v>
          </cell>
          <cell r="C5514" t="str">
            <v>mataxfc</v>
          </cell>
          <cell r="D5514">
            <v>-1.8783999681472778</v>
          </cell>
        </row>
        <row r="5515">
          <cell r="A5515" t="str">
            <v>NPL</v>
          </cell>
          <cell r="B5515">
            <v>2010</v>
          </cell>
          <cell r="C5515" t="str">
            <v>mareer</v>
          </cell>
          <cell r="D5515">
            <v>83.920463562011719</v>
          </cell>
        </row>
        <row r="5516">
          <cell r="A5516" t="str">
            <v>NPL</v>
          </cell>
          <cell r="B5516">
            <v>2018</v>
          </cell>
          <cell r="C5516" t="str">
            <v>mar_agrfc</v>
          </cell>
          <cell r="D5516">
            <v>29.463895797729492</v>
          </cell>
        </row>
        <row r="5517">
          <cell r="A5517" t="str">
            <v>NPL</v>
          </cell>
          <cell r="B5517">
            <v>2013</v>
          </cell>
          <cell r="C5517" t="str">
            <v>mar_impz</v>
          </cell>
          <cell r="D5517">
            <v>30.921886444091797</v>
          </cell>
        </row>
        <row r="5518">
          <cell r="A5518" t="str">
            <v>NPL</v>
          </cell>
          <cell r="B5518">
            <v>2007</v>
          </cell>
          <cell r="C5518" t="str">
            <v>malabz</v>
          </cell>
          <cell r="D5518">
            <v>1.5552120208740234</v>
          </cell>
        </row>
        <row r="5519">
          <cell r="A5519" t="str">
            <v>NPL</v>
          </cell>
          <cell r="B5519">
            <v>2015</v>
          </cell>
          <cell r="C5519" t="str">
            <v>mareer</v>
          </cell>
          <cell r="D5519">
            <v>100</v>
          </cell>
        </row>
        <row r="5520">
          <cell r="A5520" t="str">
            <v>NPL</v>
          </cell>
          <cell r="B5520">
            <v>2021</v>
          </cell>
          <cell r="C5520" t="str">
            <v>maconz</v>
          </cell>
          <cell r="D5520">
            <v>7.9669570922851563</v>
          </cell>
        </row>
        <row r="5521">
          <cell r="A5521" t="str">
            <v>NPL</v>
          </cell>
          <cell r="B5521">
            <v>2018</v>
          </cell>
          <cell r="C5521" t="str">
            <v>macab_</v>
          </cell>
          <cell r="D5521">
            <v>-7.1419515609741211</v>
          </cell>
        </row>
        <row r="5522">
          <cell r="A5522" t="str">
            <v>NPL</v>
          </cell>
          <cell r="B5522">
            <v>2009</v>
          </cell>
          <cell r="C5522" t="str">
            <v>macab_</v>
          </cell>
          <cell r="D5522">
            <v>3.667733907699585</v>
          </cell>
        </row>
        <row r="5523">
          <cell r="A5523" t="str">
            <v>NPL</v>
          </cell>
          <cell r="B5523">
            <v>2020</v>
          </cell>
          <cell r="C5523" t="str">
            <v>magdpz</v>
          </cell>
          <cell r="D5523">
            <v>-2.3696205615997314</v>
          </cell>
        </row>
        <row r="5524">
          <cell r="A5524" t="str">
            <v>NPL</v>
          </cell>
          <cell r="B5524">
            <v>2022</v>
          </cell>
          <cell r="C5524" t="str">
            <v>mainvz</v>
          </cell>
          <cell r="D5524">
            <v>3.8153998851776123</v>
          </cell>
        </row>
        <row r="5525">
          <cell r="A5525" t="str">
            <v>NPL</v>
          </cell>
          <cell r="B5525">
            <v>2009</v>
          </cell>
          <cell r="C5525" t="str">
            <v>mar_expz</v>
          </cell>
          <cell r="D5525">
            <v>13.75477409362793</v>
          </cell>
        </row>
        <row r="5526">
          <cell r="A5526" t="str">
            <v>NPL</v>
          </cell>
          <cell r="B5526">
            <v>2006</v>
          </cell>
          <cell r="C5526" t="str">
            <v>mar_impz</v>
          </cell>
          <cell r="D5526">
            <v>29.930313110351563</v>
          </cell>
        </row>
        <row r="5527">
          <cell r="A5527" t="str">
            <v>NPL</v>
          </cell>
          <cell r="B5527">
            <v>2011</v>
          </cell>
          <cell r="C5527" t="str">
            <v>mafdi_</v>
          </cell>
          <cell r="D5527">
            <v>-0.41284036636352539</v>
          </cell>
        </row>
        <row r="5528">
          <cell r="A5528" t="str">
            <v>NPL</v>
          </cell>
          <cell r="B5528">
            <v>2021</v>
          </cell>
          <cell r="C5528" t="str">
            <v>mar_taxfc</v>
          </cell>
          <cell r="D5528">
            <v>11.361098289489746</v>
          </cell>
        </row>
        <row r="5529">
          <cell r="A5529" t="str">
            <v>NPL</v>
          </cell>
          <cell r="B5529">
            <v>2017</v>
          </cell>
          <cell r="C5529" t="str">
            <v>mafdi_</v>
          </cell>
          <cell r="D5529">
            <v>-0.4388464093208313</v>
          </cell>
        </row>
        <row r="5530">
          <cell r="A5530" t="str">
            <v>NPL</v>
          </cell>
          <cell r="B5530">
            <v>2015</v>
          </cell>
          <cell r="C5530" t="str">
            <v>malabz</v>
          </cell>
          <cell r="D5530">
            <v>1.4156047105789185</v>
          </cell>
        </row>
        <row r="5531">
          <cell r="A5531" t="str">
            <v>NPL</v>
          </cell>
          <cell r="B5531">
            <v>2026</v>
          </cell>
          <cell r="C5531" t="str">
            <v>macab_</v>
          </cell>
          <cell r="D5531">
            <v>1.0217533111572266</v>
          </cell>
        </row>
        <row r="5532">
          <cell r="A5532" t="str">
            <v>NPL</v>
          </cell>
          <cell r="B5532">
            <v>2005</v>
          </cell>
          <cell r="C5532" t="str">
            <v>mar_indfc</v>
          </cell>
          <cell r="D5532">
            <v>16.67298698425293</v>
          </cell>
        </row>
        <row r="5533">
          <cell r="A5533" t="str">
            <v>NPL</v>
          </cell>
          <cell r="B5533">
            <v>2026</v>
          </cell>
          <cell r="C5533" t="str">
            <v>mar_con</v>
          </cell>
          <cell r="D5533">
            <v>83.994003295898438</v>
          </cell>
        </row>
        <row r="5534">
          <cell r="A5534" t="str">
            <v>NPL</v>
          </cell>
          <cell r="B5534">
            <v>2013</v>
          </cell>
          <cell r="C5534" t="str">
            <v>mar_agrfc</v>
          </cell>
          <cell r="D5534">
            <v>32.979827880859375</v>
          </cell>
        </row>
        <row r="5535">
          <cell r="A5535" t="str">
            <v>NPL</v>
          </cell>
          <cell r="B5535">
            <v>2012</v>
          </cell>
          <cell r="C5535" t="str">
            <v>mareer</v>
          </cell>
          <cell r="D5535">
            <v>92.299903869628906</v>
          </cell>
        </row>
        <row r="5536">
          <cell r="A5536" t="str">
            <v>NPL</v>
          </cell>
          <cell r="B5536">
            <v>2007</v>
          </cell>
          <cell r="C5536" t="str">
            <v>mar_agrfc</v>
          </cell>
          <cell r="D5536">
            <v>35.901454925537109</v>
          </cell>
        </row>
        <row r="5537">
          <cell r="A5537" t="str">
            <v>NPL</v>
          </cell>
          <cell r="B5537">
            <v>2024</v>
          </cell>
          <cell r="C5537" t="str">
            <v>mar_impz</v>
          </cell>
          <cell r="D5537">
            <v>37.132400512695313</v>
          </cell>
        </row>
        <row r="5538">
          <cell r="A5538" t="str">
            <v>NPL</v>
          </cell>
          <cell r="B5538">
            <v>2005</v>
          </cell>
          <cell r="C5538" t="str">
            <v>mar_impz</v>
          </cell>
          <cell r="D5538">
            <v>29.060811996459961</v>
          </cell>
        </row>
        <row r="5539">
          <cell r="A5539" t="str">
            <v>NPL</v>
          </cell>
          <cell r="B5539">
            <v>2017</v>
          </cell>
          <cell r="C5539" t="str">
            <v>mataxfc</v>
          </cell>
          <cell r="D5539">
            <v>12.857922554016113</v>
          </cell>
        </row>
        <row r="5540">
          <cell r="A5540" t="str">
            <v>NPL</v>
          </cell>
          <cell r="B5540">
            <v>2013</v>
          </cell>
          <cell r="C5540" t="str">
            <v>mainvz</v>
          </cell>
          <cell r="D5540">
            <v>8.7589836120605469</v>
          </cell>
        </row>
        <row r="5541">
          <cell r="A5541" t="str">
            <v>NPL</v>
          </cell>
          <cell r="B5541">
            <v>2025</v>
          </cell>
          <cell r="C5541" t="str">
            <v>macab_</v>
          </cell>
          <cell r="D5541">
            <v>1.5857539176940918</v>
          </cell>
        </row>
        <row r="5542">
          <cell r="A5542" t="str">
            <v>NPL</v>
          </cell>
          <cell r="B5542">
            <v>2006</v>
          </cell>
          <cell r="C5542" t="str">
            <v>madebt_</v>
          </cell>
          <cell r="D5542">
            <v>43.186332702636719</v>
          </cell>
        </row>
        <row r="5543">
          <cell r="A5543" t="str">
            <v>NPL</v>
          </cell>
          <cell r="B5543">
            <v>2008</v>
          </cell>
          <cell r="C5543" t="str">
            <v>malabz</v>
          </cell>
          <cell r="D5543">
            <v>1.5530617237091064</v>
          </cell>
        </row>
        <row r="5544">
          <cell r="A5544" t="str">
            <v>NPL</v>
          </cell>
          <cell r="B5544">
            <v>2022</v>
          </cell>
          <cell r="C5544" t="str">
            <v>mareer</v>
          </cell>
          <cell r="D5544">
            <v>107.33032989501953</v>
          </cell>
        </row>
        <row r="5545">
          <cell r="A5545" t="str">
            <v>NPL</v>
          </cell>
          <cell r="B5545">
            <v>2016</v>
          </cell>
          <cell r="C5545" t="str">
            <v>macpiz</v>
          </cell>
          <cell r="D5545">
            <v>9.9525003433227539</v>
          </cell>
        </row>
        <row r="5546">
          <cell r="A5546" t="str">
            <v>NPL</v>
          </cell>
          <cell r="B5546">
            <v>2012</v>
          </cell>
          <cell r="C5546" t="str">
            <v>maexpz</v>
          </cell>
          <cell r="D5546">
            <v>20.192960739135742</v>
          </cell>
        </row>
        <row r="5547">
          <cell r="A5547" t="str">
            <v>NPL</v>
          </cell>
          <cell r="B5547">
            <v>2024</v>
          </cell>
          <cell r="C5547" t="str">
            <v>mapanusatls</v>
          </cell>
          <cell r="D5547">
            <v>132.86567687988281</v>
          </cell>
        </row>
        <row r="5548">
          <cell r="A5548" t="str">
            <v>NPL</v>
          </cell>
          <cell r="B5548">
            <v>2025</v>
          </cell>
          <cell r="C5548" t="str">
            <v>magovz</v>
          </cell>
          <cell r="D5548">
            <v>9.206817626953125</v>
          </cell>
        </row>
        <row r="5549">
          <cell r="A5549" t="str">
            <v>NPL</v>
          </cell>
          <cell r="B5549">
            <v>2025</v>
          </cell>
          <cell r="C5549" t="str">
            <v>malabz</v>
          </cell>
          <cell r="D5549">
            <v>1.4780603647232056</v>
          </cell>
        </row>
        <row r="5550">
          <cell r="A5550" t="str">
            <v>NPL</v>
          </cell>
          <cell r="B5550">
            <v>2025</v>
          </cell>
          <cell r="C5550" t="str">
            <v>mareer</v>
          </cell>
          <cell r="D5550">
            <v>109.56341552734375</v>
          </cell>
        </row>
        <row r="5551">
          <cell r="A5551" t="str">
            <v>NPL</v>
          </cell>
          <cell r="B5551">
            <v>2008</v>
          </cell>
          <cell r="C5551" t="str">
            <v>mainvz</v>
          </cell>
          <cell r="D5551">
            <v>1.8533735275268555</v>
          </cell>
        </row>
        <row r="5552">
          <cell r="A5552" t="str">
            <v>NPL</v>
          </cell>
          <cell r="B5552">
            <v>2006</v>
          </cell>
          <cell r="C5552" t="str">
            <v>maexpz</v>
          </cell>
          <cell r="D5552">
            <v>-1.2937197685241699</v>
          </cell>
        </row>
        <row r="5553">
          <cell r="A5553" t="str">
            <v>NPL</v>
          </cell>
          <cell r="B5553">
            <v>2005</v>
          </cell>
          <cell r="C5553" t="str">
            <v>mac_labz</v>
          </cell>
          <cell r="D5553">
            <v>0</v>
          </cell>
        </row>
        <row r="5554">
          <cell r="A5554" t="str">
            <v>NPL</v>
          </cell>
          <cell r="B5554">
            <v>2025</v>
          </cell>
          <cell r="C5554" t="str">
            <v>mar_indfc</v>
          </cell>
          <cell r="D5554">
            <v>16.505748748779297</v>
          </cell>
        </row>
        <row r="5555">
          <cell r="A5555" t="str">
            <v>NPL</v>
          </cell>
          <cell r="B5555">
            <v>2022</v>
          </cell>
          <cell r="C5555" t="str">
            <v>macpiz</v>
          </cell>
          <cell r="D5555">
            <v>6.346015453338623</v>
          </cell>
        </row>
        <row r="5556">
          <cell r="A5556" t="str">
            <v>NPL</v>
          </cell>
          <cell r="B5556">
            <v>2020</v>
          </cell>
          <cell r="C5556" t="str">
            <v>mar_taxfc</v>
          </cell>
          <cell r="D5556">
            <v>10.988040924072266</v>
          </cell>
        </row>
        <row r="5557">
          <cell r="A5557" t="str">
            <v>NPL</v>
          </cell>
          <cell r="B5557">
            <v>2019</v>
          </cell>
          <cell r="C5557" t="str">
            <v>mar_con</v>
          </cell>
          <cell r="D5557">
            <v>76.034942626953125</v>
          </cell>
        </row>
        <row r="5558">
          <cell r="A5558" t="str">
            <v>NPL</v>
          </cell>
          <cell r="B5558">
            <v>2025</v>
          </cell>
          <cell r="C5558" t="str">
            <v>magdpz</v>
          </cell>
          <cell r="D5558">
            <v>4.5999999046325684</v>
          </cell>
        </row>
        <row r="5559">
          <cell r="A5559" t="str">
            <v>NPL</v>
          </cell>
          <cell r="B5559">
            <v>2006</v>
          </cell>
          <cell r="C5559" t="str">
            <v>maagrfc</v>
          </cell>
          <cell r="D5559">
            <v>1.7818723917007446</v>
          </cell>
        </row>
        <row r="5560">
          <cell r="A5560" t="str">
            <v>NPL</v>
          </cell>
          <cell r="B5560">
            <v>2017</v>
          </cell>
          <cell r="C5560" t="str">
            <v>mac_tfpz</v>
          </cell>
          <cell r="D5560">
            <v>0.45333868265151978</v>
          </cell>
        </row>
        <row r="5561">
          <cell r="A5561" t="str">
            <v>NPL</v>
          </cell>
          <cell r="B5561">
            <v>2020</v>
          </cell>
          <cell r="C5561" t="str">
            <v>mac_labz</v>
          </cell>
          <cell r="D5561">
            <v>1.9668827056884766</v>
          </cell>
        </row>
        <row r="5562">
          <cell r="A5562" t="str">
            <v>NPL</v>
          </cell>
          <cell r="B5562">
            <v>2024</v>
          </cell>
          <cell r="C5562" t="str">
            <v>macab_</v>
          </cell>
          <cell r="D5562">
            <v>3.9341721534729004</v>
          </cell>
        </row>
        <row r="5563">
          <cell r="A5563" t="str">
            <v>NPL</v>
          </cell>
          <cell r="B5563">
            <v>2009</v>
          </cell>
          <cell r="C5563" t="str">
            <v>mar_con</v>
          </cell>
          <cell r="D5563">
            <v>78.875175476074219</v>
          </cell>
        </row>
        <row r="5564">
          <cell r="A5564" t="str">
            <v>NPL</v>
          </cell>
          <cell r="B5564">
            <v>2023</v>
          </cell>
          <cell r="C5564" t="str">
            <v>mapanusatls</v>
          </cell>
          <cell r="D5564">
            <v>130.74504089355469</v>
          </cell>
        </row>
        <row r="5565">
          <cell r="A5565" t="str">
            <v>NPL</v>
          </cell>
          <cell r="B5565">
            <v>2007</v>
          </cell>
          <cell r="C5565" t="str">
            <v>mar_expz</v>
          </cell>
          <cell r="D5565">
            <v>14.581315040588379</v>
          </cell>
        </row>
        <row r="5566">
          <cell r="A5566" t="str">
            <v>NPL</v>
          </cell>
          <cell r="B5566">
            <v>2023</v>
          </cell>
          <cell r="C5566" t="str">
            <v>mac_labz</v>
          </cell>
          <cell r="D5566">
            <v>1.1388912200927734</v>
          </cell>
        </row>
        <row r="5567">
          <cell r="A5567" t="str">
            <v>NPL</v>
          </cell>
          <cell r="B5567">
            <v>2007</v>
          </cell>
          <cell r="C5567" t="str">
            <v>maconz</v>
          </cell>
          <cell r="D5567">
            <v>3.1651797294616699</v>
          </cell>
        </row>
        <row r="5568">
          <cell r="A5568" t="str">
            <v>NPL</v>
          </cell>
          <cell r="B5568">
            <v>2010</v>
          </cell>
          <cell r="C5568" t="str">
            <v>mar_con</v>
          </cell>
          <cell r="D5568">
            <v>79.940711975097656</v>
          </cell>
        </row>
        <row r="5569">
          <cell r="A5569" t="str">
            <v>NPL</v>
          </cell>
          <cell r="B5569">
            <v>2016</v>
          </cell>
          <cell r="C5569" t="str">
            <v>magap_</v>
          </cell>
          <cell r="D5569">
            <v>-3.9074337482452393</v>
          </cell>
        </row>
        <row r="5570">
          <cell r="A5570" t="str">
            <v>NPL</v>
          </cell>
          <cell r="B5570">
            <v>2022</v>
          </cell>
          <cell r="C5570" t="str">
            <v>maexpz</v>
          </cell>
          <cell r="D5570">
            <v>34.060062408447266</v>
          </cell>
        </row>
        <row r="5571">
          <cell r="A5571" t="str">
            <v>NPL</v>
          </cell>
          <cell r="B5571">
            <v>2019</v>
          </cell>
          <cell r="C5571" t="str">
            <v>magap_</v>
          </cell>
          <cell r="D5571">
            <v>-0.36616769433021545</v>
          </cell>
        </row>
        <row r="5572">
          <cell r="A5572" t="str">
            <v>NPL</v>
          </cell>
          <cell r="B5572">
            <v>2007</v>
          </cell>
          <cell r="C5572" t="str">
            <v>mar_taxfc</v>
          </cell>
          <cell r="D5572">
            <v>7.5847487449645996</v>
          </cell>
        </row>
        <row r="5573">
          <cell r="A5573" t="str">
            <v>NPL</v>
          </cell>
          <cell r="B5573">
            <v>2018</v>
          </cell>
          <cell r="C5573" t="str">
            <v>mareer</v>
          </cell>
          <cell r="D5573">
            <v>107.48500823974609</v>
          </cell>
        </row>
        <row r="5574">
          <cell r="A5574" t="str">
            <v>NPL</v>
          </cell>
          <cell r="B5574">
            <v>2007</v>
          </cell>
          <cell r="C5574" t="str">
            <v>masrvfc</v>
          </cell>
          <cell r="D5574">
            <v>4.6448225975036621</v>
          </cell>
        </row>
        <row r="5575">
          <cell r="A5575" t="str">
            <v>NPL</v>
          </cell>
          <cell r="B5575">
            <v>2010</v>
          </cell>
          <cell r="C5575" t="str">
            <v>matfpz</v>
          </cell>
          <cell r="D5575">
            <v>0.69581186771392822</v>
          </cell>
        </row>
        <row r="5576">
          <cell r="A5576" t="str">
            <v>NPL</v>
          </cell>
          <cell r="B5576">
            <v>2017</v>
          </cell>
          <cell r="C5576" t="str">
            <v>madebt_</v>
          </cell>
          <cell r="D5576">
            <v>22.673271179199219</v>
          </cell>
        </row>
        <row r="5577">
          <cell r="A5577" t="str">
            <v>NPL</v>
          </cell>
          <cell r="B5577">
            <v>2025</v>
          </cell>
          <cell r="C5577" t="str">
            <v>maconz</v>
          </cell>
          <cell r="D5577">
            <v>3.7000000476837158</v>
          </cell>
        </row>
        <row r="5578">
          <cell r="A5578" t="str">
            <v>NPL</v>
          </cell>
          <cell r="B5578">
            <v>2009</v>
          </cell>
          <cell r="C5578" t="str">
            <v>maagrfc</v>
          </cell>
          <cell r="D5578">
            <v>3.0195491313934326</v>
          </cell>
        </row>
        <row r="5579">
          <cell r="A5579" t="str">
            <v>NPL</v>
          </cell>
          <cell r="B5579">
            <v>2012</v>
          </cell>
          <cell r="C5579" t="str">
            <v>mataxfc</v>
          </cell>
          <cell r="D5579">
            <v>1.3960260152816772</v>
          </cell>
        </row>
        <row r="5580">
          <cell r="A5580" t="str">
            <v>NPL</v>
          </cell>
          <cell r="B5580">
            <v>2010</v>
          </cell>
          <cell r="C5580" t="str">
            <v>mainvz</v>
          </cell>
          <cell r="D5580">
            <v>16.616121292114258</v>
          </cell>
        </row>
        <row r="5581">
          <cell r="A5581" t="str">
            <v>NPL</v>
          </cell>
          <cell r="B5581">
            <v>2005</v>
          </cell>
          <cell r="C5581" t="str">
            <v>mac_tfpz</v>
          </cell>
          <cell r="D5581">
            <v>0.54555755853652954</v>
          </cell>
        </row>
        <row r="5582">
          <cell r="A5582" t="str">
            <v>NPL</v>
          </cell>
          <cell r="B5582">
            <v>2023</v>
          </cell>
          <cell r="C5582" t="str">
            <v>mar_srvfc</v>
          </cell>
          <cell r="D5582">
            <v>54.208202362060547</v>
          </cell>
        </row>
        <row r="5583">
          <cell r="A5583" t="str">
            <v>NPL</v>
          </cell>
          <cell r="B5583">
            <v>2006</v>
          </cell>
          <cell r="C5583" t="str">
            <v>matfpz</v>
          </cell>
          <cell r="D5583">
            <v>0.62431895732879639</v>
          </cell>
        </row>
        <row r="5584">
          <cell r="A5584" t="str">
            <v>NPL</v>
          </cell>
          <cell r="B5584">
            <v>2010</v>
          </cell>
          <cell r="C5584" t="str">
            <v>mar_expz</v>
          </cell>
          <cell r="D5584">
            <v>11.752962112426758</v>
          </cell>
        </row>
        <row r="5585">
          <cell r="A5585" t="str">
            <v>NPL</v>
          </cell>
          <cell r="B5585">
            <v>2012</v>
          </cell>
          <cell r="C5585" t="str">
            <v>mafdi_</v>
          </cell>
          <cell r="D5585">
            <v>-0.52294749021530151</v>
          </cell>
        </row>
        <row r="5586">
          <cell r="A5586" t="str">
            <v>NPL</v>
          </cell>
          <cell r="B5586">
            <v>2006</v>
          </cell>
          <cell r="C5586" t="str">
            <v>magovz</v>
          </cell>
          <cell r="D5586">
            <v>0.75574398040771484</v>
          </cell>
        </row>
        <row r="5587">
          <cell r="A5587" t="str">
            <v>NPL</v>
          </cell>
          <cell r="B5587">
            <v>2022</v>
          </cell>
          <cell r="C5587" t="str">
            <v>malabz</v>
          </cell>
          <cell r="D5587">
            <v>2.4377810955047607</v>
          </cell>
        </row>
        <row r="5588">
          <cell r="A5588" t="str">
            <v>NPL</v>
          </cell>
          <cell r="B5588">
            <v>2006</v>
          </cell>
          <cell r="C5588" t="str">
            <v>maindfc</v>
          </cell>
          <cell r="D5588">
            <v>4.4704399108886719</v>
          </cell>
        </row>
        <row r="5589">
          <cell r="A5589" t="str">
            <v>NPL</v>
          </cell>
          <cell r="B5589">
            <v>2015</v>
          </cell>
          <cell r="C5589" t="str">
            <v>macpiz</v>
          </cell>
          <cell r="D5589">
            <v>7.2098631858825684</v>
          </cell>
        </row>
        <row r="5590">
          <cell r="A5590" t="str">
            <v>NPL</v>
          </cell>
          <cell r="B5590">
            <v>2009</v>
          </cell>
          <cell r="C5590" t="str">
            <v>magap_</v>
          </cell>
          <cell r="D5590">
            <v>0.85748410224914551</v>
          </cell>
        </row>
        <row r="5591">
          <cell r="A5591" t="str">
            <v>NPL</v>
          </cell>
          <cell r="B5591">
            <v>2018</v>
          </cell>
          <cell r="C5591" t="str">
            <v>mar_con</v>
          </cell>
          <cell r="D5591">
            <v>74.992622375488281</v>
          </cell>
        </row>
        <row r="5592">
          <cell r="A5592" t="str">
            <v>NPL</v>
          </cell>
          <cell r="B5592">
            <v>2017</v>
          </cell>
          <cell r="C5592" t="str">
            <v>macpiz</v>
          </cell>
          <cell r="D5592">
            <v>4.4413118362426758</v>
          </cell>
        </row>
        <row r="5593">
          <cell r="A5593" t="str">
            <v>NPL</v>
          </cell>
          <cell r="B5593">
            <v>2024</v>
          </cell>
          <cell r="C5593" t="str">
            <v>madebt_</v>
          </cell>
          <cell r="D5593">
            <v>43.627037048339844</v>
          </cell>
        </row>
        <row r="5594">
          <cell r="A5594" t="str">
            <v>NPL</v>
          </cell>
          <cell r="B5594">
            <v>2012</v>
          </cell>
          <cell r="C5594" t="str">
            <v>magdpz</v>
          </cell>
          <cell r="D5594">
            <v>4.6701416969299316</v>
          </cell>
        </row>
        <row r="5595">
          <cell r="A5595" t="str">
            <v>NPL</v>
          </cell>
          <cell r="B5595">
            <v>2026</v>
          </cell>
          <cell r="C5595" t="str">
            <v>malabz</v>
          </cell>
          <cell r="D5595">
            <v>1.4329626560211182</v>
          </cell>
        </row>
        <row r="5596">
          <cell r="A5596" t="str">
            <v>NPL</v>
          </cell>
          <cell r="B5596">
            <v>2020</v>
          </cell>
          <cell r="C5596" t="str">
            <v>mapanusatls</v>
          </cell>
          <cell r="D5596">
            <v>116.31099700927734</v>
          </cell>
        </row>
        <row r="5597">
          <cell r="A5597" t="str">
            <v>NPL</v>
          </cell>
          <cell r="B5597">
            <v>2011</v>
          </cell>
          <cell r="C5597" t="str">
            <v>macpiz</v>
          </cell>
          <cell r="D5597">
            <v>9.5805149078369141</v>
          </cell>
        </row>
        <row r="5598">
          <cell r="A5598" t="str">
            <v>NPL</v>
          </cell>
          <cell r="B5598">
            <v>2009</v>
          </cell>
          <cell r="C5598" t="str">
            <v>maimpz</v>
          </cell>
          <cell r="D5598">
            <v>12.632813453674316</v>
          </cell>
        </row>
        <row r="5599">
          <cell r="A5599" t="str">
            <v>NPL</v>
          </cell>
          <cell r="B5599">
            <v>2011</v>
          </cell>
          <cell r="C5599" t="str">
            <v>maagrfc</v>
          </cell>
          <cell r="D5599">
            <v>-0.41824352741241455</v>
          </cell>
        </row>
        <row r="5600">
          <cell r="A5600" t="str">
            <v>NPL</v>
          </cell>
          <cell r="B5600">
            <v>2018</v>
          </cell>
          <cell r="C5600" t="str">
            <v>mar_srvfc</v>
          </cell>
          <cell r="D5600">
            <v>54.966754913330078</v>
          </cell>
        </row>
        <row r="5601">
          <cell r="A5601" t="str">
            <v>NPL</v>
          </cell>
          <cell r="B5601">
            <v>2021</v>
          </cell>
          <cell r="C5601" t="str">
            <v>mar_agrfc</v>
          </cell>
          <cell r="D5601">
            <v>30.093206405639648</v>
          </cell>
        </row>
        <row r="5602">
          <cell r="A5602" t="str">
            <v>NPL</v>
          </cell>
          <cell r="B5602">
            <v>2020</v>
          </cell>
          <cell r="C5602" t="str">
            <v>mar_srvfc</v>
          </cell>
          <cell r="D5602">
            <v>53.970390319824219</v>
          </cell>
        </row>
        <row r="5603">
          <cell r="A5603" t="str">
            <v>NPL</v>
          </cell>
          <cell r="B5603">
            <v>2014</v>
          </cell>
          <cell r="C5603" t="str">
            <v>masrvfc</v>
          </cell>
          <cell r="D5603">
            <v>6.0494513511657715</v>
          </cell>
        </row>
        <row r="5604">
          <cell r="A5604" t="str">
            <v>NPL</v>
          </cell>
          <cell r="B5604">
            <v>2021</v>
          </cell>
          <cell r="C5604" t="str">
            <v>malabz</v>
          </cell>
          <cell r="D5604">
            <v>3.3989517688751221</v>
          </cell>
        </row>
        <row r="5605">
          <cell r="A5605" t="str">
            <v>NPL</v>
          </cell>
          <cell r="B5605">
            <v>2025</v>
          </cell>
          <cell r="C5605" t="str">
            <v>maagrfc</v>
          </cell>
          <cell r="D5605">
            <v>2.4000000953674316</v>
          </cell>
        </row>
        <row r="5606">
          <cell r="A5606" t="str">
            <v>NPL</v>
          </cell>
          <cell r="B5606">
            <v>2021</v>
          </cell>
          <cell r="C5606" t="str">
            <v>mataxfc</v>
          </cell>
          <cell r="D5606">
            <v>8.0343999862670898</v>
          </cell>
        </row>
        <row r="5607">
          <cell r="A5607" t="str">
            <v>NPL</v>
          </cell>
          <cell r="B5607">
            <v>2026</v>
          </cell>
          <cell r="C5607" t="str">
            <v>mar_srvfc</v>
          </cell>
          <cell r="D5607">
            <v>55.26434326171875</v>
          </cell>
        </row>
        <row r="5608">
          <cell r="A5608" t="str">
            <v>NPL</v>
          </cell>
          <cell r="B5608">
            <v>2016</v>
          </cell>
          <cell r="C5608" t="str">
            <v>mac_tfpz</v>
          </cell>
          <cell r="D5608">
            <v>0.40215650200843811</v>
          </cell>
        </row>
        <row r="5609">
          <cell r="A5609" t="str">
            <v>NPL</v>
          </cell>
          <cell r="B5609">
            <v>2024</v>
          </cell>
          <cell r="C5609" t="str">
            <v>matfpz</v>
          </cell>
          <cell r="D5609">
            <v>0.50951564311981201</v>
          </cell>
        </row>
        <row r="5610">
          <cell r="A5610" t="str">
            <v>NPL</v>
          </cell>
          <cell r="B5610">
            <v>2006</v>
          </cell>
          <cell r="C5610" t="str">
            <v>mac_tfpz</v>
          </cell>
          <cell r="D5610">
            <v>0.62431895732879639</v>
          </cell>
        </row>
        <row r="5611">
          <cell r="A5611" t="str">
            <v>NPL</v>
          </cell>
          <cell r="B5611">
            <v>2011</v>
          </cell>
          <cell r="C5611" t="str">
            <v>magap_</v>
          </cell>
          <cell r="D5611">
            <v>1.1444014310836792</v>
          </cell>
        </row>
        <row r="5612">
          <cell r="A5612" t="str">
            <v>NPL</v>
          </cell>
          <cell r="B5612">
            <v>2022</v>
          </cell>
          <cell r="C5612" t="str">
            <v>masrvfc</v>
          </cell>
          <cell r="D5612">
            <v>5.3166213035583496</v>
          </cell>
        </row>
        <row r="5613">
          <cell r="A5613" t="str">
            <v>NPL</v>
          </cell>
          <cell r="B5613">
            <v>2015</v>
          </cell>
          <cell r="C5613" t="str">
            <v>maconz</v>
          </cell>
          <cell r="D5613">
            <v>2.5827038288116455</v>
          </cell>
        </row>
        <row r="5614">
          <cell r="A5614" t="str">
            <v>NPL</v>
          </cell>
          <cell r="B5614">
            <v>2017</v>
          </cell>
          <cell r="C5614" t="str">
            <v>magdpz</v>
          </cell>
          <cell r="D5614">
            <v>8.9772796630859375</v>
          </cell>
        </row>
        <row r="5615">
          <cell r="A5615" t="str">
            <v>NPL</v>
          </cell>
          <cell r="B5615">
            <v>2020</v>
          </cell>
          <cell r="C5615" t="str">
            <v>mar_expz</v>
          </cell>
          <cell r="D5615">
            <v>7.5059304237365723</v>
          </cell>
        </row>
        <row r="5616">
          <cell r="A5616" t="str">
            <v>NPL</v>
          </cell>
          <cell r="B5616">
            <v>2014</v>
          </cell>
          <cell r="C5616" t="str">
            <v>mar_con</v>
          </cell>
          <cell r="D5616">
            <v>80.334518432617188</v>
          </cell>
        </row>
        <row r="5617">
          <cell r="A5617" t="str">
            <v>NPL</v>
          </cell>
          <cell r="B5617">
            <v>2008</v>
          </cell>
          <cell r="C5617" t="str">
            <v>matfpz</v>
          </cell>
          <cell r="D5617">
            <v>0.73238354921340942</v>
          </cell>
        </row>
        <row r="5618">
          <cell r="A5618" t="str">
            <v>NPL</v>
          </cell>
          <cell r="B5618">
            <v>2017</v>
          </cell>
          <cell r="C5618" t="str">
            <v>mapanusatls</v>
          </cell>
          <cell r="D5618">
            <v>106.21250152587891</v>
          </cell>
        </row>
        <row r="5619">
          <cell r="A5619" t="str">
            <v>NPL</v>
          </cell>
          <cell r="B5619">
            <v>2010</v>
          </cell>
          <cell r="C5619" t="str">
            <v>maimpz</v>
          </cell>
          <cell r="D5619">
            <v>28.257671356201172</v>
          </cell>
        </row>
        <row r="5620">
          <cell r="A5620" t="str">
            <v>NPL</v>
          </cell>
          <cell r="B5620">
            <v>2021</v>
          </cell>
          <cell r="C5620" t="str">
            <v>maexpz</v>
          </cell>
          <cell r="D5620">
            <v>-21.319478988647461</v>
          </cell>
        </row>
        <row r="5621">
          <cell r="A5621" t="str">
            <v>NPL</v>
          </cell>
          <cell r="B5621">
            <v>2015</v>
          </cell>
          <cell r="C5621" t="str">
            <v>mar_srvfc</v>
          </cell>
          <cell r="D5621">
            <v>53.491714477539063</v>
          </cell>
        </row>
        <row r="5622">
          <cell r="A5622" t="str">
            <v>NPL</v>
          </cell>
          <cell r="B5622">
            <v>2009</v>
          </cell>
          <cell r="C5622" t="str">
            <v>madebt_</v>
          </cell>
          <cell r="D5622">
            <v>35.620288848876953</v>
          </cell>
        </row>
        <row r="5623">
          <cell r="A5623" t="str">
            <v>NPL</v>
          </cell>
          <cell r="B5623">
            <v>2011</v>
          </cell>
          <cell r="C5623" t="str">
            <v>madebt_</v>
          </cell>
          <cell r="D5623">
            <v>28.451934814453125</v>
          </cell>
        </row>
        <row r="5624">
          <cell r="A5624" t="str">
            <v>NPL</v>
          </cell>
          <cell r="B5624">
            <v>2019</v>
          </cell>
          <cell r="C5624" t="str">
            <v>mapanusatls</v>
          </cell>
          <cell r="D5624">
            <v>112.87983703613281</v>
          </cell>
        </row>
        <row r="5625">
          <cell r="A5625" t="str">
            <v>NPL</v>
          </cell>
          <cell r="B5625">
            <v>2018</v>
          </cell>
          <cell r="C5625" t="str">
            <v>madeficit_</v>
          </cell>
          <cell r="D5625">
            <v>-5.8333320617675781</v>
          </cell>
        </row>
        <row r="5626">
          <cell r="A5626" t="str">
            <v>NPL</v>
          </cell>
          <cell r="B5626">
            <v>2005</v>
          </cell>
          <cell r="C5626" t="str">
            <v>maexpz</v>
          </cell>
          <cell r="D5626">
            <v>-3.0344557762145996</v>
          </cell>
        </row>
        <row r="5627">
          <cell r="A5627" t="str">
            <v>NPL</v>
          </cell>
          <cell r="B5627">
            <v>2024</v>
          </cell>
          <cell r="C5627" t="str">
            <v>magdpz</v>
          </cell>
          <cell r="D5627">
            <v>3.2999999523162842</v>
          </cell>
        </row>
        <row r="5628">
          <cell r="A5628" t="str">
            <v>NPL</v>
          </cell>
          <cell r="B5628">
            <v>2024</v>
          </cell>
          <cell r="C5628" t="str">
            <v>maconz</v>
          </cell>
          <cell r="D5628">
            <v>3.5</v>
          </cell>
        </row>
        <row r="5629">
          <cell r="A5629" t="str">
            <v>NPL</v>
          </cell>
          <cell r="B5629">
            <v>2016</v>
          </cell>
          <cell r="C5629" t="str">
            <v>madeficit_</v>
          </cell>
          <cell r="D5629">
            <v>1.2056564092636108</v>
          </cell>
        </row>
        <row r="5630">
          <cell r="A5630" t="str">
            <v>NPL</v>
          </cell>
          <cell r="B5630">
            <v>2024</v>
          </cell>
          <cell r="C5630" t="str">
            <v>magovz</v>
          </cell>
          <cell r="D5630">
            <v>-16.533502578735352</v>
          </cell>
        </row>
        <row r="5631">
          <cell r="A5631" t="str">
            <v>NPL</v>
          </cell>
          <cell r="B5631">
            <v>2026</v>
          </cell>
          <cell r="C5631" t="str">
            <v>mainvz</v>
          </cell>
          <cell r="D5631">
            <v>12.134384155273438</v>
          </cell>
        </row>
        <row r="5632">
          <cell r="A5632" t="str">
            <v>NPL</v>
          </cell>
          <cell r="B5632">
            <v>2017</v>
          </cell>
          <cell r="C5632" t="str">
            <v>mainvz</v>
          </cell>
          <cell r="D5632">
            <v>23.082668304443359</v>
          </cell>
        </row>
        <row r="5633">
          <cell r="A5633" t="str">
            <v>NPL</v>
          </cell>
          <cell r="B5633">
            <v>2025</v>
          </cell>
          <cell r="C5633" t="str">
            <v>mar_agrfc</v>
          </cell>
          <cell r="D5633">
            <v>28.469663619995117</v>
          </cell>
        </row>
        <row r="5634">
          <cell r="A5634" t="str">
            <v>NPL</v>
          </cell>
          <cell r="B5634">
            <v>2018</v>
          </cell>
          <cell r="C5634" t="str">
            <v>maindfc</v>
          </cell>
          <cell r="D5634">
            <v>10.364486694335938</v>
          </cell>
        </row>
        <row r="5635">
          <cell r="A5635" t="str">
            <v>NPL</v>
          </cell>
          <cell r="B5635">
            <v>2015</v>
          </cell>
          <cell r="C5635" t="str">
            <v>mainvz</v>
          </cell>
          <cell r="D5635">
            <v>14.994149208068848</v>
          </cell>
        </row>
        <row r="5636">
          <cell r="A5636" t="str">
            <v>NPL</v>
          </cell>
          <cell r="B5636">
            <v>2009</v>
          </cell>
          <cell r="C5636" t="str">
            <v>mar_agrfc</v>
          </cell>
          <cell r="D5636">
            <v>35.570598602294922</v>
          </cell>
        </row>
        <row r="5637">
          <cell r="A5637" t="str">
            <v>NPL</v>
          </cell>
          <cell r="B5637">
            <v>2005</v>
          </cell>
          <cell r="C5637" t="str">
            <v>maimpz</v>
          </cell>
          <cell r="D5637">
            <v>6.8903312683105469</v>
          </cell>
        </row>
        <row r="5638">
          <cell r="A5638" t="str">
            <v>NPL</v>
          </cell>
          <cell r="B5638">
            <v>2015</v>
          </cell>
          <cell r="C5638" t="str">
            <v>mac_labz</v>
          </cell>
          <cell r="D5638">
            <v>0.99092334508895874</v>
          </cell>
        </row>
        <row r="5639">
          <cell r="A5639" t="str">
            <v>NPL</v>
          </cell>
          <cell r="B5639">
            <v>2011</v>
          </cell>
          <cell r="C5639" t="str">
            <v>mareer</v>
          </cell>
          <cell r="D5639">
            <v>93.098098754882813</v>
          </cell>
        </row>
        <row r="5640">
          <cell r="A5640" t="str">
            <v>NPL</v>
          </cell>
          <cell r="B5640">
            <v>2016</v>
          </cell>
          <cell r="C5640" t="str">
            <v>mar_con</v>
          </cell>
          <cell r="D5640">
            <v>82.195831298828125</v>
          </cell>
        </row>
        <row r="5641">
          <cell r="A5641" t="str">
            <v>NPL</v>
          </cell>
          <cell r="B5641">
            <v>2009</v>
          </cell>
          <cell r="C5641" t="str">
            <v>malabz</v>
          </cell>
          <cell r="D5641">
            <v>1.5463286638259888</v>
          </cell>
        </row>
        <row r="5642">
          <cell r="A5642" t="str">
            <v>NPL</v>
          </cell>
          <cell r="B5642">
            <v>2009</v>
          </cell>
          <cell r="C5642" t="str">
            <v>madeficit_</v>
          </cell>
          <cell r="D5642">
            <v>-2.0540754795074463</v>
          </cell>
        </row>
        <row r="5643">
          <cell r="A5643" t="str">
            <v>NPL</v>
          </cell>
          <cell r="B5643">
            <v>2025</v>
          </cell>
          <cell r="C5643" t="str">
            <v>matfpz</v>
          </cell>
          <cell r="D5643">
            <v>1.0372954607009888</v>
          </cell>
        </row>
        <row r="5644">
          <cell r="A5644" t="str">
            <v>NPL</v>
          </cell>
          <cell r="B5644">
            <v>2013</v>
          </cell>
          <cell r="C5644" t="str">
            <v>maimpz</v>
          </cell>
          <cell r="D5644">
            <v>14.134912490844727</v>
          </cell>
        </row>
        <row r="5645">
          <cell r="A5645" t="str">
            <v>NPL</v>
          </cell>
          <cell r="B5645">
            <v>2019</v>
          </cell>
          <cell r="C5645" t="str">
            <v>mar_impz</v>
          </cell>
          <cell r="D5645">
            <v>49.338668823242188</v>
          </cell>
        </row>
        <row r="5646">
          <cell r="A5646" t="str">
            <v>NPL</v>
          </cell>
          <cell r="B5646">
            <v>2014</v>
          </cell>
          <cell r="C5646" t="str">
            <v>madeficit_</v>
          </cell>
          <cell r="D5646">
            <v>1.8202325105667114</v>
          </cell>
        </row>
        <row r="5647">
          <cell r="A5647" t="str">
            <v>NPL</v>
          </cell>
          <cell r="B5647">
            <v>2015</v>
          </cell>
          <cell r="C5647" t="str">
            <v>maimpz</v>
          </cell>
          <cell r="D5647">
            <v>9.5833826065063477</v>
          </cell>
        </row>
        <row r="5648">
          <cell r="A5648" t="str">
            <v>NPL</v>
          </cell>
          <cell r="B5648">
            <v>2022</v>
          </cell>
          <cell r="C5648" t="str">
            <v>mar_con</v>
          </cell>
          <cell r="D5648">
            <v>84.047080993652344</v>
          </cell>
        </row>
        <row r="5649">
          <cell r="A5649" t="str">
            <v>NPL</v>
          </cell>
          <cell r="B5649">
            <v>2007</v>
          </cell>
          <cell r="C5649" t="str">
            <v>macab_</v>
          </cell>
          <cell r="D5649">
            <v>-0.10843192785978317</v>
          </cell>
        </row>
        <row r="5650">
          <cell r="A5650" t="str">
            <v>NPL</v>
          </cell>
          <cell r="B5650">
            <v>2017</v>
          </cell>
          <cell r="C5650" t="str">
            <v>mareer</v>
          </cell>
          <cell r="D5650">
            <v>99.948532104492188</v>
          </cell>
        </row>
        <row r="5651">
          <cell r="A5651" t="str">
            <v>NPL</v>
          </cell>
          <cell r="B5651">
            <v>2021</v>
          </cell>
          <cell r="C5651" t="str">
            <v>madebt_</v>
          </cell>
          <cell r="D5651">
            <v>39.922267913818359</v>
          </cell>
        </row>
        <row r="5652">
          <cell r="A5652" t="str">
            <v>NPL</v>
          </cell>
          <cell r="B5652">
            <v>2014</v>
          </cell>
          <cell r="C5652" t="str">
            <v>maimpz</v>
          </cell>
          <cell r="D5652">
            <v>21.008852005004883</v>
          </cell>
        </row>
        <row r="5653">
          <cell r="A5653" t="str">
            <v>NPL</v>
          </cell>
          <cell r="B5653">
            <v>2008</v>
          </cell>
          <cell r="C5653" t="str">
            <v>mar_srvfc</v>
          </cell>
          <cell r="D5653">
            <v>47.943744659423828</v>
          </cell>
        </row>
        <row r="5654">
          <cell r="A5654" t="str">
            <v>NPL</v>
          </cell>
          <cell r="B5654">
            <v>2014</v>
          </cell>
          <cell r="C5654" t="str">
            <v>mataxfc</v>
          </cell>
          <cell r="D5654">
            <v>9.0834980010986328</v>
          </cell>
        </row>
        <row r="5655">
          <cell r="A5655" t="str">
            <v>NPL</v>
          </cell>
          <cell r="B5655">
            <v>2009</v>
          </cell>
          <cell r="C5655" t="str">
            <v>mar_taxfc</v>
          </cell>
          <cell r="D5655">
            <v>8.4461088180541992</v>
          </cell>
        </row>
        <row r="5656">
          <cell r="A5656" t="str">
            <v>NPL</v>
          </cell>
          <cell r="B5656">
            <v>2005</v>
          </cell>
          <cell r="C5656" t="str">
            <v>maindfc</v>
          </cell>
          <cell r="D5656">
            <v>3.0120618343353271</v>
          </cell>
        </row>
        <row r="5657">
          <cell r="A5657" t="str">
            <v>NPL</v>
          </cell>
          <cell r="B5657">
            <v>2021</v>
          </cell>
          <cell r="C5657" t="str">
            <v>madeficit_</v>
          </cell>
          <cell r="D5657">
            <v>-3.9966030120849609</v>
          </cell>
        </row>
        <row r="5658">
          <cell r="A5658" t="str">
            <v>NPL</v>
          </cell>
          <cell r="B5658">
            <v>2015</v>
          </cell>
          <cell r="C5658" t="str">
            <v>mar_impz</v>
          </cell>
          <cell r="D5658">
            <v>37.199886322021484</v>
          </cell>
        </row>
        <row r="5659">
          <cell r="A5659" t="str">
            <v>NPL</v>
          </cell>
          <cell r="B5659">
            <v>2005</v>
          </cell>
          <cell r="C5659" t="str">
            <v>mafdi_</v>
          </cell>
          <cell r="D5659">
            <v>-2.0183777436614037E-2</v>
          </cell>
        </row>
        <row r="5660">
          <cell r="A5660" t="str">
            <v>NPL</v>
          </cell>
          <cell r="B5660">
            <v>2017</v>
          </cell>
          <cell r="C5660" t="str">
            <v>maagrfc</v>
          </cell>
          <cell r="D5660">
            <v>5.1747283935546875</v>
          </cell>
        </row>
        <row r="5661">
          <cell r="A5661" t="str">
            <v>NPL</v>
          </cell>
          <cell r="B5661">
            <v>2023</v>
          </cell>
          <cell r="C5661" t="str">
            <v>matfpz</v>
          </cell>
          <cell r="D5661">
            <v>-0.60810589790344238</v>
          </cell>
        </row>
        <row r="5662">
          <cell r="A5662" t="str">
            <v>NPL</v>
          </cell>
          <cell r="B5662">
            <v>2009</v>
          </cell>
          <cell r="C5662" t="str">
            <v>maexpz</v>
          </cell>
          <cell r="D5662">
            <v>3.8723282814025879</v>
          </cell>
        </row>
        <row r="5663">
          <cell r="A5663" t="str">
            <v>NPL</v>
          </cell>
          <cell r="B5663">
            <v>2026</v>
          </cell>
          <cell r="C5663" t="str">
            <v>mac_labz</v>
          </cell>
          <cell r="D5663">
            <v>1.0030738115310669</v>
          </cell>
        </row>
        <row r="5664">
          <cell r="A5664" t="str">
            <v>NPL</v>
          </cell>
          <cell r="B5664">
            <v>2014</v>
          </cell>
          <cell r="C5664" t="str">
            <v>mar_indfc</v>
          </cell>
          <cell r="D5664">
            <v>14.864632606506348</v>
          </cell>
        </row>
        <row r="5665">
          <cell r="A5665" t="str">
            <v>NPL</v>
          </cell>
          <cell r="B5665">
            <v>2011</v>
          </cell>
          <cell r="C5665" t="str">
            <v>masrvfc</v>
          </cell>
          <cell r="D5665">
            <v>8.5140819549560547</v>
          </cell>
        </row>
        <row r="5666">
          <cell r="A5666" t="str">
            <v>NPL</v>
          </cell>
          <cell r="B5666">
            <v>2022</v>
          </cell>
          <cell r="C5666" t="str">
            <v>maconz</v>
          </cell>
          <cell r="D5666">
            <v>6.8311347961425781</v>
          </cell>
        </row>
        <row r="5667">
          <cell r="A5667" t="str">
            <v>NPL</v>
          </cell>
          <cell r="B5667">
            <v>2023</v>
          </cell>
          <cell r="C5667" t="str">
            <v>mac_tfpz</v>
          </cell>
          <cell r="D5667">
            <v>-0.60810589790344238</v>
          </cell>
        </row>
        <row r="5668">
          <cell r="A5668" t="str">
            <v>NPL</v>
          </cell>
          <cell r="B5668">
            <v>2008</v>
          </cell>
          <cell r="C5668" t="str">
            <v>madebt_</v>
          </cell>
          <cell r="D5668">
            <v>39.214164733886719</v>
          </cell>
        </row>
        <row r="5669">
          <cell r="A5669" t="str">
            <v>NPL</v>
          </cell>
          <cell r="B5669">
            <v>2009</v>
          </cell>
          <cell r="C5669" t="str">
            <v>maconz</v>
          </cell>
          <cell r="D5669">
            <v>5.6705431938171387</v>
          </cell>
        </row>
        <row r="5670">
          <cell r="A5670" t="str">
            <v>NPL</v>
          </cell>
          <cell r="B5670">
            <v>2018</v>
          </cell>
          <cell r="C5670" t="str">
            <v>mapanusatls</v>
          </cell>
          <cell r="D5670">
            <v>104.37300109863281</v>
          </cell>
        </row>
        <row r="5671">
          <cell r="A5671" t="str">
            <v>NPL</v>
          </cell>
          <cell r="B5671">
            <v>2023</v>
          </cell>
          <cell r="C5671" t="str">
            <v>macab_</v>
          </cell>
          <cell r="D5671">
            <v>-1.3409020900726318</v>
          </cell>
        </row>
        <row r="5672">
          <cell r="A5672" t="str">
            <v>NPL</v>
          </cell>
          <cell r="B5672">
            <v>2010</v>
          </cell>
          <cell r="C5672" t="str">
            <v>maindfc</v>
          </cell>
          <cell r="D5672">
            <v>3.9995899200439453</v>
          </cell>
        </row>
        <row r="5673">
          <cell r="A5673" t="str">
            <v>NPL</v>
          </cell>
          <cell r="B5673">
            <v>2006</v>
          </cell>
          <cell r="C5673" t="str">
            <v>mafdi_</v>
          </cell>
          <cell r="D5673">
            <v>6.2815889716148376E-2</v>
          </cell>
        </row>
        <row r="5674">
          <cell r="A5674" t="str">
            <v>NPL</v>
          </cell>
          <cell r="B5674">
            <v>2014</v>
          </cell>
          <cell r="C5674" t="str">
            <v>mainvz</v>
          </cell>
          <cell r="D5674">
            <v>12.523296356201172</v>
          </cell>
        </row>
        <row r="5675">
          <cell r="A5675" t="str">
            <v>NPL</v>
          </cell>
          <cell r="B5675">
            <v>2015</v>
          </cell>
          <cell r="C5675" t="str">
            <v>mar_con</v>
          </cell>
          <cell r="D5675">
            <v>79.257980346679688</v>
          </cell>
        </row>
        <row r="5676">
          <cell r="A5676" t="str">
            <v>NPL</v>
          </cell>
          <cell r="B5676">
            <v>2016</v>
          </cell>
          <cell r="C5676" t="str">
            <v>maconz</v>
          </cell>
          <cell r="D5676">
            <v>4.1558551788330078</v>
          </cell>
        </row>
        <row r="5677">
          <cell r="A5677" t="str">
            <v>NPL</v>
          </cell>
          <cell r="B5677">
            <v>2019</v>
          </cell>
          <cell r="C5677" t="str">
            <v>masrvfc</v>
          </cell>
          <cell r="D5677">
            <v>6.7632627487182617</v>
          </cell>
        </row>
        <row r="5678">
          <cell r="A5678" t="str">
            <v>NPL</v>
          </cell>
          <cell r="B5678">
            <v>2024</v>
          </cell>
          <cell r="C5678" t="str">
            <v>mar_taxfc</v>
          </cell>
          <cell r="D5678">
            <v>11.411042213439941</v>
          </cell>
        </row>
        <row r="5679">
          <cell r="A5679" t="str">
            <v>NPL</v>
          </cell>
          <cell r="B5679">
            <v>2011</v>
          </cell>
          <cell r="C5679" t="str">
            <v>mar_agrfc</v>
          </cell>
          <cell r="D5679">
            <v>33.447193145751953</v>
          </cell>
        </row>
        <row r="5680">
          <cell r="A5680" t="str">
            <v>NPL</v>
          </cell>
          <cell r="B5680">
            <v>2012</v>
          </cell>
          <cell r="C5680" t="str">
            <v>madeficit_</v>
          </cell>
          <cell r="D5680">
            <v>-0.54973036050796509</v>
          </cell>
        </row>
        <row r="5681">
          <cell r="A5681" t="str">
            <v>NPL</v>
          </cell>
          <cell r="B5681">
            <v>2012</v>
          </cell>
          <cell r="C5681" t="str">
            <v>mac_tfpz</v>
          </cell>
          <cell r="D5681">
            <v>0.55728238821029663</v>
          </cell>
        </row>
        <row r="5682">
          <cell r="A5682" t="str">
            <v>NPL</v>
          </cell>
          <cell r="B5682">
            <v>2025</v>
          </cell>
          <cell r="C5682" t="str">
            <v>mapanusatls</v>
          </cell>
          <cell r="D5682">
            <v>132.86567687988281</v>
          </cell>
        </row>
        <row r="5683">
          <cell r="A5683" t="str">
            <v>NPL</v>
          </cell>
          <cell r="B5683">
            <v>2012</v>
          </cell>
          <cell r="C5683" t="str">
            <v>macab_</v>
          </cell>
          <cell r="D5683">
            <v>4.320979118347168</v>
          </cell>
        </row>
        <row r="5684">
          <cell r="A5684" t="str">
            <v>NPL</v>
          </cell>
          <cell r="B5684">
            <v>2009</v>
          </cell>
          <cell r="C5684" t="str">
            <v>mapanusatls</v>
          </cell>
          <cell r="D5684">
            <v>76.878509521484375</v>
          </cell>
        </row>
        <row r="5685">
          <cell r="A5685" t="str">
            <v>NPL</v>
          </cell>
          <cell r="B5685">
            <v>2018</v>
          </cell>
          <cell r="C5685" t="str">
            <v>mar_expz</v>
          </cell>
          <cell r="D5685">
            <v>8.8035802841186523</v>
          </cell>
        </row>
        <row r="5686">
          <cell r="A5686" t="str">
            <v>NPL</v>
          </cell>
          <cell r="B5686">
            <v>2025</v>
          </cell>
          <cell r="C5686" t="str">
            <v>mainvz</v>
          </cell>
          <cell r="D5686">
            <v>15.402238845825195</v>
          </cell>
        </row>
        <row r="5687">
          <cell r="A5687" t="str">
            <v>NPL</v>
          </cell>
          <cell r="B5687">
            <v>2005</v>
          </cell>
          <cell r="C5687" t="str">
            <v>malabz</v>
          </cell>
          <cell r="D5687">
            <v>0</v>
          </cell>
        </row>
        <row r="5688">
          <cell r="A5688" t="str">
            <v>NPL</v>
          </cell>
          <cell r="B5688">
            <v>2020</v>
          </cell>
          <cell r="C5688" t="str">
            <v>matfpz</v>
          </cell>
          <cell r="D5688">
            <v>-9.4357414245605469</v>
          </cell>
        </row>
        <row r="5689">
          <cell r="A5689" t="str">
            <v>NPL</v>
          </cell>
          <cell r="B5689">
            <v>2008</v>
          </cell>
          <cell r="C5689" t="str">
            <v>mac_labz</v>
          </cell>
          <cell r="D5689">
            <v>1.0871433019638062</v>
          </cell>
        </row>
        <row r="5690">
          <cell r="A5690" t="str">
            <v>NPL</v>
          </cell>
          <cell r="B5690">
            <v>2020</v>
          </cell>
          <cell r="C5690" t="str">
            <v>malabz</v>
          </cell>
          <cell r="D5690">
            <v>2.8098323345184326</v>
          </cell>
        </row>
        <row r="5691">
          <cell r="A5691" t="str">
            <v>NPL</v>
          </cell>
          <cell r="B5691">
            <v>2026</v>
          </cell>
          <cell r="C5691" t="str">
            <v>madebt_</v>
          </cell>
          <cell r="D5691">
            <v>46.551071166992188</v>
          </cell>
        </row>
        <row r="5692">
          <cell r="A5692" t="str">
            <v>NPL</v>
          </cell>
          <cell r="B5692">
            <v>2010</v>
          </cell>
          <cell r="C5692" t="str">
            <v>maagrfc</v>
          </cell>
          <cell r="D5692">
            <v>2.0117738246917725</v>
          </cell>
        </row>
        <row r="5693">
          <cell r="A5693" t="str">
            <v>NPL</v>
          </cell>
          <cell r="B5693">
            <v>2018</v>
          </cell>
          <cell r="C5693" t="str">
            <v>maexpz</v>
          </cell>
          <cell r="D5693">
            <v>7.694145679473877</v>
          </cell>
        </row>
        <row r="5694">
          <cell r="A5694" t="str">
            <v>NPL</v>
          </cell>
          <cell r="B5694">
            <v>2013</v>
          </cell>
          <cell r="C5694" t="str">
            <v>maexpz</v>
          </cell>
          <cell r="D5694">
            <v>12.947782516479492</v>
          </cell>
        </row>
        <row r="5695">
          <cell r="A5695" t="str">
            <v>NPL</v>
          </cell>
          <cell r="B5695">
            <v>2020</v>
          </cell>
          <cell r="C5695" t="str">
            <v>mar_con</v>
          </cell>
          <cell r="D5695">
            <v>80.681037902832031</v>
          </cell>
        </row>
        <row r="5696">
          <cell r="A5696" t="str">
            <v>NPL</v>
          </cell>
          <cell r="B5696">
            <v>2017</v>
          </cell>
          <cell r="C5696" t="str">
            <v>mar_indfc</v>
          </cell>
          <cell r="D5696">
            <v>15.147366523742676</v>
          </cell>
        </row>
        <row r="5697">
          <cell r="A5697" t="str">
            <v>NPL</v>
          </cell>
          <cell r="B5697">
            <v>2018</v>
          </cell>
          <cell r="C5697" t="str">
            <v>mac_labz</v>
          </cell>
          <cell r="D5697">
            <v>1.4721826314926147</v>
          </cell>
        </row>
        <row r="5698">
          <cell r="A5698" t="str">
            <v>NPL</v>
          </cell>
          <cell r="B5698">
            <v>2021</v>
          </cell>
          <cell r="C5698" t="str">
            <v>mar_con</v>
          </cell>
          <cell r="D5698">
            <v>83.088897705078125</v>
          </cell>
        </row>
        <row r="5699">
          <cell r="A5699" t="str">
            <v>NPL</v>
          </cell>
          <cell r="B5699">
            <v>2008</v>
          </cell>
          <cell r="C5699" t="str">
            <v>maconz</v>
          </cell>
          <cell r="D5699">
            <v>1.2720916271209717</v>
          </cell>
        </row>
        <row r="5700">
          <cell r="A5700" t="str">
            <v>NPL</v>
          </cell>
          <cell r="B5700">
            <v>2011</v>
          </cell>
          <cell r="C5700" t="str">
            <v>madeficit_</v>
          </cell>
          <cell r="D5700">
            <v>-0.8463776707649231</v>
          </cell>
        </row>
        <row r="5701">
          <cell r="A5701" t="str">
            <v>NPL</v>
          </cell>
          <cell r="B5701">
            <v>2010</v>
          </cell>
          <cell r="C5701" t="str">
            <v>maexpz</v>
          </cell>
          <cell r="D5701">
            <v>-10.438140869140625</v>
          </cell>
        </row>
        <row r="5702">
          <cell r="A5702" t="str">
            <v>NPL</v>
          </cell>
          <cell r="B5702">
            <v>2008</v>
          </cell>
          <cell r="C5702" t="str">
            <v>mataxfc</v>
          </cell>
          <cell r="D5702">
            <v>8.2852420806884766</v>
          </cell>
        </row>
        <row r="5703">
          <cell r="A5703" t="str">
            <v>NPL</v>
          </cell>
          <cell r="B5703">
            <v>2015</v>
          </cell>
          <cell r="C5703" t="str">
            <v>mac_tfpz</v>
          </cell>
          <cell r="D5703">
            <v>0.39904963970184326</v>
          </cell>
        </row>
        <row r="5704">
          <cell r="A5704" t="str">
            <v>NPL</v>
          </cell>
          <cell r="B5704">
            <v>2024</v>
          </cell>
          <cell r="C5704" t="str">
            <v>magap_</v>
          </cell>
          <cell r="D5704">
            <v>-2.9929308891296387</v>
          </cell>
        </row>
        <row r="5705">
          <cell r="A5705" t="str">
            <v>NPL</v>
          </cell>
          <cell r="B5705">
            <v>2014</v>
          </cell>
          <cell r="C5705" t="str">
            <v>magdpz</v>
          </cell>
          <cell r="D5705">
            <v>6.0114827156066895</v>
          </cell>
        </row>
        <row r="5706">
          <cell r="A5706" t="str">
            <v>NPL</v>
          </cell>
          <cell r="B5706">
            <v>2014</v>
          </cell>
          <cell r="C5706" t="str">
            <v>mar_srvfc</v>
          </cell>
          <cell r="D5706">
            <v>52.547195434570313</v>
          </cell>
        </row>
        <row r="5707">
          <cell r="A5707" t="str">
            <v>NPL</v>
          </cell>
          <cell r="B5707">
            <v>2013</v>
          </cell>
          <cell r="C5707" t="str">
            <v>mar_expz</v>
          </cell>
          <cell r="D5707">
            <v>9.7796688079833984</v>
          </cell>
        </row>
        <row r="5708">
          <cell r="A5708" t="str">
            <v>NPL</v>
          </cell>
          <cell r="B5708">
            <v>2026</v>
          </cell>
          <cell r="C5708" t="str">
            <v>maagrfc</v>
          </cell>
          <cell r="D5708">
            <v>2.5</v>
          </cell>
        </row>
        <row r="5709">
          <cell r="A5709" t="str">
            <v>NPL</v>
          </cell>
          <cell r="B5709">
            <v>2015</v>
          </cell>
          <cell r="C5709" t="str">
            <v>matfpz</v>
          </cell>
          <cell r="D5709">
            <v>0.39904963970184326</v>
          </cell>
        </row>
        <row r="5710">
          <cell r="A5710" t="str">
            <v>NPL</v>
          </cell>
          <cell r="B5710">
            <v>2022</v>
          </cell>
          <cell r="C5710" t="str">
            <v>mar_srvfc</v>
          </cell>
          <cell r="D5710">
            <v>54.116096496582031</v>
          </cell>
        </row>
        <row r="5711">
          <cell r="A5711" t="str">
            <v>NPL</v>
          </cell>
          <cell r="B5711">
            <v>2024</v>
          </cell>
          <cell r="C5711" t="str">
            <v>maimpz</v>
          </cell>
          <cell r="D5711">
            <v>-4.5</v>
          </cell>
        </row>
        <row r="5712">
          <cell r="A5712" t="str">
            <v>NPL</v>
          </cell>
          <cell r="B5712">
            <v>2016</v>
          </cell>
          <cell r="C5712" t="str">
            <v>mareer</v>
          </cell>
          <cell r="D5712">
            <v>101.61934661865234</v>
          </cell>
        </row>
        <row r="5713">
          <cell r="A5713" t="str">
            <v>NPL</v>
          </cell>
          <cell r="B5713">
            <v>2023</v>
          </cell>
          <cell r="C5713" t="str">
            <v>mar_expz</v>
          </cell>
          <cell r="D5713">
            <v>7.4093823432922363</v>
          </cell>
        </row>
        <row r="5714">
          <cell r="A5714" t="str">
            <v>NPL</v>
          </cell>
          <cell r="B5714">
            <v>2012</v>
          </cell>
          <cell r="C5714" t="str">
            <v>mac_labz</v>
          </cell>
          <cell r="D5714">
            <v>0.7618025541305542</v>
          </cell>
        </row>
        <row r="5715">
          <cell r="A5715" t="str">
            <v>NPL</v>
          </cell>
          <cell r="B5715">
            <v>2021</v>
          </cell>
          <cell r="C5715" t="str">
            <v>mac_labz</v>
          </cell>
          <cell r="D5715">
            <v>2.3792662620544434</v>
          </cell>
        </row>
        <row r="5716">
          <cell r="A5716" t="str">
            <v>NPL</v>
          </cell>
          <cell r="B5716">
            <v>2011</v>
          </cell>
          <cell r="C5716" t="str">
            <v>macab_</v>
          </cell>
          <cell r="D5716">
            <v>-0.82966989278793335</v>
          </cell>
        </row>
        <row r="5717">
          <cell r="A5717" t="str">
            <v>NPL</v>
          </cell>
          <cell r="B5717">
            <v>2011</v>
          </cell>
          <cell r="C5717" t="str">
            <v>mainvz</v>
          </cell>
          <cell r="D5717">
            <v>19.920230865478516</v>
          </cell>
        </row>
        <row r="5718">
          <cell r="A5718" t="str">
            <v>NPL</v>
          </cell>
          <cell r="B5718">
            <v>2025</v>
          </cell>
          <cell r="C5718" t="str">
            <v>masrvfc</v>
          </cell>
          <cell r="D5718">
            <v>5.4429378509521484</v>
          </cell>
        </row>
        <row r="5719">
          <cell r="A5719" t="str">
            <v>NPL</v>
          </cell>
          <cell r="B5719">
            <v>2013</v>
          </cell>
          <cell r="C5719" t="str">
            <v>magovz</v>
          </cell>
          <cell r="D5719">
            <v>-3.5737357139587402</v>
          </cell>
        </row>
        <row r="5720">
          <cell r="A5720" t="str">
            <v>NPL</v>
          </cell>
          <cell r="B5720">
            <v>2019</v>
          </cell>
          <cell r="C5720" t="str">
            <v>mainvz</v>
          </cell>
          <cell r="D5720">
            <v>11.346110343933105</v>
          </cell>
        </row>
        <row r="5721">
          <cell r="A5721" t="str">
            <v>NPL</v>
          </cell>
          <cell r="B5721">
            <v>2024</v>
          </cell>
          <cell r="C5721" t="str">
            <v>mareer</v>
          </cell>
          <cell r="D5721">
            <v>106.0843505859375</v>
          </cell>
        </row>
        <row r="5722">
          <cell r="A5722" t="str">
            <v>NPL</v>
          </cell>
          <cell r="B5722">
            <v>2008</v>
          </cell>
          <cell r="C5722" t="str">
            <v>mafdi_</v>
          </cell>
          <cell r="D5722">
            <v>-3.1519114971160889E-2</v>
          </cell>
        </row>
        <row r="5723">
          <cell r="A5723" t="str">
            <v>NPL</v>
          </cell>
          <cell r="B5723">
            <v>2017</v>
          </cell>
          <cell r="C5723" t="str">
            <v>matfpz</v>
          </cell>
          <cell r="D5723">
            <v>0.45333868265151978</v>
          </cell>
        </row>
        <row r="5724">
          <cell r="A5724" t="str">
            <v>NPL</v>
          </cell>
          <cell r="B5724">
            <v>2006</v>
          </cell>
          <cell r="C5724" t="str">
            <v>mar_srvfc</v>
          </cell>
          <cell r="D5724">
            <v>46.576015472412109</v>
          </cell>
        </row>
        <row r="5725">
          <cell r="A5725" t="str">
            <v>NPL</v>
          </cell>
          <cell r="B5725">
            <v>2022</v>
          </cell>
          <cell r="C5725" t="str">
            <v>madebt_</v>
          </cell>
          <cell r="D5725">
            <v>40.796104431152344</v>
          </cell>
        </row>
        <row r="5726">
          <cell r="A5726" t="str">
            <v>NPL</v>
          </cell>
          <cell r="B5726">
            <v>2018</v>
          </cell>
          <cell r="C5726" t="str">
            <v>maconz</v>
          </cell>
          <cell r="D5726">
            <v>6.169837474822998</v>
          </cell>
        </row>
        <row r="5727">
          <cell r="A5727" t="str">
            <v>NPL</v>
          </cell>
          <cell r="B5727">
            <v>2008</v>
          </cell>
          <cell r="C5727" t="str">
            <v>maagrfc</v>
          </cell>
          <cell r="D5727">
            <v>5.8242597579956055</v>
          </cell>
        </row>
        <row r="5728">
          <cell r="A5728" t="str">
            <v>NPL</v>
          </cell>
          <cell r="B5728">
            <v>2011</v>
          </cell>
          <cell r="C5728" t="str">
            <v>mapanusatls</v>
          </cell>
          <cell r="D5728">
            <v>72.273651123046875</v>
          </cell>
        </row>
        <row r="5729">
          <cell r="A5729" t="str">
            <v>NPL</v>
          </cell>
          <cell r="B5729">
            <v>2012</v>
          </cell>
          <cell r="C5729" t="str">
            <v>maconz</v>
          </cell>
          <cell r="D5729">
            <v>3.035243034362793</v>
          </cell>
        </row>
        <row r="5730">
          <cell r="A5730" t="str">
            <v>NPL</v>
          </cell>
          <cell r="B5730">
            <v>2018</v>
          </cell>
          <cell r="C5730" t="str">
            <v>mar_impz</v>
          </cell>
          <cell r="D5730">
            <v>49.731193542480469</v>
          </cell>
        </row>
        <row r="5731">
          <cell r="A5731" t="str">
            <v>NPL</v>
          </cell>
          <cell r="B5731">
            <v>2008</v>
          </cell>
          <cell r="C5731" t="str">
            <v>mar_taxfc</v>
          </cell>
          <cell r="D5731">
            <v>7.752711296081543</v>
          </cell>
        </row>
        <row r="5732">
          <cell r="A5732" t="str">
            <v>NPL</v>
          </cell>
          <cell r="B5732">
            <v>2010</v>
          </cell>
          <cell r="C5732" t="str">
            <v>mar_impz</v>
          </cell>
          <cell r="D5732">
            <v>40.056686401367188</v>
          </cell>
        </row>
        <row r="5733">
          <cell r="A5733" t="str">
            <v>NPL</v>
          </cell>
          <cell r="B5733">
            <v>2019</v>
          </cell>
          <cell r="C5733" t="str">
            <v>madeficit_</v>
          </cell>
          <cell r="D5733">
            <v>-4.9869880676269531</v>
          </cell>
        </row>
        <row r="5734">
          <cell r="A5734" t="str">
            <v>NPL</v>
          </cell>
          <cell r="B5734">
            <v>2018</v>
          </cell>
          <cell r="C5734" t="str">
            <v>madebt_</v>
          </cell>
          <cell r="D5734">
            <v>26.543088912963867</v>
          </cell>
        </row>
        <row r="5735">
          <cell r="A5735" t="str">
            <v>NPL</v>
          </cell>
          <cell r="B5735">
            <v>2023</v>
          </cell>
          <cell r="C5735" t="str">
            <v>masrvfc</v>
          </cell>
          <cell r="D5735">
            <v>2.3303701877593994</v>
          </cell>
        </row>
        <row r="5736">
          <cell r="A5736" t="str">
            <v>NPL</v>
          </cell>
          <cell r="B5736">
            <v>2019</v>
          </cell>
          <cell r="C5736" t="str">
            <v>mareer</v>
          </cell>
          <cell r="D5736">
            <v>100.77983856201172</v>
          </cell>
        </row>
        <row r="5737">
          <cell r="A5737" t="str">
            <v>NPL</v>
          </cell>
          <cell r="B5737">
            <v>2016</v>
          </cell>
          <cell r="C5737" t="str">
            <v>mapanusatls</v>
          </cell>
          <cell r="D5737">
            <v>106.35185241699219</v>
          </cell>
        </row>
        <row r="5738">
          <cell r="A5738" t="str">
            <v>NPL</v>
          </cell>
          <cell r="B5738">
            <v>2024</v>
          </cell>
          <cell r="C5738" t="str">
            <v>maindfc</v>
          </cell>
          <cell r="D5738">
            <v>2.9000000953674316</v>
          </cell>
        </row>
        <row r="5739">
          <cell r="A5739" t="str">
            <v>NPL</v>
          </cell>
          <cell r="B5739">
            <v>2019</v>
          </cell>
          <cell r="C5739" t="str">
            <v>mar_srvfc</v>
          </cell>
          <cell r="D5739">
            <v>55.161735534667969</v>
          </cell>
        </row>
        <row r="5740">
          <cell r="A5740" t="str">
            <v>NPL</v>
          </cell>
          <cell r="B5740">
            <v>2025</v>
          </cell>
          <cell r="C5740" t="str">
            <v>mac_tfpz</v>
          </cell>
          <cell r="D5740">
            <v>1.0372954607009888</v>
          </cell>
        </row>
        <row r="5741">
          <cell r="A5741" t="str">
            <v>NPL</v>
          </cell>
          <cell r="B5741">
            <v>2009</v>
          </cell>
          <cell r="C5741" t="str">
            <v>macpiz</v>
          </cell>
          <cell r="D5741">
            <v>12.581871032714844</v>
          </cell>
        </row>
        <row r="5742">
          <cell r="A5742" t="str">
            <v>NPL</v>
          </cell>
          <cell r="B5742">
            <v>2013</v>
          </cell>
          <cell r="C5742" t="str">
            <v>matfpz</v>
          </cell>
          <cell r="D5742">
            <v>0.48814341425895691</v>
          </cell>
        </row>
        <row r="5743">
          <cell r="A5743" t="str">
            <v>NPL</v>
          </cell>
          <cell r="B5743">
            <v>2023</v>
          </cell>
          <cell r="C5743" t="str">
            <v>maindfc</v>
          </cell>
          <cell r="D5743">
            <v>0.58707523345947266</v>
          </cell>
        </row>
        <row r="5744">
          <cell r="A5744" t="str">
            <v>NPL</v>
          </cell>
          <cell r="B5744">
            <v>2014</v>
          </cell>
          <cell r="C5744" t="str">
            <v>mareer</v>
          </cell>
          <cell r="D5744">
            <v>90.175407409667969</v>
          </cell>
        </row>
        <row r="5745">
          <cell r="A5745" t="str">
            <v>NPL</v>
          </cell>
          <cell r="B5745">
            <v>2019</v>
          </cell>
          <cell r="C5745" t="str">
            <v>macab_</v>
          </cell>
          <cell r="D5745">
            <v>-6.9182486534118652</v>
          </cell>
        </row>
        <row r="5746">
          <cell r="A5746" t="str">
            <v>NPL</v>
          </cell>
          <cell r="B5746">
            <v>2020</v>
          </cell>
          <cell r="C5746" t="str">
            <v>magap_</v>
          </cell>
          <cell r="D5746">
            <v>0.57851666212081909</v>
          </cell>
        </row>
        <row r="5747">
          <cell r="A5747" t="str">
            <v>NPL</v>
          </cell>
          <cell r="B5747">
            <v>2025</v>
          </cell>
          <cell r="C5747" t="str">
            <v>madeficit_</v>
          </cell>
          <cell r="D5747">
            <v>-5.9718637466430664</v>
          </cell>
        </row>
        <row r="5748">
          <cell r="A5748" t="str">
            <v>PAK</v>
          </cell>
          <cell r="B5748">
            <v>2017</v>
          </cell>
          <cell r="C5748" t="str">
            <v>mareer</v>
          </cell>
          <cell r="D5748">
            <v>99.5826416015625</v>
          </cell>
        </row>
        <row r="5749">
          <cell r="A5749" t="str">
            <v>PAK</v>
          </cell>
          <cell r="B5749">
            <v>2022</v>
          </cell>
          <cell r="C5749" t="str">
            <v>magovz</v>
          </cell>
          <cell r="D5749">
            <v>-1.3299472332000732</v>
          </cell>
        </row>
        <row r="5750">
          <cell r="A5750" t="str">
            <v>PAK</v>
          </cell>
          <cell r="B5750">
            <v>2007</v>
          </cell>
          <cell r="C5750" t="str">
            <v>mar_agrfc</v>
          </cell>
          <cell r="D5750">
            <v>26.726678848266602</v>
          </cell>
        </row>
        <row r="5751">
          <cell r="A5751" t="str">
            <v>PAK</v>
          </cell>
          <cell r="B5751">
            <v>2017</v>
          </cell>
          <cell r="C5751" t="str">
            <v>magovz</v>
          </cell>
          <cell r="D5751">
            <v>4.4878396987915039</v>
          </cell>
        </row>
        <row r="5752">
          <cell r="A5752" t="str">
            <v>PAK</v>
          </cell>
          <cell r="B5752">
            <v>2005</v>
          </cell>
          <cell r="C5752" t="str">
            <v>mataxfc</v>
          </cell>
          <cell r="D5752">
            <v>-5.5376071929931641</v>
          </cell>
        </row>
        <row r="5753">
          <cell r="A5753" t="str">
            <v>PAK</v>
          </cell>
          <cell r="B5753">
            <v>2017</v>
          </cell>
          <cell r="C5753" t="str">
            <v>mapanusatls</v>
          </cell>
          <cell r="D5753">
            <v>104.80999755859375</v>
          </cell>
        </row>
        <row r="5754">
          <cell r="A5754" t="str">
            <v>PAK</v>
          </cell>
          <cell r="B5754">
            <v>2013</v>
          </cell>
          <cell r="C5754" t="str">
            <v>masrvfc</v>
          </cell>
          <cell r="D5754">
            <v>5.1323370933532715</v>
          </cell>
        </row>
        <row r="5755">
          <cell r="A5755" t="str">
            <v>PAK</v>
          </cell>
          <cell r="B5755">
            <v>2007</v>
          </cell>
          <cell r="C5755" t="str">
            <v>masrvfc</v>
          </cell>
          <cell r="D5755">
            <v>5.1866350173950195</v>
          </cell>
        </row>
        <row r="5756">
          <cell r="A5756" t="str">
            <v>PAK</v>
          </cell>
          <cell r="B5756">
            <v>2018</v>
          </cell>
          <cell r="C5756" t="str">
            <v>maagrfc</v>
          </cell>
          <cell r="D5756">
            <v>3.8765013217926025</v>
          </cell>
        </row>
        <row r="5757">
          <cell r="A5757" t="str">
            <v>PAK</v>
          </cell>
          <cell r="B5757">
            <v>2010</v>
          </cell>
          <cell r="C5757" t="str">
            <v>mafdi_</v>
          </cell>
          <cell r="D5757">
            <v>-1.0549066066741943</v>
          </cell>
        </row>
        <row r="5758">
          <cell r="A5758" t="str">
            <v>PAK</v>
          </cell>
          <cell r="B5758">
            <v>2021</v>
          </cell>
          <cell r="C5758" t="str">
            <v>mareer</v>
          </cell>
          <cell r="D5758">
            <v>81.491386413574219</v>
          </cell>
        </row>
        <row r="5759">
          <cell r="A5759" t="str">
            <v>PAK</v>
          </cell>
          <cell r="B5759">
            <v>2026</v>
          </cell>
          <cell r="C5759" t="str">
            <v>maconz</v>
          </cell>
          <cell r="D5759">
            <v>2.5155799388885498</v>
          </cell>
        </row>
        <row r="5760">
          <cell r="A5760" t="str">
            <v>PAK</v>
          </cell>
          <cell r="B5760">
            <v>2012</v>
          </cell>
          <cell r="C5760" t="str">
            <v>mar_indfc</v>
          </cell>
          <cell r="D5760">
            <v>19.182773590087891</v>
          </cell>
        </row>
        <row r="5761">
          <cell r="A5761" t="str">
            <v>PAK</v>
          </cell>
          <cell r="B5761">
            <v>2011</v>
          </cell>
          <cell r="C5761" t="str">
            <v>madebt_</v>
          </cell>
          <cell r="D5761">
            <v>57.381851196289063</v>
          </cell>
        </row>
        <row r="5762">
          <cell r="A5762" t="str">
            <v>PAK</v>
          </cell>
          <cell r="B5762">
            <v>2011</v>
          </cell>
          <cell r="C5762" t="str">
            <v>maconz</v>
          </cell>
          <cell r="D5762">
            <v>4.0207157135009766</v>
          </cell>
        </row>
        <row r="5763">
          <cell r="A5763" t="str">
            <v>PAK</v>
          </cell>
          <cell r="B5763">
            <v>2009</v>
          </cell>
          <cell r="C5763" t="str">
            <v>mac_labz</v>
          </cell>
          <cell r="D5763">
            <v>2.0030195713043213</v>
          </cell>
        </row>
        <row r="5764">
          <cell r="A5764" t="str">
            <v>PAK</v>
          </cell>
          <cell r="B5764">
            <v>2010</v>
          </cell>
          <cell r="C5764" t="str">
            <v>madebt_</v>
          </cell>
          <cell r="D5764">
            <v>58.20819091796875</v>
          </cell>
        </row>
        <row r="5765">
          <cell r="A5765" t="str">
            <v>PAK</v>
          </cell>
          <cell r="B5765">
            <v>2017</v>
          </cell>
          <cell r="C5765" t="str">
            <v>malabz</v>
          </cell>
          <cell r="D5765">
            <v>1.6483885049819946</v>
          </cell>
        </row>
        <row r="5766">
          <cell r="A5766" t="str">
            <v>PAK</v>
          </cell>
          <cell r="B5766">
            <v>2016</v>
          </cell>
          <cell r="C5766" t="str">
            <v>mar_expz</v>
          </cell>
          <cell r="D5766">
            <v>8.7367162704467773</v>
          </cell>
        </row>
        <row r="5767">
          <cell r="A5767" t="str">
            <v>PAK</v>
          </cell>
          <cell r="B5767">
            <v>2017</v>
          </cell>
          <cell r="C5767" t="str">
            <v>mar_indfc</v>
          </cell>
          <cell r="D5767">
            <v>19.468742370605469</v>
          </cell>
        </row>
        <row r="5768">
          <cell r="A5768" t="str">
            <v>PAK</v>
          </cell>
          <cell r="B5768">
            <v>2020</v>
          </cell>
          <cell r="C5768" t="str">
            <v>mapanusatls</v>
          </cell>
          <cell r="D5768">
            <v>158.02999877929688</v>
          </cell>
        </row>
        <row r="5769">
          <cell r="A5769" t="str">
            <v>PAK</v>
          </cell>
          <cell r="B5769">
            <v>2009</v>
          </cell>
          <cell r="C5769" t="str">
            <v>mac_tfpz</v>
          </cell>
          <cell r="D5769">
            <v>1.01658034324646</v>
          </cell>
        </row>
        <row r="5770">
          <cell r="A5770" t="str">
            <v>PAK</v>
          </cell>
          <cell r="B5770">
            <v>2005</v>
          </cell>
          <cell r="C5770" t="str">
            <v>mar_agrfc</v>
          </cell>
          <cell r="D5770">
            <v>28.152961730957031</v>
          </cell>
        </row>
        <row r="5771">
          <cell r="A5771" t="str">
            <v>PAK</v>
          </cell>
          <cell r="B5771">
            <v>2024</v>
          </cell>
          <cell r="C5771" t="str">
            <v>magovz</v>
          </cell>
          <cell r="D5771">
            <v>0.86963266134262085</v>
          </cell>
        </row>
        <row r="5772">
          <cell r="A5772" t="str">
            <v>PAK</v>
          </cell>
          <cell r="B5772">
            <v>2014</v>
          </cell>
          <cell r="C5772" t="str">
            <v>malabz</v>
          </cell>
          <cell r="D5772">
            <v>1.6125394105911255</v>
          </cell>
        </row>
        <row r="5773">
          <cell r="A5773" t="str">
            <v>PAK</v>
          </cell>
          <cell r="B5773">
            <v>2012</v>
          </cell>
          <cell r="C5773" t="str">
            <v>macpiz</v>
          </cell>
          <cell r="D5773">
            <v>11.00904655456543</v>
          </cell>
        </row>
        <row r="5774">
          <cell r="A5774" t="str">
            <v>PAK</v>
          </cell>
          <cell r="B5774">
            <v>2009</v>
          </cell>
          <cell r="C5774" t="str">
            <v>maconz</v>
          </cell>
          <cell r="D5774">
            <v>0.62722253799438477</v>
          </cell>
        </row>
        <row r="5775">
          <cell r="A5775" t="str">
            <v>PAK</v>
          </cell>
          <cell r="B5775">
            <v>2020</v>
          </cell>
          <cell r="C5775" t="str">
            <v>matfpz</v>
          </cell>
          <cell r="D5775">
            <v>1.5962436199188232</v>
          </cell>
        </row>
        <row r="5776">
          <cell r="A5776" t="str">
            <v>PAK</v>
          </cell>
          <cell r="B5776">
            <v>2007</v>
          </cell>
          <cell r="C5776" t="str">
            <v>malabz</v>
          </cell>
          <cell r="D5776">
            <v>2.8427853584289551</v>
          </cell>
        </row>
        <row r="5777">
          <cell r="A5777" t="str">
            <v>PAK</v>
          </cell>
          <cell r="B5777">
            <v>2005</v>
          </cell>
          <cell r="C5777" t="str">
            <v>maagrfc</v>
          </cell>
          <cell r="D5777">
            <v>6.7946505546569824</v>
          </cell>
        </row>
        <row r="5778">
          <cell r="A5778" t="str">
            <v>PAK</v>
          </cell>
          <cell r="B5778">
            <v>2014</v>
          </cell>
          <cell r="C5778" t="str">
            <v>maimpz</v>
          </cell>
          <cell r="D5778">
            <v>4.4849653244018555</v>
          </cell>
        </row>
        <row r="5779">
          <cell r="A5779" t="str">
            <v>PAK</v>
          </cell>
          <cell r="B5779">
            <v>2022</v>
          </cell>
          <cell r="C5779" t="str">
            <v>maagrfc</v>
          </cell>
          <cell r="D5779">
            <v>4.282956600189209</v>
          </cell>
        </row>
        <row r="5780">
          <cell r="A5780" t="str">
            <v>PAK</v>
          </cell>
          <cell r="B5780">
            <v>2012</v>
          </cell>
          <cell r="C5780" t="str">
            <v>maexpz</v>
          </cell>
          <cell r="D5780">
            <v>-12.92573356628418</v>
          </cell>
        </row>
        <row r="5781">
          <cell r="A5781" t="str">
            <v>PAK</v>
          </cell>
          <cell r="B5781">
            <v>2021</v>
          </cell>
          <cell r="C5781" t="str">
            <v>mar_impz</v>
          </cell>
          <cell r="D5781">
            <v>21.519990921020508</v>
          </cell>
        </row>
        <row r="5782">
          <cell r="A5782" t="str">
            <v>PAK</v>
          </cell>
          <cell r="B5782">
            <v>2014</v>
          </cell>
          <cell r="C5782" t="str">
            <v>mar_con</v>
          </cell>
          <cell r="D5782">
            <v>80.667930603027344</v>
          </cell>
        </row>
        <row r="5783">
          <cell r="A5783" t="str">
            <v>PAK</v>
          </cell>
          <cell r="B5783">
            <v>2008</v>
          </cell>
          <cell r="C5783" t="str">
            <v>mar_srvfc</v>
          </cell>
          <cell r="D5783">
            <v>54.457073211669922</v>
          </cell>
        </row>
        <row r="5784">
          <cell r="A5784" t="str">
            <v>PAK</v>
          </cell>
          <cell r="B5784">
            <v>2016</v>
          </cell>
          <cell r="C5784" t="str">
            <v>mac_tfpz</v>
          </cell>
          <cell r="D5784">
            <v>1.7867007255554199</v>
          </cell>
        </row>
        <row r="5785">
          <cell r="A5785" t="str">
            <v>PAK</v>
          </cell>
          <cell r="B5785">
            <v>2017</v>
          </cell>
          <cell r="C5785" t="str">
            <v>maconz</v>
          </cell>
          <cell r="D5785">
            <v>6.928246021270752</v>
          </cell>
        </row>
        <row r="5786">
          <cell r="A5786" t="str">
            <v>PAK</v>
          </cell>
          <cell r="B5786">
            <v>2005</v>
          </cell>
          <cell r="C5786" t="str">
            <v>maimpz</v>
          </cell>
          <cell r="D5786">
            <v>35.050918579101563</v>
          </cell>
        </row>
        <row r="5787">
          <cell r="A5787" t="str">
            <v>PAK</v>
          </cell>
          <cell r="B5787">
            <v>2007</v>
          </cell>
          <cell r="C5787" t="str">
            <v>mataxfc</v>
          </cell>
          <cell r="D5787">
            <v>-8.1043701171875</v>
          </cell>
        </row>
        <row r="5788">
          <cell r="A5788" t="str">
            <v>PAK</v>
          </cell>
          <cell r="B5788">
            <v>2021</v>
          </cell>
          <cell r="C5788" t="str">
            <v>macab_</v>
          </cell>
          <cell r="D5788">
            <v>-0.80817854404449463</v>
          </cell>
        </row>
        <row r="5789">
          <cell r="A5789" t="str">
            <v>PAK</v>
          </cell>
          <cell r="B5789">
            <v>2021</v>
          </cell>
          <cell r="C5789" t="str">
            <v>mar_taxfc</v>
          </cell>
          <cell r="D5789">
            <v>6.8861756324768066</v>
          </cell>
        </row>
        <row r="5790">
          <cell r="A5790" t="str">
            <v>PAK</v>
          </cell>
          <cell r="B5790">
            <v>2020</v>
          </cell>
          <cell r="C5790" t="str">
            <v>maimpz</v>
          </cell>
          <cell r="D5790">
            <v>-5.0635161399841309</v>
          </cell>
        </row>
        <row r="5791">
          <cell r="A5791" t="str">
            <v>PAK</v>
          </cell>
          <cell r="B5791">
            <v>2009</v>
          </cell>
          <cell r="C5791" t="str">
            <v>magap_</v>
          </cell>
          <cell r="D5791">
            <v>0.73765784502029419</v>
          </cell>
        </row>
        <row r="5792">
          <cell r="A5792" t="str">
            <v>PAK</v>
          </cell>
          <cell r="B5792">
            <v>2006</v>
          </cell>
          <cell r="C5792" t="str">
            <v>maimpz</v>
          </cell>
          <cell r="D5792">
            <v>11.450454711914063</v>
          </cell>
        </row>
        <row r="5793">
          <cell r="A5793" t="str">
            <v>PAK</v>
          </cell>
          <cell r="B5793">
            <v>2026</v>
          </cell>
          <cell r="C5793" t="str">
            <v>maimpz</v>
          </cell>
          <cell r="D5793">
            <v>1.611050009727478</v>
          </cell>
        </row>
        <row r="5794">
          <cell r="A5794" t="str">
            <v>PAK</v>
          </cell>
          <cell r="B5794">
            <v>2013</v>
          </cell>
          <cell r="C5794" t="str">
            <v>mapanusatls</v>
          </cell>
          <cell r="D5794">
            <v>96.819999694824219</v>
          </cell>
        </row>
        <row r="5795">
          <cell r="A5795" t="str">
            <v>PAK</v>
          </cell>
          <cell r="B5795">
            <v>2007</v>
          </cell>
          <cell r="C5795" t="str">
            <v>magdpz</v>
          </cell>
          <cell r="D5795">
            <v>4.4448142051696777</v>
          </cell>
        </row>
        <row r="5796">
          <cell r="A5796" t="str">
            <v>PAK</v>
          </cell>
          <cell r="B5796">
            <v>2006</v>
          </cell>
          <cell r="C5796" t="str">
            <v>mainvz</v>
          </cell>
          <cell r="D5796">
            <v>19.160341262817383</v>
          </cell>
        </row>
        <row r="5797">
          <cell r="A5797" t="str">
            <v>PAK</v>
          </cell>
          <cell r="B5797">
            <v>2011</v>
          </cell>
          <cell r="C5797" t="str">
            <v>mainvz</v>
          </cell>
          <cell r="D5797">
            <v>-8.6189384460449219</v>
          </cell>
        </row>
        <row r="5798">
          <cell r="A5798" t="str">
            <v>PAK</v>
          </cell>
          <cell r="B5798">
            <v>2021</v>
          </cell>
          <cell r="C5798" t="str">
            <v>mac_tfpz</v>
          </cell>
          <cell r="D5798">
            <v>1.5337426662445068</v>
          </cell>
        </row>
        <row r="5799">
          <cell r="A5799" t="str">
            <v>PAK</v>
          </cell>
          <cell r="B5799">
            <v>2023</v>
          </cell>
          <cell r="C5799" t="str">
            <v>mataxfc</v>
          </cell>
          <cell r="D5799">
            <v>2.9345355033874512</v>
          </cell>
        </row>
        <row r="5800">
          <cell r="A5800" t="str">
            <v>PAK</v>
          </cell>
          <cell r="B5800">
            <v>2026</v>
          </cell>
          <cell r="C5800" t="str">
            <v>maagrfc</v>
          </cell>
          <cell r="D5800">
            <v>2.7306399345397949</v>
          </cell>
        </row>
        <row r="5801">
          <cell r="A5801" t="str">
            <v>PAK</v>
          </cell>
          <cell r="B5801">
            <v>2021</v>
          </cell>
          <cell r="C5801" t="str">
            <v>maimpz</v>
          </cell>
          <cell r="D5801">
            <v>14.485978126525879</v>
          </cell>
        </row>
        <row r="5802">
          <cell r="A5802" t="str">
            <v>PAK</v>
          </cell>
          <cell r="B5802">
            <v>2025</v>
          </cell>
          <cell r="C5802" t="str">
            <v>macpiz</v>
          </cell>
          <cell r="D5802">
            <v>15</v>
          </cell>
        </row>
        <row r="5803">
          <cell r="A5803" t="str">
            <v>PAK</v>
          </cell>
          <cell r="B5803">
            <v>2022</v>
          </cell>
          <cell r="C5803" t="str">
            <v>mar_srvfc</v>
          </cell>
          <cell r="D5803">
            <v>58.283882141113281</v>
          </cell>
        </row>
        <row r="5804">
          <cell r="A5804" t="str">
            <v>PAK</v>
          </cell>
          <cell r="B5804">
            <v>2005</v>
          </cell>
          <cell r="C5804" t="str">
            <v>masrvfc</v>
          </cell>
          <cell r="D5804">
            <v>8.2811393737792969</v>
          </cell>
        </row>
        <row r="5805">
          <cell r="A5805" t="str">
            <v>PAK</v>
          </cell>
          <cell r="B5805">
            <v>2023</v>
          </cell>
          <cell r="C5805" t="str">
            <v>macab_</v>
          </cell>
          <cell r="D5805">
            <v>-0.66052258014678955</v>
          </cell>
        </row>
        <row r="5806">
          <cell r="A5806" t="str">
            <v>PAK</v>
          </cell>
          <cell r="B5806">
            <v>2005</v>
          </cell>
          <cell r="C5806" t="str">
            <v>maconz</v>
          </cell>
          <cell r="D5806">
            <v>12.186525344848633</v>
          </cell>
        </row>
        <row r="5807">
          <cell r="A5807" t="str">
            <v>PAK</v>
          </cell>
          <cell r="B5807">
            <v>2012</v>
          </cell>
          <cell r="C5807" t="str">
            <v>madebt_</v>
          </cell>
          <cell r="D5807">
            <v>59.428474426269531</v>
          </cell>
        </row>
        <row r="5808">
          <cell r="A5808" t="str">
            <v>PAK</v>
          </cell>
          <cell r="B5808">
            <v>2018</v>
          </cell>
          <cell r="C5808" t="str">
            <v>macpiz</v>
          </cell>
          <cell r="D5808">
            <v>4.6846675872802734</v>
          </cell>
        </row>
        <row r="5809">
          <cell r="A5809" t="str">
            <v>PAK</v>
          </cell>
          <cell r="B5809">
            <v>2016</v>
          </cell>
          <cell r="C5809" t="str">
            <v>mafdi_</v>
          </cell>
          <cell r="D5809">
            <v>-0.75692218542098999</v>
          </cell>
        </row>
        <row r="5810">
          <cell r="A5810" t="str">
            <v>PAK</v>
          </cell>
          <cell r="B5810">
            <v>2023</v>
          </cell>
          <cell r="C5810" t="str">
            <v>maexpz</v>
          </cell>
          <cell r="D5810">
            <v>2.4161839485168457</v>
          </cell>
        </row>
        <row r="5811">
          <cell r="A5811" t="str">
            <v>PAK</v>
          </cell>
          <cell r="B5811">
            <v>2026</v>
          </cell>
          <cell r="C5811" t="str">
            <v>magdpz</v>
          </cell>
          <cell r="D5811">
            <v>2.7452354431152344</v>
          </cell>
        </row>
        <row r="5812">
          <cell r="A5812" t="str">
            <v>PAK</v>
          </cell>
          <cell r="B5812">
            <v>2016</v>
          </cell>
          <cell r="C5812" t="str">
            <v>mar_agrfc</v>
          </cell>
          <cell r="D5812">
            <v>23.95079231262207</v>
          </cell>
        </row>
        <row r="5813">
          <cell r="A5813" t="str">
            <v>PAK</v>
          </cell>
          <cell r="B5813">
            <v>2024</v>
          </cell>
          <cell r="C5813" t="str">
            <v>mar_agrfc</v>
          </cell>
          <cell r="D5813">
            <v>23.460046768188477</v>
          </cell>
        </row>
        <row r="5814">
          <cell r="A5814" t="str">
            <v>PAK</v>
          </cell>
          <cell r="B5814">
            <v>2019</v>
          </cell>
          <cell r="C5814" t="str">
            <v>maimpz</v>
          </cell>
          <cell r="D5814">
            <v>7.6119256019592285</v>
          </cell>
        </row>
        <row r="5815">
          <cell r="A5815" t="str">
            <v>PAK</v>
          </cell>
          <cell r="B5815">
            <v>2009</v>
          </cell>
          <cell r="C5815" t="str">
            <v>madebt_</v>
          </cell>
          <cell r="D5815">
            <v>52.483360290527344</v>
          </cell>
        </row>
        <row r="5816">
          <cell r="A5816" t="str">
            <v>PAK</v>
          </cell>
          <cell r="B5816">
            <v>2016</v>
          </cell>
          <cell r="C5816" t="str">
            <v>matfpz</v>
          </cell>
          <cell r="D5816">
            <v>1.7867007255554199</v>
          </cell>
        </row>
        <row r="5817">
          <cell r="A5817" t="str">
            <v>PAK</v>
          </cell>
          <cell r="B5817">
            <v>2018</v>
          </cell>
          <cell r="C5817" t="str">
            <v>maindfc</v>
          </cell>
          <cell r="D5817">
            <v>9.1830339431762695</v>
          </cell>
        </row>
        <row r="5818">
          <cell r="A5818" t="str">
            <v>PAK</v>
          </cell>
          <cell r="B5818">
            <v>2011</v>
          </cell>
          <cell r="C5818" t="str">
            <v>mar_con</v>
          </cell>
          <cell r="D5818">
            <v>79.839981079101563</v>
          </cell>
        </row>
        <row r="5819">
          <cell r="A5819" t="str">
            <v>PAK</v>
          </cell>
          <cell r="B5819">
            <v>2020</v>
          </cell>
          <cell r="C5819" t="str">
            <v>magap_</v>
          </cell>
          <cell r="D5819">
            <v>-4.7647366523742676</v>
          </cell>
        </row>
        <row r="5820">
          <cell r="A5820" t="str">
            <v>PAK</v>
          </cell>
          <cell r="B5820">
            <v>2006</v>
          </cell>
          <cell r="C5820" t="str">
            <v>masrvfc</v>
          </cell>
          <cell r="D5820">
            <v>8.5325384140014648</v>
          </cell>
        </row>
        <row r="5821">
          <cell r="A5821" t="str">
            <v>PAK</v>
          </cell>
          <cell r="B5821">
            <v>2021</v>
          </cell>
          <cell r="C5821" t="str">
            <v>maconz</v>
          </cell>
          <cell r="D5821">
            <v>9.439723014831543</v>
          </cell>
        </row>
        <row r="5822">
          <cell r="A5822" t="str">
            <v>PAK</v>
          </cell>
          <cell r="B5822">
            <v>2026</v>
          </cell>
          <cell r="C5822" t="str">
            <v>mac_tfpz</v>
          </cell>
          <cell r="D5822">
            <v>1.3687326908111572</v>
          </cell>
        </row>
        <row r="5823">
          <cell r="A5823" t="str">
            <v>PAK</v>
          </cell>
          <cell r="B5823">
            <v>2024</v>
          </cell>
          <cell r="C5823" t="str">
            <v>mac_labz</v>
          </cell>
          <cell r="D5823">
            <v>1.8605291843414307</v>
          </cell>
        </row>
        <row r="5824">
          <cell r="A5824" t="str">
            <v>PAK</v>
          </cell>
          <cell r="B5824">
            <v>2017</v>
          </cell>
          <cell r="C5824" t="str">
            <v>mar_expz</v>
          </cell>
          <cell r="D5824">
            <v>8.5726385116577148</v>
          </cell>
        </row>
        <row r="5825">
          <cell r="A5825" t="str">
            <v>PAK</v>
          </cell>
          <cell r="B5825">
            <v>2012</v>
          </cell>
          <cell r="C5825" t="str">
            <v>mapanusatls</v>
          </cell>
          <cell r="D5825">
            <v>89.339996337890625</v>
          </cell>
        </row>
        <row r="5826">
          <cell r="A5826" t="str">
            <v>PAK</v>
          </cell>
          <cell r="B5826">
            <v>2019</v>
          </cell>
          <cell r="C5826" t="str">
            <v>maagrfc</v>
          </cell>
          <cell r="D5826">
            <v>0.9391588568687439</v>
          </cell>
        </row>
        <row r="5827">
          <cell r="A5827" t="str">
            <v>PAK</v>
          </cell>
          <cell r="B5827">
            <v>2007</v>
          </cell>
          <cell r="C5827" t="str">
            <v>macab_</v>
          </cell>
          <cell r="D5827">
            <v>-3.7355411052703857</v>
          </cell>
        </row>
        <row r="5828">
          <cell r="A5828" t="str">
            <v>PAK</v>
          </cell>
          <cell r="B5828">
            <v>2015</v>
          </cell>
          <cell r="C5828" t="str">
            <v>magovz</v>
          </cell>
          <cell r="D5828">
            <v>1.8540446758270264</v>
          </cell>
        </row>
        <row r="5829">
          <cell r="A5829" t="str">
            <v>PAK</v>
          </cell>
          <cell r="B5829">
            <v>2025</v>
          </cell>
          <cell r="C5829" t="str">
            <v>maconz</v>
          </cell>
          <cell r="D5829">
            <v>2.178380012512207</v>
          </cell>
        </row>
        <row r="5830">
          <cell r="A5830" t="str">
            <v>PAK</v>
          </cell>
          <cell r="B5830">
            <v>2021</v>
          </cell>
          <cell r="C5830" t="str">
            <v>magap_</v>
          </cell>
          <cell r="D5830">
            <v>-2.2723214626312256</v>
          </cell>
        </row>
        <row r="5831">
          <cell r="A5831" t="str">
            <v>PAK</v>
          </cell>
          <cell r="B5831">
            <v>2007</v>
          </cell>
          <cell r="C5831" t="str">
            <v>mac_tfpz</v>
          </cell>
          <cell r="D5831">
            <v>1.1772427558898926</v>
          </cell>
        </row>
        <row r="5832">
          <cell r="A5832" t="str">
            <v>PAK</v>
          </cell>
          <cell r="B5832">
            <v>2014</v>
          </cell>
          <cell r="C5832" t="str">
            <v>mar_impz</v>
          </cell>
          <cell r="D5832">
            <v>15.196118354797363</v>
          </cell>
        </row>
        <row r="5833">
          <cell r="A5833" t="str">
            <v>PAK</v>
          </cell>
          <cell r="B5833">
            <v>2008</v>
          </cell>
          <cell r="C5833" t="str">
            <v>maagrfc</v>
          </cell>
          <cell r="D5833">
            <v>0.81466680765151978</v>
          </cell>
        </row>
        <row r="5834">
          <cell r="A5834" t="str">
            <v>PAK</v>
          </cell>
          <cell r="B5834">
            <v>2016</v>
          </cell>
          <cell r="C5834" t="str">
            <v>magovz</v>
          </cell>
          <cell r="D5834">
            <v>13.881223678588867</v>
          </cell>
        </row>
        <row r="5835">
          <cell r="A5835" t="str">
            <v>PAK</v>
          </cell>
          <cell r="B5835">
            <v>2026</v>
          </cell>
          <cell r="C5835" t="str">
            <v>magap_</v>
          </cell>
          <cell r="D5835">
            <v>-7.4936318397521973</v>
          </cell>
        </row>
        <row r="5836">
          <cell r="A5836" t="str">
            <v>PAK</v>
          </cell>
          <cell r="B5836">
            <v>2008</v>
          </cell>
          <cell r="C5836" t="str">
            <v>magovz</v>
          </cell>
          <cell r="D5836">
            <v>6.8503236770629883</v>
          </cell>
        </row>
        <row r="5837">
          <cell r="A5837" t="str">
            <v>PAK</v>
          </cell>
          <cell r="B5837">
            <v>2006</v>
          </cell>
          <cell r="C5837" t="str">
            <v>maconz</v>
          </cell>
          <cell r="D5837">
            <v>1.6436126232147217</v>
          </cell>
        </row>
        <row r="5838">
          <cell r="A5838" t="str">
            <v>PAK</v>
          </cell>
          <cell r="B5838">
            <v>2015</v>
          </cell>
          <cell r="C5838" t="str">
            <v>madebt_</v>
          </cell>
          <cell r="D5838">
            <v>60.021244049072266</v>
          </cell>
        </row>
        <row r="5839">
          <cell r="A5839" t="str">
            <v>PAK</v>
          </cell>
          <cell r="B5839">
            <v>2012</v>
          </cell>
          <cell r="C5839" t="str">
            <v>mar_agrfc</v>
          </cell>
          <cell r="D5839">
            <v>25.778949737548828</v>
          </cell>
        </row>
        <row r="5840">
          <cell r="A5840" t="str">
            <v>PAK</v>
          </cell>
          <cell r="B5840">
            <v>2021</v>
          </cell>
          <cell r="C5840" t="str">
            <v>mar_srvfc</v>
          </cell>
          <cell r="D5840">
            <v>58.014114379882813</v>
          </cell>
        </row>
        <row r="5841">
          <cell r="A5841" t="str">
            <v>PAK</v>
          </cell>
          <cell r="B5841">
            <v>2022</v>
          </cell>
          <cell r="C5841" t="str">
            <v>maexpz</v>
          </cell>
          <cell r="D5841">
            <v>5.939122200012207</v>
          </cell>
        </row>
        <row r="5842">
          <cell r="A5842" t="str">
            <v>PAK</v>
          </cell>
          <cell r="B5842">
            <v>2008</v>
          </cell>
          <cell r="C5842" t="str">
            <v>mar_con</v>
          </cell>
          <cell r="D5842">
            <v>80.459632873535156</v>
          </cell>
        </row>
        <row r="5843">
          <cell r="A5843" t="str">
            <v>PAK</v>
          </cell>
          <cell r="B5843">
            <v>2008</v>
          </cell>
          <cell r="C5843" t="str">
            <v>masrvfc</v>
          </cell>
          <cell r="D5843">
            <v>4.7192726135253906</v>
          </cell>
        </row>
        <row r="5844">
          <cell r="A5844" t="str">
            <v>PAK</v>
          </cell>
          <cell r="B5844">
            <v>2014</v>
          </cell>
          <cell r="C5844" t="str">
            <v>maexpz</v>
          </cell>
          <cell r="D5844">
            <v>-2.4829390048980713</v>
          </cell>
        </row>
        <row r="5845">
          <cell r="A5845" t="str">
            <v>PAK</v>
          </cell>
          <cell r="B5845">
            <v>2024</v>
          </cell>
          <cell r="C5845" t="str">
            <v>mar_indfc</v>
          </cell>
          <cell r="D5845">
            <v>18.412052154541016</v>
          </cell>
        </row>
        <row r="5846">
          <cell r="A5846" t="str">
            <v>PAK</v>
          </cell>
          <cell r="B5846">
            <v>2009</v>
          </cell>
          <cell r="C5846" t="str">
            <v>macpiz</v>
          </cell>
          <cell r="D5846">
            <v>17.040359497070313</v>
          </cell>
        </row>
        <row r="5847">
          <cell r="A5847" t="str">
            <v>PAK</v>
          </cell>
          <cell r="B5847">
            <v>2021</v>
          </cell>
          <cell r="C5847" t="str">
            <v>madeficit_</v>
          </cell>
          <cell r="D5847">
            <v>-6.0403547286987305</v>
          </cell>
        </row>
        <row r="5848">
          <cell r="A5848" t="str">
            <v>PAK</v>
          </cell>
          <cell r="B5848">
            <v>2005</v>
          </cell>
          <cell r="C5848" t="str">
            <v>mac_tfpz</v>
          </cell>
          <cell r="D5848">
            <v>1.3598570823669434</v>
          </cell>
        </row>
        <row r="5849">
          <cell r="A5849" t="str">
            <v>PAK</v>
          </cell>
          <cell r="B5849">
            <v>2018</v>
          </cell>
          <cell r="C5849" t="str">
            <v>mar_impz</v>
          </cell>
          <cell r="D5849">
            <v>19.831130981445313</v>
          </cell>
        </row>
        <row r="5850">
          <cell r="A5850" t="str">
            <v>PAK</v>
          </cell>
          <cell r="B5850">
            <v>2026</v>
          </cell>
          <cell r="C5850" t="str">
            <v>maexpz</v>
          </cell>
          <cell r="D5850">
            <v>3.66090989112854</v>
          </cell>
        </row>
        <row r="5851">
          <cell r="A5851" t="str">
            <v>PAK</v>
          </cell>
          <cell r="B5851">
            <v>2009</v>
          </cell>
          <cell r="C5851" t="str">
            <v>malabz</v>
          </cell>
          <cell r="D5851">
            <v>2.8614566326141357</v>
          </cell>
        </row>
        <row r="5852">
          <cell r="A5852" t="str">
            <v>PAK</v>
          </cell>
          <cell r="B5852">
            <v>2008</v>
          </cell>
          <cell r="C5852" t="str">
            <v>mainvz</v>
          </cell>
          <cell r="D5852">
            <v>3.7061200141906738</v>
          </cell>
        </row>
        <row r="5853">
          <cell r="A5853" t="str">
            <v>PAK</v>
          </cell>
          <cell r="B5853">
            <v>2014</v>
          </cell>
          <cell r="C5853" t="str">
            <v>mainvz</v>
          </cell>
          <cell r="D5853">
            <v>3.3462553024291992</v>
          </cell>
        </row>
        <row r="5854">
          <cell r="A5854" t="str">
            <v>PAK</v>
          </cell>
          <cell r="B5854">
            <v>2016</v>
          </cell>
          <cell r="C5854" t="str">
            <v>mainvz</v>
          </cell>
          <cell r="D5854">
            <v>9.3846654891967773</v>
          </cell>
        </row>
        <row r="5855">
          <cell r="A5855" t="str">
            <v>PAK</v>
          </cell>
          <cell r="B5855">
            <v>2007</v>
          </cell>
          <cell r="C5855" t="str">
            <v>mar_con</v>
          </cell>
          <cell r="D5855">
            <v>80.804618835449219</v>
          </cell>
        </row>
        <row r="5856">
          <cell r="A5856" t="str">
            <v>PAK</v>
          </cell>
          <cell r="B5856">
            <v>2022</v>
          </cell>
          <cell r="C5856" t="str">
            <v>madebt_</v>
          </cell>
          <cell r="D5856">
            <v>80.650321960449219</v>
          </cell>
        </row>
        <row r="5857">
          <cell r="A5857" t="str">
            <v>PAK</v>
          </cell>
          <cell r="B5857">
            <v>2007</v>
          </cell>
          <cell r="C5857" t="str">
            <v>mar_impz</v>
          </cell>
          <cell r="D5857">
            <v>21.975618362426758</v>
          </cell>
        </row>
        <row r="5858">
          <cell r="A5858" t="str">
            <v>PAK</v>
          </cell>
          <cell r="B5858">
            <v>2025</v>
          </cell>
          <cell r="C5858" t="str">
            <v>mar_taxfc</v>
          </cell>
          <cell r="D5858">
            <v>5.6456394195556641</v>
          </cell>
        </row>
        <row r="5859">
          <cell r="A5859" t="str">
            <v>PAK</v>
          </cell>
          <cell r="B5859">
            <v>2016</v>
          </cell>
          <cell r="C5859" t="str">
            <v>magdpz</v>
          </cell>
          <cell r="D5859">
            <v>6.5738382339477539</v>
          </cell>
        </row>
        <row r="5860">
          <cell r="A5860" t="str">
            <v>PAK</v>
          </cell>
          <cell r="B5860">
            <v>2021</v>
          </cell>
          <cell r="C5860" t="str">
            <v>matfpz</v>
          </cell>
          <cell r="D5860">
            <v>1.5337426662445068</v>
          </cell>
        </row>
        <row r="5861">
          <cell r="A5861" t="str">
            <v>PAK</v>
          </cell>
          <cell r="B5861">
            <v>2011</v>
          </cell>
          <cell r="C5861" t="str">
            <v>magovz</v>
          </cell>
          <cell r="D5861">
            <v>-1.9851616621017456</v>
          </cell>
        </row>
        <row r="5862">
          <cell r="A5862" t="str">
            <v>PAK</v>
          </cell>
          <cell r="B5862">
            <v>2010</v>
          </cell>
          <cell r="C5862" t="str">
            <v>maindfc</v>
          </cell>
          <cell r="D5862">
            <v>3.9523458480834961</v>
          </cell>
        </row>
        <row r="5863">
          <cell r="A5863" t="str">
            <v>PAK</v>
          </cell>
          <cell r="B5863">
            <v>2015</v>
          </cell>
          <cell r="C5863" t="str">
            <v>matfpz</v>
          </cell>
          <cell r="D5863">
            <v>1.7258286476135254</v>
          </cell>
        </row>
        <row r="5864">
          <cell r="A5864" t="str">
            <v>PAK</v>
          </cell>
          <cell r="B5864">
            <v>2019</v>
          </cell>
          <cell r="C5864" t="str">
            <v>mafdi_</v>
          </cell>
          <cell r="D5864">
            <v>-0.44747132062911987</v>
          </cell>
        </row>
        <row r="5865">
          <cell r="A5865" t="str">
            <v>PAK</v>
          </cell>
          <cell r="B5865">
            <v>2005</v>
          </cell>
          <cell r="C5865" t="str">
            <v>mainvz</v>
          </cell>
          <cell r="D5865">
            <v>9.4500513076782227</v>
          </cell>
        </row>
        <row r="5866">
          <cell r="A5866" t="str">
            <v>PAK</v>
          </cell>
          <cell r="B5866">
            <v>2024</v>
          </cell>
          <cell r="C5866" t="str">
            <v>magap_</v>
          </cell>
          <cell r="D5866">
            <v>-6.4831981658935547</v>
          </cell>
        </row>
        <row r="5867">
          <cell r="A5867" t="str">
            <v>PAK</v>
          </cell>
          <cell r="B5867">
            <v>2013</v>
          </cell>
          <cell r="C5867" t="str">
            <v>malabz</v>
          </cell>
          <cell r="D5867">
            <v>1.7423508167266846</v>
          </cell>
        </row>
        <row r="5868">
          <cell r="A5868" t="str">
            <v>PAK</v>
          </cell>
          <cell r="B5868">
            <v>2022</v>
          </cell>
          <cell r="C5868" t="str">
            <v>maindfc</v>
          </cell>
          <cell r="D5868">
            <v>6.948371410369873</v>
          </cell>
        </row>
        <row r="5869">
          <cell r="A5869" t="str">
            <v>PAK</v>
          </cell>
          <cell r="B5869">
            <v>2018</v>
          </cell>
          <cell r="C5869" t="str">
            <v>mataxfc</v>
          </cell>
          <cell r="D5869">
            <v>6.9412107467651367</v>
          </cell>
        </row>
        <row r="5870">
          <cell r="A5870" t="str">
            <v>PAK</v>
          </cell>
          <cell r="B5870">
            <v>2026</v>
          </cell>
          <cell r="C5870" t="str">
            <v>masrvfc</v>
          </cell>
          <cell r="D5870">
            <v>2.8733956813812256</v>
          </cell>
        </row>
        <row r="5871">
          <cell r="A5871" t="str">
            <v>PAK</v>
          </cell>
          <cell r="B5871">
            <v>2006</v>
          </cell>
          <cell r="C5871" t="str">
            <v>mar_expz</v>
          </cell>
          <cell r="D5871">
            <v>12.517058372497559</v>
          </cell>
        </row>
        <row r="5872">
          <cell r="A5872" t="str">
            <v>PAK</v>
          </cell>
          <cell r="B5872">
            <v>2009</v>
          </cell>
          <cell r="C5872" t="str">
            <v>matfpz</v>
          </cell>
          <cell r="D5872">
            <v>1.01658034324646</v>
          </cell>
        </row>
        <row r="5873">
          <cell r="A5873" t="str">
            <v>PAK</v>
          </cell>
          <cell r="B5873">
            <v>2014</v>
          </cell>
          <cell r="C5873" t="str">
            <v>maagrfc</v>
          </cell>
          <cell r="D5873">
            <v>2.4185366630554199</v>
          </cell>
        </row>
        <row r="5874">
          <cell r="A5874" t="str">
            <v>PAK</v>
          </cell>
          <cell r="B5874">
            <v>2023</v>
          </cell>
          <cell r="C5874" t="str">
            <v>magdpz</v>
          </cell>
          <cell r="D5874">
            <v>-4.8553263768553734E-3</v>
          </cell>
        </row>
        <row r="5875">
          <cell r="A5875" t="str">
            <v>PAK</v>
          </cell>
          <cell r="B5875">
            <v>2011</v>
          </cell>
          <cell r="C5875" t="str">
            <v>magdpz</v>
          </cell>
          <cell r="D5875">
            <v>2.6801168918609619</v>
          </cell>
        </row>
        <row r="5876">
          <cell r="A5876" t="str">
            <v>PAK</v>
          </cell>
          <cell r="B5876">
            <v>2021</v>
          </cell>
          <cell r="C5876" t="str">
            <v>mar_expz</v>
          </cell>
          <cell r="D5876">
            <v>10.09014892578125</v>
          </cell>
        </row>
        <row r="5877">
          <cell r="A5877" t="str">
            <v>PAK</v>
          </cell>
          <cell r="B5877">
            <v>2013</v>
          </cell>
          <cell r="C5877" t="str">
            <v>matfpz</v>
          </cell>
          <cell r="D5877">
            <v>1.4554884433746338</v>
          </cell>
        </row>
        <row r="5878">
          <cell r="A5878" t="str">
            <v>PAK</v>
          </cell>
          <cell r="B5878">
            <v>2009</v>
          </cell>
          <cell r="C5878" t="str">
            <v>macab_</v>
          </cell>
          <cell r="D5878">
            <v>-4.9515032768249512</v>
          </cell>
        </row>
        <row r="5879">
          <cell r="A5879" t="str">
            <v>PAK</v>
          </cell>
          <cell r="B5879">
            <v>2011</v>
          </cell>
          <cell r="C5879" t="str">
            <v>mar_impz</v>
          </cell>
          <cell r="D5879">
            <v>16.986839294433594</v>
          </cell>
        </row>
        <row r="5880">
          <cell r="A5880" t="str">
            <v>PAK</v>
          </cell>
          <cell r="B5880">
            <v>2006</v>
          </cell>
          <cell r="C5880" t="str">
            <v>mar_con</v>
          </cell>
          <cell r="D5880">
            <v>80.326789855957031</v>
          </cell>
        </row>
        <row r="5881">
          <cell r="A5881" t="str">
            <v>PAK</v>
          </cell>
          <cell r="B5881">
            <v>2009</v>
          </cell>
          <cell r="C5881" t="str">
            <v>madeficit_</v>
          </cell>
          <cell r="D5881">
            <v>-4.4056735038757324</v>
          </cell>
        </row>
        <row r="5882">
          <cell r="A5882" t="str">
            <v>PAK</v>
          </cell>
          <cell r="B5882">
            <v>2014</v>
          </cell>
          <cell r="C5882" t="str">
            <v>mareer</v>
          </cell>
          <cell r="D5882">
            <v>87.312705993652344</v>
          </cell>
        </row>
        <row r="5883">
          <cell r="A5883" t="str">
            <v>PAK</v>
          </cell>
          <cell r="B5883">
            <v>2016</v>
          </cell>
          <cell r="C5883" t="str">
            <v>madebt_</v>
          </cell>
          <cell r="D5883">
            <v>63.193981170654297</v>
          </cell>
        </row>
        <row r="5884">
          <cell r="A5884" t="str">
            <v>PAK</v>
          </cell>
          <cell r="B5884">
            <v>2025</v>
          </cell>
          <cell r="C5884" t="str">
            <v>mainvz</v>
          </cell>
          <cell r="D5884">
            <v>1.2376124858856201</v>
          </cell>
        </row>
        <row r="5885">
          <cell r="A5885" t="str">
            <v>PAK</v>
          </cell>
          <cell r="B5885">
            <v>2012</v>
          </cell>
          <cell r="C5885" t="str">
            <v>mar_impz</v>
          </cell>
          <cell r="D5885">
            <v>15.794416427612305</v>
          </cell>
        </row>
        <row r="5886">
          <cell r="A5886" t="str">
            <v>PAK</v>
          </cell>
          <cell r="B5886">
            <v>2018</v>
          </cell>
          <cell r="C5886" t="str">
            <v>magap_</v>
          </cell>
          <cell r="D5886">
            <v>2.8943860530853271</v>
          </cell>
        </row>
        <row r="5887">
          <cell r="A5887" t="str">
            <v>PAK</v>
          </cell>
          <cell r="B5887">
            <v>2024</v>
          </cell>
          <cell r="C5887" t="str">
            <v>mar_con</v>
          </cell>
          <cell r="D5887">
            <v>90.937301635742188</v>
          </cell>
        </row>
        <row r="5888">
          <cell r="A5888" t="str">
            <v>PAK</v>
          </cell>
          <cell r="B5888">
            <v>2006</v>
          </cell>
          <cell r="C5888" t="str">
            <v>magap_</v>
          </cell>
          <cell r="D5888">
            <v>5.4989466667175293</v>
          </cell>
        </row>
        <row r="5889">
          <cell r="A5889" t="str">
            <v>PAK</v>
          </cell>
          <cell r="B5889">
            <v>2025</v>
          </cell>
          <cell r="C5889" t="str">
            <v>mar_srvfc</v>
          </cell>
          <cell r="D5889">
            <v>58.176021575927734</v>
          </cell>
        </row>
        <row r="5890">
          <cell r="A5890" t="str">
            <v>PAK</v>
          </cell>
          <cell r="B5890">
            <v>2013</v>
          </cell>
          <cell r="C5890" t="str">
            <v>mafdi_</v>
          </cell>
          <cell r="D5890">
            <v>-0.48637783527374268</v>
          </cell>
        </row>
        <row r="5891">
          <cell r="A5891" t="str">
            <v>PAK</v>
          </cell>
          <cell r="B5891">
            <v>2018</v>
          </cell>
          <cell r="C5891" t="str">
            <v>madeficit_</v>
          </cell>
          <cell r="D5891">
            <v>-5.6734800338745117</v>
          </cell>
        </row>
        <row r="5892">
          <cell r="A5892" t="str">
            <v>PAK</v>
          </cell>
          <cell r="B5892">
            <v>2017</v>
          </cell>
          <cell r="C5892" t="str">
            <v>mar_taxfc</v>
          </cell>
          <cell r="D5892">
            <v>7.0859384536743164</v>
          </cell>
        </row>
        <row r="5893">
          <cell r="A5893" t="str">
            <v>PAK</v>
          </cell>
          <cell r="B5893">
            <v>2015</v>
          </cell>
          <cell r="C5893" t="str">
            <v>mar_con</v>
          </cell>
          <cell r="D5893">
            <v>79.75439453125</v>
          </cell>
        </row>
        <row r="5894">
          <cell r="A5894" t="str">
            <v>PAK</v>
          </cell>
          <cell r="B5894">
            <v>2025</v>
          </cell>
          <cell r="C5894" t="str">
            <v>maagrfc</v>
          </cell>
          <cell r="D5894">
            <v>2.2275700569152832</v>
          </cell>
        </row>
        <row r="5895">
          <cell r="A5895" t="str">
            <v>PAK</v>
          </cell>
          <cell r="B5895">
            <v>2010</v>
          </cell>
          <cell r="C5895" t="str">
            <v>mar_taxfc</v>
          </cell>
          <cell r="D5895">
            <v>3.9678115844726563</v>
          </cell>
        </row>
        <row r="5896">
          <cell r="A5896" t="str">
            <v>PAK</v>
          </cell>
          <cell r="B5896">
            <v>2017</v>
          </cell>
          <cell r="C5896" t="str">
            <v>madebt_</v>
          </cell>
          <cell r="D5896">
            <v>63.837753295898438</v>
          </cell>
        </row>
        <row r="5897">
          <cell r="A5897" t="str">
            <v>PAK</v>
          </cell>
          <cell r="B5897">
            <v>2019</v>
          </cell>
          <cell r="C5897" t="str">
            <v>mapanusatls</v>
          </cell>
          <cell r="D5897">
            <v>136.47999572753906</v>
          </cell>
        </row>
        <row r="5898">
          <cell r="A5898" t="str">
            <v>PAK</v>
          </cell>
          <cell r="B5898">
            <v>2006</v>
          </cell>
          <cell r="C5898" t="str">
            <v>magovz</v>
          </cell>
          <cell r="D5898">
            <v>31.065195083618164</v>
          </cell>
        </row>
        <row r="5899">
          <cell r="A5899" t="str">
            <v>PAK</v>
          </cell>
          <cell r="B5899">
            <v>2008</v>
          </cell>
          <cell r="C5899" t="str">
            <v>matfpz</v>
          </cell>
          <cell r="D5899">
            <v>1.0693857669830322</v>
          </cell>
        </row>
        <row r="5900">
          <cell r="A5900" t="str">
            <v>PAK</v>
          </cell>
          <cell r="B5900">
            <v>2015</v>
          </cell>
          <cell r="C5900" t="str">
            <v>mareer</v>
          </cell>
          <cell r="D5900">
            <v>100</v>
          </cell>
        </row>
        <row r="5901">
          <cell r="A5901" t="str">
            <v>PAK</v>
          </cell>
          <cell r="B5901">
            <v>2020</v>
          </cell>
          <cell r="C5901" t="str">
            <v>mar_con</v>
          </cell>
          <cell r="D5901">
            <v>84.578521728515625</v>
          </cell>
        </row>
        <row r="5902">
          <cell r="A5902" t="str">
            <v>PAK</v>
          </cell>
          <cell r="B5902">
            <v>2011</v>
          </cell>
          <cell r="C5902" t="str">
            <v>masrvfc</v>
          </cell>
          <cell r="D5902">
            <v>2.8582837581634521</v>
          </cell>
        </row>
        <row r="5903">
          <cell r="A5903" t="str">
            <v>PAK</v>
          </cell>
          <cell r="B5903">
            <v>2020</v>
          </cell>
          <cell r="C5903" t="str">
            <v>maindfc</v>
          </cell>
          <cell r="D5903">
            <v>-5.7451357841491699</v>
          </cell>
        </row>
        <row r="5904">
          <cell r="A5904" t="str">
            <v>PAK</v>
          </cell>
          <cell r="B5904">
            <v>2019</v>
          </cell>
          <cell r="C5904" t="str">
            <v>macab_</v>
          </cell>
          <cell r="D5904">
            <v>-4.1861624717712402</v>
          </cell>
        </row>
        <row r="5905">
          <cell r="A5905" t="str">
            <v>PAK</v>
          </cell>
          <cell r="B5905">
            <v>2013</v>
          </cell>
          <cell r="C5905" t="str">
            <v>mac_tfpz</v>
          </cell>
          <cell r="D5905">
            <v>1.4554884433746338</v>
          </cell>
        </row>
        <row r="5906">
          <cell r="A5906" t="str">
            <v>PAK</v>
          </cell>
          <cell r="B5906">
            <v>2023</v>
          </cell>
          <cell r="C5906" t="str">
            <v>maagrfc</v>
          </cell>
          <cell r="D5906">
            <v>2.2517201900482178</v>
          </cell>
        </row>
        <row r="5907">
          <cell r="A5907" t="str">
            <v>PAK</v>
          </cell>
          <cell r="B5907">
            <v>2021</v>
          </cell>
          <cell r="C5907" t="str">
            <v>maindfc</v>
          </cell>
          <cell r="D5907">
            <v>8.1977176666259766</v>
          </cell>
        </row>
        <row r="5908">
          <cell r="A5908" t="str">
            <v>PAK</v>
          </cell>
          <cell r="B5908">
            <v>2024</v>
          </cell>
          <cell r="C5908" t="str">
            <v>malabz</v>
          </cell>
          <cell r="D5908">
            <v>2.6578989028930664</v>
          </cell>
        </row>
        <row r="5909">
          <cell r="A5909" t="str">
            <v>PAK</v>
          </cell>
          <cell r="B5909">
            <v>2012</v>
          </cell>
          <cell r="C5909" t="str">
            <v>macab_</v>
          </cell>
          <cell r="D5909">
            <v>-1.862396240234375</v>
          </cell>
        </row>
        <row r="5910">
          <cell r="A5910" t="str">
            <v>PAK</v>
          </cell>
          <cell r="B5910">
            <v>2009</v>
          </cell>
          <cell r="C5910" t="str">
            <v>mar_srvfc</v>
          </cell>
          <cell r="D5910">
            <v>54.874969482421875</v>
          </cell>
        </row>
        <row r="5911">
          <cell r="A5911" t="str">
            <v>PAK</v>
          </cell>
          <cell r="B5911">
            <v>2026</v>
          </cell>
          <cell r="C5911" t="str">
            <v>macpiz</v>
          </cell>
          <cell r="D5911">
            <v>11.5</v>
          </cell>
        </row>
        <row r="5912">
          <cell r="A5912" t="str">
            <v>PAK</v>
          </cell>
          <cell r="B5912">
            <v>2012</v>
          </cell>
          <cell r="C5912" t="str">
            <v>magap_</v>
          </cell>
          <cell r="D5912">
            <v>-3.3660061359405518</v>
          </cell>
        </row>
        <row r="5913">
          <cell r="A5913" t="str">
            <v>PAK</v>
          </cell>
          <cell r="B5913">
            <v>2022</v>
          </cell>
          <cell r="C5913" t="str">
            <v>madeficit_</v>
          </cell>
          <cell r="D5913">
            <v>-7.8308982849121094</v>
          </cell>
        </row>
        <row r="5914">
          <cell r="A5914" t="str">
            <v>PAK</v>
          </cell>
          <cell r="B5914">
            <v>2021</v>
          </cell>
          <cell r="C5914" t="str">
            <v>mar_agrfc</v>
          </cell>
          <cell r="D5914">
            <v>23.02752685546875</v>
          </cell>
        </row>
        <row r="5915">
          <cell r="A5915" t="str">
            <v>PAK</v>
          </cell>
          <cell r="B5915">
            <v>2026</v>
          </cell>
          <cell r="C5915" t="str">
            <v>mac_labz</v>
          </cell>
          <cell r="D5915">
            <v>1.8280426263809204</v>
          </cell>
        </row>
        <row r="5916">
          <cell r="A5916" t="str">
            <v>PAK</v>
          </cell>
          <cell r="B5916">
            <v>2017</v>
          </cell>
          <cell r="C5916" t="str">
            <v>mar_srvfc</v>
          </cell>
          <cell r="D5916">
            <v>57.128200531005859</v>
          </cell>
        </row>
        <row r="5917">
          <cell r="A5917" t="str">
            <v>PAK</v>
          </cell>
          <cell r="B5917">
            <v>2024</v>
          </cell>
          <cell r="C5917" t="str">
            <v>mar_expz</v>
          </cell>
          <cell r="D5917">
            <v>10.489782333374023</v>
          </cell>
        </row>
        <row r="5918">
          <cell r="A5918" t="str">
            <v>PAK</v>
          </cell>
          <cell r="B5918">
            <v>2009</v>
          </cell>
          <cell r="C5918" t="str">
            <v>masrvfc</v>
          </cell>
          <cell r="D5918">
            <v>1.8386834859848022</v>
          </cell>
        </row>
        <row r="5919">
          <cell r="A5919" t="str">
            <v>PAK</v>
          </cell>
          <cell r="B5919">
            <v>2015</v>
          </cell>
          <cell r="C5919" t="str">
            <v>mac_tfpz</v>
          </cell>
          <cell r="D5919">
            <v>1.7258286476135254</v>
          </cell>
        </row>
        <row r="5920">
          <cell r="A5920" t="str">
            <v>PAK</v>
          </cell>
          <cell r="B5920">
            <v>2014</v>
          </cell>
          <cell r="C5920" t="str">
            <v>magap_</v>
          </cell>
          <cell r="D5920">
            <v>-1.7515426874160767</v>
          </cell>
        </row>
        <row r="5921">
          <cell r="A5921" t="str">
            <v>PAK</v>
          </cell>
          <cell r="B5921">
            <v>2016</v>
          </cell>
          <cell r="C5921" t="str">
            <v>madeficit_</v>
          </cell>
          <cell r="D5921">
            <v>-4.0352849960327148</v>
          </cell>
        </row>
        <row r="5922">
          <cell r="A5922" t="str">
            <v>PAK</v>
          </cell>
          <cell r="B5922">
            <v>2012</v>
          </cell>
          <cell r="C5922" t="str">
            <v>magdpz</v>
          </cell>
          <cell r="D5922">
            <v>3.0275838375091553</v>
          </cell>
        </row>
        <row r="5923">
          <cell r="A5923" t="str">
            <v>PAK</v>
          </cell>
          <cell r="B5923">
            <v>2024</v>
          </cell>
          <cell r="C5923" t="str">
            <v>mar_srvfc</v>
          </cell>
          <cell r="D5923">
            <v>58.127899169921875</v>
          </cell>
        </row>
        <row r="5924">
          <cell r="A5924" t="str">
            <v>PAK</v>
          </cell>
          <cell r="B5924">
            <v>2022</v>
          </cell>
          <cell r="C5924" t="str">
            <v>maconz</v>
          </cell>
          <cell r="D5924">
            <v>7.1360883712768555</v>
          </cell>
        </row>
        <row r="5925">
          <cell r="A5925" t="str">
            <v>PAK</v>
          </cell>
          <cell r="B5925">
            <v>2018</v>
          </cell>
          <cell r="C5925" t="str">
            <v>mac_tfpz</v>
          </cell>
          <cell r="D5925">
            <v>1.7396020889282227</v>
          </cell>
        </row>
        <row r="5926">
          <cell r="A5926" t="str">
            <v>PAK</v>
          </cell>
          <cell r="B5926">
            <v>2011</v>
          </cell>
          <cell r="C5926" t="str">
            <v>mar_agrfc</v>
          </cell>
          <cell r="D5926">
            <v>25.770282745361328</v>
          </cell>
        </row>
        <row r="5927">
          <cell r="A5927" t="str">
            <v>PAK</v>
          </cell>
          <cell r="B5927">
            <v>2005</v>
          </cell>
          <cell r="C5927" t="str">
            <v>maexpz</v>
          </cell>
          <cell r="D5927">
            <v>17.589345932006836</v>
          </cell>
        </row>
        <row r="5928">
          <cell r="A5928" t="str">
            <v>PAK</v>
          </cell>
          <cell r="B5928">
            <v>2025</v>
          </cell>
          <cell r="C5928" t="str">
            <v>mar_indfc</v>
          </cell>
          <cell r="D5928">
            <v>18.389026641845703</v>
          </cell>
        </row>
        <row r="5929">
          <cell r="A5929" t="str">
            <v>PAK</v>
          </cell>
          <cell r="B5929">
            <v>2018</v>
          </cell>
          <cell r="C5929" t="str">
            <v>matfpz</v>
          </cell>
          <cell r="D5929">
            <v>1.7396020889282227</v>
          </cell>
        </row>
        <row r="5930">
          <cell r="A5930" t="str">
            <v>PAK</v>
          </cell>
          <cell r="B5930">
            <v>2025</v>
          </cell>
          <cell r="C5930" t="str">
            <v>mac_tfpz</v>
          </cell>
          <cell r="D5930">
            <v>1.3843319416046143</v>
          </cell>
        </row>
        <row r="5931">
          <cell r="A5931" t="str">
            <v>PAK</v>
          </cell>
          <cell r="B5931">
            <v>2018</v>
          </cell>
          <cell r="C5931" t="str">
            <v>mar_taxfc</v>
          </cell>
          <cell r="D5931">
            <v>7.1424045562744141</v>
          </cell>
        </row>
        <row r="5932">
          <cell r="A5932" t="str">
            <v>PAK</v>
          </cell>
          <cell r="B5932">
            <v>2019</v>
          </cell>
          <cell r="C5932" t="str">
            <v>magap_</v>
          </cell>
          <cell r="D5932">
            <v>0.50782817602157593</v>
          </cell>
        </row>
        <row r="5933">
          <cell r="A5933" t="str">
            <v>PAK</v>
          </cell>
          <cell r="B5933">
            <v>2025</v>
          </cell>
          <cell r="C5933" t="str">
            <v>maindfc</v>
          </cell>
          <cell r="D5933">
            <v>2.2090699672698975</v>
          </cell>
        </row>
        <row r="5934">
          <cell r="A5934" t="str">
            <v>PAK</v>
          </cell>
          <cell r="B5934">
            <v>2013</v>
          </cell>
          <cell r="C5934" t="str">
            <v>magovz</v>
          </cell>
          <cell r="D5934">
            <v>6.5163240432739258</v>
          </cell>
        </row>
        <row r="5935">
          <cell r="A5935" t="str">
            <v>PAK</v>
          </cell>
          <cell r="B5935">
            <v>2026</v>
          </cell>
          <cell r="C5935" t="str">
            <v>mar_srvfc</v>
          </cell>
          <cell r="D5935">
            <v>58.248588562011719</v>
          </cell>
        </row>
        <row r="5936">
          <cell r="A5936" t="str">
            <v>PAK</v>
          </cell>
          <cell r="B5936">
            <v>2020</v>
          </cell>
          <cell r="C5936" t="str">
            <v>mafdi_</v>
          </cell>
          <cell r="D5936">
            <v>-0.88155651092529297</v>
          </cell>
        </row>
        <row r="5937">
          <cell r="A5937" t="str">
            <v>PAK</v>
          </cell>
          <cell r="B5937">
            <v>2023</v>
          </cell>
          <cell r="C5937" t="str">
            <v>mainvz</v>
          </cell>
          <cell r="D5937">
            <v>-16.325872421264648</v>
          </cell>
        </row>
        <row r="5938">
          <cell r="A5938" t="str">
            <v>PAK</v>
          </cell>
          <cell r="B5938">
            <v>2024</v>
          </cell>
          <cell r="C5938" t="str">
            <v>mapanusatls</v>
          </cell>
          <cell r="D5938">
            <v>285.9881591796875</v>
          </cell>
        </row>
        <row r="5939">
          <cell r="A5939" t="str">
            <v>PAK</v>
          </cell>
          <cell r="B5939">
            <v>2017</v>
          </cell>
          <cell r="C5939" t="str">
            <v>mac_labz</v>
          </cell>
          <cell r="D5939">
            <v>1.153872013092041</v>
          </cell>
        </row>
        <row r="5940">
          <cell r="A5940" t="str">
            <v>PAK</v>
          </cell>
          <cell r="B5940">
            <v>2025</v>
          </cell>
          <cell r="C5940" t="str">
            <v>malabz</v>
          </cell>
          <cell r="D5940">
            <v>2.6364994049072266</v>
          </cell>
        </row>
        <row r="5941">
          <cell r="A5941" t="str">
            <v>PAK</v>
          </cell>
          <cell r="B5941">
            <v>2024</v>
          </cell>
          <cell r="C5941" t="str">
            <v>macab_</v>
          </cell>
          <cell r="D5941">
            <v>-0.65457099676132202</v>
          </cell>
        </row>
        <row r="5942">
          <cell r="A5942" t="str">
            <v>PAK</v>
          </cell>
          <cell r="B5942">
            <v>2020</v>
          </cell>
          <cell r="C5942" t="str">
            <v>mac_labz</v>
          </cell>
          <cell r="D5942">
            <v>1.5720599889755249</v>
          </cell>
        </row>
        <row r="5943">
          <cell r="A5943" t="str">
            <v>PAK</v>
          </cell>
          <cell r="B5943">
            <v>2021</v>
          </cell>
          <cell r="C5943" t="str">
            <v>maexpz</v>
          </cell>
          <cell r="D5943">
            <v>6.5212135314941406</v>
          </cell>
        </row>
        <row r="5944">
          <cell r="A5944" t="str">
            <v>PAK</v>
          </cell>
          <cell r="B5944">
            <v>2005</v>
          </cell>
          <cell r="C5944" t="str">
            <v>mar_taxfc</v>
          </cell>
          <cell r="D5944">
            <v>4.9208240509033203</v>
          </cell>
        </row>
        <row r="5945">
          <cell r="A5945" t="str">
            <v>PAK</v>
          </cell>
          <cell r="B5945">
            <v>2012</v>
          </cell>
          <cell r="C5945" t="str">
            <v>maindfc</v>
          </cell>
          <cell r="D5945">
            <v>2.3324079513549805</v>
          </cell>
        </row>
        <row r="5946">
          <cell r="A5946" t="str">
            <v>PAK</v>
          </cell>
          <cell r="B5946">
            <v>2018</v>
          </cell>
          <cell r="C5946" t="str">
            <v>malabz</v>
          </cell>
          <cell r="D5946">
            <v>1.9798544645309448</v>
          </cell>
        </row>
        <row r="5947">
          <cell r="A5947" t="str">
            <v>PAK</v>
          </cell>
          <cell r="B5947">
            <v>2014</v>
          </cell>
          <cell r="C5947" t="str">
            <v>mar_taxfc</v>
          </cell>
          <cell r="D5947">
            <v>4.3394618034362793</v>
          </cell>
        </row>
        <row r="5948">
          <cell r="A5948" t="str">
            <v>PAK</v>
          </cell>
          <cell r="B5948">
            <v>2011</v>
          </cell>
          <cell r="C5948" t="str">
            <v>macpiz</v>
          </cell>
          <cell r="D5948">
            <v>13.65074348449707</v>
          </cell>
        </row>
        <row r="5949">
          <cell r="A5949" t="str">
            <v>PAK</v>
          </cell>
          <cell r="B5949">
            <v>2026</v>
          </cell>
          <cell r="C5949" t="str">
            <v>mainvz</v>
          </cell>
          <cell r="D5949">
            <v>1.981342077255249</v>
          </cell>
        </row>
        <row r="5950">
          <cell r="A5950" t="str">
            <v>PAK</v>
          </cell>
          <cell r="B5950">
            <v>2005</v>
          </cell>
          <cell r="C5950" t="str">
            <v>mac_labz</v>
          </cell>
          <cell r="D5950">
            <v>0</v>
          </cell>
        </row>
        <row r="5951">
          <cell r="A5951" t="str">
            <v>PAK</v>
          </cell>
          <cell r="B5951">
            <v>2005</v>
          </cell>
          <cell r="C5951" t="str">
            <v>magovz</v>
          </cell>
          <cell r="D5951">
            <v>1.299885630607605</v>
          </cell>
        </row>
        <row r="5952">
          <cell r="A5952" t="str">
            <v>PAK</v>
          </cell>
          <cell r="B5952">
            <v>2005</v>
          </cell>
          <cell r="C5952" t="str">
            <v>malabz</v>
          </cell>
          <cell r="D5952">
            <v>0</v>
          </cell>
        </row>
        <row r="5953">
          <cell r="A5953" t="str">
            <v>PAK</v>
          </cell>
          <cell r="B5953">
            <v>2018</v>
          </cell>
          <cell r="C5953" t="str">
            <v>mar_con</v>
          </cell>
          <cell r="D5953">
            <v>83.4329833984375</v>
          </cell>
        </row>
        <row r="5954">
          <cell r="A5954" t="str">
            <v>PAK</v>
          </cell>
          <cell r="B5954">
            <v>2005</v>
          </cell>
          <cell r="C5954" t="str">
            <v>mar_con</v>
          </cell>
          <cell r="D5954">
            <v>83.810356140136719</v>
          </cell>
        </row>
        <row r="5955">
          <cell r="A5955" t="str">
            <v>PAK</v>
          </cell>
          <cell r="B5955">
            <v>2005</v>
          </cell>
          <cell r="C5955" t="str">
            <v>mar_impz</v>
          </cell>
          <cell r="D5955">
            <v>21.81559944152832</v>
          </cell>
        </row>
        <row r="5956">
          <cell r="A5956" t="str">
            <v>PAK</v>
          </cell>
          <cell r="B5956">
            <v>2005</v>
          </cell>
          <cell r="C5956" t="str">
            <v>mar_srvfc</v>
          </cell>
          <cell r="D5956">
            <v>52.840599060058594</v>
          </cell>
        </row>
        <row r="5957">
          <cell r="A5957" t="str">
            <v>PAK</v>
          </cell>
          <cell r="B5957">
            <v>2005</v>
          </cell>
          <cell r="C5957" t="str">
            <v>mareer</v>
          </cell>
          <cell r="D5957">
            <v>0</v>
          </cell>
        </row>
        <row r="5958">
          <cell r="A5958" t="str">
            <v>PAK</v>
          </cell>
          <cell r="B5958">
            <v>2006</v>
          </cell>
          <cell r="C5958" t="str">
            <v>madebt_</v>
          </cell>
          <cell r="D5958">
            <v>45.560443878173828</v>
          </cell>
        </row>
        <row r="5959">
          <cell r="A5959" t="str">
            <v>PAK</v>
          </cell>
          <cell r="B5959">
            <v>2018</v>
          </cell>
          <cell r="C5959" t="str">
            <v>mar_indfc</v>
          </cell>
          <cell r="D5959">
            <v>20.035263061523438</v>
          </cell>
        </row>
        <row r="5960">
          <cell r="A5960" t="str">
            <v>PAK</v>
          </cell>
          <cell r="B5960">
            <v>2015</v>
          </cell>
          <cell r="C5960" t="str">
            <v>magap_</v>
          </cell>
          <cell r="D5960">
            <v>-1.101483941078186</v>
          </cell>
        </row>
        <row r="5961">
          <cell r="A5961" t="str">
            <v>PAK</v>
          </cell>
          <cell r="B5961">
            <v>2007</v>
          </cell>
          <cell r="C5961" t="str">
            <v>mac_labz</v>
          </cell>
          <cell r="D5961">
            <v>1.9899498224258423</v>
          </cell>
        </row>
        <row r="5962">
          <cell r="A5962" t="str">
            <v>PAK</v>
          </cell>
          <cell r="B5962">
            <v>2007</v>
          </cell>
          <cell r="C5962" t="str">
            <v>maconz</v>
          </cell>
          <cell r="D5962">
            <v>5.0661077499389648</v>
          </cell>
        </row>
        <row r="5963">
          <cell r="A5963" t="str">
            <v>PAK</v>
          </cell>
          <cell r="B5963">
            <v>2023</v>
          </cell>
          <cell r="C5963" t="str">
            <v>magap_</v>
          </cell>
          <cell r="D5963">
            <v>-5.1787729263305664</v>
          </cell>
        </row>
        <row r="5964">
          <cell r="A5964" t="str">
            <v>PAK</v>
          </cell>
          <cell r="B5964">
            <v>2007</v>
          </cell>
          <cell r="C5964" t="str">
            <v>maindfc</v>
          </cell>
          <cell r="D5964">
            <v>7.2662849426269531</v>
          </cell>
        </row>
        <row r="5965">
          <cell r="A5965" t="str">
            <v>PAK</v>
          </cell>
          <cell r="B5965">
            <v>2007</v>
          </cell>
          <cell r="C5965" t="str">
            <v>matfpz</v>
          </cell>
          <cell r="D5965">
            <v>1.1772427558898926</v>
          </cell>
        </row>
        <row r="5966">
          <cell r="A5966" t="str">
            <v>PAK</v>
          </cell>
          <cell r="B5966">
            <v>2024</v>
          </cell>
          <cell r="C5966" t="str">
            <v>masrvfc</v>
          </cell>
          <cell r="D5966">
            <v>1.2441463470458984</v>
          </cell>
        </row>
        <row r="5967">
          <cell r="A5967" t="str">
            <v>PAK</v>
          </cell>
          <cell r="B5967">
            <v>2022</v>
          </cell>
          <cell r="C5967" t="str">
            <v>mar_taxfc</v>
          </cell>
          <cell r="D5967">
            <v>5.4755940437316895</v>
          </cell>
        </row>
        <row r="5968">
          <cell r="A5968" t="str">
            <v>PAK</v>
          </cell>
          <cell r="B5968">
            <v>2008</v>
          </cell>
          <cell r="C5968" t="str">
            <v>macab_</v>
          </cell>
          <cell r="D5968">
            <v>-6.8299670219421387</v>
          </cell>
        </row>
        <row r="5969">
          <cell r="A5969" t="str">
            <v>PAK</v>
          </cell>
          <cell r="B5969">
            <v>2008</v>
          </cell>
          <cell r="C5969" t="str">
            <v>maconz</v>
          </cell>
          <cell r="D5969">
            <v>1.6844514608383179</v>
          </cell>
        </row>
        <row r="5970">
          <cell r="A5970" t="str">
            <v>PAK</v>
          </cell>
          <cell r="B5970">
            <v>2008</v>
          </cell>
          <cell r="C5970" t="str">
            <v>maexpz</v>
          </cell>
          <cell r="D5970">
            <v>2.3838856220245361</v>
          </cell>
        </row>
        <row r="5971">
          <cell r="A5971" t="str">
            <v>PAK</v>
          </cell>
          <cell r="B5971">
            <v>2008</v>
          </cell>
          <cell r="C5971" t="str">
            <v>mafdi_</v>
          </cell>
          <cell r="D5971">
            <v>-2.6263422966003418</v>
          </cell>
        </row>
        <row r="5972">
          <cell r="A5972" t="str">
            <v>PAK</v>
          </cell>
          <cell r="B5972">
            <v>2008</v>
          </cell>
          <cell r="C5972" t="str">
            <v>maindfc</v>
          </cell>
          <cell r="D5972">
            <v>8.7765111923217773</v>
          </cell>
        </row>
        <row r="5973">
          <cell r="A5973" t="str">
            <v>PAK</v>
          </cell>
          <cell r="B5973">
            <v>2024</v>
          </cell>
          <cell r="C5973" t="str">
            <v>magdpz</v>
          </cell>
          <cell r="D5973">
            <v>1.7583043575286865</v>
          </cell>
        </row>
        <row r="5974">
          <cell r="A5974" t="str">
            <v>PAK</v>
          </cell>
          <cell r="B5974">
            <v>2008</v>
          </cell>
          <cell r="C5974" t="str">
            <v>mapanusatls</v>
          </cell>
          <cell r="D5974">
            <v>62.259998321533203</v>
          </cell>
        </row>
        <row r="5975">
          <cell r="A5975" t="str">
            <v>PAK</v>
          </cell>
          <cell r="B5975">
            <v>2020</v>
          </cell>
          <cell r="C5975" t="str">
            <v>maagrfc</v>
          </cell>
          <cell r="D5975">
            <v>3.9146010875701904</v>
          </cell>
        </row>
        <row r="5976">
          <cell r="A5976" t="str">
            <v>PAK</v>
          </cell>
          <cell r="B5976">
            <v>2009</v>
          </cell>
          <cell r="C5976" t="str">
            <v>magdpz</v>
          </cell>
          <cell r="D5976">
            <v>3.472550630569458</v>
          </cell>
        </row>
        <row r="5977">
          <cell r="A5977" t="str">
            <v>PAK</v>
          </cell>
          <cell r="B5977">
            <v>2009</v>
          </cell>
          <cell r="C5977" t="str">
            <v>maimpz</v>
          </cell>
          <cell r="D5977">
            <v>-13.390266418457031</v>
          </cell>
        </row>
        <row r="5978">
          <cell r="A5978" t="str">
            <v>PAK</v>
          </cell>
          <cell r="B5978">
            <v>2009</v>
          </cell>
          <cell r="C5978" t="str">
            <v>maindfc</v>
          </cell>
          <cell r="D5978">
            <v>-4.1457452774047852</v>
          </cell>
        </row>
        <row r="5979">
          <cell r="A5979" t="str">
            <v>PAK</v>
          </cell>
          <cell r="B5979">
            <v>2024</v>
          </cell>
          <cell r="C5979" t="str">
            <v>maagrfc</v>
          </cell>
          <cell r="D5979">
            <v>3.0488400459289551</v>
          </cell>
        </row>
        <row r="5980">
          <cell r="A5980" t="str">
            <v>PAK</v>
          </cell>
          <cell r="B5980">
            <v>2009</v>
          </cell>
          <cell r="C5980" t="str">
            <v>mar_con</v>
          </cell>
          <cell r="D5980">
            <v>78.247123718261719</v>
          </cell>
        </row>
        <row r="5981">
          <cell r="A5981" t="str">
            <v>PAK</v>
          </cell>
          <cell r="B5981">
            <v>2009</v>
          </cell>
          <cell r="C5981" t="str">
            <v>mar_expz</v>
          </cell>
          <cell r="D5981">
            <v>11.295425415039063</v>
          </cell>
        </row>
        <row r="5982">
          <cell r="A5982" t="str">
            <v>PAK</v>
          </cell>
          <cell r="B5982">
            <v>2009</v>
          </cell>
          <cell r="C5982" t="str">
            <v>mar_taxfc</v>
          </cell>
          <cell r="D5982">
            <v>4.7491283416748047</v>
          </cell>
        </row>
        <row r="5983">
          <cell r="A5983" t="str">
            <v>PAK</v>
          </cell>
          <cell r="B5983">
            <v>2009</v>
          </cell>
          <cell r="C5983" t="str">
            <v>mareer</v>
          </cell>
          <cell r="D5983">
            <v>80.225997924804688</v>
          </cell>
        </row>
        <row r="5984">
          <cell r="A5984" t="str">
            <v>PAK</v>
          </cell>
          <cell r="B5984">
            <v>2010</v>
          </cell>
          <cell r="C5984" t="str">
            <v>mac_tfpz</v>
          </cell>
          <cell r="D5984">
            <v>1.0367035865783691</v>
          </cell>
        </row>
        <row r="5985">
          <cell r="A5985" t="str">
            <v>PAK</v>
          </cell>
          <cell r="B5985">
            <v>2010</v>
          </cell>
          <cell r="C5985" t="str">
            <v>maconz</v>
          </cell>
          <cell r="D5985">
            <v>2.2332065105438232</v>
          </cell>
        </row>
        <row r="5986">
          <cell r="A5986" t="str">
            <v>PAK</v>
          </cell>
          <cell r="B5986">
            <v>2010</v>
          </cell>
          <cell r="C5986" t="str">
            <v>mapanusatls</v>
          </cell>
          <cell r="D5986">
            <v>83.919998168945313</v>
          </cell>
        </row>
        <row r="5987">
          <cell r="A5987" t="str">
            <v>PAK</v>
          </cell>
          <cell r="B5987">
            <v>2010</v>
          </cell>
          <cell r="C5987" t="str">
            <v>mar_impz</v>
          </cell>
          <cell r="D5987">
            <v>18.047439575195313</v>
          </cell>
        </row>
        <row r="5988">
          <cell r="A5988" t="str">
            <v>PAK</v>
          </cell>
          <cell r="B5988">
            <v>2011</v>
          </cell>
          <cell r="C5988" t="str">
            <v>madeficit_</v>
          </cell>
          <cell r="D5988">
            <v>-5.8226356506347656</v>
          </cell>
        </row>
        <row r="5989">
          <cell r="A5989" t="str">
            <v>PAK</v>
          </cell>
          <cell r="B5989">
            <v>2011</v>
          </cell>
          <cell r="C5989" t="str">
            <v>mareer</v>
          </cell>
          <cell r="D5989">
            <v>84.815391540527344</v>
          </cell>
        </row>
        <row r="5990">
          <cell r="A5990" t="str">
            <v>PAK</v>
          </cell>
          <cell r="B5990">
            <v>2012</v>
          </cell>
          <cell r="C5990" t="str">
            <v>mafdi_</v>
          </cell>
          <cell r="D5990">
            <v>-0.29747161269187927</v>
          </cell>
        </row>
        <row r="5991">
          <cell r="A5991" t="str">
            <v>PAK</v>
          </cell>
          <cell r="B5991">
            <v>2012</v>
          </cell>
          <cell r="C5991" t="str">
            <v>magovz</v>
          </cell>
          <cell r="D5991">
            <v>1.7899967432022095</v>
          </cell>
        </row>
        <row r="5992">
          <cell r="A5992" t="str">
            <v>PAK</v>
          </cell>
          <cell r="B5992">
            <v>2018</v>
          </cell>
          <cell r="C5992" t="str">
            <v>maconz</v>
          </cell>
          <cell r="D5992">
            <v>7.2072267532348633</v>
          </cell>
        </row>
        <row r="5993">
          <cell r="A5993" t="str">
            <v>PAK</v>
          </cell>
          <cell r="B5993">
            <v>2025</v>
          </cell>
          <cell r="C5993" t="str">
            <v>matfpz</v>
          </cell>
          <cell r="D5993">
            <v>1.3843319416046143</v>
          </cell>
        </row>
        <row r="5994">
          <cell r="A5994" t="str">
            <v>PAK</v>
          </cell>
          <cell r="B5994">
            <v>2012</v>
          </cell>
          <cell r="C5994" t="str">
            <v>maimpz</v>
          </cell>
          <cell r="D5994">
            <v>-4.2046332359313965</v>
          </cell>
        </row>
        <row r="5995">
          <cell r="A5995" t="str">
            <v>PAK</v>
          </cell>
          <cell r="B5995">
            <v>2014</v>
          </cell>
          <cell r="C5995" t="str">
            <v>mar_indfc</v>
          </cell>
          <cell r="D5995">
            <v>18.824743270874023</v>
          </cell>
        </row>
        <row r="5996">
          <cell r="A5996" t="str">
            <v>PAK</v>
          </cell>
          <cell r="B5996">
            <v>2013</v>
          </cell>
          <cell r="C5996" t="str">
            <v>macpiz</v>
          </cell>
          <cell r="D5996">
            <v>7.3595786094665527</v>
          </cell>
        </row>
        <row r="5997">
          <cell r="A5997" t="str">
            <v>PAK</v>
          </cell>
          <cell r="B5997">
            <v>2014</v>
          </cell>
          <cell r="C5997" t="str">
            <v>macpiz</v>
          </cell>
          <cell r="D5997">
            <v>8.6184749603271484</v>
          </cell>
        </row>
        <row r="5998">
          <cell r="A5998" t="str">
            <v>PAK</v>
          </cell>
          <cell r="B5998">
            <v>2010</v>
          </cell>
          <cell r="C5998" t="str">
            <v>macpiz</v>
          </cell>
          <cell r="D5998">
            <v>10.101010322570801</v>
          </cell>
        </row>
        <row r="5999">
          <cell r="A5999" t="str">
            <v>PAK</v>
          </cell>
          <cell r="B5999">
            <v>2007</v>
          </cell>
          <cell r="C5999" t="str">
            <v>magap_</v>
          </cell>
          <cell r="D5999">
            <v>4.8370471000671387</v>
          </cell>
        </row>
        <row r="6000">
          <cell r="A6000" t="str">
            <v>PAK</v>
          </cell>
          <cell r="B6000">
            <v>2014</v>
          </cell>
          <cell r="C6000" t="str">
            <v>maindfc</v>
          </cell>
          <cell r="D6000">
            <v>4.3370347023010254</v>
          </cell>
        </row>
        <row r="6001">
          <cell r="A6001" t="str">
            <v>PAK</v>
          </cell>
          <cell r="B6001">
            <v>2014</v>
          </cell>
          <cell r="C6001" t="str">
            <v>matfpz</v>
          </cell>
          <cell r="D6001">
            <v>1.6102883815765381</v>
          </cell>
        </row>
        <row r="6002">
          <cell r="A6002" t="str">
            <v>PAK</v>
          </cell>
          <cell r="B6002">
            <v>2015</v>
          </cell>
          <cell r="C6002" t="str">
            <v>mac_labz</v>
          </cell>
          <cell r="D6002">
            <v>1.0491613149642944</v>
          </cell>
        </row>
        <row r="6003">
          <cell r="A6003" t="str">
            <v>PAK</v>
          </cell>
          <cell r="B6003">
            <v>2015</v>
          </cell>
          <cell r="C6003" t="str">
            <v>macab_</v>
          </cell>
          <cell r="D6003">
            <v>-0.93842953443527222</v>
          </cell>
        </row>
        <row r="6004">
          <cell r="A6004" t="str">
            <v>PAK</v>
          </cell>
          <cell r="B6004">
            <v>2015</v>
          </cell>
          <cell r="C6004" t="str">
            <v>madeficit_</v>
          </cell>
          <cell r="D6004">
            <v>-4.7142596244812012</v>
          </cell>
        </row>
        <row r="6005">
          <cell r="A6005" t="str">
            <v>PAK</v>
          </cell>
          <cell r="B6005">
            <v>2015</v>
          </cell>
          <cell r="C6005" t="str">
            <v>magdpz</v>
          </cell>
          <cell r="D6005">
            <v>4.2179422378540039</v>
          </cell>
        </row>
        <row r="6006">
          <cell r="A6006" t="str">
            <v>PAK</v>
          </cell>
          <cell r="B6006">
            <v>2015</v>
          </cell>
          <cell r="C6006" t="str">
            <v>mar_impz</v>
          </cell>
          <cell r="D6006">
            <v>14.436042785644531</v>
          </cell>
        </row>
        <row r="6007">
          <cell r="A6007" t="str">
            <v>PAK</v>
          </cell>
          <cell r="B6007">
            <v>2015</v>
          </cell>
          <cell r="C6007" t="str">
            <v>mar_srvfc</v>
          </cell>
          <cell r="D6007">
            <v>56.062576293945313</v>
          </cell>
        </row>
        <row r="6008">
          <cell r="A6008" t="str">
            <v>PAK</v>
          </cell>
          <cell r="B6008">
            <v>2015</v>
          </cell>
          <cell r="C6008" t="str">
            <v>malabz</v>
          </cell>
          <cell r="D6008">
            <v>1.4988018274307251</v>
          </cell>
        </row>
        <row r="6009">
          <cell r="A6009" t="str">
            <v>PAK</v>
          </cell>
          <cell r="B6009">
            <v>2016</v>
          </cell>
          <cell r="C6009" t="str">
            <v>maagrfc</v>
          </cell>
          <cell r="D6009">
            <v>0.40543478727340698</v>
          </cell>
        </row>
        <row r="6010">
          <cell r="A6010" t="str">
            <v>PAK</v>
          </cell>
          <cell r="B6010">
            <v>2021</v>
          </cell>
          <cell r="C6010" t="str">
            <v>magovz</v>
          </cell>
          <cell r="D6010">
            <v>1.8168853521347046</v>
          </cell>
        </row>
        <row r="6011">
          <cell r="A6011" t="str">
            <v>PAK</v>
          </cell>
          <cell r="B6011">
            <v>2016</v>
          </cell>
          <cell r="C6011" t="str">
            <v>malabz</v>
          </cell>
          <cell r="D6011">
            <v>1.4064071178436279</v>
          </cell>
        </row>
        <row r="6012">
          <cell r="A6012" t="str">
            <v>PAK</v>
          </cell>
          <cell r="B6012">
            <v>2016</v>
          </cell>
          <cell r="C6012" t="str">
            <v>mar_impz</v>
          </cell>
          <cell r="D6012">
            <v>15.964861869812012</v>
          </cell>
        </row>
        <row r="6013">
          <cell r="A6013" t="str">
            <v>PAK</v>
          </cell>
          <cell r="B6013">
            <v>2016</v>
          </cell>
          <cell r="C6013" t="str">
            <v>mar_srvfc</v>
          </cell>
          <cell r="D6013">
            <v>56.580230712890625</v>
          </cell>
        </row>
        <row r="6014">
          <cell r="A6014" t="str">
            <v>PAK</v>
          </cell>
          <cell r="B6014">
            <v>2017</v>
          </cell>
          <cell r="C6014" t="str">
            <v>maagrfc</v>
          </cell>
          <cell r="D6014">
            <v>2.216285228729248</v>
          </cell>
        </row>
        <row r="6015">
          <cell r="A6015" t="str">
            <v>PAK</v>
          </cell>
          <cell r="B6015">
            <v>2017</v>
          </cell>
          <cell r="C6015" t="str">
            <v>maexpz</v>
          </cell>
          <cell r="D6015">
            <v>2.4713525772094727</v>
          </cell>
        </row>
        <row r="6016">
          <cell r="A6016" t="str">
            <v>PAK</v>
          </cell>
          <cell r="B6016">
            <v>2017</v>
          </cell>
          <cell r="C6016" t="str">
            <v>mafdi_</v>
          </cell>
          <cell r="D6016">
            <v>-0.68393790721893311</v>
          </cell>
        </row>
        <row r="6017">
          <cell r="A6017" t="str">
            <v>PAK</v>
          </cell>
          <cell r="B6017">
            <v>2015</v>
          </cell>
          <cell r="C6017" t="str">
            <v>maexpz</v>
          </cell>
          <cell r="D6017">
            <v>-3.8293483257293701</v>
          </cell>
        </row>
        <row r="6018">
          <cell r="A6018" t="str">
            <v>PAK</v>
          </cell>
          <cell r="B6018">
            <v>2017</v>
          </cell>
          <cell r="C6018" t="str">
            <v>maimpz</v>
          </cell>
          <cell r="D6018">
            <v>18.983634948730469</v>
          </cell>
        </row>
        <row r="6019">
          <cell r="A6019" t="str">
            <v>PAK</v>
          </cell>
          <cell r="B6019">
            <v>2022</v>
          </cell>
          <cell r="C6019" t="str">
            <v>mapanusatls</v>
          </cell>
          <cell r="D6019">
            <v>177.80633544921875</v>
          </cell>
        </row>
        <row r="6020">
          <cell r="A6020" t="str">
            <v>PAK</v>
          </cell>
          <cell r="B6020">
            <v>2017</v>
          </cell>
          <cell r="C6020" t="str">
            <v>mar_con</v>
          </cell>
          <cell r="D6020">
            <v>82.611534118652344</v>
          </cell>
        </row>
        <row r="6021">
          <cell r="A6021" t="str">
            <v>PAK</v>
          </cell>
          <cell r="B6021">
            <v>2017</v>
          </cell>
          <cell r="C6021" t="str">
            <v>mar_impz</v>
          </cell>
          <cell r="D6021">
            <v>18.189308166503906</v>
          </cell>
        </row>
        <row r="6022">
          <cell r="A6022" t="str">
            <v>PAK</v>
          </cell>
          <cell r="B6022">
            <v>2010</v>
          </cell>
          <cell r="C6022" t="str">
            <v>mar_agrfc</v>
          </cell>
          <cell r="D6022">
            <v>25.893693923950195</v>
          </cell>
        </row>
        <row r="6023">
          <cell r="A6023" t="str">
            <v>PAK</v>
          </cell>
          <cell r="B6023">
            <v>2018</v>
          </cell>
          <cell r="C6023" t="str">
            <v>maexpz</v>
          </cell>
          <cell r="D6023">
            <v>10.040596961975098</v>
          </cell>
        </row>
        <row r="6024">
          <cell r="A6024" t="str">
            <v>PAK</v>
          </cell>
          <cell r="B6024">
            <v>2018</v>
          </cell>
          <cell r="C6024" t="str">
            <v>mafdi_</v>
          </cell>
          <cell r="D6024">
            <v>-0.77834230661392212</v>
          </cell>
        </row>
        <row r="6025">
          <cell r="A6025" t="str">
            <v>PAK</v>
          </cell>
          <cell r="B6025">
            <v>2018</v>
          </cell>
          <cell r="C6025" t="str">
            <v>maimpz</v>
          </cell>
          <cell r="D6025">
            <v>15.733280181884766</v>
          </cell>
        </row>
        <row r="6026">
          <cell r="A6026" t="str">
            <v>PAK</v>
          </cell>
          <cell r="B6026">
            <v>2018</v>
          </cell>
          <cell r="C6026" t="str">
            <v>mapanusatls</v>
          </cell>
          <cell r="D6026">
            <v>110.04000091552734</v>
          </cell>
        </row>
        <row r="6027">
          <cell r="A6027" t="str">
            <v>PAK</v>
          </cell>
          <cell r="B6027">
            <v>2016</v>
          </cell>
          <cell r="C6027" t="str">
            <v>maexpz</v>
          </cell>
          <cell r="D6027">
            <v>1.4499074220657349</v>
          </cell>
        </row>
        <row r="6028">
          <cell r="A6028" t="str">
            <v>PAK</v>
          </cell>
          <cell r="B6028">
            <v>2010</v>
          </cell>
          <cell r="C6028" t="str">
            <v>matfpz</v>
          </cell>
          <cell r="D6028">
            <v>1.0367035865783691</v>
          </cell>
        </row>
        <row r="6029">
          <cell r="A6029" t="str">
            <v>PAK</v>
          </cell>
          <cell r="B6029">
            <v>2018</v>
          </cell>
          <cell r="C6029" t="str">
            <v>mar_expz</v>
          </cell>
          <cell r="D6029">
            <v>8.8866996765136719</v>
          </cell>
        </row>
        <row r="6030">
          <cell r="A6030" t="str">
            <v>PAK</v>
          </cell>
          <cell r="B6030">
            <v>2018</v>
          </cell>
          <cell r="C6030" t="str">
            <v>masrvfc</v>
          </cell>
          <cell r="D6030">
            <v>5.952782154083252</v>
          </cell>
        </row>
        <row r="6031">
          <cell r="A6031" t="str">
            <v>PAK</v>
          </cell>
          <cell r="B6031">
            <v>2019</v>
          </cell>
          <cell r="C6031" t="str">
            <v>macpiz</v>
          </cell>
          <cell r="D6031">
            <v>6.7991251945495605</v>
          </cell>
        </row>
        <row r="6032">
          <cell r="A6032" t="str">
            <v>PAK</v>
          </cell>
          <cell r="B6032">
            <v>2019</v>
          </cell>
          <cell r="C6032" t="str">
            <v>maexpz</v>
          </cell>
          <cell r="D6032">
            <v>13.172348976135254</v>
          </cell>
        </row>
        <row r="6033">
          <cell r="A6033" t="str">
            <v>PAK</v>
          </cell>
          <cell r="B6033">
            <v>2019</v>
          </cell>
          <cell r="C6033" t="str">
            <v>magdpz</v>
          </cell>
          <cell r="D6033">
            <v>2.4976370334625244</v>
          </cell>
        </row>
        <row r="6034">
          <cell r="A6034" t="str">
            <v>PAK</v>
          </cell>
          <cell r="B6034">
            <v>2019</v>
          </cell>
          <cell r="C6034" t="str">
            <v>mainvz</v>
          </cell>
          <cell r="D6034">
            <v>-11.06342601776123</v>
          </cell>
        </row>
        <row r="6035">
          <cell r="A6035" t="str">
            <v>PAK</v>
          </cell>
          <cell r="B6035">
            <v>2011</v>
          </cell>
          <cell r="C6035" t="str">
            <v>matfpz</v>
          </cell>
          <cell r="D6035">
            <v>1.1341029405593872</v>
          </cell>
        </row>
        <row r="6036">
          <cell r="A6036" t="str">
            <v>PAK</v>
          </cell>
          <cell r="B6036">
            <v>2019</v>
          </cell>
          <cell r="C6036" t="str">
            <v>mar_impz</v>
          </cell>
          <cell r="D6036">
            <v>20.820638656616211</v>
          </cell>
        </row>
        <row r="6037">
          <cell r="A6037" t="str">
            <v>PAK</v>
          </cell>
          <cell r="B6037">
            <v>2019</v>
          </cell>
          <cell r="C6037" t="str">
            <v>matfpz</v>
          </cell>
          <cell r="D6037">
            <v>1.6664537191390991</v>
          </cell>
        </row>
        <row r="6038">
          <cell r="A6038" t="str">
            <v>PAK</v>
          </cell>
          <cell r="B6038">
            <v>2026</v>
          </cell>
          <cell r="C6038" t="str">
            <v>madeficit_</v>
          </cell>
          <cell r="D6038">
            <v>-7.4699664115905762</v>
          </cell>
        </row>
        <row r="6039">
          <cell r="A6039" t="str">
            <v>PAK</v>
          </cell>
          <cell r="B6039">
            <v>2020</v>
          </cell>
          <cell r="C6039" t="str">
            <v>malabz</v>
          </cell>
          <cell r="D6039">
            <v>2.2458000183105469</v>
          </cell>
        </row>
        <row r="6040">
          <cell r="A6040" t="str">
            <v>PAK</v>
          </cell>
          <cell r="B6040">
            <v>2020</v>
          </cell>
          <cell r="C6040" t="str">
            <v>mar_impz</v>
          </cell>
          <cell r="D6040">
            <v>20.021472930908203</v>
          </cell>
        </row>
        <row r="6041">
          <cell r="A6041" t="str">
            <v>PAK</v>
          </cell>
          <cell r="B6041">
            <v>2020</v>
          </cell>
          <cell r="C6041" t="str">
            <v>masrvfc</v>
          </cell>
          <cell r="D6041">
            <v>-1.2089881896972656</v>
          </cell>
        </row>
        <row r="6042">
          <cell r="A6042" t="str">
            <v>PAK</v>
          </cell>
          <cell r="B6042">
            <v>2024</v>
          </cell>
          <cell r="C6042" t="str">
            <v>mac_tfpz</v>
          </cell>
          <cell r="D6042">
            <v>1.4073634147644043</v>
          </cell>
        </row>
        <row r="6043">
          <cell r="A6043" t="str">
            <v>PAK</v>
          </cell>
          <cell r="B6043">
            <v>2021</v>
          </cell>
          <cell r="C6043" t="str">
            <v>mac_labz</v>
          </cell>
          <cell r="D6043">
            <v>1.6733530759811401</v>
          </cell>
        </row>
        <row r="6044">
          <cell r="A6044" t="str">
            <v>PAK</v>
          </cell>
          <cell r="B6044">
            <v>2021</v>
          </cell>
          <cell r="C6044" t="str">
            <v>mar_con</v>
          </cell>
          <cell r="D6044">
            <v>86.901817321777344</v>
          </cell>
        </row>
        <row r="6045">
          <cell r="A6045" t="str">
            <v>PAK</v>
          </cell>
          <cell r="B6045">
            <v>2021</v>
          </cell>
          <cell r="C6045" t="str">
            <v>masrvfc</v>
          </cell>
          <cell r="D6045">
            <v>5.9093494415283203</v>
          </cell>
        </row>
        <row r="6046">
          <cell r="A6046" t="str">
            <v>PAK</v>
          </cell>
          <cell r="B6046">
            <v>2010</v>
          </cell>
          <cell r="C6046" t="str">
            <v>mainvz</v>
          </cell>
          <cell r="D6046">
            <v>-7.6944961547851563</v>
          </cell>
        </row>
        <row r="6047">
          <cell r="A6047" t="str">
            <v>PAK</v>
          </cell>
          <cell r="B6047">
            <v>2022</v>
          </cell>
          <cell r="C6047" t="str">
            <v>maimpz</v>
          </cell>
          <cell r="D6047">
            <v>11.019148826599121</v>
          </cell>
        </row>
        <row r="6048">
          <cell r="A6048" t="str">
            <v>PAK</v>
          </cell>
          <cell r="B6048">
            <v>2022</v>
          </cell>
          <cell r="C6048" t="str">
            <v>malabz</v>
          </cell>
          <cell r="D6048">
            <v>2.5166051387786865</v>
          </cell>
        </row>
        <row r="6049">
          <cell r="A6049" t="str">
            <v>PAK</v>
          </cell>
          <cell r="B6049">
            <v>2017</v>
          </cell>
          <cell r="C6049" t="str">
            <v>macab_</v>
          </cell>
          <cell r="D6049">
            <v>-3.6172060966491699</v>
          </cell>
        </row>
        <row r="6050">
          <cell r="A6050" t="str">
            <v>PAK</v>
          </cell>
          <cell r="B6050">
            <v>2022</v>
          </cell>
          <cell r="C6050" t="str">
            <v>mar_agrfc</v>
          </cell>
          <cell r="D6050">
            <v>22.618528366088867</v>
          </cell>
        </row>
        <row r="6051">
          <cell r="A6051" t="str">
            <v>PAK</v>
          </cell>
          <cell r="B6051">
            <v>2022</v>
          </cell>
          <cell r="C6051" t="str">
            <v>mar_indfc</v>
          </cell>
          <cell r="D6051">
            <v>19.097591400146484</v>
          </cell>
        </row>
        <row r="6052">
          <cell r="A6052" t="str">
            <v>PAK</v>
          </cell>
          <cell r="B6052">
            <v>2015</v>
          </cell>
          <cell r="C6052" t="str">
            <v>mar_taxfc</v>
          </cell>
          <cell r="D6052">
            <v>4.7478947639465332</v>
          </cell>
        </row>
        <row r="6053">
          <cell r="A6053" t="str">
            <v>PAK</v>
          </cell>
          <cell r="B6053">
            <v>2010</v>
          </cell>
          <cell r="C6053" t="str">
            <v>macab_</v>
          </cell>
          <cell r="D6053">
            <v>-2.0063204765319824</v>
          </cell>
        </row>
        <row r="6054">
          <cell r="A6054" t="str">
            <v>PAK</v>
          </cell>
          <cell r="B6054">
            <v>2023</v>
          </cell>
          <cell r="C6054" t="str">
            <v>madeficit_</v>
          </cell>
          <cell r="D6054">
            <v>-7.7161436080932617</v>
          </cell>
        </row>
        <row r="6055">
          <cell r="A6055" t="str">
            <v>PAK</v>
          </cell>
          <cell r="B6055">
            <v>2010</v>
          </cell>
          <cell r="C6055" t="str">
            <v>mar_srvfc</v>
          </cell>
          <cell r="D6055">
            <v>55.0697021484375</v>
          </cell>
        </row>
        <row r="6056">
          <cell r="A6056" t="str">
            <v>PAK</v>
          </cell>
          <cell r="B6056">
            <v>2023</v>
          </cell>
          <cell r="C6056" t="str">
            <v>maimpz</v>
          </cell>
          <cell r="D6056">
            <v>-0.30656397342681885</v>
          </cell>
        </row>
        <row r="6057">
          <cell r="A6057" t="str">
            <v>PAK</v>
          </cell>
          <cell r="B6057">
            <v>2017</v>
          </cell>
          <cell r="C6057" t="str">
            <v>mainvz</v>
          </cell>
          <cell r="D6057">
            <v>7.730687141418457</v>
          </cell>
        </row>
        <row r="6058">
          <cell r="A6058" t="str">
            <v>PAK</v>
          </cell>
          <cell r="B6058">
            <v>2023</v>
          </cell>
          <cell r="C6058" t="str">
            <v>mapanusatls</v>
          </cell>
          <cell r="D6058">
            <v>248.45329284667969</v>
          </cell>
        </row>
        <row r="6059">
          <cell r="A6059" t="str">
            <v>PAK</v>
          </cell>
          <cell r="B6059">
            <v>2019</v>
          </cell>
          <cell r="C6059" t="str">
            <v>madeficit_</v>
          </cell>
          <cell r="D6059">
            <v>-7.7899942398071289</v>
          </cell>
        </row>
        <row r="6060">
          <cell r="A6060" t="str">
            <v>PAK</v>
          </cell>
          <cell r="B6060">
            <v>2023</v>
          </cell>
          <cell r="C6060" t="str">
            <v>mar_agrfc</v>
          </cell>
          <cell r="D6060">
            <v>23.166244506835938</v>
          </cell>
        </row>
        <row r="6061">
          <cell r="A6061" t="str">
            <v>PAK</v>
          </cell>
          <cell r="B6061">
            <v>2007</v>
          </cell>
          <cell r="C6061" t="str">
            <v>mar_taxfc</v>
          </cell>
          <cell r="D6061">
            <v>4.6387763023376465</v>
          </cell>
        </row>
        <row r="6062">
          <cell r="A6062" t="str">
            <v>PAK</v>
          </cell>
          <cell r="B6062">
            <v>2024</v>
          </cell>
          <cell r="C6062" t="str">
            <v>maimpz</v>
          </cell>
          <cell r="D6062">
            <v>0.32888001203536987</v>
          </cell>
        </row>
        <row r="6063">
          <cell r="A6063" t="str">
            <v>PAK</v>
          </cell>
          <cell r="B6063">
            <v>2025</v>
          </cell>
          <cell r="C6063" t="str">
            <v>madebt_</v>
          </cell>
          <cell r="D6063">
            <v>72.214729309082031</v>
          </cell>
        </row>
        <row r="6064">
          <cell r="A6064" t="str">
            <v>PAK</v>
          </cell>
          <cell r="B6064">
            <v>2005</v>
          </cell>
          <cell r="C6064" t="str">
            <v>magdpz</v>
          </cell>
          <cell r="D6064">
            <v>7.2765746116638184</v>
          </cell>
        </row>
        <row r="6065">
          <cell r="A6065" t="str">
            <v>PAK</v>
          </cell>
          <cell r="B6065">
            <v>2025</v>
          </cell>
          <cell r="C6065" t="str">
            <v>madeficit_</v>
          </cell>
          <cell r="D6065">
            <v>-7.605891227722168</v>
          </cell>
        </row>
        <row r="6066">
          <cell r="A6066" t="str">
            <v>PAK</v>
          </cell>
          <cell r="B6066">
            <v>2023</v>
          </cell>
          <cell r="C6066" t="str">
            <v>mar_indfc</v>
          </cell>
          <cell r="D6066">
            <v>18.410659790039063</v>
          </cell>
        </row>
        <row r="6067">
          <cell r="A6067" t="str">
            <v>PAK</v>
          </cell>
          <cell r="B6067">
            <v>2025</v>
          </cell>
          <cell r="C6067" t="str">
            <v>magovz</v>
          </cell>
          <cell r="D6067">
            <v>1.4094730615615845</v>
          </cell>
        </row>
        <row r="6068">
          <cell r="A6068" t="str">
            <v>PAK</v>
          </cell>
          <cell r="B6068">
            <v>2025</v>
          </cell>
          <cell r="C6068" t="str">
            <v>mar_agrfc</v>
          </cell>
          <cell r="D6068">
            <v>23.43494987487793</v>
          </cell>
        </row>
        <row r="6069">
          <cell r="A6069" t="str">
            <v>PAK</v>
          </cell>
          <cell r="B6069">
            <v>2025</v>
          </cell>
          <cell r="C6069" t="str">
            <v>mar_impz</v>
          </cell>
          <cell r="D6069">
            <v>22.173660278320313</v>
          </cell>
        </row>
        <row r="6070">
          <cell r="A6070" t="str">
            <v>PAK</v>
          </cell>
          <cell r="B6070">
            <v>2025</v>
          </cell>
          <cell r="C6070" t="str">
            <v>mareer</v>
          </cell>
          <cell r="D6070">
            <v>74.895278930664063</v>
          </cell>
        </row>
        <row r="6071">
          <cell r="A6071" t="str">
            <v>PAK</v>
          </cell>
          <cell r="B6071">
            <v>2026</v>
          </cell>
          <cell r="C6071" t="str">
            <v>mar_taxfc</v>
          </cell>
          <cell r="D6071">
            <v>5.6456403732299805</v>
          </cell>
        </row>
        <row r="6072">
          <cell r="A6072" t="str">
            <v>PAK</v>
          </cell>
          <cell r="B6072">
            <v>2026</v>
          </cell>
          <cell r="C6072" t="str">
            <v>mareer</v>
          </cell>
          <cell r="D6072">
            <v>69.376113891601563</v>
          </cell>
        </row>
        <row r="6073">
          <cell r="A6073" t="str">
            <v>PAK</v>
          </cell>
          <cell r="B6073">
            <v>2017</v>
          </cell>
          <cell r="C6073" t="str">
            <v>mac_tfpz</v>
          </cell>
          <cell r="D6073">
            <v>1.7854223251342773</v>
          </cell>
        </row>
        <row r="6074">
          <cell r="A6074" t="str">
            <v>PAK</v>
          </cell>
          <cell r="B6074">
            <v>2026</v>
          </cell>
          <cell r="C6074" t="str">
            <v>mataxfc</v>
          </cell>
          <cell r="D6074">
            <v>2.7452499866485596</v>
          </cell>
        </row>
        <row r="6075">
          <cell r="A6075" t="str">
            <v>PAK</v>
          </cell>
          <cell r="B6075">
            <v>2019</v>
          </cell>
          <cell r="C6075" t="str">
            <v>mar_con</v>
          </cell>
          <cell r="D6075">
            <v>85.934410095214844</v>
          </cell>
        </row>
        <row r="6076">
          <cell r="A6076" t="str">
            <v>PAK</v>
          </cell>
          <cell r="B6076">
            <v>2007</v>
          </cell>
          <cell r="C6076" t="str">
            <v>madebt_</v>
          </cell>
          <cell r="D6076">
            <v>43.485877990722656</v>
          </cell>
        </row>
        <row r="6077">
          <cell r="A6077" t="str">
            <v>PAK</v>
          </cell>
          <cell r="B6077">
            <v>2013</v>
          </cell>
          <cell r="C6077" t="str">
            <v>mainvz</v>
          </cell>
          <cell r="D6077">
            <v>2.4453492164611816</v>
          </cell>
        </row>
        <row r="6078">
          <cell r="A6078" t="str">
            <v>PAK</v>
          </cell>
          <cell r="B6078">
            <v>2010</v>
          </cell>
          <cell r="C6078" t="str">
            <v>mac_labz</v>
          </cell>
          <cell r="D6078">
            <v>1.9995096921920776</v>
          </cell>
        </row>
        <row r="6079">
          <cell r="A6079" t="str">
            <v>PAK</v>
          </cell>
          <cell r="B6079">
            <v>2019</v>
          </cell>
          <cell r="C6079" t="str">
            <v>mataxfc</v>
          </cell>
          <cell r="D6079">
            <v>-6.216033935546875</v>
          </cell>
        </row>
        <row r="6080">
          <cell r="A6080" t="str">
            <v>PAK</v>
          </cell>
          <cell r="B6080">
            <v>2022</v>
          </cell>
          <cell r="C6080" t="str">
            <v>magdpz</v>
          </cell>
          <cell r="D6080">
            <v>4.7675395011901855</v>
          </cell>
        </row>
        <row r="6081">
          <cell r="A6081" t="str">
            <v>PAK</v>
          </cell>
          <cell r="B6081">
            <v>2014</v>
          </cell>
          <cell r="C6081" t="str">
            <v>mac_labz</v>
          </cell>
          <cell r="D6081">
            <v>1.1287776231765747</v>
          </cell>
        </row>
        <row r="6082">
          <cell r="A6082" t="str">
            <v>PAK</v>
          </cell>
          <cell r="B6082">
            <v>2007</v>
          </cell>
          <cell r="C6082" t="str">
            <v>mar_expz</v>
          </cell>
          <cell r="D6082">
            <v>12.351143836975098</v>
          </cell>
        </row>
        <row r="6083">
          <cell r="A6083" t="str">
            <v>PAK</v>
          </cell>
          <cell r="B6083">
            <v>2009</v>
          </cell>
          <cell r="C6083" t="str">
            <v>mafdi_</v>
          </cell>
          <cell r="D6083">
            <v>-1.975682258605957</v>
          </cell>
        </row>
        <row r="6084">
          <cell r="A6084" t="str">
            <v>PAK</v>
          </cell>
          <cell r="B6084">
            <v>2005</v>
          </cell>
          <cell r="C6084" t="str">
            <v>macab_</v>
          </cell>
          <cell r="D6084">
            <v>-1.0523608922958374</v>
          </cell>
        </row>
        <row r="6085">
          <cell r="A6085" t="str">
            <v>PAK</v>
          </cell>
          <cell r="B6085">
            <v>2010</v>
          </cell>
          <cell r="C6085" t="str">
            <v>maimpz</v>
          </cell>
          <cell r="D6085">
            <v>-2.2721409797668457</v>
          </cell>
        </row>
        <row r="6086">
          <cell r="A6086" t="str">
            <v>PAK</v>
          </cell>
          <cell r="B6086">
            <v>2006</v>
          </cell>
          <cell r="C6086" t="str">
            <v>mac_labz</v>
          </cell>
          <cell r="D6086">
            <v>1.9650272130966187</v>
          </cell>
        </row>
        <row r="6087">
          <cell r="A6087" t="str">
            <v>PAK</v>
          </cell>
          <cell r="B6087">
            <v>2023</v>
          </cell>
          <cell r="C6087" t="str">
            <v>mafdi_</v>
          </cell>
          <cell r="D6087">
            <v>-0.17436613142490387</v>
          </cell>
        </row>
        <row r="6088">
          <cell r="A6088" t="str">
            <v>PAK</v>
          </cell>
          <cell r="B6088">
            <v>2005</v>
          </cell>
          <cell r="C6088" t="str">
            <v>mar_expz</v>
          </cell>
          <cell r="D6088">
            <v>11.9471435546875</v>
          </cell>
        </row>
        <row r="6089">
          <cell r="A6089" t="str">
            <v>PAK</v>
          </cell>
          <cell r="B6089">
            <v>2026</v>
          </cell>
          <cell r="C6089" t="str">
            <v>magovz</v>
          </cell>
          <cell r="D6089">
            <v>2.0336029529571533</v>
          </cell>
        </row>
        <row r="6090">
          <cell r="A6090" t="str">
            <v>PAK</v>
          </cell>
          <cell r="B6090">
            <v>2020</v>
          </cell>
          <cell r="C6090" t="str">
            <v>mac_tfpz</v>
          </cell>
          <cell r="D6090">
            <v>1.5962436199188232</v>
          </cell>
        </row>
        <row r="6091">
          <cell r="A6091" t="str">
            <v>PAK</v>
          </cell>
          <cell r="B6091">
            <v>2020</v>
          </cell>
          <cell r="C6091" t="str">
            <v>macpiz</v>
          </cell>
          <cell r="D6091">
            <v>10.739175796508789</v>
          </cell>
        </row>
        <row r="6092">
          <cell r="A6092" t="str">
            <v>PAK</v>
          </cell>
          <cell r="B6092">
            <v>2018</v>
          </cell>
          <cell r="C6092" t="str">
            <v>mainvz</v>
          </cell>
          <cell r="D6092">
            <v>10.29339599609375</v>
          </cell>
        </row>
        <row r="6093">
          <cell r="A6093" t="str">
            <v>PAK</v>
          </cell>
          <cell r="B6093">
            <v>2007</v>
          </cell>
          <cell r="C6093" t="str">
            <v>magovz</v>
          </cell>
          <cell r="D6093">
            <v>-5.7328662872314453</v>
          </cell>
        </row>
        <row r="6094">
          <cell r="A6094" t="str">
            <v>PAK</v>
          </cell>
          <cell r="B6094">
            <v>2005</v>
          </cell>
          <cell r="C6094" t="str">
            <v>matfpz</v>
          </cell>
          <cell r="D6094">
            <v>1.3598570823669434</v>
          </cell>
        </row>
        <row r="6095">
          <cell r="A6095" t="str">
            <v>PAK</v>
          </cell>
          <cell r="B6095">
            <v>2024</v>
          </cell>
          <cell r="C6095" t="str">
            <v>mataxfc</v>
          </cell>
          <cell r="D6095">
            <v>1.758331298828125</v>
          </cell>
        </row>
        <row r="6096">
          <cell r="A6096" t="str">
            <v>PAK</v>
          </cell>
          <cell r="B6096">
            <v>2024</v>
          </cell>
          <cell r="C6096" t="str">
            <v>madeficit_</v>
          </cell>
          <cell r="D6096">
            <v>-7.7161436080932617</v>
          </cell>
        </row>
        <row r="6097">
          <cell r="A6097" t="str">
            <v>PAK</v>
          </cell>
          <cell r="B6097">
            <v>2008</v>
          </cell>
          <cell r="C6097" t="str">
            <v>macpiz</v>
          </cell>
          <cell r="D6097">
            <v>12.009132385253906</v>
          </cell>
        </row>
        <row r="6098">
          <cell r="A6098" t="str">
            <v>PAK</v>
          </cell>
          <cell r="B6098">
            <v>2008</v>
          </cell>
          <cell r="C6098" t="str">
            <v>maimpz</v>
          </cell>
          <cell r="D6098">
            <v>4.0640225410461426</v>
          </cell>
        </row>
        <row r="6099">
          <cell r="A6099" t="str">
            <v>PAK</v>
          </cell>
          <cell r="B6099">
            <v>2019</v>
          </cell>
          <cell r="C6099" t="str">
            <v>mareer</v>
          </cell>
          <cell r="D6099">
            <v>85.054840087890625</v>
          </cell>
        </row>
        <row r="6100">
          <cell r="A6100" t="str">
            <v>PAK</v>
          </cell>
          <cell r="B6100">
            <v>2016</v>
          </cell>
          <cell r="C6100" t="str">
            <v>mapanusatls</v>
          </cell>
          <cell r="D6100">
            <v>104.33999633789063</v>
          </cell>
        </row>
        <row r="6101">
          <cell r="A6101" t="str">
            <v>PAK</v>
          </cell>
          <cell r="B6101">
            <v>2024</v>
          </cell>
          <cell r="C6101" t="str">
            <v>macpiz</v>
          </cell>
          <cell r="D6101">
            <v>26</v>
          </cell>
        </row>
        <row r="6102">
          <cell r="A6102" t="str">
            <v>PAK</v>
          </cell>
          <cell r="B6102">
            <v>2020</v>
          </cell>
          <cell r="C6102" t="str">
            <v>mar_srvfc</v>
          </cell>
          <cell r="D6102">
            <v>57.938045501708984</v>
          </cell>
        </row>
        <row r="6103">
          <cell r="A6103" t="str">
            <v>PAK</v>
          </cell>
          <cell r="B6103">
            <v>2013</v>
          </cell>
          <cell r="C6103" t="str">
            <v>magap_</v>
          </cell>
          <cell r="D6103">
            <v>-2.3966293334960938</v>
          </cell>
        </row>
        <row r="6104">
          <cell r="A6104" t="str">
            <v>PAK</v>
          </cell>
          <cell r="B6104">
            <v>2005</v>
          </cell>
          <cell r="C6104" t="str">
            <v>mapanusatls</v>
          </cell>
          <cell r="D6104">
            <v>59.130001068115234</v>
          </cell>
        </row>
        <row r="6105">
          <cell r="A6105" t="str">
            <v>PAK</v>
          </cell>
          <cell r="B6105">
            <v>2020</v>
          </cell>
          <cell r="C6105" t="str">
            <v>maexpz</v>
          </cell>
          <cell r="D6105">
            <v>1.5153892040252686</v>
          </cell>
        </row>
        <row r="6106">
          <cell r="A6106" t="str">
            <v>PAK</v>
          </cell>
          <cell r="B6106">
            <v>2016</v>
          </cell>
          <cell r="C6106" t="str">
            <v>maindfc</v>
          </cell>
          <cell r="D6106">
            <v>6.0149106979370117</v>
          </cell>
        </row>
        <row r="6107">
          <cell r="A6107" t="str">
            <v>PAK</v>
          </cell>
          <cell r="B6107">
            <v>2023</v>
          </cell>
          <cell r="C6107" t="str">
            <v>mar_expz</v>
          </cell>
          <cell r="D6107">
            <v>10.450014114379883</v>
          </cell>
        </row>
        <row r="6108">
          <cell r="A6108" t="str">
            <v>PAK</v>
          </cell>
          <cell r="B6108">
            <v>2013</v>
          </cell>
          <cell r="C6108" t="str">
            <v>maagrfc</v>
          </cell>
          <cell r="D6108">
            <v>3.1419456005096436</v>
          </cell>
        </row>
        <row r="6109">
          <cell r="A6109" t="str">
            <v>PAK</v>
          </cell>
          <cell r="B6109">
            <v>2008</v>
          </cell>
          <cell r="C6109" t="str">
            <v>madebt_</v>
          </cell>
          <cell r="D6109">
            <v>48.148288726806641</v>
          </cell>
        </row>
        <row r="6110">
          <cell r="A6110" t="str">
            <v>PAK</v>
          </cell>
          <cell r="B6110">
            <v>2023</v>
          </cell>
          <cell r="C6110" t="str">
            <v>masrvfc</v>
          </cell>
          <cell r="D6110">
            <v>7.2655543684959412E-2</v>
          </cell>
        </row>
        <row r="6111">
          <cell r="A6111" t="str">
            <v>PAK</v>
          </cell>
          <cell r="B6111">
            <v>2024</v>
          </cell>
          <cell r="C6111" t="str">
            <v>mareer</v>
          </cell>
          <cell r="D6111">
            <v>74.549964904785156</v>
          </cell>
        </row>
        <row r="6112">
          <cell r="A6112" t="str">
            <v>PAK</v>
          </cell>
          <cell r="B6112">
            <v>2006</v>
          </cell>
          <cell r="C6112" t="str">
            <v>mapanusatls</v>
          </cell>
          <cell r="D6112">
            <v>59.869998931884766</v>
          </cell>
        </row>
        <row r="6113">
          <cell r="A6113" t="str">
            <v>PAK</v>
          </cell>
          <cell r="B6113">
            <v>2020</v>
          </cell>
          <cell r="C6113" t="str">
            <v>mataxfc</v>
          </cell>
          <cell r="D6113">
            <v>-6.3658723831176758</v>
          </cell>
        </row>
        <row r="6114">
          <cell r="A6114" t="str">
            <v>PAK</v>
          </cell>
          <cell r="B6114">
            <v>2013</v>
          </cell>
          <cell r="C6114" t="str">
            <v>maconz</v>
          </cell>
          <cell r="D6114">
            <v>2.9545531272888184</v>
          </cell>
        </row>
        <row r="6115">
          <cell r="A6115" t="str">
            <v>PAK</v>
          </cell>
          <cell r="B6115">
            <v>2005</v>
          </cell>
          <cell r="C6115" t="str">
            <v>mafdi_</v>
          </cell>
          <cell r="D6115">
            <v>-1.0009090900421143</v>
          </cell>
        </row>
        <row r="6116">
          <cell r="A6116" t="str">
            <v>PAK</v>
          </cell>
          <cell r="B6116">
            <v>2025</v>
          </cell>
          <cell r="C6116" t="str">
            <v>maexpz</v>
          </cell>
          <cell r="D6116">
            <v>3.1718199253082275</v>
          </cell>
        </row>
        <row r="6117">
          <cell r="A6117" t="str">
            <v>PAK</v>
          </cell>
          <cell r="B6117">
            <v>2018</v>
          </cell>
          <cell r="C6117" t="str">
            <v>mar_srvfc</v>
          </cell>
          <cell r="D6117">
            <v>57.051212310791016</v>
          </cell>
        </row>
        <row r="6118">
          <cell r="A6118" t="str">
            <v>PAK</v>
          </cell>
          <cell r="B6118">
            <v>2007</v>
          </cell>
          <cell r="C6118" t="str">
            <v>mafdi_</v>
          </cell>
          <cell r="D6118">
            <v>-2.7296931743621826</v>
          </cell>
        </row>
        <row r="6119">
          <cell r="A6119" t="str">
            <v>PAK</v>
          </cell>
          <cell r="B6119">
            <v>2008</v>
          </cell>
          <cell r="C6119" t="str">
            <v>mar_expz</v>
          </cell>
          <cell r="D6119">
            <v>12.38300609588623</v>
          </cell>
        </row>
        <row r="6120">
          <cell r="A6120" t="str">
            <v>PAK</v>
          </cell>
          <cell r="B6120">
            <v>2026</v>
          </cell>
          <cell r="C6120" t="str">
            <v>mar_con</v>
          </cell>
          <cell r="D6120">
            <v>90.593360900878906</v>
          </cell>
        </row>
        <row r="6121">
          <cell r="A6121" t="str">
            <v>PAK</v>
          </cell>
          <cell r="B6121">
            <v>2020</v>
          </cell>
          <cell r="C6121" t="str">
            <v>mar_agrfc</v>
          </cell>
          <cell r="D6121">
            <v>23.528894424438477</v>
          </cell>
        </row>
        <row r="6122">
          <cell r="A6122" t="str">
            <v>PAK</v>
          </cell>
          <cell r="B6122">
            <v>2013</v>
          </cell>
          <cell r="C6122" t="str">
            <v>mareer</v>
          </cell>
          <cell r="D6122">
            <v>87.611846923828125</v>
          </cell>
        </row>
        <row r="6123">
          <cell r="A6123" t="str">
            <v>PAK</v>
          </cell>
          <cell r="B6123">
            <v>2014</v>
          </cell>
          <cell r="C6123" t="str">
            <v>mar_agrfc</v>
          </cell>
          <cell r="D6123">
            <v>25.320339202880859</v>
          </cell>
        </row>
        <row r="6124">
          <cell r="A6124" t="str">
            <v>PAK</v>
          </cell>
          <cell r="B6124">
            <v>2023</v>
          </cell>
          <cell r="C6124" t="str">
            <v>macpiz</v>
          </cell>
          <cell r="D6124">
            <v>29.185766220092773</v>
          </cell>
        </row>
        <row r="6125">
          <cell r="A6125" t="str">
            <v>PAK</v>
          </cell>
          <cell r="B6125">
            <v>2023</v>
          </cell>
          <cell r="C6125" t="str">
            <v>mar_srvfc</v>
          </cell>
          <cell r="D6125">
            <v>58.423095703125</v>
          </cell>
        </row>
        <row r="6126">
          <cell r="A6126" t="str">
            <v>PAK</v>
          </cell>
          <cell r="B6126">
            <v>2021</v>
          </cell>
          <cell r="C6126" t="str">
            <v>madebt_</v>
          </cell>
          <cell r="D6126">
            <v>77.635162353515625</v>
          </cell>
        </row>
        <row r="6127">
          <cell r="A6127" t="str">
            <v>PAK</v>
          </cell>
          <cell r="B6127">
            <v>2011</v>
          </cell>
          <cell r="C6127" t="str">
            <v>maagrfc</v>
          </cell>
          <cell r="D6127">
            <v>2.7125422954559326</v>
          </cell>
        </row>
        <row r="6128">
          <cell r="A6128" t="str">
            <v>PAK</v>
          </cell>
          <cell r="B6128">
            <v>2026</v>
          </cell>
          <cell r="C6128" t="str">
            <v>matfpz</v>
          </cell>
          <cell r="D6128">
            <v>1.3687326908111572</v>
          </cell>
        </row>
        <row r="6129">
          <cell r="A6129" t="str">
            <v>PAK</v>
          </cell>
          <cell r="B6129">
            <v>2013</v>
          </cell>
          <cell r="C6129" t="str">
            <v>mar_srvfc</v>
          </cell>
          <cell r="D6129">
            <v>55.714488983154297</v>
          </cell>
        </row>
        <row r="6130">
          <cell r="A6130" t="str">
            <v>PAK</v>
          </cell>
          <cell r="B6130">
            <v>2016</v>
          </cell>
          <cell r="C6130" t="str">
            <v>maimpz</v>
          </cell>
          <cell r="D6130">
            <v>17.860315322875977</v>
          </cell>
        </row>
        <row r="6131">
          <cell r="A6131" t="str">
            <v>PAK</v>
          </cell>
          <cell r="B6131">
            <v>2016</v>
          </cell>
          <cell r="C6131" t="str">
            <v>masrvfc</v>
          </cell>
          <cell r="D6131">
            <v>5.0325565338134766</v>
          </cell>
        </row>
        <row r="6132">
          <cell r="A6132" t="str">
            <v>PAK</v>
          </cell>
          <cell r="B6132">
            <v>2015</v>
          </cell>
          <cell r="C6132" t="str">
            <v>mar_agrfc</v>
          </cell>
          <cell r="D6132">
            <v>24.825325012207031</v>
          </cell>
        </row>
        <row r="6133">
          <cell r="A6133" t="str">
            <v>PAK</v>
          </cell>
          <cell r="B6133">
            <v>2025</v>
          </cell>
          <cell r="C6133" t="str">
            <v>maimpz</v>
          </cell>
          <cell r="D6133">
            <v>1.2309399843215942</v>
          </cell>
        </row>
        <row r="6134">
          <cell r="A6134" t="str">
            <v>PAK</v>
          </cell>
          <cell r="B6134">
            <v>2026</v>
          </cell>
          <cell r="C6134" t="str">
            <v>macab_</v>
          </cell>
          <cell r="D6134">
            <v>-0.68742674589157104</v>
          </cell>
        </row>
        <row r="6135">
          <cell r="A6135" t="str">
            <v>PAK</v>
          </cell>
          <cell r="B6135">
            <v>2007</v>
          </cell>
          <cell r="C6135" t="str">
            <v>mar_srvfc</v>
          </cell>
          <cell r="D6135">
            <v>54.314395904541016</v>
          </cell>
        </row>
        <row r="6136">
          <cell r="A6136" t="str">
            <v>PAK</v>
          </cell>
          <cell r="B6136">
            <v>2025</v>
          </cell>
          <cell r="C6136" t="str">
            <v>masrvfc</v>
          </cell>
          <cell r="D6136">
            <v>2.4217739105224609</v>
          </cell>
        </row>
        <row r="6137">
          <cell r="A6137" t="str">
            <v>PAK</v>
          </cell>
          <cell r="B6137">
            <v>2022</v>
          </cell>
          <cell r="C6137" t="str">
            <v>mar_con</v>
          </cell>
          <cell r="D6137">
            <v>88.866462707519531</v>
          </cell>
        </row>
        <row r="6138">
          <cell r="A6138" t="str">
            <v>PAK</v>
          </cell>
          <cell r="B6138">
            <v>2019</v>
          </cell>
          <cell r="C6138" t="str">
            <v>mar_indfc</v>
          </cell>
          <cell r="D6138">
            <v>19.477222442626953</v>
          </cell>
        </row>
        <row r="6139">
          <cell r="A6139" t="str">
            <v>PAK</v>
          </cell>
          <cell r="B6139">
            <v>2009</v>
          </cell>
          <cell r="C6139" t="str">
            <v>mar_agrfc</v>
          </cell>
          <cell r="D6139">
            <v>26.397518157958984</v>
          </cell>
        </row>
        <row r="6140">
          <cell r="A6140" t="str">
            <v>PAK</v>
          </cell>
          <cell r="B6140">
            <v>2021</v>
          </cell>
          <cell r="C6140" t="str">
            <v>maagrfc</v>
          </cell>
          <cell r="D6140">
            <v>3.5166616439819336</v>
          </cell>
        </row>
        <row r="6141">
          <cell r="A6141" t="str">
            <v>PAK</v>
          </cell>
          <cell r="B6141">
            <v>2006</v>
          </cell>
          <cell r="C6141" t="str">
            <v>mac_tfpz</v>
          </cell>
          <cell r="D6141">
            <v>1.2929133176803589</v>
          </cell>
        </row>
        <row r="6142">
          <cell r="A6142" t="str">
            <v>PAK</v>
          </cell>
          <cell r="B6142">
            <v>2022</v>
          </cell>
          <cell r="C6142" t="str">
            <v>masrvfc</v>
          </cell>
          <cell r="D6142">
            <v>6.6623373031616211</v>
          </cell>
        </row>
        <row r="6143">
          <cell r="A6143" t="str">
            <v>PAK</v>
          </cell>
          <cell r="B6143">
            <v>2025</v>
          </cell>
          <cell r="C6143" t="str">
            <v>mataxfc</v>
          </cell>
          <cell r="D6143">
            <v>2.3370482921600342</v>
          </cell>
        </row>
        <row r="6144">
          <cell r="A6144" t="str">
            <v>PAK</v>
          </cell>
          <cell r="B6144">
            <v>2006</v>
          </cell>
          <cell r="C6144" t="str">
            <v>maagrfc</v>
          </cell>
          <cell r="D6144">
            <v>1.8879657983779907</v>
          </cell>
        </row>
        <row r="6145">
          <cell r="A6145" t="str">
            <v>PAK</v>
          </cell>
          <cell r="B6145">
            <v>2019</v>
          </cell>
          <cell r="C6145" t="str">
            <v>mar_expz</v>
          </cell>
          <cell r="D6145">
            <v>9.8122129440307617</v>
          </cell>
        </row>
        <row r="6146">
          <cell r="A6146" t="str">
            <v>PAK</v>
          </cell>
          <cell r="B6146">
            <v>2007</v>
          </cell>
          <cell r="C6146" t="str">
            <v>mapanusatls</v>
          </cell>
          <cell r="D6146">
            <v>60.639999389648438</v>
          </cell>
        </row>
        <row r="6147">
          <cell r="A6147" t="str">
            <v>PAK</v>
          </cell>
          <cell r="B6147">
            <v>2016</v>
          </cell>
          <cell r="C6147" t="str">
            <v>maconz</v>
          </cell>
          <cell r="D6147">
            <v>7.8152999877929688</v>
          </cell>
        </row>
        <row r="6148">
          <cell r="A6148" t="str">
            <v>PAK</v>
          </cell>
          <cell r="B6148">
            <v>2026</v>
          </cell>
          <cell r="C6148" t="str">
            <v>mar_impz</v>
          </cell>
          <cell r="D6148">
            <v>21.928888320922852</v>
          </cell>
        </row>
        <row r="6149">
          <cell r="A6149" t="str">
            <v>PAK</v>
          </cell>
          <cell r="B6149">
            <v>2020</v>
          </cell>
          <cell r="C6149" t="str">
            <v>magdpz</v>
          </cell>
          <cell r="D6149">
            <v>-1.2740874290466309</v>
          </cell>
        </row>
        <row r="6150">
          <cell r="A6150" t="str">
            <v>PAK</v>
          </cell>
          <cell r="B6150">
            <v>2018</v>
          </cell>
          <cell r="C6150" t="str">
            <v>macab_</v>
          </cell>
          <cell r="D6150">
            <v>-5.389711856842041</v>
          </cell>
        </row>
        <row r="6151">
          <cell r="A6151" t="str">
            <v>PAK</v>
          </cell>
          <cell r="B6151">
            <v>2009</v>
          </cell>
          <cell r="C6151" t="str">
            <v>mapanusatls</v>
          </cell>
          <cell r="D6151">
            <v>78.629997253417969</v>
          </cell>
        </row>
        <row r="6152">
          <cell r="A6152" t="str">
            <v>PAK</v>
          </cell>
          <cell r="B6152">
            <v>2015</v>
          </cell>
          <cell r="C6152" t="str">
            <v>mainvz</v>
          </cell>
          <cell r="D6152">
            <v>13.66021728515625</v>
          </cell>
        </row>
        <row r="6153">
          <cell r="A6153" t="str">
            <v>PAK</v>
          </cell>
          <cell r="B6153">
            <v>2006</v>
          </cell>
          <cell r="C6153" t="str">
            <v>mar_srvfc</v>
          </cell>
          <cell r="D6153">
            <v>54.275165557861328</v>
          </cell>
        </row>
        <row r="6154">
          <cell r="A6154" t="str">
            <v>PAK</v>
          </cell>
          <cell r="B6154">
            <v>2013</v>
          </cell>
          <cell r="C6154" t="str">
            <v>mar_agrfc</v>
          </cell>
          <cell r="D6154">
            <v>25.601625442504883</v>
          </cell>
        </row>
        <row r="6155">
          <cell r="A6155" t="str">
            <v>PAK</v>
          </cell>
          <cell r="B6155">
            <v>2020</v>
          </cell>
          <cell r="C6155" t="str">
            <v>mar_indfc</v>
          </cell>
          <cell r="D6155">
            <v>18.533058166503906</v>
          </cell>
        </row>
        <row r="6156">
          <cell r="A6156" t="str">
            <v>PAK</v>
          </cell>
          <cell r="B6156">
            <v>2012</v>
          </cell>
          <cell r="C6156" t="str">
            <v>matfpz</v>
          </cell>
          <cell r="D6156">
            <v>1.2850496768951416</v>
          </cell>
        </row>
        <row r="6157">
          <cell r="A6157" t="str">
            <v>PAK</v>
          </cell>
          <cell r="B6157">
            <v>2020</v>
          </cell>
          <cell r="C6157" t="str">
            <v>mar_expz</v>
          </cell>
          <cell r="D6157">
            <v>10.089454650878906</v>
          </cell>
        </row>
        <row r="6158">
          <cell r="A6158" t="str">
            <v>PAK</v>
          </cell>
          <cell r="B6158">
            <v>2019</v>
          </cell>
          <cell r="C6158" t="str">
            <v>masrvfc</v>
          </cell>
          <cell r="D6158">
            <v>5.004554271697998</v>
          </cell>
        </row>
        <row r="6159">
          <cell r="A6159" t="str">
            <v>PAK</v>
          </cell>
          <cell r="B6159">
            <v>2022</v>
          </cell>
          <cell r="C6159" t="str">
            <v>magap_</v>
          </cell>
          <cell r="D6159">
            <v>-1.4317954778671265</v>
          </cell>
        </row>
        <row r="6160">
          <cell r="A6160" t="str">
            <v>PAK</v>
          </cell>
          <cell r="B6160">
            <v>2018</v>
          </cell>
          <cell r="C6160" t="str">
            <v>mac_labz</v>
          </cell>
          <cell r="D6160">
            <v>1.3858981132507324</v>
          </cell>
        </row>
        <row r="6161">
          <cell r="A6161" t="str">
            <v>PAK</v>
          </cell>
          <cell r="B6161">
            <v>2016</v>
          </cell>
          <cell r="C6161" t="str">
            <v>mareer</v>
          </cell>
          <cell r="D6161">
            <v>97.844978332519531</v>
          </cell>
        </row>
        <row r="6162">
          <cell r="A6162" t="str">
            <v>PAK</v>
          </cell>
          <cell r="B6162">
            <v>2021</v>
          </cell>
          <cell r="C6162" t="str">
            <v>magdpz</v>
          </cell>
          <cell r="D6162">
            <v>6.5138859748840332</v>
          </cell>
        </row>
        <row r="6163">
          <cell r="A6163" t="str">
            <v>PAK</v>
          </cell>
          <cell r="B6163">
            <v>2024</v>
          </cell>
          <cell r="C6163" t="str">
            <v>maexpz</v>
          </cell>
          <cell r="D6163">
            <v>2.1455600261688232</v>
          </cell>
        </row>
        <row r="6164">
          <cell r="A6164" t="str">
            <v>PAK</v>
          </cell>
          <cell r="B6164">
            <v>2020</v>
          </cell>
          <cell r="C6164" t="str">
            <v>maconz</v>
          </cell>
          <cell r="D6164">
            <v>-2.8317999839782715</v>
          </cell>
        </row>
        <row r="6165">
          <cell r="A6165" t="str">
            <v>PAK</v>
          </cell>
          <cell r="B6165">
            <v>2014</v>
          </cell>
          <cell r="C6165" t="str">
            <v>maconz</v>
          </cell>
          <cell r="D6165">
            <v>5.6980137825012207</v>
          </cell>
        </row>
        <row r="6166">
          <cell r="A6166" t="str">
            <v>PAK</v>
          </cell>
          <cell r="B6166">
            <v>2025</v>
          </cell>
          <cell r="C6166" t="str">
            <v>mapanusatls</v>
          </cell>
          <cell r="D6166">
            <v>322</v>
          </cell>
        </row>
        <row r="6167">
          <cell r="A6167" t="str">
            <v>PAK</v>
          </cell>
          <cell r="B6167">
            <v>2018</v>
          </cell>
          <cell r="C6167" t="str">
            <v>magdpz</v>
          </cell>
          <cell r="D6167">
            <v>6.1517024040222168</v>
          </cell>
        </row>
        <row r="6168">
          <cell r="A6168" t="str">
            <v>PAK</v>
          </cell>
          <cell r="B6168">
            <v>2005</v>
          </cell>
          <cell r="C6168" t="str">
            <v>mar_indfc</v>
          </cell>
          <cell r="D6168">
            <v>19.006437301635742</v>
          </cell>
        </row>
        <row r="6169">
          <cell r="A6169" t="str">
            <v>PAK</v>
          </cell>
          <cell r="B6169">
            <v>2020</v>
          </cell>
          <cell r="C6169" t="str">
            <v>madeficit_</v>
          </cell>
          <cell r="D6169">
            <v>-7.0315694808959961</v>
          </cell>
        </row>
        <row r="6170">
          <cell r="A6170" t="str">
            <v>PAK</v>
          </cell>
          <cell r="B6170">
            <v>2015</v>
          </cell>
          <cell r="C6170" t="str">
            <v>mapanusatls</v>
          </cell>
          <cell r="D6170">
            <v>101.43000030517578</v>
          </cell>
        </row>
        <row r="6171">
          <cell r="A6171" t="str">
            <v>PAK</v>
          </cell>
          <cell r="B6171">
            <v>2024</v>
          </cell>
          <cell r="C6171" t="str">
            <v>matfpz</v>
          </cell>
          <cell r="D6171">
            <v>1.4073634147644043</v>
          </cell>
        </row>
        <row r="6172">
          <cell r="A6172" t="str">
            <v>PAK</v>
          </cell>
          <cell r="B6172">
            <v>2026</v>
          </cell>
          <cell r="C6172" t="str">
            <v>madebt_</v>
          </cell>
          <cell r="D6172">
            <v>73.337120056152344</v>
          </cell>
        </row>
        <row r="6173">
          <cell r="A6173" t="str">
            <v>PAK</v>
          </cell>
          <cell r="B6173">
            <v>2014</v>
          </cell>
          <cell r="C6173" t="str">
            <v>madeficit_</v>
          </cell>
          <cell r="D6173">
            <v>-4.274810791015625</v>
          </cell>
        </row>
        <row r="6174">
          <cell r="A6174" t="str">
            <v>PAK</v>
          </cell>
          <cell r="B6174">
            <v>2014</v>
          </cell>
          <cell r="C6174" t="str">
            <v>magdpz</v>
          </cell>
          <cell r="D6174">
            <v>4.1164283752441406</v>
          </cell>
        </row>
        <row r="6175">
          <cell r="A6175" t="str">
            <v>PAK</v>
          </cell>
          <cell r="B6175">
            <v>2017</v>
          </cell>
          <cell r="C6175" t="str">
            <v>matfpz</v>
          </cell>
          <cell r="D6175">
            <v>1.7854223251342773</v>
          </cell>
        </row>
        <row r="6176">
          <cell r="A6176" t="str">
            <v>PAK</v>
          </cell>
          <cell r="B6176">
            <v>2020</v>
          </cell>
          <cell r="C6176" t="str">
            <v>madebt_</v>
          </cell>
          <cell r="D6176">
            <v>84.032058715820313</v>
          </cell>
        </row>
        <row r="6177">
          <cell r="A6177" t="str">
            <v>PAK</v>
          </cell>
          <cell r="B6177">
            <v>2019</v>
          </cell>
          <cell r="C6177" t="str">
            <v>mar_srvfc</v>
          </cell>
          <cell r="D6177">
            <v>58.093841552734375</v>
          </cell>
        </row>
        <row r="6178">
          <cell r="A6178" t="str">
            <v>PAK</v>
          </cell>
          <cell r="B6178">
            <v>2015</v>
          </cell>
          <cell r="C6178" t="str">
            <v>mafdi_</v>
          </cell>
          <cell r="D6178">
            <v>-0.32003280520439148</v>
          </cell>
        </row>
        <row r="6179">
          <cell r="A6179" t="str">
            <v>PAK</v>
          </cell>
          <cell r="B6179">
            <v>2009</v>
          </cell>
          <cell r="C6179" t="str">
            <v>maagrfc</v>
          </cell>
          <cell r="D6179">
            <v>3.4128334522247314</v>
          </cell>
        </row>
        <row r="6180">
          <cell r="A6180" t="str">
            <v>PAK</v>
          </cell>
          <cell r="B6180">
            <v>2007</v>
          </cell>
          <cell r="C6180" t="str">
            <v>maimpz</v>
          </cell>
          <cell r="D6180">
            <v>0.11436034739017487</v>
          </cell>
        </row>
        <row r="6181">
          <cell r="A6181" t="str">
            <v>PAK</v>
          </cell>
          <cell r="B6181">
            <v>2024</v>
          </cell>
          <cell r="C6181" t="str">
            <v>madebt_</v>
          </cell>
          <cell r="D6181">
            <v>72.763053894042969</v>
          </cell>
        </row>
        <row r="6182">
          <cell r="A6182" t="str">
            <v>PAK</v>
          </cell>
          <cell r="B6182">
            <v>2011</v>
          </cell>
          <cell r="C6182" t="str">
            <v>maexpz</v>
          </cell>
          <cell r="D6182">
            <v>2.7775769233703613</v>
          </cell>
        </row>
        <row r="6183">
          <cell r="A6183" t="str">
            <v>PAK</v>
          </cell>
          <cell r="B6183">
            <v>2012</v>
          </cell>
          <cell r="C6183" t="str">
            <v>mac_tfpz</v>
          </cell>
          <cell r="D6183">
            <v>1.2850496768951416</v>
          </cell>
        </row>
        <row r="6184">
          <cell r="A6184" t="str">
            <v>PAK</v>
          </cell>
          <cell r="B6184">
            <v>2012</v>
          </cell>
          <cell r="C6184" t="str">
            <v>mareer</v>
          </cell>
          <cell r="D6184">
            <v>89.762588500976563</v>
          </cell>
        </row>
        <row r="6185">
          <cell r="A6185" t="str">
            <v>PAK</v>
          </cell>
          <cell r="B6185">
            <v>2023</v>
          </cell>
          <cell r="C6185" t="str">
            <v>maindfc</v>
          </cell>
          <cell r="D6185">
            <v>-3.7567925453186035</v>
          </cell>
        </row>
        <row r="6186">
          <cell r="A6186" t="str">
            <v>PAK</v>
          </cell>
          <cell r="B6186">
            <v>2011</v>
          </cell>
          <cell r="C6186" t="str">
            <v>mafdi_</v>
          </cell>
          <cell r="D6186">
            <v>-0.68998867273330688</v>
          </cell>
        </row>
        <row r="6187">
          <cell r="A6187" t="str">
            <v>PAK</v>
          </cell>
          <cell r="B6187">
            <v>2013</v>
          </cell>
          <cell r="C6187" t="str">
            <v>mataxfc</v>
          </cell>
          <cell r="D6187">
            <v>19.977035522460938</v>
          </cell>
        </row>
        <row r="6188">
          <cell r="A6188" t="str">
            <v>PAK</v>
          </cell>
          <cell r="B6188">
            <v>2006</v>
          </cell>
          <cell r="C6188" t="str">
            <v>mareer</v>
          </cell>
          <cell r="D6188">
            <v>84.768218994140625</v>
          </cell>
        </row>
        <row r="6189">
          <cell r="A6189" t="str">
            <v>PAK</v>
          </cell>
          <cell r="B6189">
            <v>2012</v>
          </cell>
          <cell r="C6189" t="str">
            <v>malabz</v>
          </cell>
          <cell r="D6189">
            <v>2.1204347610473633</v>
          </cell>
        </row>
        <row r="6190">
          <cell r="A6190" t="str">
            <v>PAK</v>
          </cell>
          <cell r="B6190">
            <v>2008</v>
          </cell>
          <cell r="C6190" t="str">
            <v>mar_taxfc</v>
          </cell>
          <cell r="D6190">
            <v>2.3099930286407471</v>
          </cell>
        </row>
        <row r="6191">
          <cell r="A6191" t="str">
            <v>PAK</v>
          </cell>
          <cell r="B6191">
            <v>2010</v>
          </cell>
          <cell r="C6191" t="str">
            <v>maexpz</v>
          </cell>
          <cell r="D6191">
            <v>7.8540787696838379</v>
          </cell>
        </row>
        <row r="6192">
          <cell r="A6192" t="str">
            <v>PAK</v>
          </cell>
          <cell r="B6192">
            <v>2023</v>
          </cell>
          <cell r="C6192" t="str">
            <v>mac_labz</v>
          </cell>
          <cell r="D6192">
            <v>1.8577154874801636</v>
          </cell>
        </row>
        <row r="6193">
          <cell r="A6193" t="str">
            <v>PAK</v>
          </cell>
          <cell r="B6193">
            <v>2010</v>
          </cell>
          <cell r="C6193" t="str">
            <v>magovz</v>
          </cell>
          <cell r="D6193">
            <v>-3.0661065578460693</v>
          </cell>
        </row>
        <row r="6194">
          <cell r="A6194" t="str">
            <v>PAK</v>
          </cell>
          <cell r="B6194">
            <v>2011</v>
          </cell>
          <cell r="C6194" t="str">
            <v>malabz</v>
          </cell>
          <cell r="D6194">
            <v>2.6045231819152832</v>
          </cell>
        </row>
        <row r="6195">
          <cell r="A6195" t="str">
            <v>PAK</v>
          </cell>
          <cell r="B6195">
            <v>2026</v>
          </cell>
          <cell r="C6195" t="str">
            <v>mar_indfc</v>
          </cell>
          <cell r="D6195">
            <v>18.319789886474609</v>
          </cell>
        </row>
        <row r="6196">
          <cell r="A6196" t="str">
            <v>PAK</v>
          </cell>
          <cell r="B6196">
            <v>2010</v>
          </cell>
          <cell r="C6196" t="str">
            <v>maagrfc</v>
          </cell>
          <cell r="D6196">
            <v>0.3126775324344635</v>
          </cell>
        </row>
        <row r="6197">
          <cell r="A6197" t="str">
            <v>PAK</v>
          </cell>
          <cell r="B6197">
            <v>2022</v>
          </cell>
          <cell r="C6197" t="str">
            <v>mac_labz</v>
          </cell>
          <cell r="D6197">
            <v>1.7616235017776489</v>
          </cell>
        </row>
        <row r="6198">
          <cell r="A6198" t="str">
            <v>PAK</v>
          </cell>
          <cell r="B6198">
            <v>2022</v>
          </cell>
          <cell r="C6198" t="str">
            <v>matfpz</v>
          </cell>
          <cell r="D6198">
            <v>1.4812303781509399</v>
          </cell>
        </row>
        <row r="6199">
          <cell r="A6199" t="str">
            <v>PAK</v>
          </cell>
          <cell r="B6199">
            <v>2013</v>
          </cell>
          <cell r="C6199" t="str">
            <v>magdpz</v>
          </cell>
          <cell r="D6199">
            <v>4.3668651580810547</v>
          </cell>
        </row>
        <row r="6200">
          <cell r="A6200" t="str">
            <v>PAK</v>
          </cell>
          <cell r="B6200">
            <v>2006</v>
          </cell>
          <cell r="C6200" t="str">
            <v>macab_</v>
          </cell>
          <cell r="D6200">
            <v>-3.0833845138549805</v>
          </cell>
        </row>
        <row r="6201">
          <cell r="A6201" t="str">
            <v>PAK</v>
          </cell>
          <cell r="B6201">
            <v>2021</v>
          </cell>
          <cell r="C6201" t="str">
            <v>mar_indfc</v>
          </cell>
          <cell r="D6201">
            <v>18.958358764648438</v>
          </cell>
        </row>
        <row r="6202">
          <cell r="A6202" t="str">
            <v>PAK</v>
          </cell>
          <cell r="B6202">
            <v>2014</v>
          </cell>
          <cell r="C6202" t="str">
            <v>mataxfc</v>
          </cell>
          <cell r="D6202">
            <v>18.941501617431641</v>
          </cell>
        </row>
        <row r="6203">
          <cell r="A6203" t="str">
            <v>PAK</v>
          </cell>
          <cell r="B6203">
            <v>2019</v>
          </cell>
          <cell r="C6203" t="str">
            <v>mac_labz</v>
          </cell>
          <cell r="D6203">
            <v>1.452683687210083</v>
          </cell>
        </row>
        <row r="6204">
          <cell r="A6204" t="str">
            <v>PAK</v>
          </cell>
          <cell r="B6204">
            <v>2014</v>
          </cell>
          <cell r="C6204" t="str">
            <v>mar_srvfc</v>
          </cell>
          <cell r="D6204">
            <v>55.854915618896484</v>
          </cell>
        </row>
        <row r="6205">
          <cell r="A6205" t="str">
            <v>PAK</v>
          </cell>
          <cell r="B6205">
            <v>2006</v>
          </cell>
          <cell r="C6205" t="str">
            <v>mar_agrfc</v>
          </cell>
          <cell r="D6205">
            <v>27.14691162109375</v>
          </cell>
        </row>
        <row r="6206">
          <cell r="A6206" t="str">
            <v>PAK</v>
          </cell>
          <cell r="B6206">
            <v>2017</v>
          </cell>
          <cell r="C6206" t="str">
            <v>magdpz</v>
          </cell>
          <cell r="D6206">
            <v>4.4326257705688477</v>
          </cell>
        </row>
        <row r="6207">
          <cell r="A6207" t="str">
            <v>PAK</v>
          </cell>
          <cell r="B6207">
            <v>2014</v>
          </cell>
          <cell r="C6207" t="str">
            <v>mac_tfpz</v>
          </cell>
          <cell r="D6207">
            <v>1.6102883815765381</v>
          </cell>
        </row>
        <row r="6208">
          <cell r="A6208" t="str">
            <v>PAK</v>
          </cell>
          <cell r="B6208">
            <v>2021</v>
          </cell>
          <cell r="C6208" t="str">
            <v>mapanusatls</v>
          </cell>
          <cell r="D6208">
            <v>160.02000427246094</v>
          </cell>
        </row>
        <row r="6209">
          <cell r="A6209" t="str">
            <v>PAK</v>
          </cell>
          <cell r="B6209">
            <v>2012</v>
          </cell>
          <cell r="C6209" t="str">
            <v>maconz</v>
          </cell>
          <cell r="D6209">
            <v>3.9449758529663086</v>
          </cell>
        </row>
        <row r="6210">
          <cell r="A6210" t="str">
            <v>PAK</v>
          </cell>
          <cell r="B6210">
            <v>2014</v>
          </cell>
          <cell r="C6210" t="str">
            <v>macab_</v>
          </cell>
          <cell r="D6210">
            <v>-1.1533364057540894</v>
          </cell>
        </row>
        <row r="6211">
          <cell r="A6211" t="str">
            <v>PAK</v>
          </cell>
          <cell r="B6211">
            <v>2016</v>
          </cell>
          <cell r="C6211" t="str">
            <v>magap_</v>
          </cell>
          <cell r="D6211">
            <v>1.3639663457870483</v>
          </cell>
        </row>
        <row r="6212">
          <cell r="A6212" t="str">
            <v>PAK</v>
          </cell>
          <cell r="B6212">
            <v>2021</v>
          </cell>
          <cell r="C6212" t="str">
            <v>mataxfc</v>
          </cell>
          <cell r="D6212">
            <v>18.621110916137695</v>
          </cell>
        </row>
        <row r="6213">
          <cell r="A6213" t="str">
            <v>PAK</v>
          </cell>
          <cell r="B6213">
            <v>2006</v>
          </cell>
          <cell r="C6213" t="str">
            <v>maindfc</v>
          </cell>
          <cell r="D6213">
            <v>3.281611442565918</v>
          </cell>
        </row>
        <row r="6214">
          <cell r="A6214" t="str">
            <v>PAK</v>
          </cell>
          <cell r="B6214">
            <v>2023</v>
          </cell>
          <cell r="C6214" t="str">
            <v>mar_taxfc</v>
          </cell>
          <cell r="D6214">
            <v>5.6456379890441895</v>
          </cell>
        </row>
        <row r="6215">
          <cell r="A6215" t="str">
            <v>PAK</v>
          </cell>
          <cell r="B6215">
            <v>2012</v>
          </cell>
          <cell r="C6215" t="str">
            <v>mainvz</v>
          </cell>
          <cell r="D6215">
            <v>3.683396577835083</v>
          </cell>
        </row>
        <row r="6216">
          <cell r="A6216" t="str">
            <v>PAK</v>
          </cell>
          <cell r="B6216">
            <v>2010</v>
          </cell>
          <cell r="C6216" t="str">
            <v>mar_expz</v>
          </cell>
          <cell r="D6216">
            <v>12.002335548400879</v>
          </cell>
        </row>
        <row r="6217">
          <cell r="A6217" t="str">
            <v>PAK</v>
          </cell>
          <cell r="B6217">
            <v>2007</v>
          </cell>
          <cell r="C6217" t="str">
            <v>mar_indfc</v>
          </cell>
          <cell r="D6217">
            <v>18.95892333984375</v>
          </cell>
        </row>
        <row r="6218">
          <cell r="A6218" t="str">
            <v>PAK</v>
          </cell>
          <cell r="B6218">
            <v>2014</v>
          </cell>
          <cell r="C6218" t="str">
            <v>magovz</v>
          </cell>
          <cell r="D6218">
            <v>0.30867594480514526</v>
          </cell>
        </row>
        <row r="6219">
          <cell r="A6219" t="str">
            <v>PAK</v>
          </cell>
          <cell r="B6219">
            <v>2016</v>
          </cell>
          <cell r="C6219" t="str">
            <v>mar_taxfc</v>
          </cell>
          <cell r="D6219">
            <v>7.2663860321044922</v>
          </cell>
        </row>
        <row r="6220">
          <cell r="A6220" t="str">
            <v>PAK</v>
          </cell>
          <cell r="B6220">
            <v>2006</v>
          </cell>
          <cell r="C6220" t="str">
            <v>matfpz</v>
          </cell>
          <cell r="D6220">
            <v>1.2929133176803589</v>
          </cell>
        </row>
        <row r="6221">
          <cell r="A6221" t="str">
            <v>PAK</v>
          </cell>
          <cell r="B6221">
            <v>2013</v>
          </cell>
          <cell r="C6221" t="str">
            <v>mar_indfc</v>
          </cell>
          <cell r="D6221">
            <v>18.683883666992188</v>
          </cell>
        </row>
        <row r="6222">
          <cell r="A6222" t="str">
            <v>PAK</v>
          </cell>
          <cell r="B6222">
            <v>2023</v>
          </cell>
          <cell r="C6222" t="str">
            <v>mar_con</v>
          </cell>
          <cell r="D6222">
            <v>90.998382568359375</v>
          </cell>
        </row>
        <row r="6223">
          <cell r="A6223" t="str">
            <v>PAK</v>
          </cell>
          <cell r="B6223">
            <v>2011</v>
          </cell>
          <cell r="C6223" t="str">
            <v>maimpz</v>
          </cell>
          <cell r="D6223">
            <v>-3.3541138172149658</v>
          </cell>
        </row>
        <row r="6224">
          <cell r="A6224" t="str">
            <v>PAK</v>
          </cell>
          <cell r="B6224">
            <v>2026</v>
          </cell>
          <cell r="C6224" t="str">
            <v>mafdi_</v>
          </cell>
          <cell r="D6224">
            <v>-0.38255661725997925</v>
          </cell>
        </row>
        <row r="6225">
          <cell r="A6225" t="str">
            <v>PAK</v>
          </cell>
          <cell r="B6225">
            <v>2021</v>
          </cell>
          <cell r="C6225" t="str">
            <v>macpiz</v>
          </cell>
          <cell r="D6225">
            <v>8.8999996185302734</v>
          </cell>
        </row>
        <row r="6226">
          <cell r="A6226" t="str">
            <v>PAK</v>
          </cell>
          <cell r="B6226">
            <v>2012</v>
          </cell>
          <cell r="C6226" t="str">
            <v>masrvfc</v>
          </cell>
          <cell r="D6226">
            <v>3.4845082759857178</v>
          </cell>
        </row>
        <row r="6227">
          <cell r="A6227" t="str">
            <v>PAK</v>
          </cell>
          <cell r="B6227">
            <v>2017</v>
          </cell>
          <cell r="C6227" t="str">
            <v>macpiz</v>
          </cell>
          <cell r="D6227">
            <v>4.809999942779541</v>
          </cell>
        </row>
        <row r="6228">
          <cell r="A6228" t="str">
            <v>PAK</v>
          </cell>
          <cell r="B6228">
            <v>2021</v>
          </cell>
          <cell r="C6228" t="str">
            <v>mainvz</v>
          </cell>
          <cell r="D6228">
            <v>3.6656239032745361</v>
          </cell>
        </row>
        <row r="6229">
          <cell r="A6229" t="str">
            <v>PAK</v>
          </cell>
          <cell r="B6229">
            <v>2016</v>
          </cell>
          <cell r="C6229" t="str">
            <v>macpiz</v>
          </cell>
          <cell r="D6229">
            <v>2.8594939708709717</v>
          </cell>
        </row>
        <row r="6230">
          <cell r="A6230" t="str">
            <v>PAK</v>
          </cell>
          <cell r="B6230">
            <v>2015</v>
          </cell>
          <cell r="C6230" t="str">
            <v>maindfc</v>
          </cell>
          <cell r="D6230">
            <v>5.3962416648864746</v>
          </cell>
        </row>
        <row r="6231">
          <cell r="A6231" t="str">
            <v>PAK</v>
          </cell>
          <cell r="B6231">
            <v>2019</v>
          </cell>
          <cell r="C6231" t="str">
            <v>mar_agrfc</v>
          </cell>
          <cell r="D6231">
            <v>22.428934097290039</v>
          </cell>
        </row>
        <row r="6232">
          <cell r="A6232" t="str">
            <v>PAK</v>
          </cell>
          <cell r="B6232">
            <v>2022</v>
          </cell>
          <cell r="C6232" t="str">
            <v>macpiz</v>
          </cell>
          <cell r="D6232">
            <v>12.145000457763672</v>
          </cell>
        </row>
        <row r="6233">
          <cell r="A6233" t="str">
            <v>PAK</v>
          </cell>
          <cell r="B6233">
            <v>2013</v>
          </cell>
          <cell r="C6233" t="str">
            <v>macab_</v>
          </cell>
          <cell r="D6233">
            <v>-0.96502310037612915</v>
          </cell>
        </row>
        <row r="6234">
          <cell r="A6234" t="str">
            <v>PAK</v>
          </cell>
          <cell r="B6234">
            <v>2010</v>
          </cell>
          <cell r="C6234" t="str">
            <v>magap_</v>
          </cell>
          <cell r="D6234">
            <v>-2.0510802268981934</v>
          </cell>
        </row>
        <row r="6235">
          <cell r="A6235" t="str">
            <v>PAK</v>
          </cell>
          <cell r="B6235">
            <v>2024</v>
          </cell>
          <cell r="C6235" t="str">
            <v>mainvz</v>
          </cell>
          <cell r="D6235">
            <v>-0.47418093681335449</v>
          </cell>
        </row>
        <row r="6236">
          <cell r="A6236" t="str">
            <v>PAK</v>
          </cell>
          <cell r="B6236">
            <v>2010</v>
          </cell>
          <cell r="C6236" t="str">
            <v>mareer</v>
          </cell>
          <cell r="D6236">
            <v>79.41949462890625</v>
          </cell>
        </row>
        <row r="6237">
          <cell r="A6237" t="str">
            <v>PAK</v>
          </cell>
          <cell r="B6237">
            <v>2012</v>
          </cell>
          <cell r="C6237" t="str">
            <v>mar_expz</v>
          </cell>
          <cell r="D6237">
            <v>10.153460502624512</v>
          </cell>
        </row>
        <row r="6238">
          <cell r="A6238" t="str">
            <v>PAK</v>
          </cell>
          <cell r="B6238">
            <v>2021</v>
          </cell>
          <cell r="C6238" t="str">
            <v>malabz</v>
          </cell>
          <cell r="D6238">
            <v>2.3905043601989746</v>
          </cell>
        </row>
        <row r="6239">
          <cell r="A6239" t="str">
            <v>PAK</v>
          </cell>
          <cell r="B6239">
            <v>2019</v>
          </cell>
          <cell r="C6239" t="str">
            <v>madebt_</v>
          </cell>
          <cell r="D6239">
            <v>81.211334228515625</v>
          </cell>
        </row>
        <row r="6240">
          <cell r="A6240" t="str">
            <v>PAK</v>
          </cell>
          <cell r="B6240">
            <v>2008</v>
          </cell>
          <cell r="C6240" t="str">
            <v>magdpz</v>
          </cell>
          <cell r="D6240">
            <v>2.1204409599304199</v>
          </cell>
        </row>
        <row r="6241">
          <cell r="A6241" t="str">
            <v>PAK</v>
          </cell>
          <cell r="B6241">
            <v>2019</v>
          </cell>
          <cell r="C6241" t="str">
            <v>magovz</v>
          </cell>
          <cell r="D6241">
            <v>-1.5769902467727661</v>
          </cell>
        </row>
        <row r="6242">
          <cell r="A6242" t="str">
            <v>PAK</v>
          </cell>
          <cell r="B6242">
            <v>2006</v>
          </cell>
          <cell r="C6242" t="str">
            <v>mar_impz</v>
          </cell>
          <cell r="D6242">
            <v>22.926176071166992</v>
          </cell>
        </row>
        <row r="6243">
          <cell r="A6243" t="str">
            <v>PAK</v>
          </cell>
          <cell r="B6243">
            <v>2024</v>
          </cell>
          <cell r="C6243" t="str">
            <v>mar_taxfc</v>
          </cell>
          <cell r="D6243">
            <v>5.6456398963928223</v>
          </cell>
        </row>
        <row r="6244">
          <cell r="A6244" t="str">
            <v>PAK</v>
          </cell>
          <cell r="B6244">
            <v>2007</v>
          </cell>
          <cell r="C6244" t="str">
            <v>macpiz</v>
          </cell>
          <cell r="D6244">
            <v>7.7755904197692871</v>
          </cell>
        </row>
        <row r="6245">
          <cell r="A6245" t="str">
            <v>PAK</v>
          </cell>
          <cell r="B6245">
            <v>2020</v>
          </cell>
          <cell r="C6245" t="str">
            <v>mainvz</v>
          </cell>
          <cell r="D6245">
            <v>-6.6764364242553711</v>
          </cell>
        </row>
        <row r="6246">
          <cell r="A6246" t="str">
            <v>PAK</v>
          </cell>
          <cell r="B6246">
            <v>2013</v>
          </cell>
          <cell r="C6246" t="str">
            <v>madebt_</v>
          </cell>
          <cell r="D6246">
            <v>60.124504089355469</v>
          </cell>
        </row>
        <row r="6247">
          <cell r="A6247" t="str">
            <v>PAK</v>
          </cell>
          <cell r="B6247">
            <v>2026</v>
          </cell>
          <cell r="C6247" t="str">
            <v>malabz</v>
          </cell>
          <cell r="D6247">
            <v>2.6114895343780518</v>
          </cell>
        </row>
        <row r="6248">
          <cell r="A6248" t="str">
            <v>PAK</v>
          </cell>
          <cell r="B6248">
            <v>2017</v>
          </cell>
          <cell r="C6248" t="str">
            <v>mar_agrfc</v>
          </cell>
          <cell r="D6248">
            <v>23.403057098388672</v>
          </cell>
        </row>
        <row r="6249">
          <cell r="A6249" t="str">
            <v>PAK</v>
          </cell>
          <cell r="B6249">
            <v>2018</v>
          </cell>
          <cell r="C6249" t="str">
            <v>madebt_</v>
          </cell>
          <cell r="D6249">
            <v>68.197593688964844</v>
          </cell>
        </row>
        <row r="6250">
          <cell r="A6250" t="str">
            <v>PAK</v>
          </cell>
          <cell r="B6250">
            <v>2005</v>
          </cell>
          <cell r="C6250" t="str">
            <v>madeficit_</v>
          </cell>
          <cell r="D6250">
            <v>-2.3630411624908447</v>
          </cell>
        </row>
        <row r="6251">
          <cell r="A6251" t="str">
            <v>PAK</v>
          </cell>
          <cell r="B6251">
            <v>2011</v>
          </cell>
          <cell r="C6251" t="str">
            <v>mac_tfpz</v>
          </cell>
          <cell r="D6251">
            <v>1.1341029405593872</v>
          </cell>
        </row>
        <row r="6252">
          <cell r="A6252" t="str">
            <v>PAK</v>
          </cell>
          <cell r="B6252">
            <v>2020</v>
          </cell>
          <cell r="C6252" t="str">
            <v>magovz</v>
          </cell>
          <cell r="D6252">
            <v>8.5092678070068359</v>
          </cell>
        </row>
        <row r="6253">
          <cell r="A6253" t="str">
            <v>PAK</v>
          </cell>
          <cell r="B6253">
            <v>2015</v>
          </cell>
          <cell r="C6253" t="str">
            <v>masrvfc</v>
          </cell>
          <cell r="D6253">
            <v>4.1975278854370117</v>
          </cell>
        </row>
        <row r="6254">
          <cell r="A6254" t="str">
            <v>PAK</v>
          </cell>
          <cell r="B6254">
            <v>2011</v>
          </cell>
          <cell r="C6254" t="str">
            <v>mar_srvfc</v>
          </cell>
          <cell r="D6254">
            <v>54.885002136230469</v>
          </cell>
        </row>
        <row r="6255">
          <cell r="A6255" t="str">
            <v>PAK</v>
          </cell>
          <cell r="B6255">
            <v>2006</v>
          </cell>
          <cell r="C6255" t="str">
            <v>mar_indfc</v>
          </cell>
          <cell r="D6255">
            <v>18.577922821044922</v>
          </cell>
        </row>
        <row r="6256">
          <cell r="A6256" t="str">
            <v>PAK</v>
          </cell>
          <cell r="B6256">
            <v>2009</v>
          </cell>
          <cell r="C6256" t="str">
            <v>mataxfc</v>
          </cell>
          <cell r="D6256">
            <v>107.77630615234375</v>
          </cell>
        </row>
        <row r="6257">
          <cell r="A6257" t="str">
            <v>PAK</v>
          </cell>
          <cell r="B6257">
            <v>2015</v>
          </cell>
          <cell r="C6257" t="str">
            <v>maimpz</v>
          </cell>
          <cell r="D6257">
            <v>-0.99479889869689941</v>
          </cell>
        </row>
        <row r="6258">
          <cell r="A6258" t="str">
            <v>PAK</v>
          </cell>
          <cell r="B6258">
            <v>2010</v>
          </cell>
          <cell r="C6258" t="str">
            <v>malabz</v>
          </cell>
          <cell r="D6258">
            <v>2.8564424514770508</v>
          </cell>
        </row>
        <row r="6259">
          <cell r="A6259" t="str">
            <v>PAK</v>
          </cell>
          <cell r="B6259">
            <v>2007</v>
          </cell>
          <cell r="C6259" t="str">
            <v>madeficit_</v>
          </cell>
          <cell r="D6259">
            <v>-3.1911017894744873</v>
          </cell>
        </row>
        <row r="6260">
          <cell r="A6260" t="str">
            <v>PAK</v>
          </cell>
          <cell r="B6260">
            <v>2022</v>
          </cell>
          <cell r="C6260" t="str">
            <v>mar_impz</v>
          </cell>
          <cell r="D6260">
            <v>22.804115295410156</v>
          </cell>
        </row>
        <row r="6261">
          <cell r="A6261" t="str">
            <v>PAK</v>
          </cell>
          <cell r="B6261">
            <v>2006</v>
          </cell>
          <cell r="C6261" t="str">
            <v>macpiz</v>
          </cell>
          <cell r="D6261">
            <v>7.8842577934265137</v>
          </cell>
        </row>
        <row r="6262">
          <cell r="A6262" t="str">
            <v>PAK</v>
          </cell>
          <cell r="B6262">
            <v>2013</v>
          </cell>
          <cell r="C6262" t="str">
            <v>mar_impz</v>
          </cell>
          <cell r="D6262">
            <v>15.142518043518066</v>
          </cell>
        </row>
        <row r="6263">
          <cell r="A6263" t="str">
            <v>PAK</v>
          </cell>
          <cell r="B6263">
            <v>2023</v>
          </cell>
          <cell r="C6263" t="str">
            <v>madebt_</v>
          </cell>
          <cell r="D6263">
            <v>81.387992858886719</v>
          </cell>
        </row>
        <row r="6264">
          <cell r="A6264" t="str">
            <v>PAK</v>
          </cell>
          <cell r="B6264">
            <v>2011</v>
          </cell>
          <cell r="C6264" t="str">
            <v>magap_</v>
          </cell>
          <cell r="D6264">
            <v>-3.1361029148101807</v>
          </cell>
        </row>
        <row r="6265">
          <cell r="A6265" t="str">
            <v>PAK</v>
          </cell>
          <cell r="B6265">
            <v>2006</v>
          </cell>
          <cell r="C6265" t="str">
            <v>mafdi_</v>
          </cell>
          <cell r="D6265">
            <v>-2.1317987442016602</v>
          </cell>
        </row>
        <row r="6266">
          <cell r="A6266" t="str">
            <v>PAK</v>
          </cell>
          <cell r="B6266">
            <v>2025</v>
          </cell>
          <cell r="C6266" t="str">
            <v>mar_con</v>
          </cell>
          <cell r="D6266">
            <v>90.796310424804688</v>
          </cell>
        </row>
        <row r="6267">
          <cell r="A6267" t="str">
            <v>PAK</v>
          </cell>
          <cell r="B6267">
            <v>2026</v>
          </cell>
          <cell r="C6267" t="str">
            <v>mapanusatls</v>
          </cell>
          <cell r="D6267">
            <v>375</v>
          </cell>
        </row>
        <row r="6268">
          <cell r="A6268" t="str">
            <v>PAK</v>
          </cell>
          <cell r="B6268">
            <v>2015</v>
          </cell>
          <cell r="C6268" t="str">
            <v>mar_expz</v>
          </cell>
          <cell r="D6268">
            <v>9.1779813766479492</v>
          </cell>
        </row>
        <row r="6269">
          <cell r="A6269" t="str">
            <v>PAK</v>
          </cell>
          <cell r="B6269">
            <v>2016</v>
          </cell>
          <cell r="C6269" t="str">
            <v>mar_con</v>
          </cell>
          <cell r="D6269">
            <v>80.683441162109375</v>
          </cell>
        </row>
        <row r="6270">
          <cell r="A6270" t="str">
            <v>PAK</v>
          </cell>
          <cell r="B6270">
            <v>2008</v>
          </cell>
          <cell r="C6270" t="str">
            <v>magap_</v>
          </cell>
          <cell r="D6270">
            <v>2.0480222702026367</v>
          </cell>
        </row>
        <row r="6271">
          <cell r="A6271" t="str">
            <v>PAK</v>
          </cell>
          <cell r="B6271">
            <v>2009</v>
          </cell>
          <cell r="C6271" t="str">
            <v>maexpz</v>
          </cell>
          <cell r="D6271">
            <v>-5.6152911186218262</v>
          </cell>
        </row>
        <row r="6272">
          <cell r="A6272" t="str">
            <v>PAK</v>
          </cell>
          <cell r="B6272">
            <v>2023</v>
          </cell>
          <cell r="C6272" t="str">
            <v>malabz</v>
          </cell>
          <cell r="D6272">
            <v>2.6538791656494141</v>
          </cell>
        </row>
        <row r="6273">
          <cell r="A6273" t="str">
            <v>PAK</v>
          </cell>
          <cell r="B6273">
            <v>2014</v>
          </cell>
          <cell r="C6273" t="str">
            <v>mapanusatls</v>
          </cell>
          <cell r="D6273">
            <v>103</v>
          </cell>
        </row>
        <row r="6274">
          <cell r="A6274" t="str">
            <v>PAK</v>
          </cell>
          <cell r="B6274">
            <v>2014</v>
          </cell>
          <cell r="C6274" t="str">
            <v>mafdi_</v>
          </cell>
          <cell r="D6274">
            <v>-0.57924753427505493</v>
          </cell>
        </row>
        <row r="6275">
          <cell r="A6275" t="str">
            <v>PAK</v>
          </cell>
          <cell r="B6275">
            <v>2025</v>
          </cell>
          <cell r="C6275" t="str">
            <v>magap_</v>
          </cell>
          <cell r="D6275">
            <v>-7.1791477203369141</v>
          </cell>
        </row>
        <row r="6276">
          <cell r="A6276" t="str">
            <v>PAK</v>
          </cell>
          <cell r="B6276">
            <v>2025</v>
          </cell>
          <cell r="C6276" t="str">
            <v>mar_expz</v>
          </cell>
          <cell r="D6276">
            <v>10.575348854064941</v>
          </cell>
        </row>
        <row r="6277">
          <cell r="A6277" t="str">
            <v>PAK</v>
          </cell>
          <cell r="B6277">
            <v>2015</v>
          </cell>
          <cell r="C6277" t="str">
            <v>macpiz</v>
          </cell>
          <cell r="D6277">
            <v>4.5263948440551758</v>
          </cell>
        </row>
        <row r="6278">
          <cell r="A6278" t="str">
            <v>PAK</v>
          </cell>
          <cell r="B6278">
            <v>2013</v>
          </cell>
          <cell r="C6278" t="str">
            <v>mac_labz</v>
          </cell>
          <cell r="D6278">
            <v>1.219645619392395</v>
          </cell>
        </row>
        <row r="6279">
          <cell r="A6279" t="str">
            <v>PAK</v>
          </cell>
          <cell r="B6279">
            <v>2025</v>
          </cell>
          <cell r="C6279" t="str">
            <v>mac_labz</v>
          </cell>
          <cell r="D6279">
            <v>1.8455495834350586</v>
          </cell>
        </row>
        <row r="6280">
          <cell r="A6280" t="str">
            <v>PAK</v>
          </cell>
          <cell r="B6280">
            <v>2014</v>
          </cell>
          <cell r="C6280" t="str">
            <v>masrvfc</v>
          </cell>
          <cell r="D6280">
            <v>3.8173258304595947</v>
          </cell>
        </row>
        <row r="6281">
          <cell r="A6281" t="str">
            <v>PAK</v>
          </cell>
          <cell r="B6281">
            <v>2013</v>
          </cell>
          <cell r="C6281" t="str">
            <v>maimpz</v>
          </cell>
          <cell r="D6281">
            <v>5.9230849146842957E-2</v>
          </cell>
        </row>
        <row r="6282">
          <cell r="A6282" t="str">
            <v>PAK</v>
          </cell>
          <cell r="B6282">
            <v>2011</v>
          </cell>
          <cell r="C6282" t="str">
            <v>mapanusatls</v>
          </cell>
          <cell r="D6282">
            <v>85.569999694824219</v>
          </cell>
        </row>
        <row r="6283">
          <cell r="A6283" t="str">
            <v>PAK</v>
          </cell>
          <cell r="B6283">
            <v>2007</v>
          </cell>
          <cell r="C6283" t="str">
            <v>maagrfc</v>
          </cell>
          <cell r="D6283">
            <v>3.4835498332977295</v>
          </cell>
        </row>
        <row r="6284">
          <cell r="A6284" t="str">
            <v>PAK</v>
          </cell>
          <cell r="B6284">
            <v>2023</v>
          </cell>
          <cell r="C6284" t="str">
            <v>matfpz</v>
          </cell>
          <cell r="D6284">
            <v>1.4392781257629395</v>
          </cell>
        </row>
        <row r="6285">
          <cell r="A6285" t="str">
            <v>PAK</v>
          </cell>
          <cell r="B6285">
            <v>2017</v>
          </cell>
          <cell r="C6285" t="str">
            <v>maindfc</v>
          </cell>
          <cell r="D6285">
            <v>4.607353687286377</v>
          </cell>
        </row>
        <row r="6286">
          <cell r="A6286" t="str">
            <v>PAK</v>
          </cell>
          <cell r="B6286">
            <v>2024</v>
          </cell>
          <cell r="C6286" t="str">
            <v>maconz</v>
          </cell>
          <cell r="D6286">
            <v>1.690000057220459</v>
          </cell>
        </row>
        <row r="6287">
          <cell r="A6287" t="str">
            <v>PAK</v>
          </cell>
          <cell r="B6287">
            <v>2013</v>
          </cell>
          <cell r="C6287" t="str">
            <v>maindfc</v>
          </cell>
          <cell r="D6287">
            <v>1.1553293466567993</v>
          </cell>
        </row>
        <row r="6288">
          <cell r="A6288" t="str">
            <v>PAK</v>
          </cell>
          <cell r="B6288">
            <v>2008</v>
          </cell>
          <cell r="C6288" t="str">
            <v>madeficit_</v>
          </cell>
          <cell r="D6288">
            <v>-5.9028854370117188</v>
          </cell>
        </row>
        <row r="6289">
          <cell r="A6289" t="str">
            <v>PAK</v>
          </cell>
          <cell r="B6289">
            <v>2008</v>
          </cell>
          <cell r="C6289" t="str">
            <v>mac_labz</v>
          </cell>
          <cell r="D6289">
            <v>1.9801157712936401</v>
          </cell>
        </row>
        <row r="6290">
          <cell r="A6290" t="str">
            <v>PAK</v>
          </cell>
          <cell r="B6290">
            <v>2005</v>
          </cell>
          <cell r="C6290" t="str">
            <v>maindfc</v>
          </cell>
          <cell r="D6290">
            <v>9.0223493576049805</v>
          </cell>
        </row>
        <row r="6291">
          <cell r="A6291" t="str">
            <v>PAK</v>
          </cell>
          <cell r="B6291">
            <v>2012</v>
          </cell>
          <cell r="C6291" t="str">
            <v>madeficit_</v>
          </cell>
          <cell r="D6291">
            <v>-5.9736027717590332</v>
          </cell>
        </row>
        <row r="6292">
          <cell r="A6292" t="str">
            <v>PAK</v>
          </cell>
          <cell r="B6292">
            <v>2011</v>
          </cell>
          <cell r="C6292" t="str">
            <v>mac_labz</v>
          </cell>
          <cell r="D6292">
            <v>1.8231662511825562</v>
          </cell>
        </row>
        <row r="6293">
          <cell r="A6293" t="str">
            <v>PAK</v>
          </cell>
          <cell r="B6293">
            <v>2022</v>
          </cell>
          <cell r="C6293" t="str">
            <v>macab_</v>
          </cell>
          <cell r="D6293">
            <v>-4.6642374992370605</v>
          </cell>
        </row>
        <row r="6294">
          <cell r="A6294" t="str">
            <v>PAK</v>
          </cell>
          <cell r="B6294">
            <v>2025</v>
          </cell>
          <cell r="C6294" t="str">
            <v>mafdi_</v>
          </cell>
          <cell r="D6294">
            <v>-0.31481000781059265</v>
          </cell>
        </row>
        <row r="6295">
          <cell r="A6295" t="str">
            <v>PAK</v>
          </cell>
          <cell r="B6295">
            <v>2024</v>
          </cell>
          <cell r="C6295" t="str">
            <v>mar_impz</v>
          </cell>
          <cell r="D6295">
            <v>22.415943145751953</v>
          </cell>
        </row>
        <row r="6296">
          <cell r="A6296" t="str">
            <v>PAK</v>
          </cell>
          <cell r="B6296">
            <v>2026</v>
          </cell>
          <cell r="C6296" t="str">
            <v>mar_expz</v>
          </cell>
          <cell r="D6296">
            <v>10.669596672058105</v>
          </cell>
        </row>
        <row r="6297">
          <cell r="A6297" t="str">
            <v>PAK</v>
          </cell>
          <cell r="B6297">
            <v>2007</v>
          </cell>
          <cell r="C6297" t="str">
            <v>maexpz</v>
          </cell>
          <cell r="D6297">
            <v>3.0603873729705811</v>
          </cell>
        </row>
        <row r="6298">
          <cell r="A6298" t="str">
            <v>PAK</v>
          </cell>
          <cell r="B6298">
            <v>2008</v>
          </cell>
          <cell r="C6298" t="str">
            <v>malabz</v>
          </cell>
          <cell r="D6298">
            <v>2.8287367820739746</v>
          </cell>
        </row>
        <row r="6299">
          <cell r="A6299" t="str">
            <v>PAK</v>
          </cell>
          <cell r="B6299">
            <v>2006</v>
          </cell>
          <cell r="C6299" t="str">
            <v>madeficit_</v>
          </cell>
          <cell r="D6299">
            <v>-2.9745163917541504</v>
          </cell>
        </row>
        <row r="6300">
          <cell r="A6300" t="str">
            <v>PAK</v>
          </cell>
          <cell r="B6300">
            <v>2020</v>
          </cell>
          <cell r="C6300" t="str">
            <v>macab_</v>
          </cell>
          <cell r="D6300">
            <v>-1.4789007902145386</v>
          </cell>
        </row>
        <row r="6301">
          <cell r="A6301" t="str">
            <v>PAK</v>
          </cell>
          <cell r="B6301">
            <v>2015</v>
          </cell>
          <cell r="C6301" t="str">
            <v>maconz</v>
          </cell>
          <cell r="D6301">
            <v>3.0377147197723389</v>
          </cell>
        </row>
        <row r="6302">
          <cell r="A6302" t="str">
            <v>PAK</v>
          </cell>
          <cell r="B6302">
            <v>2012</v>
          </cell>
          <cell r="C6302" t="str">
            <v>maagrfc</v>
          </cell>
          <cell r="D6302">
            <v>3.2310233116149902</v>
          </cell>
        </row>
        <row r="6303">
          <cell r="A6303" t="str">
            <v>PAK</v>
          </cell>
          <cell r="B6303">
            <v>2011</v>
          </cell>
          <cell r="C6303" t="str">
            <v>macab_</v>
          </cell>
          <cell r="D6303">
            <v>9.2808030545711517E-2</v>
          </cell>
        </row>
        <row r="6304">
          <cell r="A6304" t="str">
            <v>PAK</v>
          </cell>
          <cell r="B6304">
            <v>2010</v>
          </cell>
          <cell r="C6304" t="str">
            <v>magdpz</v>
          </cell>
          <cell r="D6304">
            <v>1.5017175674438477</v>
          </cell>
        </row>
        <row r="6305">
          <cell r="A6305" t="str">
            <v>PAK</v>
          </cell>
          <cell r="B6305">
            <v>2009</v>
          </cell>
          <cell r="C6305" t="str">
            <v>mainvz</v>
          </cell>
          <cell r="D6305">
            <v>-4.1355304718017578</v>
          </cell>
        </row>
        <row r="6306">
          <cell r="A6306" t="str">
            <v>PAK</v>
          </cell>
          <cell r="B6306">
            <v>2009</v>
          </cell>
          <cell r="C6306" t="str">
            <v>mar_impz</v>
          </cell>
          <cell r="D6306">
            <v>18.744358062744141</v>
          </cell>
        </row>
        <row r="6307">
          <cell r="A6307" t="str">
            <v>PAK</v>
          </cell>
          <cell r="B6307">
            <v>2015</v>
          </cell>
          <cell r="C6307" t="str">
            <v>mar_indfc</v>
          </cell>
          <cell r="D6307">
            <v>19.112100601196289</v>
          </cell>
        </row>
        <row r="6308">
          <cell r="A6308" t="str">
            <v>PAK</v>
          </cell>
          <cell r="B6308">
            <v>2018</v>
          </cell>
          <cell r="C6308" t="str">
            <v>mar_agrfc</v>
          </cell>
          <cell r="D6308">
            <v>22.913522720336914</v>
          </cell>
        </row>
        <row r="6309">
          <cell r="A6309" t="str">
            <v>PAK</v>
          </cell>
          <cell r="B6309">
            <v>2025</v>
          </cell>
          <cell r="C6309" t="str">
            <v>macab_</v>
          </cell>
          <cell r="D6309">
            <v>-0.65180373191833496</v>
          </cell>
        </row>
        <row r="6310">
          <cell r="A6310" t="str">
            <v>PAK</v>
          </cell>
          <cell r="B6310">
            <v>2011</v>
          </cell>
          <cell r="C6310" t="str">
            <v>mataxfc</v>
          </cell>
          <cell r="D6310">
            <v>-10.533903121948242</v>
          </cell>
        </row>
        <row r="6311">
          <cell r="A6311" t="str">
            <v>PAK</v>
          </cell>
          <cell r="B6311">
            <v>2012</v>
          </cell>
          <cell r="C6311" t="str">
            <v>mataxfc</v>
          </cell>
          <cell r="D6311">
            <v>-1.8778910636901855</v>
          </cell>
        </row>
        <row r="6312">
          <cell r="A6312" t="str">
            <v>PAK</v>
          </cell>
          <cell r="B6312">
            <v>2022</v>
          </cell>
          <cell r="C6312" t="str">
            <v>mataxfc</v>
          </cell>
          <cell r="D6312">
            <v>-15.579201698303223</v>
          </cell>
        </row>
        <row r="6313">
          <cell r="A6313" t="str">
            <v>PAK</v>
          </cell>
          <cell r="B6313">
            <v>2011</v>
          </cell>
          <cell r="C6313" t="str">
            <v>maindfc</v>
          </cell>
          <cell r="D6313">
            <v>4.8748111724853516</v>
          </cell>
        </row>
        <row r="6314">
          <cell r="A6314" t="str">
            <v>PAK</v>
          </cell>
          <cell r="B6314">
            <v>2008</v>
          </cell>
          <cell r="C6314" t="str">
            <v>mac_tfpz</v>
          </cell>
          <cell r="D6314">
            <v>1.0693857669830322</v>
          </cell>
        </row>
        <row r="6315">
          <cell r="A6315" t="str">
            <v>PAK</v>
          </cell>
          <cell r="B6315">
            <v>2023</v>
          </cell>
          <cell r="C6315" t="str">
            <v>mac_tfpz</v>
          </cell>
          <cell r="D6315">
            <v>1.4392781257629395</v>
          </cell>
        </row>
        <row r="6316">
          <cell r="A6316" t="str">
            <v>PAK</v>
          </cell>
          <cell r="B6316">
            <v>2006</v>
          </cell>
          <cell r="C6316" t="str">
            <v>mataxfc</v>
          </cell>
          <cell r="D6316">
            <v>13.931563377380371</v>
          </cell>
        </row>
        <row r="6317">
          <cell r="A6317" t="str">
            <v>PAK</v>
          </cell>
          <cell r="B6317">
            <v>2019</v>
          </cell>
          <cell r="C6317" t="str">
            <v>maconz</v>
          </cell>
          <cell r="D6317">
            <v>5.570648193359375</v>
          </cell>
        </row>
        <row r="6318">
          <cell r="A6318" t="str">
            <v>PAK</v>
          </cell>
          <cell r="B6318">
            <v>2013</v>
          </cell>
          <cell r="C6318" t="str">
            <v>mar_expz</v>
          </cell>
          <cell r="D6318">
            <v>10.619052886962891</v>
          </cell>
        </row>
        <row r="6319">
          <cell r="A6319" t="str">
            <v>PAK</v>
          </cell>
          <cell r="B6319">
            <v>2005</v>
          </cell>
          <cell r="C6319" t="str">
            <v>madebt_</v>
          </cell>
          <cell r="D6319">
            <v>47.911422729492188</v>
          </cell>
        </row>
        <row r="6320">
          <cell r="A6320" t="str">
            <v>PAK</v>
          </cell>
          <cell r="B6320">
            <v>2012</v>
          </cell>
          <cell r="C6320" t="str">
            <v>mar_taxfc</v>
          </cell>
          <cell r="D6320">
            <v>3.2704982757568359</v>
          </cell>
        </row>
        <row r="6321">
          <cell r="A6321" t="str">
            <v>PAK</v>
          </cell>
          <cell r="B6321">
            <v>2005</v>
          </cell>
          <cell r="C6321" t="str">
            <v>magap_</v>
          </cell>
          <cell r="D6321">
            <v>3.9635963439941406</v>
          </cell>
        </row>
        <row r="6322">
          <cell r="A6322" t="str">
            <v>PAK</v>
          </cell>
          <cell r="B6322">
            <v>2022</v>
          </cell>
          <cell r="C6322" t="str">
            <v>mac_tfpz</v>
          </cell>
          <cell r="D6322">
            <v>1.4812303781509399</v>
          </cell>
        </row>
        <row r="6323">
          <cell r="A6323" t="str">
            <v>PAK</v>
          </cell>
          <cell r="B6323">
            <v>2010</v>
          </cell>
          <cell r="C6323" t="str">
            <v>masrvfc</v>
          </cell>
          <cell r="D6323">
            <v>2.6274027824401855</v>
          </cell>
        </row>
        <row r="6324">
          <cell r="A6324" t="str">
            <v>PAK</v>
          </cell>
          <cell r="B6324">
            <v>2016</v>
          </cell>
          <cell r="C6324" t="str">
            <v>mataxfc</v>
          </cell>
          <cell r="D6324">
            <v>59.275745391845703</v>
          </cell>
        </row>
        <row r="6325">
          <cell r="A6325" t="str">
            <v>PAK</v>
          </cell>
          <cell r="B6325">
            <v>2009</v>
          </cell>
          <cell r="C6325" t="str">
            <v>magovz</v>
          </cell>
          <cell r="D6325">
            <v>12.5166015625</v>
          </cell>
        </row>
        <row r="6326">
          <cell r="A6326" t="str">
            <v>PAK</v>
          </cell>
          <cell r="B6326">
            <v>2011</v>
          </cell>
          <cell r="C6326" t="str">
            <v>mar_expz</v>
          </cell>
          <cell r="D6326">
            <v>12.013728141784668</v>
          </cell>
        </row>
        <row r="6327">
          <cell r="A6327" t="str">
            <v>PAK</v>
          </cell>
          <cell r="B6327">
            <v>2023</v>
          </cell>
          <cell r="C6327" t="str">
            <v>maconz</v>
          </cell>
          <cell r="D6327">
            <v>2.3940420150756836</v>
          </cell>
        </row>
        <row r="6328">
          <cell r="A6328" t="str">
            <v>PAK</v>
          </cell>
          <cell r="B6328">
            <v>2014</v>
          </cell>
          <cell r="C6328" t="str">
            <v>madebt_</v>
          </cell>
          <cell r="D6328">
            <v>59.767066955566406</v>
          </cell>
        </row>
        <row r="6329">
          <cell r="A6329" t="str">
            <v>PAK</v>
          </cell>
          <cell r="B6329">
            <v>2010</v>
          </cell>
          <cell r="C6329" t="str">
            <v>mataxfc</v>
          </cell>
          <cell r="D6329">
            <v>-14.559843063354492</v>
          </cell>
        </row>
        <row r="6330">
          <cell r="A6330" t="str">
            <v>PAK</v>
          </cell>
          <cell r="B6330">
            <v>2026</v>
          </cell>
          <cell r="C6330" t="str">
            <v>maindfc</v>
          </cell>
          <cell r="D6330">
            <v>2.3583800792694092</v>
          </cell>
        </row>
        <row r="6331">
          <cell r="A6331" t="str">
            <v>PAK</v>
          </cell>
          <cell r="B6331">
            <v>2015</v>
          </cell>
          <cell r="C6331" t="str">
            <v>mataxfc</v>
          </cell>
          <cell r="D6331">
            <v>13.58238697052002</v>
          </cell>
        </row>
        <row r="6332">
          <cell r="A6332" t="str">
            <v>PAK</v>
          </cell>
          <cell r="B6332">
            <v>2023</v>
          </cell>
          <cell r="C6332" t="str">
            <v>magovz</v>
          </cell>
          <cell r="D6332">
            <v>-4.8811702728271484</v>
          </cell>
        </row>
        <row r="6333">
          <cell r="A6333" t="str">
            <v>PAK</v>
          </cell>
          <cell r="B6333">
            <v>2016</v>
          </cell>
          <cell r="C6333" t="str">
            <v>mar_indfc</v>
          </cell>
          <cell r="D6333">
            <v>19.468975067138672</v>
          </cell>
        </row>
        <row r="6334">
          <cell r="A6334" t="str">
            <v>PAK</v>
          </cell>
          <cell r="B6334">
            <v>2008</v>
          </cell>
          <cell r="C6334" t="str">
            <v>mareer</v>
          </cell>
          <cell r="D6334">
            <v>88.15008544921875</v>
          </cell>
        </row>
        <row r="6335">
          <cell r="A6335" t="str">
            <v>PAK</v>
          </cell>
          <cell r="B6335">
            <v>2026</v>
          </cell>
          <cell r="C6335" t="str">
            <v>mar_agrfc</v>
          </cell>
          <cell r="D6335">
            <v>23.431621551513672</v>
          </cell>
        </row>
        <row r="6336">
          <cell r="A6336" t="str">
            <v>PAK</v>
          </cell>
          <cell r="B6336">
            <v>2017</v>
          </cell>
          <cell r="C6336" t="str">
            <v>mataxfc</v>
          </cell>
          <cell r="D6336">
            <v>2.0108315944671631</v>
          </cell>
        </row>
        <row r="6337">
          <cell r="A6337" t="str">
            <v>PAK</v>
          </cell>
          <cell r="B6337">
            <v>2013</v>
          </cell>
          <cell r="C6337" t="str">
            <v>mar_taxfc</v>
          </cell>
          <cell r="D6337">
            <v>3.7781486511230469</v>
          </cell>
        </row>
        <row r="6338">
          <cell r="A6338" t="str">
            <v>PAK</v>
          </cell>
          <cell r="B6338">
            <v>2017</v>
          </cell>
          <cell r="C6338" t="str">
            <v>magap_</v>
          </cell>
          <cell r="D6338">
            <v>1.4401828050613403</v>
          </cell>
        </row>
        <row r="6339">
          <cell r="A6339" t="str">
            <v>PAK</v>
          </cell>
          <cell r="B6339">
            <v>2007</v>
          </cell>
          <cell r="C6339" t="str">
            <v>mareer</v>
          </cell>
          <cell r="D6339">
            <v>85.409782409667969</v>
          </cell>
        </row>
        <row r="6340">
          <cell r="A6340" t="str">
            <v>PAK</v>
          </cell>
          <cell r="B6340">
            <v>2008</v>
          </cell>
          <cell r="C6340" t="str">
            <v>mar_impz</v>
          </cell>
          <cell r="D6340">
            <v>22.393863677978516</v>
          </cell>
        </row>
        <row r="6341">
          <cell r="A6341" t="str">
            <v>PAK</v>
          </cell>
          <cell r="B6341">
            <v>2007</v>
          </cell>
          <cell r="C6341" t="str">
            <v>mainvz</v>
          </cell>
          <cell r="D6341">
            <v>3.3886525630950928</v>
          </cell>
        </row>
        <row r="6342">
          <cell r="A6342" t="str">
            <v>PAK</v>
          </cell>
          <cell r="B6342">
            <v>2019</v>
          </cell>
          <cell r="C6342" t="str">
            <v>mac_tfpz</v>
          </cell>
          <cell r="D6342">
            <v>1.6664537191390991</v>
          </cell>
        </row>
        <row r="6343">
          <cell r="A6343" t="str">
            <v>PAK</v>
          </cell>
          <cell r="B6343">
            <v>2016</v>
          </cell>
          <cell r="C6343" t="str">
            <v>mac_labz</v>
          </cell>
          <cell r="D6343">
            <v>0.9844849705696106</v>
          </cell>
        </row>
        <row r="6344">
          <cell r="A6344" t="str">
            <v>PAK</v>
          </cell>
          <cell r="B6344">
            <v>2013</v>
          </cell>
          <cell r="C6344" t="str">
            <v>madeficit_</v>
          </cell>
          <cell r="D6344">
            <v>-7.2068915367126465</v>
          </cell>
        </row>
        <row r="6345">
          <cell r="A6345" t="str">
            <v>PAK</v>
          </cell>
          <cell r="B6345">
            <v>2018</v>
          </cell>
          <cell r="C6345" t="str">
            <v>mareer</v>
          </cell>
          <cell r="D6345">
            <v>96.782936096191406</v>
          </cell>
        </row>
        <row r="6346">
          <cell r="A6346" t="str">
            <v>PAK</v>
          </cell>
          <cell r="B6346">
            <v>2012</v>
          </cell>
          <cell r="C6346" t="str">
            <v>mar_srvfc</v>
          </cell>
          <cell r="D6346">
            <v>55.038276672363281</v>
          </cell>
        </row>
        <row r="6347">
          <cell r="A6347" t="str">
            <v>PAK</v>
          </cell>
          <cell r="B6347">
            <v>2015</v>
          </cell>
          <cell r="C6347" t="str">
            <v>maagrfc</v>
          </cell>
          <cell r="D6347">
            <v>1.7820504903793335</v>
          </cell>
        </row>
        <row r="6348">
          <cell r="A6348" t="str">
            <v>PAK</v>
          </cell>
          <cell r="B6348">
            <v>2018</v>
          </cell>
          <cell r="C6348" t="str">
            <v>magovz</v>
          </cell>
          <cell r="D6348">
            <v>5.4868884086608887</v>
          </cell>
        </row>
        <row r="6349">
          <cell r="A6349" t="str">
            <v>PAK</v>
          </cell>
          <cell r="B6349">
            <v>2017</v>
          </cell>
          <cell r="C6349" t="str">
            <v>masrvfc</v>
          </cell>
          <cell r="D6349">
            <v>5.6217169761657715</v>
          </cell>
        </row>
        <row r="6350">
          <cell r="A6350" t="str">
            <v>PAK</v>
          </cell>
          <cell r="B6350">
            <v>2006</v>
          </cell>
          <cell r="C6350" t="str">
            <v>maexpz</v>
          </cell>
          <cell r="D6350">
            <v>11.11061954498291</v>
          </cell>
        </row>
        <row r="6351">
          <cell r="A6351" t="str">
            <v>PAK</v>
          </cell>
          <cell r="B6351">
            <v>2021</v>
          </cell>
          <cell r="C6351" t="str">
            <v>mafdi_</v>
          </cell>
          <cell r="D6351">
            <v>-0.47229725122451782</v>
          </cell>
        </row>
        <row r="6352">
          <cell r="A6352" t="str">
            <v>PAK</v>
          </cell>
          <cell r="B6352">
            <v>2019</v>
          </cell>
          <cell r="C6352" t="str">
            <v>maindfc</v>
          </cell>
          <cell r="D6352">
            <v>0.24780862033367157</v>
          </cell>
        </row>
        <row r="6353">
          <cell r="A6353" t="str">
            <v>PAK</v>
          </cell>
          <cell r="B6353">
            <v>2006</v>
          </cell>
          <cell r="C6353" t="str">
            <v>mar_taxfc</v>
          </cell>
          <cell r="D6353">
            <v>5.305854320526123</v>
          </cell>
        </row>
        <row r="6354">
          <cell r="A6354" t="str">
            <v>PAK</v>
          </cell>
          <cell r="B6354">
            <v>2022</v>
          </cell>
          <cell r="C6354" t="str">
            <v>mafdi_</v>
          </cell>
          <cell r="D6354">
            <v>-0.45412343740463257</v>
          </cell>
        </row>
        <row r="6355">
          <cell r="A6355" t="str">
            <v>PAK</v>
          </cell>
          <cell r="B6355">
            <v>2008</v>
          </cell>
          <cell r="C6355" t="str">
            <v>mar_agrfc</v>
          </cell>
          <cell r="D6355">
            <v>25.797727584838867</v>
          </cell>
        </row>
        <row r="6356">
          <cell r="A6356" t="str">
            <v>PAK</v>
          </cell>
          <cell r="B6356">
            <v>2011</v>
          </cell>
          <cell r="C6356" t="str">
            <v>mar_indfc</v>
          </cell>
          <cell r="D6356">
            <v>19.344717025756836</v>
          </cell>
        </row>
        <row r="6357">
          <cell r="A6357" t="str">
            <v>PAK</v>
          </cell>
          <cell r="B6357">
            <v>2017</v>
          </cell>
          <cell r="C6357" t="str">
            <v>madeficit_</v>
          </cell>
          <cell r="D6357">
            <v>-5.1712327003479004</v>
          </cell>
        </row>
        <row r="6358">
          <cell r="A6358" t="str">
            <v>PAK</v>
          </cell>
          <cell r="B6358">
            <v>2019</v>
          </cell>
          <cell r="C6358" t="str">
            <v>malabz</v>
          </cell>
          <cell r="D6358">
            <v>2.0752625465393066</v>
          </cell>
        </row>
        <row r="6359">
          <cell r="A6359" t="str">
            <v>PAK</v>
          </cell>
          <cell r="B6359">
            <v>2011</v>
          </cell>
          <cell r="C6359" t="str">
            <v>mar_taxfc</v>
          </cell>
          <cell r="D6359">
            <v>3.4396259784698486</v>
          </cell>
        </row>
        <row r="6360">
          <cell r="A6360" t="str">
            <v>PAK</v>
          </cell>
          <cell r="B6360">
            <v>2013</v>
          </cell>
          <cell r="C6360" t="str">
            <v>maexpz</v>
          </cell>
          <cell r="D6360">
            <v>9.1526594161987305</v>
          </cell>
        </row>
        <row r="6361">
          <cell r="A6361" t="str">
            <v>PAK</v>
          </cell>
          <cell r="B6361">
            <v>2022</v>
          </cell>
          <cell r="C6361" t="str">
            <v>mar_expz</v>
          </cell>
          <cell r="D6361">
            <v>10.202983856201172</v>
          </cell>
        </row>
        <row r="6362">
          <cell r="A6362" t="str">
            <v>PAK</v>
          </cell>
          <cell r="B6362">
            <v>2014</v>
          </cell>
          <cell r="C6362" t="str">
            <v>mar_expz</v>
          </cell>
          <cell r="D6362">
            <v>9.9459695816040039</v>
          </cell>
        </row>
        <row r="6363">
          <cell r="A6363" t="str">
            <v>PAK</v>
          </cell>
          <cell r="B6363">
            <v>2009</v>
          </cell>
          <cell r="C6363" t="str">
            <v>mar_indfc</v>
          </cell>
          <cell r="D6363">
            <v>18.727514266967773</v>
          </cell>
        </row>
        <row r="6364">
          <cell r="A6364" t="str">
            <v>PAK</v>
          </cell>
          <cell r="B6364">
            <v>2020</v>
          </cell>
          <cell r="C6364" t="str">
            <v>mar_taxfc</v>
          </cell>
          <cell r="D6364">
            <v>6.1401729583740234</v>
          </cell>
        </row>
        <row r="6365">
          <cell r="A6365" t="str">
            <v>PAK</v>
          </cell>
          <cell r="B6365">
            <v>2024</v>
          </cell>
          <cell r="C6365" t="str">
            <v>mafdi_</v>
          </cell>
          <cell r="D6365">
            <v>-0.33098000288009644</v>
          </cell>
        </row>
        <row r="6366">
          <cell r="A6366" t="str">
            <v>PAK</v>
          </cell>
          <cell r="B6366">
            <v>2023</v>
          </cell>
          <cell r="C6366" t="str">
            <v>mar_impz</v>
          </cell>
          <cell r="D6366">
            <v>22.735311508178711</v>
          </cell>
        </row>
        <row r="6367">
          <cell r="A6367" t="str">
            <v>PAK</v>
          </cell>
          <cell r="B6367">
            <v>2005</v>
          </cell>
          <cell r="C6367" t="str">
            <v>macpiz</v>
          </cell>
          <cell r="D6367">
            <v>9.2834348678588867</v>
          </cell>
        </row>
        <row r="6368">
          <cell r="A6368" t="str">
            <v>PAK</v>
          </cell>
          <cell r="B6368">
            <v>2008</v>
          </cell>
          <cell r="C6368" t="str">
            <v>mataxfc</v>
          </cell>
          <cell r="D6368">
            <v>-47.989082336425781</v>
          </cell>
        </row>
        <row r="6369">
          <cell r="A6369" t="str">
            <v>PAK</v>
          </cell>
          <cell r="B6369">
            <v>2010</v>
          </cell>
          <cell r="C6369" t="str">
            <v>mar_indfc</v>
          </cell>
          <cell r="D6369">
            <v>19.036605834960938</v>
          </cell>
        </row>
        <row r="6370">
          <cell r="A6370" t="str">
            <v>PAK</v>
          </cell>
          <cell r="B6370">
            <v>2016</v>
          </cell>
          <cell r="C6370" t="str">
            <v>macab_</v>
          </cell>
          <cell r="D6370">
            <v>-1.5817569494247437</v>
          </cell>
        </row>
        <row r="6371">
          <cell r="A6371" t="str">
            <v>PAK</v>
          </cell>
          <cell r="B6371">
            <v>2012</v>
          </cell>
          <cell r="C6371" t="str">
            <v>mar_con</v>
          </cell>
          <cell r="D6371">
            <v>80.5509033203125</v>
          </cell>
        </row>
        <row r="6372">
          <cell r="A6372" t="str">
            <v>PAK</v>
          </cell>
          <cell r="B6372">
            <v>2020</v>
          </cell>
          <cell r="C6372" t="str">
            <v>mareer</v>
          </cell>
          <cell r="D6372">
            <v>79.662498474121094</v>
          </cell>
        </row>
        <row r="6373">
          <cell r="A6373" t="str">
            <v>PAK</v>
          </cell>
          <cell r="B6373">
            <v>2006</v>
          </cell>
          <cell r="C6373" t="str">
            <v>magdpz</v>
          </cell>
          <cell r="D6373">
            <v>6.0516376495361328</v>
          </cell>
        </row>
        <row r="6374">
          <cell r="A6374" t="str">
            <v>PAK</v>
          </cell>
          <cell r="B6374">
            <v>2012</v>
          </cell>
          <cell r="C6374" t="str">
            <v>mac_labz</v>
          </cell>
          <cell r="D6374">
            <v>1.4843043088912964</v>
          </cell>
        </row>
        <row r="6375">
          <cell r="A6375" t="str">
            <v>PAK</v>
          </cell>
          <cell r="B6375">
            <v>2019</v>
          </cell>
          <cell r="C6375" t="str">
            <v>mar_taxfc</v>
          </cell>
          <cell r="D6375">
            <v>6.4957623481750488</v>
          </cell>
        </row>
        <row r="6376">
          <cell r="A6376" t="str">
            <v>PAK</v>
          </cell>
          <cell r="B6376">
            <v>2024</v>
          </cell>
          <cell r="C6376" t="str">
            <v>maindfc</v>
          </cell>
          <cell r="D6376">
            <v>1.7660000324249268</v>
          </cell>
        </row>
        <row r="6377">
          <cell r="A6377" t="str">
            <v>PAK</v>
          </cell>
          <cell r="B6377">
            <v>2006</v>
          </cell>
          <cell r="C6377" t="str">
            <v>malabz</v>
          </cell>
          <cell r="D6377">
            <v>2.8071815967559814</v>
          </cell>
        </row>
        <row r="6378">
          <cell r="A6378" t="str">
            <v>PAK</v>
          </cell>
          <cell r="B6378">
            <v>2008</v>
          </cell>
          <cell r="C6378" t="str">
            <v>mar_indfc</v>
          </cell>
          <cell r="D6378">
            <v>19.745199203491211</v>
          </cell>
        </row>
        <row r="6379">
          <cell r="A6379" t="str">
            <v>PAK</v>
          </cell>
          <cell r="B6379">
            <v>2010</v>
          </cell>
          <cell r="C6379" t="str">
            <v>madeficit_</v>
          </cell>
          <cell r="D6379">
            <v>-5.3225431442260742</v>
          </cell>
        </row>
        <row r="6380">
          <cell r="A6380" t="str">
            <v>PAK</v>
          </cell>
          <cell r="B6380">
            <v>2022</v>
          </cell>
          <cell r="C6380" t="str">
            <v>mainvz</v>
          </cell>
          <cell r="D6380">
            <v>3.2702910900115967</v>
          </cell>
        </row>
        <row r="6381">
          <cell r="A6381" t="str">
            <v>PAK</v>
          </cell>
          <cell r="B6381">
            <v>2025</v>
          </cell>
          <cell r="C6381" t="str">
            <v>magdpz</v>
          </cell>
          <cell r="D6381">
            <v>2.337050199508667</v>
          </cell>
        </row>
        <row r="6382">
          <cell r="A6382" t="str">
            <v>PAK</v>
          </cell>
          <cell r="B6382">
            <v>2013</v>
          </cell>
          <cell r="C6382" t="str">
            <v>mar_con</v>
          </cell>
          <cell r="D6382">
            <v>79.46087646484375</v>
          </cell>
        </row>
        <row r="6383">
          <cell r="A6383" t="str">
            <v>PAK</v>
          </cell>
          <cell r="B6383">
            <v>2010</v>
          </cell>
          <cell r="C6383" t="str">
            <v>mar_con</v>
          </cell>
          <cell r="D6383">
            <v>78.811019897460938</v>
          </cell>
        </row>
        <row r="6384">
          <cell r="A6384" t="str">
            <v>PAK</v>
          </cell>
          <cell r="B6384">
            <v>2022</v>
          </cell>
          <cell r="C6384" t="str">
            <v>mareer</v>
          </cell>
          <cell r="D6384">
            <v>84.292007446289063</v>
          </cell>
        </row>
        <row r="6385">
          <cell r="A6385" t="str">
            <v>PAK</v>
          </cell>
          <cell r="B6385">
            <v>2023</v>
          </cell>
          <cell r="C6385" t="str">
            <v>mareer</v>
          </cell>
          <cell r="D6385">
            <v>70.615020751953125</v>
          </cell>
        </row>
        <row r="6386">
          <cell r="A6386" t="str">
            <v>BGD</v>
          </cell>
          <cell r="B6386">
            <v>1980</v>
          </cell>
          <cell r="C6386" t="str">
            <v>mfgdppckn</v>
          </cell>
          <cell r="D6386">
            <v>44475.508570167003</v>
          </cell>
        </row>
        <row r="6387">
          <cell r="A6387" t="str">
            <v>BGD</v>
          </cell>
          <cell r="B6387">
            <v>1980</v>
          </cell>
          <cell r="C6387" t="str">
            <v>mfnvagrtotlkn</v>
          </cell>
          <cell r="D6387">
            <v>963151.80270263297</v>
          </cell>
        </row>
        <row r="6388">
          <cell r="A6388" t="str">
            <v>BGD</v>
          </cell>
          <cell r="B6388">
            <v>1980</v>
          </cell>
          <cell r="C6388" t="str">
            <v>mfnvindconskn</v>
          </cell>
          <cell r="D6388">
            <v>117248.02697504044</v>
          </cell>
        </row>
        <row r="6389">
          <cell r="A6389" t="str">
            <v>BGD</v>
          </cell>
          <cell r="B6389">
            <v>1980</v>
          </cell>
          <cell r="C6389" t="str">
            <v>mfnvindrestkn</v>
          </cell>
          <cell r="D6389">
            <v>396430.23481798091</v>
          </cell>
        </row>
        <row r="6390">
          <cell r="A6390" t="str">
            <v>BGD</v>
          </cell>
          <cell r="B6390">
            <v>1980</v>
          </cell>
          <cell r="C6390" t="str">
            <v>mfnvsrvfinakn</v>
          </cell>
          <cell r="D6390">
            <v>59579.74631424142</v>
          </cell>
        </row>
        <row r="6391">
          <cell r="A6391" t="str">
            <v>BGD</v>
          </cell>
          <cell r="B6391">
            <v>1980</v>
          </cell>
          <cell r="C6391" t="str">
            <v>mfnvsrvrestkn</v>
          </cell>
          <cell r="D6391">
            <v>1667480.2077807069</v>
          </cell>
        </row>
        <row r="6392">
          <cell r="A6392" t="str">
            <v>BGD</v>
          </cell>
          <cell r="B6392">
            <v>1980</v>
          </cell>
          <cell r="C6392" t="str">
            <v>mfnvsrvtrnskn</v>
          </cell>
          <cell r="D6392">
            <v>281202.74608135561</v>
          </cell>
        </row>
        <row r="6393">
          <cell r="A6393" t="str">
            <v>BGD</v>
          </cell>
          <cell r="B6393">
            <v>1980</v>
          </cell>
          <cell r="C6393" t="str">
            <v>mfnygdpmktpkn</v>
          </cell>
          <cell r="D6393">
            <v>3541985.0270195296</v>
          </cell>
        </row>
        <row r="6394">
          <cell r="A6394" t="str">
            <v>BGD</v>
          </cell>
          <cell r="B6394">
            <v>1980</v>
          </cell>
          <cell r="C6394" t="str">
            <v>mfpop_totl</v>
          </cell>
          <cell r="D6394">
            <v>79639000</v>
          </cell>
        </row>
        <row r="6395">
          <cell r="A6395" t="str">
            <v>BGD</v>
          </cell>
          <cell r="B6395">
            <v>1981</v>
          </cell>
          <cell r="C6395" t="str">
            <v>mfgdppckn</v>
          </cell>
          <cell r="D6395">
            <v>46451.05411763701</v>
          </cell>
        </row>
        <row r="6396">
          <cell r="A6396" t="str">
            <v>BGD</v>
          </cell>
          <cell r="B6396">
            <v>1981</v>
          </cell>
          <cell r="C6396" t="str">
            <v>mfnvagrtotlkn</v>
          </cell>
          <cell r="D6396">
            <v>994973.22747866716</v>
          </cell>
        </row>
        <row r="6397">
          <cell r="A6397" t="str">
            <v>BGD</v>
          </cell>
          <cell r="B6397">
            <v>1981</v>
          </cell>
          <cell r="C6397" t="str">
            <v>mfnvindconskn</v>
          </cell>
          <cell r="D6397">
            <v>124623.84396393376</v>
          </cell>
        </row>
        <row r="6398">
          <cell r="A6398" t="str">
            <v>BGD</v>
          </cell>
          <cell r="B6398">
            <v>1981</v>
          </cell>
          <cell r="C6398" t="str">
            <v>mfnvindrestkn</v>
          </cell>
          <cell r="D6398">
            <v>414785.88531469717</v>
          </cell>
        </row>
        <row r="6399">
          <cell r="A6399" t="str">
            <v>BGD</v>
          </cell>
          <cell r="B6399">
            <v>1981</v>
          </cell>
          <cell r="C6399" t="str">
            <v>mfnvsrvfinakn</v>
          </cell>
          <cell r="D6399">
            <v>62936.877226282282</v>
          </cell>
        </row>
        <row r="6400">
          <cell r="A6400" t="str">
            <v>BGD</v>
          </cell>
          <cell r="B6400">
            <v>1981</v>
          </cell>
          <cell r="C6400" t="str">
            <v>mfnvsrvrestkn</v>
          </cell>
          <cell r="D6400">
            <v>1718281.2449152498</v>
          </cell>
        </row>
        <row r="6401">
          <cell r="A6401" t="str">
            <v>BGD</v>
          </cell>
          <cell r="B6401">
            <v>1981</v>
          </cell>
          <cell r="C6401" t="str">
            <v>mfnvsrvtrnskn</v>
          </cell>
          <cell r="D6401">
            <v>296246.91325867991</v>
          </cell>
        </row>
        <row r="6402">
          <cell r="A6402" t="str">
            <v>BGD</v>
          </cell>
          <cell r="B6402">
            <v>1981</v>
          </cell>
          <cell r="C6402" t="str">
            <v>mfnygdpmktpkn</v>
          </cell>
          <cell r="D6402">
            <v>3798209.7930909432</v>
          </cell>
        </row>
        <row r="6403">
          <cell r="A6403" t="str">
            <v>BGD</v>
          </cell>
          <cell r="B6403">
            <v>1981</v>
          </cell>
          <cell r="C6403" t="str">
            <v>mfpop_totl</v>
          </cell>
          <cell r="D6403">
            <v>81768000</v>
          </cell>
        </row>
        <row r="6404">
          <cell r="A6404" t="str">
            <v>BGD</v>
          </cell>
          <cell r="B6404">
            <v>1982</v>
          </cell>
          <cell r="C6404" t="str">
            <v>mfgdppckn</v>
          </cell>
          <cell r="D6404">
            <v>46219.273245304925</v>
          </cell>
        </row>
        <row r="6405">
          <cell r="A6405" t="str">
            <v>BGD</v>
          </cell>
          <cell r="B6405">
            <v>1982</v>
          </cell>
          <cell r="C6405" t="str">
            <v>mfnvagrtotlkn</v>
          </cell>
          <cell r="D6405">
            <v>1005159.1384324603</v>
          </cell>
        </row>
        <row r="6406">
          <cell r="A6406" t="str">
            <v>BGD</v>
          </cell>
          <cell r="B6406">
            <v>1982</v>
          </cell>
          <cell r="C6406" t="str">
            <v>mfnvindconskn</v>
          </cell>
          <cell r="D6406">
            <v>133938.8955106971</v>
          </cell>
        </row>
        <row r="6407">
          <cell r="A6407" t="str">
            <v>BGD</v>
          </cell>
          <cell r="B6407">
            <v>1982</v>
          </cell>
          <cell r="C6407" t="str">
            <v>mfnvindrestkn</v>
          </cell>
          <cell r="D6407">
            <v>423689.6412123043</v>
          </cell>
        </row>
        <row r="6408">
          <cell r="A6408" t="str">
            <v>BGD</v>
          </cell>
          <cell r="B6408">
            <v>1982</v>
          </cell>
          <cell r="C6408" t="str">
            <v>mfnvsrvfinakn</v>
          </cell>
          <cell r="D6408">
            <v>63592.74787842283</v>
          </cell>
        </row>
        <row r="6409">
          <cell r="A6409" t="str">
            <v>BGD</v>
          </cell>
          <cell r="B6409">
            <v>1982</v>
          </cell>
          <cell r="C6409" t="str">
            <v>mfnvsrvrestkn</v>
          </cell>
          <cell r="D6409">
            <v>1765876.3257464054</v>
          </cell>
        </row>
        <row r="6410">
          <cell r="A6410" t="str">
            <v>BGD</v>
          </cell>
          <cell r="B6410">
            <v>1982</v>
          </cell>
          <cell r="C6410" t="str">
            <v>mfnvsrvtrnskn</v>
          </cell>
          <cell r="D6410">
            <v>316454.95419116062</v>
          </cell>
        </row>
        <row r="6411">
          <cell r="A6411" t="str">
            <v>BGD</v>
          </cell>
          <cell r="B6411">
            <v>1982</v>
          </cell>
          <cell r="C6411" t="str">
            <v>mfnygdpmktpkn</v>
          </cell>
          <cell r="D6411">
            <v>3879276.0420249328</v>
          </cell>
        </row>
        <row r="6412">
          <cell r="A6412" t="str">
            <v>BGD</v>
          </cell>
          <cell r="B6412">
            <v>1982</v>
          </cell>
          <cell r="C6412" t="str">
            <v>mfpop_totl</v>
          </cell>
          <cell r="D6412">
            <v>83932000</v>
          </cell>
        </row>
        <row r="6413">
          <cell r="A6413" t="str">
            <v>BGD</v>
          </cell>
          <cell r="B6413">
            <v>1983</v>
          </cell>
          <cell r="C6413" t="str">
            <v>mfgdppckn</v>
          </cell>
          <cell r="D6413">
            <v>46781.274467719064</v>
          </cell>
        </row>
        <row r="6414">
          <cell r="A6414" t="str">
            <v>BGD</v>
          </cell>
          <cell r="B6414">
            <v>1983</v>
          </cell>
          <cell r="C6414" t="str">
            <v>mfnvagrtotlkn</v>
          </cell>
          <cell r="D6414">
            <v>1044257.2501982434</v>
          </cell>
        </row>
        <row r="6415">
          <cell r="A6415" t="str">
            <v>BGD</v>
          </cell>
          <cell r="B6415">
            <v>1983</v>
          </cell>
          <cell r="C6415" t="str">
            <v>mfnvindconskn</v>
          </cell>
          <cell r="D6415">
            <v>138915.89056095341</v>
          </cell>
        </row>
        <row r="6416">
          <cell r="A6416" t="str">
            <v>BGD</v>
          </cell>
          <cell r="B6416">
            <v>1983</v>
          </cell>
          <cell r="C6416" t="str">
            <v>mfnvindrestkn</v>
          </cell>
          <cell r="D6416">
            <v>440454.95889911859</v>
          </cell>
        </row>
        <row r="6417">
          <cell r="A6417" t="str">
            <v>BGD</v>
          </cell>
          <cell r="B6417">
            <v>1983</v>
          </cell>
          <cell r="C6417" t="str">
            <v>mfnvsrvfinakn</v>
          </cell>
          <cell r="D6417">
            <v>64911.331446139935</v>
          </cell>
        </row>
        <row r="6418">
          <cell r="A6418" t="str">
            <v>BGD</v>
          </cell>
          <cell r="B6418">
            <v>1983</v>
          </cell>
          <cell r="C6418" t="str">
            <v>mfnvsrvrestkn</v>
          </cell>
          <cell r="D6418">
            <v>1829370.4725848981</v>
          </cell>
        </row>
        <row r="6419">
          <cell r="A6419" t="str">
            <v>BGD</v>
          </cell>
          <cell r="B6419">
            <v>1983</v>
          </cell>
          <cell r="C6419" t="str">
            <v>mfnvsrvtrnskn</v>
          </cell>
          <cell r="D6419">
            <v>336606.66547469492</v>
          </cell>
        </row>
        <row r="6420">
          <cell r="A6420" t="str">
            <v>BGD</v>
          </cell>
          <cell r="B6420">
            <v>1983</v>
          </cell>
          <cell r="C6420" t="str">
            <v>mfnygdpmktpkn</v>
          </cell>
          <cell r="D6420">
            <v>4029832.5451982557</v>
          </cell>
        </row>
        <row r="6421">
          <cell r="A6421" t="str">
            <v>BGD</v>
          </cell>
          <cell r="B6421">
            <v>1983</v>
          </cell>
          <cell r="C6421" t="str">
            <v>mfpop_totl</v>
          </cell>
          <cell r="D6421">
            <v>86142000</v>
          </cell>
        </row>
        <row r="6422">
          <cell r="A6422" t="str">
            <v>BGD</v>
          </cell>
          <cell r="B6422">
            <v>1984</v>
          </cell>
          <cell r="C6422" t="str">
            <v>mfgdppckn</v>
          </cell>
          <cell r="D6422">
            <v>47766.80836909006</v>
          </cell>
        </row>
        <row r="6423">
          <cell r="A6423" t="str">
            <v>BGD</v>
          </cell>
          <cell r="B6423">
            <v>1984</v>
          </cell>
          <cell r="C6423" t="str">
            <v>mfnvagrtotlkn</v>
          </cell>
          <cell r="D6423">
            <v>1095479.0995188118</v>
          </cell>
        </row>
        <row r="6424">
          <cell r="A6424" t="str">
            <v>BGD</v>
          </cell>
          <cell r="B6424">
            <v>1984</v>
          </cell>
          <cell r="C6424" t="str">
            <v>mfnvindconskn</v>
          </cell>
          <cell r="D6424">
            <v>151677.84746346861</v>
          </cell>
        </row>
        <row r="6425">
          <cell r="A6425" t="str">
            <v>BGD</v>
          </cell>
          <cell r="B6425">
            <v>1984</v>
          </cell>
          <cell r="C6425" t="str">
            <v>mfnvindrestkn</v>
          </cell>
          <cell r="D6425">
            <v>483478.19016407715</v>
          </cell>
        </row>
        <row r="6426">
          <cell r="A6426" t="str">
            <v>BGD</v>
          </cell>
          <cell r="B6426">
            <v>1984</v>
          </cell>
          <cell r="C6426" t="str">
            <v>mfnvsrvfinakn</v>
          </cell>
          <cell r="D6426">
            <v>68863.347962100772</v>
          </cell>
        </row>
        <row r="6427">
          <cell r="A6427" t="str">
            <v>BGD</v>
          </cell>
          <cell r="B6427">
            <v>1984</v>
          </cell>
          <cell r="C6427" t="str">
            <v>mfnvsrvrestkn</v>
          </cell>
          <cell r="D6427">
            <v>1898574.9153364706</v>
          </cell>
        </row>
        <row r="6428">
          <cell r="A6428" t="str">
            <v>BGD</v>
          </cell>
          <cell r="B6428">
            <v>1984</v>
          </cell>
          <cell r="C6428" t="str">
            <v>mfnvsrvtrnskn</v>
          </cell>
          <cell r="D6428">
            <v>356338.42047287279</v>
          </cell>
        </row>
        <row r="6429">
          <cell r="A6429" t="str">
            <v>BGD</v>
          </cell>
          <cell r="B6429">
            <v>1984</v>
          </cell>
          <cell r="C6429" t="str">
            <v>mfnygdpmktpkn</v>
          </cell>
          <cell r="D6429">
            <v>4223397.8955698358</v>
          </cell>
        </row>
        <row r="6430">
          <cell r="A6430" t="str">
            <v>BGD</v>
          </cell>
          <cell r="B6430">
            <v>1984</v>
          </cell>
          <cell r="C6430" t="str">
            <v>mfpop_totl</v>
          </cell>
          <cell r="D6430">
            <v>88417000</v>
          </cell>
        </row>
        <row r="6431">
          <cell r="A6431" t="str">
            <v>BGD</v>
          </cell>
          <cell r="B6431">
            <v>1985</v>
          </cell>
          <cell r="C6431" t="str">
            <v>mfgdppckn</v>
          </cell>
          <cell r="D6431">
            <v>48086.735622560394</v>
          </cell>
        </row>
        <row r="6432">
          <cell r="A6432" t="str">
            <v>BGD</v>
          </cell>
          <cell r="B6432">
            <v>1985</v>
          </cell>
          <cell r="C6432" t="str">
            <v>mfnvagrtotlkn</v>
          </cell>
          <cell r="D6432">
            <v>1097565.2293618864</v>
          </cell>
        </row>
        <row r="6433">
          <cell r="A6433" t="str">
            <v>BGD</v>
          </cell>
          <cell r="B6433">
            <v>1985</v>
          </cell>
          <cell r="C6433" t="str">
            <v>mfnvindconskn</v>
          </cell>
          <cell r="D6433">
            <v>160096.143145321</v>
          </cell>
        </row>
        <row r="6434">
          <cell r="A6434" t="str">
            <v>BGD</v>
          </cell>
          <cell r="B6434">
            <v>1985</v>
          </cell>
          <cell r="C6434" t="str">
            <v>mfnvindrestkn</v>
          </cell>
          <cell r="D6434">
            <v>514366.11606946675</v>
          </cell>
        </row>
        <row r="6435">
          <cell r="A6435" t="str">
            <v>BGD</v>
          </cell>
          <cell r="B6435">
            <v>1985</v>
          </cell>
          <cell r="C6435" t="str">
            <v>mfnvsrvfinakn</v>
          </cell>
          <cell r="D6435">
            <v>71637.707709799404</v>
          </cell>
        </row>
        <row r="6436">
          <cell r="A6436" t="str">
            <v>BGD</v>
          </cell>
          <cell r="B6436">
            <v>1985</v>
          </cell>
          <cell r="C6436" t="str">
            <v>mfnvsrvrestkn</v>
          </cell>
          <cell r="D6436">
            <v>1959317.2557864843</v>
          </cell>
        </row>
        <row r="6437">
          <cell r="A6437" t="str">
            <v>BGD</v>
          </cell>
          <cell r="B6437">
            <v>1985</v>
          </cell>
          <cell r="C6437" t="str">
            <v>mfnvsrvtrnskn</v>
          </cell>
          <cell r="D6437">
            <v>374815.57556744834</v>
          </cell>
        </row>
        <row r="6438">
          <cell r="A6438" t="str">
            <v>BGD</v>
          </cell>
          <cell r="B6438">
            <v>1985</v>
          </cell>
          <cell r="C6438" t="str">
            <v>mfnygdpmktpkn</v>
          </cell>
          <cell r="D6438">
            <v>4364544.4720460717</v>
          </cell>
        </row>
        <row r="6439">
          <cell r="A6439" t="str">
            <v>BGD</v>
          </cell>
          <cell r="B6439">
            <v>1985</v>
          </cell>
          <cell r="C6439" t="str">
            <v>mfpop_totl</v>
          </cell>
          <cell r="D6439">
            <v>90764000</v>
          </cell>
        </row>
        <row r="6440">
          <cell r="A6440" t="str">
            <v>BGD</v>
          </cell>
          <cell r="B6440">
            <v>1986</v>
          </cell>
          <cell r="C6440" t="str">
            <v>mfgdppckn</v>
          </cell>
          <cell r="D6440">
            <v>48790.548245651473</v>
          </cell>
        </row>
        <row r="6441">
          <cell r="A6441" t="str">
            <v>BGD</v>
          </cell>
          <cell r="B6441">
            <v>1986</v>
          </cell>
          <cell r="C6441" t="str">
            <v>mfnvagrtotlkn</v>
          </cell>
          <cell r="D6441">
            <v>1134059.6181457378</v>
          </cell>
        </row>
        <row r="6442">
          <cell r="A6442" t="str">
            <v>BGD</v>
          </cell>
          <cell r="B6442">
            <v>1986</v>
          </cell>
          <cell r="C6442" t="str">
            <v>mfnvindconskn</v>
          </cell>
          <cell r="D6442">
            <v>168407.94906821521</v>
          </cell>
        </row>
        <row r="6443">
          <cell r="A6443" t="str">
            <v>BGD</v>
          </cell>
          <cell r="B6443">
            <v>1986</v>
          </cell>
          <cell r="C6443" t="str">
            <v>mfnvindrestkn</v>
          </cell>
          <cell r="D6443">
            <v>552649.2516165456</v>
          </cell>
        </row>
        <row r="6444">
          <cell r="A6444" t="str">
            <v>BGD</v>
          </cell>
          <cell r="B6444">
            <v>1986</v>
          </cell>
          <cell r="C6444" t="str">
            <v>mfnvsrvfinakn</v>
          </cell>
          <cell r="D6444">
            <v>76215.132059256022</v>
          </cell>
        </row>
        <row r="6445">
          <cell r="A6445" t="str">
            <v>BGD</v>
          </cell>
          <cell r="B6445">
            <v>1986</v>
          </cell>
          <cell r="C6445" t="str">
            <v>mfnvsrvrestkn</v>
          </cell>
          <cell r="D6445">
            <v>2037108.6233025361</v>
          </cell>
        </row>
        <row r="6446">
          <cell r="A6446" t="str">
            <v>BGD</v>
          </cell>
          <cell r="B6446">
            <v>1986</v>
          </cell>
          <cell r="C6446" t="str">
            <v>mfnvsrvtrnskn</v>
          </cell>
          <cell r="D6446">
            <v>389244.38214112766</v>
          </cell>
        </row>
        <row r="6447">
          <cell r="A6447" t="str">
            <v>BGD</v>
          </cell>
          <cell r="B6447">
            <v>1986</v>
          </cell>
          <cell r="C6447" t="str">
            <v>mfnygdpmktpkn</v>
          </cell>
          <cell r="D6447">
            <v>4546693.6099157697</v>
          </cell>
        </row>
        <row r="6448">
          <cell r="A6448" t="str">
            <v>BGD</v>
          </cell>
          <cell r="B6448">
            <v>1986</v>
          </cell>
          <cell r="C6448" t="str">
            <v>mfpop_totl</v>
          </cell>
          <cell r="D6448">
            <v>93188000</v>
          </cell>
        </row>
        <row r="6449">
          <cell r="A6449" t="str">
            <v>BGD</v>
          </cell>
          <cell r="B6449">
            <v>1987</v>
          </cell>
          <cell r="C6449" t="str">
            <v>mfgdppckn</v>
          </cell>
          <cell r="D6449">
            <v>49317.067489461202</v>
          </cell>
        </row>
        <row r="6450">
          <cell r="A6450" t="str">
            <v>BGD</v>
          </cell>
          <cell r="B6450">
            <v>1987</v>
          </cell>
          <cell r="C6450" t="str">
            <v>mfnvagrtotlkn</v>
          </cell>
          <cell r="D6450">
            <v>1135137.3536182696</v>
          </cell>
        </row>
        <row r="6451">
          <cell r="A6451" t="str">
            <v>BGD</v>
          </cell>
          <cell r="B6451">
            <v>1987</v>
          </cell>
          <cell r="C6451" t="str">
            <v>mfnvindconskn</v>
          </cell>
          <cell r="D6451">
            <v>181912.53192135994</v>
          </cell>
        </row>
        <row r="6452">
          <cell r="A6452" t="str">
            <v>BGD</v>
          </cell>
          <cell r="B6452">
            <v>1987</v>
          </cell>
          <cell r="C6452" t="str">
            <v>mfnvindrestkn</v>
          </cell>
          <cell r="D6452">
            <v>601349.49784123339</v>
          </cell>
        </row>
        <row r="6453">
          <cell r="A6453" t="str">
            <v>BGD</v>
          </cell>
          <cell r="B6453">
            <v>1987</v>
          </cell>
          <cell r="C6453" t="str">
            <v>mfnvsrvfinakn</v>
          </cell>
          <cell r="D6453">
            <v>79785.396707139691</v>
          </cell>
        </row>
        <row r="6454">
          <cell r="A6454" t="str">
            <v>BGD</v>
          </cell>
          <cell r="B6454">
            <v>1987</v>
          </cell>
          <cell r="C6454" t="str">
            <v>mfnvsrvrestkn</v>
          </cell>
          <cell r="D6454">
            <v>2110442.4090997586</v>
          </cell>
        </row>
        <row r="6455">
          <cell r="A6455" t="str">
            <v>BGD</v>
          </cell>
          <cell r="B6455">
            <v>1987</v>
          </cell>
          <cell r="C6455" t="str">
            <v>mfnvsrvtrnskn</v>
          </cell>
          <cell r="D6455">
            <v>406591.30888952158</v>
          </cell>
        </row>
        <row r="6456">
          <cell r="A6456" t="str">
            <v>BGD</v>
          </cell>
          <cell r="B6456">
            <v>1987</v>
          </cell>
          <cell r="C6456" t="str">
            <v>mfnygdpmktpkn</v>
          </cell>
          <cell r="D6456">
            <v>4718213.1637842432</v>
          </cell>
        </row>
        <row r="6457">
          <cell r="A6457" t="str">
            <v>BGD</v>
          </cell>
          <cell r="B6457">
            <v>1987</v>
          </cell>
          <cell r="C6457" t="str">
            <v>mfpop_totl</v>
          </cell>
          <cell r="D6457">
            <v>95671000.000000015</v>
          </cell>
        </row>
        <row r="6458">
          <cell r="A6458" t="str">
            <v>BGD</v>
          </cell>
          <cell r="B6458">
            <v>1988</v>
          </cell>
          <cell r="C6458" t="str">
            <v>mfgdppckn</v>
          </cell>
          <cell r="D6458">
            <v>49214.931995515268</v>
          </cell>
        </row>
        <row r="6459">
          <cell r="A6459" t="str">
            <v>BGD</v>
          </cell>
          <cell r="B6459">
            <v>1988</v>
          </cell>
          <cell r="C6459" t="str">
            <v>mfnvagrtotlkn</v>
          </cell>
          <cell r="D6459">
            <v>1130187.6509472737</v>
          </cell>
        </row>
        <row r="6460">
          <cell r="A6460" t="str">
            <v>BGD</v>
          </cell>
          <cell r="B6460">
            <v>1988</v>
          </cell>
          <cell r="C6460" t="str">
            <v>mfnvindconskn</v>
          </cell>
          <cell r="D6460">
            <v>191908.55745304003</v>
          </cell>
        </row>
        <row r="6461">
          <cell r="A6461" t="str">
            <v>BGD</v>
          </cell>
          <cell r="B6461">
            <v>1988</v>
          </cell>
          <cell r="C6461" t="str">
            <v>mfnvindrestkn</v>
          </cell>
          <cell r="D6461">
            <v>615814.95586646209</v>
          </cell>
        </row>
        <row r="6462">
          <cell r="A6462" t="str">
            <v>BGD</v>
          </cell>
          <cell r="B6462">
            <v>1988</v>
          </cell>
          <cell r="C6462" t="str">
            <v>mfnvsrvfinakn</v>
          </cell>
          <cell r="D6462">
            <v>81885.706722615083</v>
          </cell>
        </row>
        <row r="6463">
          <cell r="A6463" t="str">
            <v>BGD</v>
          </cell>
          <cell r="B6463">
            <v>1988</v>
          </cell>
          <cell r="C6463" t="str">
            <v>mfnvsrvrestkn</v>
          </cell>
          <cell r="D6463">
            <v>2174478.6688683825</v>
          </cell>
        </row>
        <row r="6464">
          <cell r="A6464" t="str">
            <v>BGD</v>
          </cell>
          <cell r="B6464">
            <v>1988</v>
          </cell>
          <cell r="C6464" t="str">
            <v>mfnvsrvtrnskn</v>
          </cell>
          <cell r="D6464">
            <v>420512.05208287743</v>
          </cell>
        </row>
        <row r="6465">
          <cell r="A6465" t="str">
            <v>BGD</v>
          </cell>
          <cell r="B6465">
            <v>1988</v>
          </cell>
          <cell r="C6465" t="str">
            <v>mfnygdpmktpkn</v>
          </cell>
          <cell r="D6465">
            <v>4832217.3129116623</v>
          </cell>
        </row>
        <row r="6466">
          <cell r="A6466" t="str">
            <v>BGD</v>
          </cell>
          <cell r="B6466">
            <v>1988</v>
          </cell>
          <cell r="C6466" t="str">
            <v>mfpop_totl</v>
          </cell>
          <cell r="D6466">
            <v>98186000</v>
          </cell>
        </row>
        <row r="6467">
          <cell r="A6467" t="str">
            <v>BGD</v>
          </cell>
          <cell r="B6467">
            <v>1989</v>
          </cell>
          <cell r="C6467" t="str">
            <v>mfgdppckn</v>
          </cell>
          <cell r="D6467">
            <v>49349.889523898921</v>
          </cell>
        </row>
        <row r="6468">
          <cell r="A6468" t="str">
            <v>BGD</v>
          </cell>
          <cell r="B6468">
            <v>1989</v>
          </cell>
          <cell r="C6468" t="str">
            <v>mfnvagrtotlkn</v>
          </cell>
          <cell r="D6468">
            <v>1128186.9106806803</v>
          </cell>
        </row>
        <row r="6469">
          <cell r="A6469" t="str">
            <v>BGD</v>
          </cell>
          <cell r="B6469">
            <v>1989</v>
          </cell>
          <cell r="C6469" t="str">
            <v>mfnvindconskn</v>
          </cell>
          <cell r="D6469">
            <v>200360.48147982662</v>
          </cell>
        </row>
        <row r="6470">
          <cell r="A6470" t="str">
            <v>BGD</v>
          </cell>
          <cell r="B6470">
            <v>1989</v>
          </cell>
          <cell r="C6470" t="str">
            <v>mfnvindrestkn</v>
          </cell>
          <cell r="D6470">
            <v>637888.08405960456</v>
          </cell>
        </row>
        <row r="6471">
          <cell r="A6471" t="str">
            <v>BGD</v>
          </cell>
          <cell r="B6471">
            <v>1989</v>
          </cell>
          <cell r="C6471" t="str">
            <v>mfnvsrvfinakn</v>
          </cell>
          <cell r="D6471">
            <v>83208.73928655732</v>
          </cell>
        </row>
        <row r="6472">
          <cell r="A6472" t="str">
            <v>BGD</v>
          </cell>
          <cell r="B6472">
            <v>1989</v>
          </cell>
          <cell r="C6472" t="str">
            <v>mfnvsrvrestkn</v>
          </cell>
          <cell r="D6472">
            <v>2248260.400073071</v>
          </cell>
        </row>
        <row r="6473">
          <cell r="A6473" t="str">
            <v>BGD</v>
          </cell>
          <cell r="B6473">
            <v>1989</v>
          </cell>
          <cell r="C6473" t="str">
            <v>mfnvsrvtrnskn</v>
          </cell>
          <cell r="D6473">
            <v>433846.00080434128</v>
          </cell>
        </row>
        <row r="6474">
          <cell r="A6474" t="str">
            <v>BGD</v>
          </cell>
          <cell r="B6474">
            <v>1989</v>
          </cell>
          <cell r="C6474" t="str">
            <v>mfnygdpmktpkn</v>
          </cell>
          <cell r="D6474">
            <v>4969287.1256090011</v>
          </cell>
        </row>
        <row r="6475">
          <cell r="A6475" t="str">
            <v>BGD</v>
          </cell>
          <cell r="B6475">
            <v>1989</v>
          </cell>
          <cell r="C6475" t="str">
            <v>mfpop_totl</v>
          </cell>
          <cell r="D6475">
            <v>100694999.99999999</v>
          </cell>
        </row>
        <row r="6476">
          <cell r="A6476" t="str">
            <v>BGD</v>
          </cell>
          <cell r="B6476">
            <v>1990</v>
          </cell>
          <cell r="C6476" t="str">
            <v>mfgdppckn</v>
          </cell>
          <cell r="D6476">
            <v>50873.03993822309</v>
          </cell>
        </row>
        <row r="6477">
          <cell r="A6477" t="str">
            <v>BGD</v>
          </cell>
          <cell r="B6477">
            <v>1990</v>
          </cell>
          <cell r="C6477" t="str">
            <v>mfnvagrtotlkn</v>
          </cell>
          <cell r="D6477">
            <v>1232111.8085532063</v>
          </cell>
        </row>
        <row r="6478">
          <cell r="A6478" t="str">
            <v>BGD</v>
          </cell>
          <cell r="B6478">
            <v>1990</v>
          </cell>
          <cell r="C6478" t="str">
            <v>mfnvindconskn</v>
          </cell>
          <cell r="D6478">
            <v>210073.46844164433</v>
          </cell>
        </row>
        <row r="6479">
          <cell r="A6479" t="str">
            <v>BGD</v>
          </cell>
          <cell r="B6479">
            <v>1990</v>
          </cell>
          <cell r="C6479" t="str">
            <v>mfnvindrestkn</v>
          </cell>
          <cell r="D6479">
            <v>689346.54168185394</v>
          </cell>
        </row>
        <row r="6480">
          <cell r="A6480" t="str">
            <v>BGD</v>
          </cell>
          <cell r="B6480">
            <v>1990</v>
          </cell>
          <cell r="C6480" t="str">
            <v>mfnvsrvfinakn</v>
          </cell>
          <cell r="D6480">
            <v>84198.848976971334</v>
          </cell>
        </row>
        <row r="6481">
          <cell r="A6481" t="str">
            <v>BGD</v>
          </cell>
          <cell r="B6481">
            <v>1990</v>
          </cell>
          <cell r="C6481" t="str">
            <v>mfnvsrvrestkn</v>
          </cell>
          <cell r="D6481">
            <v>2313392.6082668686</v>
          </cell>
        </row>
        <row r="6482">
          <cell r="A6482" t="str">
            <v>BGD</v>
          </cell>
          <cell r="B6482">
            <v>1990</v>
          </cell>
          <cell r="C6482" t="str">
            <v>mfnvsrvtrnskn</v>
          </cell>
          <cell r="D6482">
            <v>454864.79706644459</v>
          </cell>
        </row>
        <row r="6483">
          <cell r="A6483" t="str">
            <v>BGD</v>
          </cell>
          <cell r="B6483">
            <v>1990</v>
          </cell>
          <cell r="C6483" t="str">
            <v>mfnygdpmktpkn</v>
          </cell>
          <cell r="D6483">
            <v>5248673.2765063522</v>
          </cell>
        </row>
        <row r="6484">
          <cell r="A6484" t="str">
            <v>BGD</v>
          </cell>
          <cell r="B6484">
            <v>1990</v>
          </cell>
          <cell r="C6484" t="str">
            <v>mfpop_totl</v>
          </cell>
          <cell r="D6484">
            <v>103172000</v>
          </cell>
        </row>
        <row r="6485">
          <cell r="A6485" t="str">
            <v>BGD</v>
          </cell>
          <cell r="B6485">
            <v>1991</v>
          </cell>
          <cell r="C6485" t="str">
            <v>mfgdppckn</v>
          </cell>
          <cell r="D6485">
            <v>51436.107325232108</v>
          </cell>
        </row>
        <row r="6486">
          <cell r="A6486" t="str">
            <v>BGD</v>
          </cell>
          <cell r="B6486">
            <v>1991</v>
          </cell>
          <cell r="C6486" t="str">
            <v>mfnvagrtotlkn</v>
          </cell>
          <cell r="D6486">
            <v>1258345.3570318643</v>
          </cell>
        </row>
        <row r="6487">
          <cell r="A6487" t="str">
            <v>BGD</v>
          </cell>
          <cell r="B6487">
            <v>1991</v>
          </cell>
          <cell r="C6487" t="str">
            <v>mfnvindconskn</v>
          </cell>
          <cell r="D6487">
            <v>211317.71720420849</v>
          </cell>
        </row>
        <row r="6488">
          <cell r="A6488" t="str">
            <v>BGD</v>
          </cell>
          <cell r="B6488">
            <v>1991</v>
          </cell>
          <cell r="C6488" t="str">
            <v>mfnvindrestkn</v>
          </cell>
          <cell r="D6488">
            <v>730473.05573632428</v>
          </cell>
        </row>
        <row r="6489">
          <cell r="A6489" t="str">
            <v>BGD</v>
          </cell>
          <cell r="B6489">
            <v>1991</v>
          </cell>
          <cell r="C6489" t="str">
            <v>mfnvsrvfinakn</v>
          </cell>
          <cell r="D6489">
            <v>89609.739778757576</v>
          </cell>
        </row>
        <row r="6490">
          <cell r="A6490" t="str">
            <v>BGD</v>
          </cell>
          <cell r="B6490">
            <v>1991</v>
          </cell>
          <cell r="C6490" t="str">
            <v>mfnvsrvrestkn</v>
          </cell>
          <cell r="D6490">
            <v>2393912.2711109687</v>
          </cell>
        </row>
        <row r="6491">
          <cell r="A6491" t="str">
            <v>BGD</v>
          </cell>
          <cell r="B6491">
            <v>1991</v>
          </cell>
          <cell r="C6491" t="str">
            <v>mfnvsrvtrnskn</v>
          </cell>
          <cell r="D6491">
            <v>465581.27447024756</v>
          </cell>
        </row>
        <row r="6492">
          <cell r="A6492" t="str">
            <v>BGD</v>
          </cell>
          <cell r="B6492">
            <v>1991</v>
          </cell>
          <cell r="C6492" t="str">
            <v>mfnygdpmktpkn</v>
          </cell>
          <cell r="D6492">
            <v>5431601.4974371856</v>
          </cell>
        </row>
        <row r="6493">
          <cell r="A6493" t="str">
            <v>BGD</v>
          </cell>
          <cell r="B6493">
            <v>1991</v>
          </cell>
          <cell r="C6493" t="str">
            <v>mfpop_totl</v>
          </cell>
          <cell r="D6493">
            <v>105599000</v>
          </cell>
        </row>
        <row r="6494">
          <cell r="A6494" t="str">
            <v>BGD</v>
          </cell>
          <cell r="B6494">
            <v>1992</v>
          </cell>
          <cell r="C6494" t="str">
            <v>mfgdppckn</v>
          </cell>
          <cell r="D6494">
            <v>53037.732324766599</v>
          </cell>
        </row>
        <row r="6495">
          <cell r="A6495" t="str">
            <v>BGD</v>
          </cell>
          <cell r="B6495">
            <v>1992</v>
          </cell>
          <cell r="C6495" t="str">
            <v>mfnvagrtotlkn</v>
          </cell>
          <cell r="D6495">
            <v>1287581.1379762683</v>
          </cell>
        </row>
        <row r="6496">
          <cell r="A6496" t="str">
            <v>BGD</v>
          </cell>
          <cell r="B6496">
            <v>1992</v>
          </cell>
          <cell r="C6496" t="str">
            <v>mfnvindconskn</v>
          </cell>
          <cell r="D6496">
            <v>223869.49695088516</v>
          </cell>
        </row>
        <row r="6497">
          <cell r="A6497" t="str">
            <v>BGD</v>
          </cell>
          <cell r="B6497">
            <v>1992</v>
          </cell>
          <cell r="C6497" t="str">
            <v>mfnvindrestkn</v>
          </cell>
          <cell r="D6497">
            <v>783744.94741438702</v>
          </cell>
        </row>
        <row r="6498">
          <cell r="A6498" t="str">
            <v>BGD</v>
          </cell>
          <cell r="B6498">
            <v>1992</v>
          </cell>
          <cell r="C6498" t="str">
            <v>mfnvsrvfinakn</v>
          </cell>
          <cell r="D6498">
            <v>93383.259734720908</v>
          </cell>
        </row>
        <row r="6499">
          <cell r="A6499" t="str">
            <v>BGD</v>
          </cell>
          <cell r="B6499">
            <v>1992</v>
          </cell>
          <cell r="C6499" t="str">
            <v>mfnvsrvrestkn</v>
          </cell>
          <cell r="D6499">
            <v>2497814.345151376</v>
          </cell>
        </row>
        <row r="6500">
          <cell r="A6500" t="str">
            <v>BGD</v>
          </cell>
          <cell r="B6500">
            <v>1992</v>
          </cell>
          <cell r="C6500" t="str">
            <v>mfnvsrvtrnskn</v>
          </cell>
          <cell r="D6500">
            <v>481806.98866513453</v>
          </cell>
        </row>
        <row r="6501">
          <cell r="A6501" t="str">
            <v>BGD</v>
          </cell>
          <cell r="B6501">
            <v>1992</v>
          </cell>
          <cell r="C6501" t="str">
            <v>mfnygdpmktpkn</v>
          </cell>
          <cell r="D6501">
            <v>5727226.4873575959</v>
          </cell>
        </row>
        <row r="6502">
          <cell r="A6502" t="str">
            <v>BGD</v>
          </cell>
          <cell r="B6502">
            <v>1992</v>
          </cell>
          <cell r="C6502" t="str">
            <v>mfpop_totl</v>
          </cell>
          <cell r="D6502">
            <v>107983999.99999999</v>
          </cell>
        </row>
        <row r="6503">
          <cell r="A6503" t="str">
            <v>BGD</v>
          </cell>
          <cell r="B6503">
            <v>1993</v>
          </cell>
          <cell r="C6503" t="str">
            <v>mfgdppckn</v>
          </cell>
          <cell r="D6503">
            <v>54345.391509155153</v>
          </cell>
        </row>
        <row r="6504">
          <cell r="A6504" t="str">
            <v>BGD</v>
          </cell>
          <cell r="B6504">
            <v>1993</v>
          </cell>
          <cell r="C6504" t="str">
            <v>mfnvagrtotlkn</v>
          </cell>
          <cell r="D6504">
            <v>1318342.4394852675</v>
          </cell>
        </row>
        <row r="6505">
          <cell r="A6505" t="str">
            <v>BGD</v>
          </cell>
          <cell r="B6505">
            <v>1993</v>
          </cell>
          <cell r="C6505" t="str">
            <v>mfnvindconskn</v>
          </cell>
          <cell r="D6505">
            <v>237278.79949338315</v>
          </cell>
        </row>
        <row r="6506">
          <cell r="A6506" t="str">
            <v>BGD</v>
          </cell>
          <cell r="B6506">
            <v>1993</v>
          </cell>
          <cell r="C6506" t="str">
            <v>mfnvindrestkn</v>
          </cell>
          <cell r="D6506">
            <v>851893.83830448659</v>
          </cell>
        </row>
        <row r="6507">
          <cell r="A6507" t="str">
            <v>BGD</v>
          </cell>
          <cell r="B6507">
            <v>1993</v>
          </cell>
          <cell r="C6507" t="str">
            <v>mfnvsrvfinakn</v>
          </cell>
          <cell r="D6507">
            <v>96511.104577624661</v>
          </cell>
        </row>
        <row r="6508">
          <cell r="A6508" t="str">
            <v>BGD</v>
          </cell>
          <cell r="B6508">
            <v>1993</v>
          </cell>
          <cell r="C6508" t="str">
            <v>mfnvsrvrestkn</v>
          </cell>
          <cell r="D6508">
            <v>2597376.4501578766</v>
          </cell>
        </row>
        <row r="6509">
          <cell r="A6509" t="str">
            <v>BGD</v>
          </cell>
          <cell r="B6509">
            <v>1993</v>
          </cell>
          <cell r="C6509" t="str">
            <v>mfnvsrvtrnskn</v>
          </cell>
          <cell r="D6509">
            <v>498254.5213681403</v>
          </cell>
        </row>
        <row r="6510">
          <cell r="A6510" t="str">
            <v>BGD</v>
          </cell>
          <cell r="B6510">
            <v>1993</v>
          </cell>
          <cell r="C6510" t="str">
            <v>mfnygdpmktpkn</v>
          </cell>
          <cell r="D6510">
            <v>5997068.2984267799</v>
          </cell>
        </row>
        <row r="6511">
          <cell r="A6511" t="str">
            <v>BGD</v>
          </cell>
          <cell r="B6511">
            <v>1993</v>
          </cell>
          <cell r="C6511" t="str">
            <v>mfpop_totl</v>
          </cell>
          <cell r="D6511">
            <v>110351000</v>
          </cell>
        </row>
        <row r="6512">
          <cell r="A6512" t="str">
            <v>BGD</v>
          </cell>
          <cell r="B6512">
            <v>1994</v>
          </cell>
          <cell r="C6512" t="str">
            <v>mfgdppckn</v>
          </cell>
          <cell r="D6512">
            <v>55264.079884916478</v>
          </cell>
        </row>
        <row r="6513">
          <cell r="A6513" t="str">
            <v>BGD</v>
          </cell>
          <cell r="B6513">
            <v>1994</v>
          </cell>
          <cell r="C6513" t="str">
            <v>mfnvagrtotlkn</v>
          </cell>
          <cell r="D6513">
            <v>1328058.7336807714</v>
          </cell>
        </row>
        <row r="6514">
          <cell r="A6514" t="str">
            <v>BGD</v>
          </cell>
          <cell r="B6514">
            <v>1994</v>
          </cell>
          <cell r="C6514" t="str">
            <v>mfnvindconskn</v>
          </cell>
          <cell r="D6514">
            <v>259288.55125279329</v>
          </cell>
        </row>
        <row r="6515">
          <cell r="A6515" t="str">
            <v>BGD</v>
          </cell>
          <cell r="B6515">
            <v>1994</v>
          </cell>
          <cell r="C6515" t="str">
            <v>mfnvindrestkn</v>
          </cell>
          <cell r="D6515">
            <v>918430.21888693352</v>
          </cell>
        </row>
        <row r="6516">
          <cell r="A6516" t="str">
            <v>BGD</v>
          </cell>
          <cell r="B6516">
            <v>1994</v>
          </cell>
          <cell r="C6516" t="str">
            <v>mfnvsrvfinakn</v>
          </cell>
          <cell r="D6516">
            <v>100879.2431025127</v>
          </cell>
        </row>
        <row r="6517">
          <cell r="A6517" t="str">
            <v>BGD</v>
          </cell>
          <cell r="B6517">
            <v>1994</v>
          </cell>
          <cell r="C6517" t="str">
            <v>mfnvsrvrestkn</v>
          </cell>
          <cell r="D6517">
            <v>2703579.5033784751</v>
          </cell>
        </row>
        <row r="6518">
          <cell r="A6518" t="str">
            <v>BGD</v>
          </cell>
          <cell r="B6518">
            <v>1994</v>
          </cell>
          <cell r="C6518" t="str">
            <v>mfnvsrvtrnskn</v>
          </cell>
          <cell r="D6518">
            <v>516987.22732310771</v>
          </cell>
        </row>
        <row r="6519">
          <cell r="A6519" t="str">
            <v>BGD</v>
          </cell>
          <cell r="B6519">
            <v>1994</v>
          </cell>
          <cell r="C6519" t="str">
            <v>mfnygdpmktpkn</v>
          </cell>
          <cell r="D6519">
            <v>6230361.8380657136</v>
          </cell>
        </row>
        <row r="6520">
          <cell r="A6520" t="str">
            <v>BGD</v>
          </cell>
          <cell r="B6520">
            <v>1994</v>
          </cell>
          <cell r="C6520" t="str">
            <v>mfpop_totl</v>
          </cell>
          <cell r="D6520">
            <v>112738000</v>
          </cell>
        </row>
        <row r="6521">
          <cell r="A6521" t="str">
            <v>BGD</v>
          </cell>
          <cell r="B6521">
            <v>1995</v>
          </cell>
          <cell r="C6521" t="str">
            <v>mfgdppckn</v>
          </cell>
          <cell r="D6521">
            <v>56867.552154466073</v>
          </cell>
        </row>
        <row r="6522">
          <cell r="A6522" t="str">
            <v>BGD</v>
          </cell>
          <cell r="B6522">
            <v>1995</v>
          </cell>
          <cell r="C6522" t="str">
            <v>mfnvagrtotlkn</v>
          </cell>
          <cell r="D6522">
            <v>1323111.7280759395</v>
          </cell>
        </row>
        <row r="6523">
          <cell r="A6523" t="str">
            <v>BGD</v>
          </cell>
          <cell r="B6523">
            <v>1995</v>
          </cell>
          <cell r="C6523" t="str">
            <v>mfnvindconskn</v>
          </cell>
          <cell r="D6523">
            <v>284081.04855550569</v>
          </cell>
        </row>
        <row r="6524">
          <cell r="A6524" t="str">
            <v>BGD</v>
          </cell>
          <cell r="B6524">
            <v>1995</v>
          </cell>
          <cell r="C6524" t="str">
            <v>mfnvindrestkn</v>
          </cell>
          <cell r="D6524">
            <v>1012992.0620837223</v>
          </cell>
        </row>
        <row r="6525">
          <cell r="A6525" t="str">
            <v>BGD</v>
          </cell>
          <cell r="B6525">
            <v>1995</v>
          </cell>
          <cell r="C6525" t="str">
            <v>mfnvsrvfinakn</v>
          </cell>
          <cell r="D6525">
            <v>105281.77543853824</v>
          </cell>
        </row>
        <row r="6526">
          <cell r="A6526" t="str">
            <v>BGD</v>
          </cell>
          <cell r="B6526">
            <v>1995</v>
          </cell>
          <cell r="C6526" t="str">
            <v>mfnvsrvrestkn</v>
          </cell>
          <cell r="D6526">
            <v>2825588.3084941986</v>
          </cell>
        </row>
        <row r="6527">
          <cell r="A6527" t="str">
            <v>BGD</v>
          </cell>
          <cell r="B6527">
            <v>1995</v>
          </cell>
          <cell r="C6527" t="str">
            <v>mfnvsrvtrnskn</v>
          </cell>
          <cell r="D6527">
            <v>543151.47274562472</v>
          </cell>
        </row>
        <row r="6528">
          <cell r="A6528" t="str">
            <v>BGD</v>
          </cell>
          <cell r="B6528">
            <v>1995</v>
          </cell>
          <cell r="C6528" t="str">
            <v>mfnygdpmktpkn</v>
          </cell>
          <cell r="D6528">
            <v>6549435.9816298578</v>
          </cell>
        </row>
        <row r="6529">
          <cell r="A6529" t="str">
            <v>BGD</v>
          </cell>
          <cell r="B6529">
            <v>1995</v>
          </cell>
          <cell r="C6529" t="str">
            <v>mfpop_totl</v>
          </cell>
          <cell r="D6529">
            <v>115170000</v>
          </cell>
        </row>
        <row r="6530">
          <cell r="A6530" t="str">
            <v>BGD</v>
          </cell>
          <cell r="B6530">
            <v>1996</v>
          </cell>
          <cell r="C6530" t="str">
            <v>mfgdppckn</v>
          </cell>
          <cell r="D6530">
            <v>58186.669616640349</v>
          </cell>
        </row>
        <row r="6531">
          <cell r="A6531" t="str">
            <v>BGD</v>
          </cell>
          <cell r="B6531">
            <v>1996</v>
          </cell>
          <cell r="C6531" t="str">
            <v>mfnvagrtotlkn</v>
          </cell>
          <cell r="D6531">
            <v>1362376.1441462496</v>
          </cell>
        </row>
        <row r="6532">
          <cell r="A6532" t="str">
            <v>BGD</v>
          </cell>
          <cell r="B6532">
            <v>1996</v>
          </cell>
          <cell r="C6532" t="str">
            <v>mfnvindconskn</v>
          </cell>
          <cell r="D6532">
            <v>308240.21202862496</v>
          </cell>
        </row>
        <row r="6533">
          <cell r="A6533" t="str">
            <v>BGD</v>
          </cell>
          <cell r="B6533">
            <v>1996</v>
          </cell>
          <cell r="C6533" t="str">
            <v>mfnvindrestkn</v>
          </cell>
          <cell r="D6533">
            <v>1076213.169015124</v>
          </cell>
        </row>
        <row r="6534">
          <cell r="A6534" t="str">
            <v>BGD</v>
          </cell>
          <cell r="B6534">
            <v>1996</v>
          </cell>
          <cell r="C6534" t="str">
            <v>mfnvsrvfinakn</v>
          </cell>
          <cell r="D6534">
            <v>109495.87885011578</v>
          </cell>
        </row>
        <row r="6535">
          <cell r="A6535" t="str">
            <v>BGD</v>
          </cell>
          <cell r="B6535">
            <v>1996</v>
          </cell>
          <cell r="C6535" t="str">
            <v>mfnvsrvrestkn</v>
          </cell>
          <cell r="D6535">
            <v>2925096.8287087232</v>
          </cell>
        </row>
        <row r="6536">
          <cell r="A6536" t="str">
            <v>BGD</v>
          </cell>
          <cell r="B6536">
            <v>1996</v>
          </cell>
          <cell r="C6536" t="str">
            <v>mfnvsrvtrnskn</v>
          </cell>
          <cell r="D6536">
            <v>571679.30722036259</v>
          </cell>
        </row>
        <row r="6537">
          <cell r="A6537" t="str">
            <v>BGD</v>
          </cell>
          <cell r="B6537">
            <v>1996</v>
          </cell>
          <cell r="C6537" t="str">
            <v>mfnygdpmktpkn</v>
          </cell>
          <cell r="D6537">
            <v>6845661.6803977378</v>
          </cell>
        </row>
        <row r="6538">
          <cell r="A6538" t="str">
            <v>BGD</v>
          </cell>
          <cell r="B6538">
            <v>1996</v>
          </cell>
          <cell r="C6538" t="str">
            <v>mfpop_totl</v>
          </cell>
          <cell r="D6538">
            <v>117650000</v>
          </cell>
        </row>
        <row r="6539">
          <cell r="A6539" t="str">
            <v>BGD</v>
          </cell>
          <cell r="B6539">
            <v>1997</v>
          </cell>
          <cell r="C6539" t="str">
            <v>mfgdppckn</v>
          </cell>
          <cell r="D6539">
            <v>59528.672401251482</v>
          </cell>
        </row>
        <row r="6540">
          <cell r="A6540" t="str">
            <v>BGD</v>
          </cell>
          <cell r="B6540">
            <v>1997</v>
          </cell>
          <cell r="C6540" t="str">
            <v>mfnvagrtotlkn</v>
          </cell>
          <cell r="D6540">
            <v>1423936.0931520651</v>
          </cell>
        </row>
        <row r="6541">
          <cell r="A6541" t="str">
            <v>BGD</v>
          </cell>
          <cell r="B6541">
            <v>1997</v>
          </cell>
          <cell r="C6541" t="str">
            <v>mfnvindconskn</v>
          </cell>
          <cell r="D6541">
            <v>333396.03210380813</v>
          </cell>
        </row>
        <row r="6542">
          <cell r="A6542" t="str">
            <v>BGD</v>
          </cell>
          <cell r="B6542">
            <v>1997</v>
          </cell>
          <cell r="C6542" t="str">
            <v>mfnvindrestkn</v>
          </cell>
          <cell r="D6542">
            <v>1123401.7107059381</v>
          </cell>
        </row>
        <row r="6543">
          <cell r="A6543" t="str">
            <v>BGD</v>
          </cell>
          <cell r="B6543">
            <v>1997</v>
          </cell>
          <cell r="C6543" t="str">
            <v>mfnvsrvfinakn</v>
          </cell>
          <cell r="D6543">
            <v>113551.4553193476</v>
          </cell>
        </row>
        <row r="6544">
          <cell r="A6544" t="str">
            <v>BGD</v>
          </cell>
          <cell r="B6544">
            <v>1997</v>
          </cell>
          <cell r="C6544" t="str">
            <v>mfnvsrvrestkn</v>
          </cell>
          <cell r="D6544">
            <v>3038732.6287726648</v>
          </cell>
        </row>
        <row r="6545">
          <cell r="A6545" t="str">
            <v>BGD</v>
          </cell>
          <cell r="B6545">
            <v>1997</v>
          </cell>
          <cell r="C6545" t="str">
            <v>mfnvsrvtrnskn</v>
          </cell>
          <cell r="D6545">
            <v>601349.91404090112</v>
          </cell>
        </row>
        <row r="6546">
          <cell r="A6546" t="str">
            <v>BGD</v>
          </cell>
          <cell r="B6546">
            <v>1997</v>
          </cell>
          <cell r="C6546" t="str">
            <v>mfnygdpmktpkn</v>
          </cell>
          <cell r="D6546">
            <v>7153024.8044067798</v>
          </cell>
        </row>
        <row r="6547">
          <cell r="A6547" t="str">
            <v>BGD</v>
          </cell>
          <cell r="B6547">
            <v>1997</v>
          </cell>
          <cell r="C6547" t="str">
            <v>mfpop_totl</v>
          </cell>
          <cell r="D6547">
            <v>120161000.00000001</v>
          </cell>
        </row>
        <row r="6548">
          <cell r="A6548" t="str">
            <v>BGD</v>
          </cell>
          <cell r="B6548">
            <v>1998</v>
          </cell>
          <cell r="C6548" t="str">
            <v>mfgdppckn</v>
          </cell>
          <cell r="D6548">
            <v>61323.401129705388</v>
          </cell>
        </row>
        <row r="6549">
          <cell r="A6549" t="str">
            <v>BGD</v>
          </cell>
          <cell r="B6549">
            <v>1998</v>
          </cell>
          <cell r="C6549" t="str">
            <v>mfnvagrtotlkn</v>
          </cell>
          <cell r="D6549">
            <v>1479973.8042965406</v>
          </cell>
        </row>
        <row r="6550">
          <cell r="A6550" t="str">
            <v>BGD</v>
          </cell>
          <cell r="B6550">
            <v>1998</v>
          </cell>
          <cell r="C6550" t="str">
            <v>mfnvindconskn</v>
          </cell>
          <cell r="D6550">
            <v>365693.04055462335</v>
          </cell>
        </row>
        <row r="6551">
          <cell r="A6551" t="str">
            <v>BGD</v>
          </cell>
          <cell r="B6551">
            <v>1998</v>
          </cell>
          <cell r="C6551" t="str">
            <v>mfnvindrestkn</v>
          </cell>
          <cell r="D6551">
            <v>1218238.0043636889</v>
          </cell>
        </row>
        <row r="6552">
          <cell r="A6552" t="str">
            <v>BGD</v>
          </cell>
          <cell r="B6552">
            <v>1998</v>
          </cell>
          <cell r="C6552" t="str">
            <v>mfnvsrvfinakn</v>
          </cell>
          <cell r="D6552">
            <v>114556.56352576034</v>
          </cell>
        </row>
        <row r="6553">
          <cell r="A6553" t="str">
            <v>BGD</v>
          </cell>
          <cell r="B6553">
            <v>1998</v>
          </cell>
          <cell r="C6553" t="str">
            <v>mfnvsrvrestkn</v>
          </cell>
          <cell r="D6553">
            <v>3171200.7359768064</v>
          </cell>
        </row>
        <row r="6554">
          <cell r="A6554" t="str">
            <v>BGD</v>
          </cell>
          <cell r="B6554">
            <v>1998</v>
          </cell>
          <cell r="C6554" t="str">
            <v>mfnvsrvtrnskn</v>
          </cell>
          <cell r="D6554">
            <v>638285.88344439049</v>
          </cell>
        </row>
        <row r="6555">
          <cell r="A6555" t="str">
            <v>BGD</v>
          </cell>
          <cell r="B6555">
            <v>1998</v>
          </cell>
          <cell r="C6555" t="str">
            <v>mfnygdpmktpkn</v>
          </cell>
          <cell r="D6555">
            <v>7523338.8207956469</v>
          </cell>
        </row>
        <row r="6556">
          <cell r="A6556" t="str">
            <v>BGD</v>
          </cell>
          <cell r="B6556">
            <v>1998</v>
          </cell>
          <cell r="C6556" t="str">
            <v>mfpop_totl</v>
          </cell>
          <cell r="D6556">
            <v>122683000</v>
          </cell>
        </row>
        <row r="6557">
          <cell r="A6557" t="str">
            <v>BGD</v>
          </cell>
          <cell r="B6557">
            <v>1999</v>
          </cell>
          <cell r="C6557" t="str">
            <v>mfgdppckn</v>
          </cell>
          <cell r="D6557">
            <v>62901.913154742513</v>
          </cell>
        </row>
        <row r="6558">
          <cell r="A6558" t="str">
            <v>BGD</v>
          </cell>
          <cell r="B6558">
            <v>1999</v>
          </cell>
          <cell r="C6558" t="str">
            <v>mfnvagrtotlkn</v>
          </cell>
          <cell r="D6558">
            <v>1537419.6040938229</v>
          </cell>
        </row>
        <row r="6559">
          <cell r="A6559" t="str">
            <v>BGD</v>
          </cell>
          <cell r="B6559">
            <v>1999</v>
          </cell>
          <cell r="C6559" t="str">
            <v>mfnvindconskn</v>
          </cell>
          <cell r="D6559">
            <v>397816.67369710631</v>
          </cell>
        </row>
        <row r="6560">
          <cell r="A6560" t="str">
            <v>BGD</v>
          </cell>
          <cell r="B6560">
            <v>1999</v>
          </cell>
          <cell r="C6560" t="str">
            <v>mfnvindrestkn</v>
          </cell>
          <cell r="D6560">
            <v>1269133.0289974979</v>
          </cell>
        </row>
        <row r="6561">
          <cell r="A6561" t="str">
            <v>BGD</v>
          </cell>
          <cell r="B6561">
            <v>1999</v>
          </cell>
          <cell r="C6561" t="str">
            <v>mfnvsrvfinakn</v>
          </cell>
          <cell r="D6561">
            <v>119197.86738800663</v>
          </cell>
        </row>
        <row r="6562">
          <cell r="A6562" t="str">
            <v>BGD</v>
          </cell>
          <cell r="B6562">
            <v>1999</v>
          </cell>
          <cell r="C6562" t="str">
            <v>mfnvsrvrestkn</v>
          </cell>
          <cell r="D6562">
            <v>3300958.0968060764</v>
          </cell>
        </row>
        <row r="6563">
          <cell r="A6563" t="str">
            <v>BGD</v>
          </cell>
          <cell r="B6563">
            <v>1999</v>
          </cell>
          <cell r="C6563" t="str">
            <v>mfnvsrvtrnskn</v>
          </cell>
          <cell r="D6563">
            <v>678462.09678603557</v>
          </cell>
        </row>
        <row r="6564">
          <cell r="A6564" t="str">
            <v>BGD</v>
          </cell>
          <cell r="B6564">
            <v>1999</v>
          </cell>
          <cell r="C6564" t="str">
            <v>mfnygdpmktpkn</v>
          </cell>
          <cell r="D6564">
            <v>7874690.5078422148</v>
          </cell>
        </row>
        <row r="6565">
          <cell r="A6565" t="str">
            <v>BGD</v>
          </cell>
          <cell r="B6565">
            <v>1999</v>
          </cell>
          <cell r="C6565" t="str">
            <v>mfpop_totl</v>
          </cell>
          <cell r="D6565">
            <v>125190000</v>
          </cell>
        </row>
        <row r="6566">
          <cell r="A6566" t="str">
            <v>BGD</v>
          </cell>
          <cell r="B6566">
            <v>2000</v>
          </cell>
          <cell r="C6566" t="str">
            <v>mfgdppckn</v>
          </cell>
          <cell r="D6566">
            <v>64951.049558891173</v>
          </cell>
        </row>
        <row r="6567">
          <cell r="A6567" t="str">
            <v>BGD</v>
          </cell>
          <cell r="B6567">
            <v>2000</v>
          </cell>
          <cell r="C6567" t="str">
            <v>mfnvagrtotlkn</v>
          </cell>
          <cell r="D6567">
            <v>1651039.0037907602</v>
          </cell>
        </row>
        <row r="6568">
          <cell r="A6568" t="str">
            <v>BGD</v>
          </cell>
          <cell r="B6568">
            <v>2000</v>
          </cell>
          <cell r="C6568" t="str">
            <v>mfnvindconskn</v>
          </cell>
          <cell r="D6568">
            <v>431526.45661987201</v>
          </cell>
        </row>
        <row r="6569">
          <cell r="A6569" t="str">
            <v>BGD</v>
          </cell>
          <cell r="B6569">
            <v>2000</v>
          </cell>
          <cell r="C6569" t="str">
            <v>mfnvindrestkn</v>
          </cell>
          <cell r="D6569">
            <v>1339703.8082174473</v>
          </cell>
        </row>
        <row r="6570">
          <cell r="A6570" t="str">
            <v>BGD</v>
          </cell>
          <cell r="B6570">
            <v>2000</v>
          </cell>
          <cell r="C6570" t="str">
            <v>mfnvsrvfinakn</v>
          </cell>
          <cell r="D6570">
            <v>139822.50035083041</v>
          </cell>
        </row>
        <row r="6571">
          <cell r="A6571" t="str">
            <v>BGD</v>
          </cell>
          <cell r="B6571">
            <v>2000</v>
          </cell>
          <cell r="C6571" t="str">
            <v>mfnvsrvrestkn</v>
          </cell>
          <cell r="D6571">
            <v>3456065.7392050116</v>
          </cell>
        </row>
        <row r="6572">
          <cell r="A6572" t="str">
            <v>BGD</v>
          </cell>
          <cell r="B6572">
            <v>2000</v>
          </cell>
          <cell r="C6572" t="str">
            <v>mfnvsrvtrnskn</v>
          </cell>
          <cell r="D6572">
            <v>719317.75390357734</v>
          </cell>
        </row>
        <row r="6573">
          <cell r="A6573" t="str">
            <v>BGD</v>
          </cell>
          <cell r="B6573">
            <v>2000</v>
          </cell>
          <cell r="C6573" t="str">
            <v>mfnygdpmktpkn</v>
          </cell>
          <cell r="D6573">
            <v>8291521.0845889291</v>
          </cell>
        </row>
        <row r="6574">
          <cell r="A6574" t="str">
            <v>BGD</v>
          </cell>
          <cell r="B6574">
            <v>2000</v>
          </cell>
          <cell r="C6574" t="str">
            <v>mfpop_totl</v>
          </cell>
          <cell r="D6574">
            <v>127657999.99999999</v>
          </cell>
        </row>
        <row r="6575">
          <cell r="A6575" t="str">
            <v>BGD</v>
          </cell>
          <cell r="B6575">
            <v>2001</v>
          </cell>
          <cell r="C6575" t="str">
            <v>mfgdppckn</v>
          </cell>
          <cell r="D6575">
            <v>66973.421819362105</v>
          </cell>
        </row>
        <row r="6576">
          <cell r="A6576" t="str">
            <v>BGD</v>
          </cell>
          <cell r="B6576">
            <v>2001</v>
          </cell>
          <cell r="C6576" t="str">
            <v>mfnvagrtotlkn</v>
          </cell>
          <cell r="D6576">
            <v>1696573.4513237008</v>
          </cell>
        </row>
        <row r="6577">
          <cell r="A6577" t="str">
            <v>BGD</v>
          </cell>
          <cell r="B6577">
            <v>2001</v>
          </cell>
          <cell r="C6577" t="str">
            <v>mfnvindconskn</v>
          </cell>
          <cell r="D6577">
            <v>471871.35945070535</v>
          </cell>
        </row>
        <row r="6578">
          <cell r="A6578" t="str">
            <v>BGD</v>
          </cell>
          <cell r="B6578">
            <v>2001</v>
          </cell>
          <cell r="C6578" t="str">
            <v>mfnvindrestkn</v>
          </cell>
          <cell r="D6578">
            <v>1431522.4343463874</v>
          </cell>
        </row>
        <row r="6579">
          <cell r="A6579" t="str">
            <v>BGD</v>
          </cell>
          <cell r="B6579">
            <v>2001</v>
          </cell>
          <cell r="C6579" t="str">
            <v>mfnvsrvfinakn</v>
          </cell>
          <cell r="D6579">
            <v>169469.67807564829</v>
          </cell>
        </row>
        <row r="6580">
          <cell r="A6580" t="str">
            <v>BGD</v>
          </cell>
          <cell r="B6580">
            <v>2001</v>
          </cell>
          <cell r="C6580" t="str">
            <v>mfnvsrvrestkn</v>
          </cell>
          <cell r="D6580">
            <v>3604072.0226910394</v>
          </cell>
        </row>
        <row r="6581">
          <cell r="A6581" t="str">
            <v>BGD</v>
          </cell>
          <cell r="B6581">
            <v>2001</v>
          </cell>
          <cell r="C6581" t="str">
            <v>mfnvsrvtrnskn</v>
          </cell>
          <cell r="D6581">
            <v>773457.7082946864</v>
          </cell>
        </row>
        <row r="6582">
          <cell r="A6582" t="str">
            <v>BGD</v>
          </cell>
          <cell r="B6582">
            <v>2001</v>
          </cell>
          <cell r="C6582" t="str">
            <v>mfnygdpmktpkn</v>
          </cell>
          <cell r="D6582">
            <v>8712505.4710589964</v>
          </cell>
        </row>
        <row r="6583">
          <cell r="A6583" t="str">
            <v>BGD</v>
          </cell>
          <cell r="B6583">
            <v>2001</v>
          </cell>
          <cell r="C6583" t="str">
            <v>mfpop_totl</v>
          </cell>
          <cell r="D6583">
            <v>130088999.99999999</v>
          </cell>
        </row>
        <row r="6584">
          <cell r="A6584" t="str">
            <v>BGD</v>
          </cell>
          <cell r="B6584">
            <v>2002</v>
          </cell>
          <cell r="C6584" t="str">
            <v>mfgdppckn</v>
          </cell>
          <cell r="D6584">
            <v>68286.557798644717</v>
          </cell>
        </row>
        <row r="6585">
          <cell r="A6585" t="str">
            <v>BGD</v>
          </cell>
          <cell r="B6585">
            <v>2002</v>
          </cell>
          <cell r="C6585" t="str">
            <v>mfnvagrtotlkn</v>
          </cell>
          <cell r="D6585">
            <v>1694556.2061821595</v>
          </cell>
        </row>
        <row r="6586">
          <cell r="A6586" t="str">
            <v>BGD</v>
          </cell>
          <cell r="B6586">
            <v>2002</v>
          </cell>
          <cell r="C6586" t="str">
            <v>mfnvindconskn</v>
          </cell>
          <cell r="D6586">
            <v>511103.38023481122</v>
          </cell>
        </row>
        <row r="6587">
          <cell r="A6587" t="str">
            <v>BGD</v>
          </cell>
          <cell r="B6587">
            <v>2002</v>
          </cell>
          <cell r="C6587" t="str">
            <v>mfnvindrestkn</v>
          </cell>
          <cell r="D6587">
            <v>1502744.5424273694</v>
          </cell>
        </row>
        <row r="6588">
          <cell r="A6588" t="str">
            <v>BGD</v>
          </cell>
          <cell r="B6588">
            <v>2002</v>
          </cell>
          <cell r="C6588" t="str">
            <v>mfnvsrvfinakn</v>
          </cell>
          <cell r="D6588">
            <v>188351.18631686119</v>
          </cell>
        </row>
        <row r="6589">
          <cell r="A6589" t="str">
            <v>BGD</v>
          </cell>
          <cell r="B6589">
            <v>2002</v>
          </cell>
          <cell r="C6589" t="str">
            <v>mfnvsrvrestkn</v>
          </cell>
          <cell r="D6589">
            <v>3757417.7970917863</v>
          </cell>
        </row>
        <row r="6590">
          <cell r="A6590" t="str">
            <v>BGD</v>
          </cell>
          <cell r="B6590">
            <v>2002</v>
          </cell>
          <cell r="C6590" t="str">
            <v>mfnvsrvtrnskn</v>
          </cell>
          <cell r="D6590">
            <v>821175.74754878518</v>
          </cell>
        </row>
        <row r="6591">
          <cell r="A6591" t="str">
            <v>BGD</v>
          </cell>
          <cell r="B6591">
            <v>2002</v>
          </cell>
          <cell r="C6591" t="str">
            <v>mfnygdpmktpkn</v>
          </cell>
          <cell r="D6591">
            <v>9046466.6040488556</v>
          </cell>
        </row>
        <row r="6592">
          <cell r="A6592" t="str">
            <v>BGD</v>
          </cell>
          <cell r="B6592">
            <v>2002</v>
          </cell>
          <cell r="C6592" t="str">
            <v>mfpop_totl</v>
          </cell>
          <cell r="D6592">
            <v>132478000.00000001</v>
          </cell>
        </row>
        <row r="6593">
          <cell r="A6593" t="str">
            <v>BGD</v>
          </cell>
          <cell r="B6593">
            <v>2003</v>
          </cell>
          <cell r="C6593" t="str">
            <v>mfgdppckn</v>
          </cell>
          <cell r="D6593">
            <v>70295.195456634348</v>
          </cell>
        </row>
        <row r="6594">
          <cell r="A6594" t="str">
            <v>BGD</v>
          </cell>
          <cell r="B6594">
            <v>2003</v>
          </cell>
          <cell r="C6594" t="str">
            <v>mfnvagrtotlkn</v>
          </cell>
          <cell r="D6594">
            <v>1762064.8025914293</v>
          </cell>
        </row>
        <row r="6595">
          <cell r="A6595" t="str">
            <v>BGD</v>
          </cell>
          <cell r="B6595">
            <v>2003</v>
          </cell>
          <cell r="C6595" t="str">
            <v>mfnvindconskn</v>
          </cell>
          <cell r="D6595">
            <v>549325.60699336021</v>
          </cell>
        </row>
        <row r="6596">
          <cell r="A6596" t="str">
            <v>BGD</v>
          </cell>
          <cell r="B6596">
            <v>2003</v>
          </cell>
          <cell r="C6596" t="str">
            <v>mfnvindrestkn</v>
          </cell>
          <cell r="D6596">
            <v>1597067.7388888395</v>
          </cell>
        </row>
        <row r="6597">
          <cell r="A6597" t="str">
            <v>BGD</v>
          </cell>
          <cell r="B6597">
            <v>2003</v>
          </cell>
          <cell r="C6597" t="str">
            <v>mfnvsrvfinakn</v>
          </cell>
          <cell r="D6597">
            <v>200609.28919786695</v>
          </cell>
        </row>
        <row r="6598">
          <cell r="A6598" t="str">
            <v>BGD</v>
          </cell>
          <cell r="B6598">
            <v>2003</v>
          </cell>
          <cell r="C6598" t="str">
            <v>mfnvsrvrestkn</v>
          </cell>
          <cell r="D6598">
            <v>3929811.426313363</v>
          </cell>
        </row>
        <row r="6599">
          <cell r="A6599" t="str">
            <v>BGD</v>
          </cell>
          <cell r="B6599">
            <v>2003</v>
          </cell>
          <cell r="C6599" t="str">
            <v>mfnvsrvtrnskn</v>
          </cell>
          <cell r="D6599">
            <v>873863.0980052182</v>
          </cell>
        </row>
        <row r="6600">
          <cell r="A6600" t="str">
            <v>BGD</v>
          </cell>
          <cell r="B6600">
            <v>2003</v>
          </cell>
          <cell r="C6600" t="str">
            <v>mfnygdpmktpkn</v>
          </cell>
          <cell r="D6600">
            <v>9475229.9859906565</v>
          </cell>
        </row>
        <row r="6601">
          <cell r="A6601" t="str">
            <v>BGD</v>
          </cell>
          <cell r="B6601">
            <v>2003</v>
          </cell>
          <cell r="C6601" t="str">
            <v>mfpop_totl</v>
          </cell>
          <cell r="D6601">
            <v>134792000</v>
          </cell>
        </row>
        <row r="6602">
          <cell r="A6602" t="str">
            <v>BGD</v>
          </cell>
          <cell r="B6602">
            <v>2004</v>
          </cell>
          <cell r="C6602" t="str">
            <v>mfgdppckn</v>
          </cell>
          <cell r="D6602">
            <v>72793.480935626401</v>
          </cell>
        </row>
        <row r="6603">
          <cell r="A6603" t="str">
            <v>BGD</v>
          </cell>
          <cell r="B6603">
            <v>2004</v>
          </cell>
          <cell r="C6603" t="str">
            <v>mfnvagrtotlkn</v>
          </cell>
          <cell r="D6603">
            <v>1849701.3351342469</v>
          </cell>
        </row>
        <row r="6604">
          <cell r="A6604" t="str">
            <v>BGD</v>
          </cell>
          <cell r="B6604">
            <v>2004</v>
          </cell>
          <cell r="C6604" t="str">
            <v>mfnvindconskn</v>
          </cell>
          <cell r="D6604">
            <v>593772.94448486622</v>
          </cell>
        </row>
        <row r="6605">
          <cell r="A6605" t="str">
            <v>BGD</v>
          </cell>
          <cell r="B6605">
            <v>2004</v>
          </cell>
          <cell r="C6605" t="str">
            <v>mfnvindrestkn</v>
          </cell>
          <cell r="D6605">
            <v>1703925.5015608184</v>
          </cell>
        </row>
        <row r="6606">
          <cell r="A6606" t="str">
            <v>BGD</v>
          </cell>
          <cell r="B6606">
            <v>2004</v>
          </cell>
          <cell r="C6606" t="str">
            <v>mfnvsrvfinakn</v>
          </cell>
          <cell r="D6606">
            <v>218382.60121149648</v>
          </cell>
        </row>
        <row r="6607">
          <cell r="A6607" t="str">
            <v>BGD</v>
          </cell>
          <cell r="B6607">
            <v>2004</v>
          </cell>
          <cell r="C6607" t="str">
            <v>mfnvsrvrestkn</v>
          </cell>
          <cell r="D6607">
            <v>4104430.8196283933</v>
          </cell>
        </row>
        <row r="6608">
          <cell r="A6608" t="str">
            <v>BGD</v>
          </cell>
          <cell r="B6608">
            <v>2004</v>
          </cell>
          <cell r="C6608" t="str">
            <v>mfnvsrvtrnskn</v>
          </cell>
          <cell r="D6608">
            <v>942348.68770603638</v>
          </cell>
        </row>
        <row r="6609">
          <cell r="A6609" t="str">
            <v>BGD</v>
          </cell>
          <cell r="B6609">
            <v>2004</v>
          </cell>
          <cell r="C6609" t="str">
            <v>mfnygdpmktpkn</v>
          </cell>
          <cell r="D6609">
            <v>9971687.7794477176</v>
          </cell>
        </row>
        <row r="6610">
          <cell r="A6610" t="str">
            <v>BGD</v>
          </cell>
          <cell r="B6610">
            <v>2004</v>
          </cell>
          <cell r="C6610" t="str">
            <v>mfpop_totl</v>
          </cell>
          <cell r="D6610">
            <v>136985999.99999997</v>
          </cell>
        </row>
        <row r="6611">
          <cell r="A6611" t="str">
            <v>BGD</v>
          </cell>
          <cell r="B6611">
            <v>2005</v>
          </cell>
          <cell r="C6611" t="str">
            <v>mfgdppckn</v>
          </cell>
          <cell r="D6611">
            <v>76407.777858636138</v>
          </cell>
        </row>
        <row r="6612">
          <cell r="A6612" t="str">
            <v>BGD</v>
          </cell>
          <cell r="B6612">
            <v>2005</v>
          </cell>
          <cell r="C6612" t="str">
            <v>mfnvagrtotlkn</v>
          </cell>
          <cell r="D6612">
            <v>1930763.6634178706</v>
          </cell>
        </row>
        <row r="6613">
          <cell r="A6613" t="str">
            <v>BGD</v>
          </cell>
          <cell r="B6613">
            <v>2005</v>
          </cell>
          <cell r="C6613" t="str">
            <v>mfnvindconskn</v>
          </cell>
          <cell r="D6613">
            <v>642896.72948219953</v>
          </cell>
        </row>
        <row r="6614">
          <cell r="A6614" t="str">
            <v>BGD</v>
          </cell>
          <cell r="B6614">
            <v>2005</v>
          </cell>
          <cell r="C6614" t="str">
            <v>mfnvindrestkn</v>
          </cell>
          <cell r="D6614">
            <v>1837063.6809025682</v>
          </cell>
        </row>
        <row r="6615">
          <cell r="A6615" t="str">
            <v>BGD</v>
          </cell>
          <cell r="B6615">
            <v>2005</v>
          </cell>
          <cell r="C6615" t="str">
            <v>mfnvsrvfinakn</v>
          </cell>
          <cell r="D6615">
            <v>260608.8604286921</v>
          </cell>
        </row>
        <row r="6616">
          <cell r="A6616" t="str">
            <v>BGD</v>
          </cell>
          <cell r="B6616">
            <v>2005</v>
          </cell>
          <cell r="C6616" t="str">
            <v>mfnvsrvrestkn</v>
          </cell>
          <cell r="D6616">
            <v>4325688.1708848048</v>
          </cell>
        </row>
        <row r="6617">
          <cell r="A6617" t="str">
            <v>BGD</v>
          </cell>
          <cell r="B6617">
            <v>2005</v>
          </cell>
          <cell r="C6617" t="str">
            <v>mfnvsrvtrnskn</v>
          </cell>
          <cell r="D6617">
            <v>1005073.0627691644</v>
          </cell>
        </row>
        <row r="6618">
          <cell r="A6618" t="str">
            <v>BGD</v>
          </cell>
          <cell r="B6618">
            <v>2005</v>
          </cell>
          <cell r="C6618" t="str">
            <v>mfnygdpmktpkn</v>
          </cell>
          <cell r="D6618">
            <v>10623431.802353334</v>
          </cell>
        </row>
        <row r="6619">
          <cell r="A6619" t="str">
            <v>BGD</v>
          </cell>
          <cell r="B6619">
            <v>2005</v>
          </cell>
          <cell r="C6619" t="str">
            <v>mfpop_totl</v>
          </cell>
          <cell r="D6619">
            <v>139036000</v>
          </cell>
        </row>
        <row r="6620">
          <cell r="A6620" t="str">
            <v>BGD</v>
          </cell>
          <cell r="B6620">
            <v>2006</v>
          </cell>
          <cell r="C6620" t="str">
            <v>mfgdppckn</v>
          </cell>
          <cell r="D6620">
            <v>80415.361638355738</v>
          </cell>
        </row>
        <row r="6621">
          <cell r="A6621" t="str">
            <v>BGD</v>
          </cell>
          <cell r="B6621">
            <v>2006</v>
          </cell>
          <cell r="C6621" t="str">
            <v>mfnvagrtotlkn</v>
          </cell>
          <cell r="D6621">
            <v>2037973.5205495418</v>
          </cell>
        </row>
        <row r="6622">
          <cell r="A6622" t="str">
            <v>BGD</v>
          </cell>
          <cell r="B6622">
            <v>2006</v>
          </cell>
          <cell r="C6622" t="str">
            <v>mfnvindconskn</v>
          </cell>
          <cell r="D6622">
            <v>698766.02816550992</v>
          </cell>
        </row>
        <row r="6623">
          <cell r="A6623" t="str">
            <v>BGD</v>
          </cell>
          <cell r="B6623">
            <v>2006</v>
          </cell>
          <cell r="C6623" t="str">
            <v>mfnvindrestkn</v>
          </cell>
          <cell r="D6623">
            <v>2024178.4221022315</v>
          </cell>
        </row>
        <row r="6624">
          <cell r="A6624" t="str">
            <v>BGD</v>
          </cell>
          <cell r="B6624">
            <v>2006</v>
          </cell>
          <cell r="C6624" t="str">
            <v>mfnvsrvfinakn</v>
          </cell>
          <cell r="D6624">
            <v>333065.6086300108</v>
          </cell>
        </row>
        <row r="6625">
          <cell r="A6625" t="str">
            <v>BGD</v>
          </cell>
          <cell r="B6625">
            <v>2006</v>
          </cell>
          <cell r="C6625" t="str">
            <v>mfnvsrvrestkn</v>
          </cell>
          <cell r="D6625">
            <v>4538066.0676160827</v>
          </cell>
        </row>
        <row r="6626">
          <cell r="A6626" t="str">
            <v>BGD</v>
          </cell>
          <cell r="B6626">
            <v>2006</v>
          </cell>
          <cell r="C6626" t="str">
            <v>mfnvsrvtrnskn</v>
          </cell>
          <cell r="D6626">
            <v>1089387.0116116754</v>
          </cell>
        </row>
        <row r="6627">
          <cell r="A6627" t="str">
            <v>BGD</v>
          </cell>
          <cell r="B6627">
            <v>2006</v>
          </cell>
          <cell r="C6627" t="str">
            <v>mfnygdpmktpkn</v>
          </cell>
          <cell r="D6627">
            <v>11332213.177438729</v>
          </cell>
        </row>
        <row r="6628">
          <cell r="A6628" t="str">
            <v>BGD</v>
          </cell>
          <cell r="B6628">
            <v>2006</v>
          </cell>
          <cell r="C6628" t="str">
            <v>mfpop_totl</v>
          </cell>
          <cell r="D6628">
            <v>140921000</v>
          </cell>
        </row>
        <row r="6629">
          <cell r="A6629" t="str">
            <v>BGD</v>
          </cell>
          <cell r="B6629">
            <v>2007</v>
          </cell>
          <cell r="C6629" t="str">
            <v>mfgdppckn</v>
          </cell>
          <cell r="D6629">
            <v>85042.148322798734</v>
          </cell>
        </row>
        <row r="6630">
          <cell r="A6630" t="str">
            <v>BGD</v>
          </cell>
          <cell r="B6630">
            <v>2007</v>
          </cell>
          <cell r="C6630" t="str">
            <v>mfnvagrtotlkn</v>
          </cell>
          <cell r="D6630">
            <v>2174364.8225567653</v>
          </cell>
        </row>
        <row r="6631">
          <cell r="A6631" t="str">
            <v>BGD</v>
          </cell>
          <cell r="B6631">
            <v>2007</v>
          </cell>
          <cell r="C6631" t="str">
            <v>mfnvindconskn</v>
          </cell>
          <cell r="D6631">
            <v>745886.58343318617</v>
          </cell>
        </row>
        <row r="6632">
          <cell r="A6632" t="str">
            <v>BGD</v>
          </cell>
          <cell r="B6632">
            <v>2007</v>
          </cell>
          <cell r="C6632" t="str">
            <v>mfnvindrestkn</v>
          </cell>
          <cell r="D6632">
            <v>2222880.6147578391</v>
          </cell>
        </row>
        <row r="6633">
          <cell r="A6633" t="str">
            <v>BGD</v>
          </cell>
          <cell r="B6633">
            <v>2007</v>
          </cell>
          <cell r="C6633" t="str">
            <v>mfnvsrvfinakn</v>
          </cell>
          <cell r="D6633">
            <v>354693.1295083352</v>
          </cell>
        </row>
        <row r="6634">
          <cell r="A6634" t="str">
            <v>BGD</v>
          </cell>
          <cell r="B6634">
            <v>2007</v>
          </cell>
          <cell r="C6634" t="str">
            <v>mfnvsrvrestkn</v>
          </cell>
          <cell r="D6634">
            <v>4800347.8785734745</v>
          </cell>
        </row>
        <row r="6635">
          <cell r="A6635" t="str">
            <v>BGD</v>
          </cell>
          <cell r="B6635">
            <v>2007</v>
          </cell>
          <cell r="C6635" t="str">
            <v>mfnvsrvtrnskn</v>
          </cell>
          <cell r="D6635">
            <v>1192024.1190658992</v>
          </cell>
        </row>
        <row r="6636">
          <cell r="A6636" t="str">
            <v>BGD</v>
          </cell>
          <cell r="B6636">
            <v>2007</v>
          </cell>
          <cell r="C6636" t="str">
            <v>mfnygdpmktpkn</v>
          </cell>
          <cell r="D6636">
            <v>12132112.879730467</v>
          </cell>
        </row>
        <row r="6637">
          <cell r="A6637" t="str">
            <v>BGD</v>
          </cell>
          <cell r="B6637">
            <v>2007</v>
          </cell>
          <cell r="C6637" t="str">
            <v>mfpop_totl</v>
          </cell>
          <cell r="D6637">
            <v>142660000</v>
          </cell>
        </row>
        <row r="6638">
          <cell r="A6638" t="str">
            <v>BGD</v>
          </cell>
          <cell r="B6638">
            <v>2008</v>
          </cell>
          <cell r="C6638" t="str">
            <v>mfgdppckn</v>
          </cell>
          <cell r="D6638">
            <v>89129.287072224572</v>
          </cell>
        </row>
        <row r="6639">
          <cell r="A6639" t="str">
            <v>BGD</v>
          </cell>
          <cell r="B6639">
            <v>2008</v>
          </cell>
          <cell r="C6639" t="str">
            <v>mfnvagrtotlkn</v>
          </cell>
          <cell r="D6639">
            <v>2272077.905051453</v>
          </cell>
        </row>
        <row r="6640">
          <cell r="A6640" t="str">
            <v>BGD</v>
          </cell>
          <cell r="B6640">
            <v>2008</v>
          </cell>
          <cell r="C6640" t="str">
            <v>mfnvindconskn</v>
          </cell>
          <cell r="D6640">
            <v>790548.70110557042</v>
          </cell>
        </row>
        <row r="6641">
          <cell r="A6641" t="str">
            <v>BGD</v>
          </cell>
          <cell r="B6641">
            <v>2008</v>
          </cell>
          <cell r="C6641" t="str">
            <v>mfnvindrestkn</v>
          </cell>
          <cell r="D6641">
            <v>2387027.7485166406</v>
          </cell>
        </row>
        <row r="6642">
          <cell r="A6642" t="str">
            <v>BGD</v>
          </cell>
          <cell r="B6642">
            <v>2008</v>
          </cell>
          <cell r="C6642" t="str">
            <v>mfnvsrvfinakn</v>
          </cell>
          <cell r="D6642">
            <v>368602.04769215174</v>
          </cell>
        </row>
        <row r="6643">
          <cell r="A6643" t="str">
            <v>BGD</v>
          </cell>
          <cell r="B6643">
            <v>2008</v>
          </cell>
          <cell r="C6643" t="str">
            <v>mfnvsrvrestkn</v>
          </cell>
          <cell r="D6643">
            <v>5053764.9741531936</v>
          </cell>
        </row>
        <row r="6644">
          <cell r="A6644" t="str">
            <v>BGD</v>
          </cell>
          <cell r="B6644">
            <v>2008</v>
          </cell>
          <cell r="C6644" t="str">
            <v>mfnvsrvtrnskn</v>
          </cell>
          <cell r="D6644">
            <v>1290440.2896587271</v>
          </cell>
        </row>
        <row r="6645">
          <cell r="A6645" t="str">
            <v>BGD</v>
          </cell>
          <cell r="B6645">
            <v>2008</v>
          </cell>
          <cell r="C6645" t="str">
            <v>mfnygdpmktpkn</v>
          </cell>
          <cell r="D6645">
            <v>12861712.641670294</v>
          </cell>
        </row>
        <row r="6646">
          <cell r="A6646" t="str">
            <v>BGD</v>
          </cell>
          <cell r="B6646">
            <v>2008</v>
          </cell>
          <cell r="C6646" t="str">
            <v>mfpop_totl</v>
          </cell>
          <cell r="D6646">
            <v>144304000</v>
          </cell>
        </row>
        <row r="6647">
          <cell r="A6647" t="str">
            <v>BGD</v>
          </cell>
          <cell r="B6647">
            <v>2009</v>
          </cell>
          <cell r="C6647" t="str">
            <v>mfgdppckn</v>
          </cell>
          <cell r="D6647">
            <v>92585.931780784973</v>
          </cell>
        </row>
        <row r="6648">
          <cell r="A6648" t="str">
            <v>BGD</v>
          </cell>
          <cell r="B6648">
            <v>2009</v>
          </cell>
          <cell r="C6648" t="str">
            <v>mfnvagrtotlkn</v>
          </cell>
          <cell r="D6648">
            <v>2350830.1350540253</v>
          </cell>
        </row>
        <row r="6649">
          <cell r="A6649" t="str">
            <v>BGD</v>
          </cell>
          <cell r="B6649">
            <v>2009</v>
          </cell>
          <cell r="C6649" t="str">
            <v>mfnvindconskn</v>
          </cell>
          <cell r="D6649">
            <v>842547.01212399453</v>
          </cell>
        </row>
        <row r="6650">
          <cell r="A6650" t="str">
            <v>BGD</v>
          </cell>
          <cell r="B6650">
            <v>2009</v>
          </cell>
          <cell r="C6650" t="str">
            <v>mfnvindrestkn</v>
          </cell>
          <cell r="D6650">
            <v>2554700.8028709926</v>
          </cell>
        </row>
        <row r="6651">
          <cell r="A6651" t="str">
            <v>BGD</v>
          </cell>
          <cell r="B6651">
            <v>2009</v>
          </cell>
          <cell r="C6651" t="str">
            <v>mfnvsrvfinakn</v>
          </cell>
          <cell r="D6651">
            <v>368499.70991025446</v>
          </cell>
        </row>
        <row r="6652">
          <cell r="A6652" t="str">
            <v>BGD</v>
          </cell>
          <cell r="B6652">
            <v>2009</v>
          </cell>
          <cell r="C6652" t="str">
            <v>mfnvsrvrestkn</v>
          </cell>
          <cell r="D6652">
            <v>5290967.5247734971</v>
          </cell>
        </row>
        <row r="6653">
          <cell r="A6653" t="str">
            <v>BGD</v>
          </cell>
          <cell r="B6653">
            <v>2009</v>
          </cell>
          <cell r="C6653" t="str">
            <v>mfnvsrvtrnskn</v>
          </cell>
          <cell r="D6653">
            <v>1394348.6908441028</v>
          </cell>
        </row>
        <row r="6654">
          <cell r="A6654" t="str">
            <v>BGD</v>
          </cell>
          <cell r="B6654">
            <v>2009</v>
          </cell>
          <cell r="C6654" t="str">
            <v>mfnygdpmktpkn</v>
          </cell>
          <cell r="D6654">
            <v>13510602.095111048</v>
          </cell>
        </row>
        <row r="6655">
          <cell r="A6655" t="str">
            <v>BGD</v>
          </cell>
          <cell r="B6655">
            <v>2009</v>
          </cell>
          <cell r="C6655" t="str">
            <v>mfpop_totl</v>
          </cell>
          <cell r="D6655">
            <v>145925000</v>
          </cell>
        </row>
        <row r="6656">
          <cell r="A6656" t="str">
            <v>BGD</v>
          </cell>
          <cell r="B6656">
            <v>2010</v>
          </cell>
          <cell r="C6656" t="str">
            <v>mfgdppckn</v>
          </cell>
          <cell r="D6656">
            <v>96651.777942560075</v>
          </cell>
        </row>
        <row r="6657">
          <cell r="A6657" t="str">
            <v>BGD</v>
          </cell>
          <cell r="B6657">
            <v>2010</v>
          </cell>
          <cell r="C6657" t="str">
            <v>mfnvagrtotlkn</v>
          </cell>
          <cell r="D6657">
            <v>2495451.9620685186</v>
          </cell>
        </row>
        <row r="6658">
          <cell r="A6658" t="str">
            <v>BGD</v>
          </cell>
          <cell r="B6658">
            <v>2010</v>
          </cell>
          <cell r="C6658" t="str">
            <v>mfnvindconskn</v>
          </cell>
          <cell r="D6658">
            <v>903289.93139576074</v>
          </cell>
        </row>
        <row r="6659">
          <cell r="A6659" t="str">
            <v>BGD</v>
          </cell>
          <cell r="B6659">
            <v>2010</v>
          </cell>
          <cell r="C6659" t="str">
            <v>mfnvindrestkn</v>
          </cell>
          <cell r="D6659">
            <v>2732859.2109647235</v>
          </cell>
        </row>
        <row r="6660">
          <cell r="A6660" t="str">
            <v>BGD</v>
          </cell>
          <cell r="B6660">
            <v>2010</v>
          </cell>
          <cell r="C6660" t="str">
            <v>mfnvsrvfinakn</v>
          </cell>
          <cell r="D6660">
            <v>391515.75892287679</v>
          </cell>
        </row>
        <row r="6661">
          <cell r="A6661" t="str">
            <v>BGD</v>
          </cell>
          <cell r="B6661">
            <v>2010</v>
          </cell>
          <cell r="C6661" t="str">
            <v>mfnvsrvrestkn</v>
          </cell>
          <cell r="D6661">
            <v>5552693.5758154429</v>
          </cell>
        </row>
        <row r="6662">
          <cell r="A6662" t="str">
            <v>BGD</v>
          </cell>
          <cell r="B6662">
            <v>2010</v>
          </cell>
          <cell r="C6662" t="str">
            <v>mfnvsrvtrnskn</v>
          </cell>
          <cell r="D6662">
            <v>1499600.0352543718</v>
          </cell>
        </row>
        <row r="6663">
          <cell r="A6663" t="str">
            <v>BGD</v>
          </cell>
          <cell r="B6663">
            <v>2010</v>
          </cell>
          <cell r="C6663" t="str">
            <v>mfnygdpmktpkn</v>
          </cell>
          <cell r="D6663">
            <v>14263386.129873302</v>
          </cell>
        </row>
        <row r="6664">
          <cell r="A6664" t="str">
            <v>BGD</v>
          </cell>
          <cell r="B6664">
            <v>2010</v>
          </cell>
          <cell r="C6664" t="str">
            <v>mfpop_totl</v>
          </cell>
          <cell r="D6664">
            <v>147575000</v>
          </cell>
        </row>
        <row r="6665">
          <cell r="A6665" t="str">
            <v>BGD</v>
          </cell>
          <cell r="B6665">
            <v>2011</v>
          </cell>
          <cell r="C6665" t="str">
            <v>mfgdppckn</v>
          </cell>
          <cell r="D6665">
            <v>101729.22205397335</v>
          </cell>
        </row>
        <row r="6666">
          <cell r="A6666" t="str">
            <v>BGD</v>
          </cell>
          <cell r="B6666">
            <v>2011</v>
          </cell>
          <cell r="C6666" t="str">
            <v>mfnvagrtotlkn</v>
          </cell>
          <cell r="D6666">
            <v>2606658.5095816543</v>
          </cell>
        </row>
        <row r="6667">
          <cell r="A6667" t="str">
            <v>BGD</v>
          </cell>
          <cell r="B6667">
            <v>2011</v>
          </cell>
          <cell r="C6667" t="str">
            <v>mfnvindconskn</v>
          </cell>
          <cell r="D6667">
            <v>966097.73774830904</v>
          </cell>
        </row>
        <row r="6668">
          <cell r="A6668" t="str">
            <v>BGD</v>
          </cell>
          <cell r="B6668">
            <v>2011</v>
          </cell>
          <cell r="C6668" t="str">
            <v>mfnvindrestkn</v>
          </cell>
          <cell r="D6668">
            <v>2998000.4291349361</v>
          </cell>
        </row>
        <row r="6669">
          <cell r="A6669" t="str">
            <v>BGD</v>
          </cell>
          <cell r="B6669">
            <v>2011</v>
          </cell>
          <cell r="C6669" t="str">
            <v>mfnvsrvfinakn</v>
          </cell>
          <cell r="D6669">
            <v>432404.62829480664</v>
          </cell>
        </row>
        <row r="6670">
          <cell r="A6670" t="str">
            <v>BGD</v>
          </cell>
          <cell r="B6670">
            <v>2011</v>
          </cell>
          <cell r="C6670" t="str">
            <v>mfnvsrvrestkn</v>
          </cell>
          <cell r="D6670">
            <v>5847959.9085854245</v>
          </cell>
        </row>
        <row r="6671">
          <cell r="A6671" t="str">
            <v>BGD</v>
          </cell>
          <cell r="B6671">
            <v>2011</v>
          </cell>
          <cell r="C6671" t="str">
            <v>mfnvsrvtrnskn</v>
          </cell>
          <cell r="D6671">
            <v>1626198.6126155974</v>
          </cell>
        </row>
        <row r="6672">
          <cell r="A6672" t="str">
            <v>BGD</v>
          </cell>
          <cell r="B6672">
            <v>2011</v>
          </cell>
          <cell r="C6672" t="str">
            <v>mfnygdpmktpkn</v>
          </cell>
          <cell r="D6672">
            <v>15185426.163662763</v>
          </cell>
        </row>
        <row r="6673">
          <cell r="A6673" t="str">
            <v>BGD</v>
          </cell>
          <cell r="B6673">
            <v>2011</v>
          </cell>
          <cell r="C6673" t="str">
            <v>mfpop_totl</v>
          </cell>
          <cell r="D6673">
            <v>149273000</v>
          </cell>
        </row>
        <row r="6674">
          <cell r="A6674" t="str">
            <v>BGD</v>
          </cell>
          <cell r="B6674">
            <v>2012</v>
          </cell>
          <cell r="C6674" t="str">
            <v>mfgdppckn</v>
          </cell>
          <cell r="D6674">
            <v>107119.8089632223</v>
          </cell>
        </row>
        <row r="6675">
          <cell r="A6675" t="str">
            <v>BGD</v>
          </cell>
          <cell r="B6675">
            <v>2012</v>
          </cell>
          <cell r="C6675" t="str">
            <v>mfnvagrtotlkn</v>
          </cell>
          <cell r="D6675">
            <v>2685230.2717251824</v>
          </cell>
        </row>
        <row r="6676">
          <cell r="A6676" t="str">
            <v>BGD</v>
          </cell>
          <cell r="B6676">
            <v>2012</v>
          </cell>
          <cell r="C6676" t="str">
            <v>mfnvindconskn</v>
          </cell>
          <cell r="D6676">
            <v>1047488.5763304057</v>
          </cell>
        </row>
        <row r="6677">
          <cell r="A6677" t="str">
            <v>BGD</v>
          </cell>
          <cell r="B6677">
            <v>2012</v>
          </cell>
          <cell r="C6677" t="str">
            <v>mfnvindrestkn</v>
          </cell>
          <cell r="D6677">
            <v>3290645.9880837202</v>
          </cell>
        </row>
        <row r="6678">
          <cell r="A6678" t="str">
            <v>BGD</v>
          </cell>
          <cell r="B6678">
            <v>2012</v>
          </cell>
          <cell r="C6678" t="str">
            <v>mfnvsrvfinakn</v>
          </cell>
          <cell r="D6678">
            <v>496220.23026814475</v>
          </cell>
        </row>
        <row r="6679">
          <cell r="A6679" t="str">
            <v>BGD</v>
          </cell>
          <cell r="B6679">
            <v>2012</v>
          </cell>
          <cell r="C6679" t="str">
            <v>mfnvsrvrestkn</v>
          </cell>
          <cell r="D6679">
            <v>6155274.6138177505</v>
          </cell>
        </row>
        <row r="6680">
          <cell r="A6680" t="str">
            <v>BGD</v>
          </cell>
          <cell r="B6680">
            <v>2012</v>
          </cell>
          <cell r="C6680" t="str">
            <v>mfnvsrvtrnskn</v>
          </cell>
          <cell r="D6680">
            <v>1775008.3686144082</v>
          </cell>
        </row>
        <row r="6681">
          <cell r="A6681" t="str">
            <v>BGD</v>
          </cell>
          <cell r="B6681">
            <v>2012</v>
          </cell>
          <cell r="C6681" t="str">
            <v>mfnygdpmktpkn</v>
          </cell>
          <cell r="D6681">
            <v>16175733.872300345</v>
          </cell>
        </row>
        <row r="6682">
          <cell r="A6682" t="str">
            <v>BGD</v>
          </cell>
          <cell r="B6682">
            <v>2012</v>
          </cell>
          <cell r="C6682" t="str">
            <v>mfpop_totl</v>
          </cell>
          <cell r="D6682">
            <v>151006000</v>
          </cell>
        </row>
        <row r="6683">
          <cell r="A6683" t="str">
            <v>BGD</v>
          </cell>
          <cell r="B6683">
            <v>2013</v>
          </cell>
          <cell r="C6683" t="str">
            <v>mfgdppckn</v>
          </cell>
          <cell r="D6683">
            <v>111331.95859154221</v>
          </cell>
        </row>
        <row r="6684">
          <cell r="A6684" t="str">
            <v>BGD</v>
          </cell>
          <cell r="B6684">
            <v>2013</v>
          </cell>
          <cell r="C6684" t="str">
            <v>mfnvagrtotlkn</v>
          </cell>
          <cell r="D6684">
            <v>2751418.1780321049</v>
          </cell>
        </row>
        <row r="6685">
          <cell r="A6685" t="str">
            <v>BGD</v>
          </cell>
          <cell r="B6685">
            <v>2013</v>
          </cell>
          <cell r="C6685" t="str">
            <v>mfnvindconskn</v>
          </cell>
          <cell r="D6685">
            <v>1131734.0282376646</v>
          </cell>
        </row>
        <row r="6686">
          <cell r="A6686" t="str">
            <v>BGD</v>
          </cell>
          <cell r="B6686">
            <v>2013</v>
          </cell>
          <cell r="C6686" t="str">
            <v>mfnvindrestkn</v>
          </cell>
          <cell r="D6686">
            <v>3624568.8968428667</v>
          </cell>
        </row>
        <row r="6687">
          <cell r="A6687" t="str">
            <v>BGD</v>
          </cell>
          <cell r="B6687">
            <v>2013</v>
          </cell>
          <cell r="C6687" t="str">
            <v>mfnvsrvfinakn</v>
          </cell>
          <cell r="D6687">
            <v>541439.49604778807</v>
          </cell>
        </row>
        <row r="6688">
          <cell r="A6688" t="str">
            <v>BGD</v>
          </cell>
          <cell r="B6688">
            <v>2013</v>
          </cell>
          <cell r="C6688" t="str">
            <v>mfnvsrvrestkn</v>
          </cell>
          <cell r="D6688">
            <v>6463344.3656661455</v>
          </cell>
        </row>
        <row r="6689">
          <cell r="A6689" t="str">
            <v>BGD</v>
          </cell>
          <cell r="B6689">
            <v>2013</v>
          </cell>
          <cell r="C6689" t="str">
            <v>mfnvsrvtrnskn</v>
          </cell>
          <cell r="D6689">
            <v>1886369.905718436</v>
          </cell>
        </row>
        <row r="6690">
          <cell r="A6690" t="str">
            <v>BGD</v>
          </cell>
          <cell r="B6690">
            <v>2013</v>
          </cell>
          <cell r="C6690" t="str">
            <v>mfnygdpmktpkn</v>
          </cell>
          <cell r="D6690">
            <v>17148477.168329448</v>
          </cell>
        </row>
        <row r="6691">
          <cell r="A6691" t="str">
            <v>BGD</v>
          </cell>
          <cell r="B6691">
            <v>2013</v>
          </cell>
          <cell r="C6691" t="str">
            <v>mfpop_totl</v>
          </cell>
          <cell r="D6691">
            <v>154030140</v>
          </cell>
        </row>
        <row r="6692">
          <cell r="A6692" t="str">
            <v>BGD</v>
          </cell>
          <cell r="B6692">
            <v>2014</v>
          </cell>
          <cell r="C6692" t="str">
            <v>mfgdppckn</v>
          </cell>
          <cell r="D6692">
            <v>116617.79199981937</v>
          </cell>
        </row>
        <row r="6693">
          <cell r="A6693" t="str">
            <v>BGD</v>
          </cell>
          <cell r="B6693">
            <v>2014</v>
          </cell>
          <cell r="C6693" t="str">
            <v>mfnvagrtotlkn</v>
          </cell>
          <cell r="D6693">
            <v>2871706.6053806697</v>
          </cell>
        </row>
        <row r="6694">
          <cell r="A6694" t="str">
            <v>BGD</v>
          </cell>
          <cell r="B6694">
            <v>2014</v>
          </cell>
          <cell r="C6694" t="str">
            <v>mfnvindconskn</v>
          </cell>
          <cell r="D6694">
            <v>1223202.6297468757</v>
          </cell>
        </row>
        <row r="6695">
          <cell r="A6695" t="str">
            <v>BGD</v>
          </cell>
          <cell r="B6695">
            <v>2014</v>
          </cell>
          <cell r="C6695" t="str">
            <v>mfnvindrestkn</v>
          </cell>
          <cell r="D6695">
            <v>3921215.2910934733</v>
          </cell>
        </row>
        <row r="6696">
          <cell r="A6696" t="str">
            <v>BGD</v>
          </cell>
          <cell r="B6696">
            <v>2014</v>
          </cell>
          <cell r="C6696" t="str">
            <v>mfnvsrvfinakn</v>
          </cell>
          <cell r="D6696">
            <v>580809.62582266971</v>
          </cell>
        </row>
        <row r="6697">
          <cell r="A6697" t="str">
            <v>BGD</v>
          </cell>
          <cell r="B6697">
            <v>2014</v>
          </cell>
          <cell r="C6697" t="str">
            <v>mfnvsrvrestkn</v>
          </cell>
          <cell r="D6697">
            <v>6809981.9909497732</v>
          </cell>
        </row>
        <row r="6698">
          <cell r="A6698" t="str">
            <v>BGD</v>
          </cell>
          <cell r="B6698">
            <v>2014</v>
          </cell>
          <cell r="C6698" t="str">
            <v>mfnvsrvtrnskn</v>
          </cell>
          <cell r="D6698">
            <v>2000432.4224525727</v>
          </cell>
        </row>
        <row r="6699">
          <cell r="A6699" t="str">
            <v>BGD</v>
          </cell>
          <cell r="B6699">
            <v>2014</v>
          </cell>
          <cell r="C6699" t="str">
            <v>mfnygdpmktpkn</v>
          </cell>
          <cell r="D6699">
            <v>18187862.326803636</v>
          </cell>
        </row>
        <row r="6700">
          <cell r="A6700" t="str">
            <v>BGD</v>
          </cell>
          <cell r="B6700">
            <v>2014</v>
          </cell>
          <cell r="C6700" t="str">
            <v>mfpop_totl</v>
          </cell>
          <cell r="D6700">
            <v>155961299</v>
          </cell>
        </row>
        <row r="6701">
          <cell r="A6701" t="str">
            <v>BGD</v>
          </cell>
          <cell r="B6701">
            <v>2015</v>
          </cell>
          <cell r="C6701" t="str">
            <v>mfgdppckn</v>
          </cell>
          <cell r="D6701">
            <v>122788.11761099272</v>
          </cell>
        </row>
        <row r="6702">
          <cell r="A6702" t="str">
            <v>BGD</v>
          </cell>
          <cell r="B6702">
            <v>2015</v>
          </cell>
          <cell r="C6702" t="str">
            <v>mfnvagrtotlkn</v>
          </cell>
          <cell r="D6702">
            <v>2967287.9442823385</v>
          </cell>
        </row>
        <row r="6703">
          <cell r="A6703" t="str">
            <v>BGD</v>
          </cell>
          <cell r="B6703">
            <v>2015</v>
          </cell>
          <cell r="C6703" t="str">
            <v>mfnvindconskn</v>
          </cell>
          <cell r="D6703">
            <v>1328389.8978939755</v>
          </cell>
        </row>
        <row r="6704">
          <cell r="A6704" t="str">
            <v>BGD</v>
          </cell>
          <cell r="B6704">
            <v>2015</v>
          </cell>
          <cell r="C6704" t="str">
            <v>mfnvindrestkn</v>
          </cell>
          <cell r="D6704">
            <v>4313334.0087113464</v>
          </cell>
        </row>
        <row r="6705">
          <cell r="A6705" t="str">
            <v>BGD</v>
          </cell>
          <cell r="B6705">
            <v>2015</v>
          </cell>
          <cell r="C6705" t="str">
            <v>mfnvsrvfinakn</v>
          </cell>
          <cell r="D6705">
            <v>626006.6943772349</v>
          </cell>
        </row>
        <row r="6706">
          <cell r="A6706" t="str">
            <v>BGD</v>
          </cell>
          <cell r="B6706">
            <v>2015</v>
          </cell>
          <cell r="C6706" t="str">
            <v>mfnvsrvrestkn</v>
          </cell>
          <cell r="D6706">
            <v>7190265.3024377115</v>
          </cell>
        </row>
        <row r="6707">
          <cell r="A6707" t="str">
            <v>BGD</v>
          </cell>
          <cell r="B6707">
            <v>2015</v>
          </cell>
          <cell r="C6707" t="str">
            <v>mfnvsrvtrnskn</v>
          </cell>
          <cell r="D6707">
            <v>2119742.7495000451</v>
          </cell>
        </row>
        <row r="6708">
          <cell r="A6708" t="str">
            <v>BGD</v>
          </cell>
          <cell r="B6708">
            <v>2015</v>
          </cell>
          <cell r="C6708" t="str">
            <v>mfnygdpmktpkn</v>
          </cell>
          <cell r="D6708">
            <v>19379648.602542982</v>
          </cell>
        </row>
        <row r="6709">
          <cell r="A6709" t="str">
            <v>BGD</v>
          </cell>
          <cell r="B6709">
            <v>2015</v>
          </cell>
          <cell r="C6709" t="str">
            <v>mfpop_totl</v>
          </cell>
          <cell r="D6709">
            <v>157830000</v>
          </cell>
        </row>
        <row r="6710">
          <cell r="A6710" t="str">
            <v>BGD</v>
          </cell>
          <cell r="B6710">
            <v>2016</v>
          </cell>
          <cell r="C6710" t="str">
            <v>mfgdppckn</v>
          </cell>
          <cell r="D6710">
            <v>129913.75281051081</v>
          </cell>
        </row>
        <row r="6711">
          <cell r="A6711" t="str">
            <v>BGD</v>
          </cell>
          <cell r="B6711">
            <v>2016</v>
          </cell>
          <cell r="C6711" t="str">
            <v>mfnvagrtotlkn</v>
          </cell>
          <cell r="D6711">
            <v>2795050.0000000014</v>
          </cell>
        </row>
        <row r="6712">
          <cell r="A6712" t="str">
            <v>BGD</v>
          </cell>
          <cell r="B6712">
            <v>2016</v>
          </cell>
          <cell r="C6712" t="str">
            <v>mfnvindconskn</v>
          </cell>
          <cell r="D6712">
            <v>1628426.0000000028</v>
          </cell>
        </row>
        <row r="6713">
          <cell r="A6713" t="str">
            <v>BGD</v>
          </cell>
          <cell r="B6713">
            <v>2016</v>
          </cell>
          <cell r="C6713" t="str">
            <v>mfnvindrestkn</v>
          </cell>
          <cell r="D6713">
            <v>4820974.0000000075</v>
          </cell>
        </row>
        <row r="6714">
          <cell r="A6714" t="str">
            <v>BGD</v>
          </cell>
          <cell r="B6714">
            <v>2016</v>
          </cell>
          <cell r="C6714" t="str">
            <v>mfnvsrvfinakn</v>
          </cell>
          <cell r="D6714">
            <v>650715.99999999884</v>
          </cell>
        </row>
        <row r="6715">
          <cell r="A6715" t="str">
            <v>BGD</v>
          </cell>
          <cell r="B6715">
            <v>2016</v>
          </cell>
          <cell r="C6715" t="str">
            <v>mfnvsrvrestkn</v>
          </cell>
          <cell r="D6715">
            <v>8150475.9999999963</v>
          </cell>
        </row>
        <row r="6716">
          <cell r="A6716" t="str">
            <v>BGD</v>
          </cell>
          <cell r="B6716">
            <v>2016</v>
          </cell>
          <cell r="C6716" t="str">
            <v>mfnvsrvtrnskn</v>
          </cell>
          <cell r="D6716">
            <v>1828632.0000000009</v>
          </cell>
        </row>
        <row r="6717">
          <cell r="A6717" t="str">
            <v>BGD</v>
          </cell>
          <cell r="B6717">
            <v>2016</v>
          </cell>
          <cell r="C6717" t="str">
            <v>mfnygdpmktpkn</v>
          </cell>
          <cell r="D6717">
            <v>20758213.000000007</v>
          </cell>
        </row>
        <row r="6718">
          <cell r="A6718" t="str">
            <v>BGD</v>
          </cell>
          <cell r="B6718">
            <v>2016</v>
          </cell>
          <cell r="C6718" t="str">
            <v>mfpop_totl</v>
          </cell>
          <cell r="D6718">
            <v>159784569</v>
          </cell>
        </row>
        <row r="6719">
          <cell r="A6719" t="str">
            <v>BGD</v>
          </cell>
          <cell r="B6719">
            <v>2017</v>
          </cell>
          <cell r="C6719" t="str">
            <v>mfgdppckn</v>
          </cell>
          <cell r="D6719">
            <v>136755.59614819754</v>
          </cell>
        </row>
        <row r="6720">
          <cell r="A6720" t="str">
            <v>BGD</v>
          </cell>
          <cell r="B6720">
            <v>2017</v>
          </cell>
          <cell r="C6720" t="str">
            <v>mfnvagrtotlkn</v>
          </cell>
          <cell r="D6720">
            <v>2884379.9999999995</v>
          </cell>
        </row>
        <row r="6721">
          <cell r="A6721" t="str">
            <v>BGD</v>
          </cell>
          <cell r="B6721">
            <v>2017</v>
          </cell>
          <cell r="C6721" t="str">
            <v>mfnvindconskn</v>
          </cell>
          <cell r="D6721">
            <v>1787343.0000000056</v>
          </cell>
        </row>
        <row r="6722">
          <cell r="A6722" t="str">
            <v>BGD</v>
          </cell>
          <cell r="B6722">
            <v>2017</v>
          </cell>
          <cell r="C6722" t="str">
            <v>mfnvindrestkn</v>
          </cell>
          <cell r="D6722">
            <v>5195562.0000000112</v>
          </cell>
        </row>
        <row r="6723">
          <cell r="A6723" t="str">
            <v>BGD</v>
          </cell>
          <cell r="B6723">
            <v>2017</v>
          </cell>
          <cell r="C6723" t="str">
            <v>mfnvsrvfinakn</v>
          </cell>
          <cell r="D6723">
            <v>685233.9999999993</v>
          </cell>
        </row>
        <row r="6724">
          <cell r="A6724" t="str">
            <v>BGD</v>
          </cell>
          <cell r="B6724">
            <v>2017</v>
          </cell>
          <cell r="C6724" t="str">
            <v>mfnvsrvrestkn</v>
          </cell>
          <cell r="D6724">
            <v>8676064.9999999925</v>
          </cell>
        </row>
        <row r="6725">
          <cell r="A6725" t="str">
            <v>BGD</v>
          </cell>
          <cell r="B6725">
            <v>2017</v>
          </cell>
          <cell r="C6725" t="str">
            <v>mfnvsrvtrnskn</v>
          </cell>
          <cell r="D6725">
            <v>1946174.9999999995</v>
          </cell>
        </row>
        <row r="6726">
          <cell r="A6726" t="str">
            <v>BGD</v>
          </cell>
          <cell r="B6726">
            <v>2017</v>
          </cell>
          <cell r="C6726" t="str">
            <v>mfnygdpmktpkn</v>
          </cell>
          <cell r="D6726">
            <v>22126230.000000007</v>
          </cell>
        </row>
        <row r="6727">
          <cell r="A6727" t="str">
            <v>BGD</v>
          </cell>
          <cell r="B6727">
            <v>2017</v>
          </cell>
          <cell r="C6727" t="str">
            <v>mfpop_totl</v>
          </cell>
          <cell r="D6727">
            <v>161793963.99999997</v>
          </cell>
        </row>
        <row r="6728">
          <cell r="A6728" t="str">
            <v>BGD</v>
          </cell>
          <cell r="B6728">
            <v>2018</v>
          </cell>
          <cell r="C6728" t="str">
            <v>mfgdppckn</v>
          </cell>
          <cell r="D6728">
            <v>145070.65499967933</v>
          </cell>
        </row>
        <row r="6729">
          <cell r="A6729" t="str">
            <v>BGD</v>
          </cell>
          <cell r="B6729">
            <v>2018</v>
          </cell>
          <cell r="C6729" t="str">
            <v>mfnvagrtotlkn</v>
          </cell>
          <cell r="D6729">
            <v>2986618.0000000023</v>
          </cell>
        </row>
        <row r="6730">
          <cell r="A6730" t="str">
            <v>BGD</v>
          </cell>
          <cell r="B6730">
            <v>2018</v>
          </cell>
          <cell r="C6730" t="str">
            <v>mfnvindconskn</v>
          </cell>
          <cell r="D6730">
            <v>1967100.9999999925</v>
          </cell>
        </row>
        <row r="6731">
          <cell r="A6731" t="str">
            <v>BGD</v>
          </cell>
          <cell r="B6731">
            <v>2018</v>
          </cell>
          <cell r="C6731" t="str">
            <v>mfnvindrestkn</v>
          </cell>
          <cell r="D6731">
            <v>5727768.0000000084</v>
          </cell>
        </row>
        <row r="6732">
          <cell r="A6732" t="str">
            <v>BGD</v>
          </cell>
          <cell r="B6732">
            <v>2018</v>
          </cell>
          <cell r="C6732" t="str">
            <v>mfnvsrvfinakn</v>
          </cell>
          <cell r="D6732">
            <v>732782.99999999977</v>
          </cell>
        </row>
        <row r="6733">
          <cell r="A6733" t="str">
            <v>BGD</v>
          </cell>
          <cell r="B6733">
            <v>2018</v>
          </cell>
          <cell r="C6733" t="str">
            <v>mfnvsrvrestkn</v>
          </cell>
          <cell r="D6733">
            <v>9238357.9999999963</v>
          </cell>
        </row>
        <row r="6734">
          <cell r="A6734" t="str">
            <v>BGD</v>
          </cell>
          <cell r="B6734">
            <v>2018</v>
          </cell>
          <cell r="C6734" t="str">
            <v>mfnvsrvtrnskn</v>
          </cell>
          <cell r="D6734">
            <v>2077381.9999999998</v>
          </cell>
        </row>
        <row r="6735">
          <cell r="A6735" t="str">
            <v>BGD</v>
          </cell>
          <cell r="B6735">
            <v>2018</v>
          </cell>
          <cell r="C6735" t="str">
            <v>mfnygdpmktpkn</v>
          </cell>
          <cell r="D6735">
            <v>23745739</v>
          </cell>
        </row>
        <row r="6736">
          <cell r="A6736" t="str">
            <v>BGD</v>
          </cell>
          <cell r="B6736">
            <v>2018</v>
          </cell>
          <cell r="C6736" t="str">
            <v>mfpop_totl</v>
          </cell>
          <cell r="D6736">
            <v>163683958</v>
          </cell>
        </row>
        <row r="6737">
          <cell r="A6737" t="str">
            <v>BGD</v>
          </cell>
          <cell r="B6737">
            <v>2019</v>
          </cell>
          <cell r="C6737" t="str">
            <v>mfgdppckn</v>
          </cell>
          <cell r="D6737">
            <v>154772.47903833861</v>
          </cell>
        </row>
        <row r="6738">
          <cell r="A6738" t="str">
            <v>BGD</v>
          </cell>
          <cell r="B6738">
            <v>2019</v>
          </cell>
          <cell r="C6738" t="str">
            <v>mfnvagrtotlkn</v>
          </cell>
          <cell r="D6738">
            <v>3083999.0000000019</v>
          </cell>
        </row>
        <row r="6739">
          <cell r="A6739" t="str">
            <v>BGD</v>
          </cell>
          <cell r="B6739">
            <v>2019</v>
          </cell>
          <cell r="C6739" t="str">
            <v>mfnvindconskn</v>
          </cell>
          <cell r="D6739">
            <v>2173143.9999999935</v>
          </cell>
        </row>
        <row r="6740">
          <cell r="A6740" t="str">
            <v>BGD</v>
          </cell>
          <cell r="B6740">
            <v>2019</v>
          </cell>
          <cell r="C6740" t="str">
            <v>mfnvindrestkn</v>
          </cell>
          <cell r="D6740">
            <v>6416894.0000000028</v>
          </cell>
        </row>
        <row r="6741">
          <cell r="A6741" t="str">
            <v>BGD</v>
          </cell>
          <cell r="B6741">
            <v>2019</v>
          </cell>
          <cell r="C6741" t="str">
            <v>mfnvsrvfinakn</v>
          </cell>
          <cell r="D6741">
            <v>793237.00000000012</v>
          </cell>
        </row>
        <row r="6742">
          <cell r="A6742" t="str">
            <v>BGD</v>
          </cell>
          <cell r="B6742">
            <v>2019</v>
          </cell>
          <cell r="C6742" t="str">
            <v>mfnvsrvrestkn</v>
          </cell>
          <cell r="D6742">
            <v>9860225.0000000056</v>
          </cell>
        </row>
        <row r="6743">
          <cell r="A6743" t="str">
            <v>BGD</v>
          </cell>
          <cell r="B6743">
            <v>2019</v>
          </cell>
          <cell r="C6743" t="str">
            <v>mfnvsrvtrnskn</v>
          </cell>
          <cell r="D6743">
            <v>2223976.9999999981</v>
          </cell>
        </row>
        <row r="6744">
          <cell r="A6744" t="str">
            <v>BGD</v>
          </cell>
          <cell r="B6744">
            <v>2019</v>
          </cell>
          <cell r="C6744" t="str">
            <v>mfnygdpmktpkn</v>
          </cell>
          <cell r="D6744">
            <v>25617356</v>
          </cell>
        </row>
        <row r="6745">
          <cell r="A6745" t="str">
            <v>BGD</v>
          </cell>
          <cell r="B6745">
            <v>2019</v>
          </cell>
          <cell r="C6745" t="str">
            <v>mfpop_totl</v>
          </cell>
          <cell r="D6745">
            <v>165516222</v>
          </cell>
        </row>
        <row r="6746">
          <cell r="A6746" t="str">
            <v>BGD</v>
          </cell>
          <cell r="B6746">
            <v>2020</v>
          </cell>
          <cell r="C6746" t="str">
            <v>mfgdppckn</v>
          </cell>
          <cell r="D6746">
            <v>158287.54311639283</v>
          </cell>
        </row>
        <row r="6747">
          <cell r="A6747" t="str">
            <v>BGD</v>
          </cell>
          <cell r="B6747">
            <v>2020</v>
          </cell>
          <cell r="C6747" t="str">
            <v>mfnvagrtotlkn</v>
          </cell>
          <cell r="D6747">
            <v>3189500.9999999977</v>
          </cell>
        </row>
        <row r="6748">
          <cell r="A6748" t="str">
            <v>BGD</v>
          </cell>
          <cell r="B6748">
            <v>2020</v>
          </cell>
          <cell r="C6748" t="str">
            <v>mfnvindconskn</v>
          </cell>
          <cell r="D6748">
            <v>2371462.0000000037</v>
          </cell>
        </row>
        <row r="6749">
          <cell r="A6749" t="str">
            <v>BGD</v>
          </cell>
          <cell r="B6749">
            <v>2020</v>
          </cell>
          <cell r="C6749" t="str">
            <v>mfnvindrestkn</v>
          </cell>
          <cell r="D6749">
            <v>6528770.0000000056</v>
          </cell>
        </row>
        <row r="6750">
          <cell r="A6750" t="str">
            <v>BGD</v>
          </cell>
          <cell r="B6750">
            <v>2020</v>
          </cell>
          <cell r="C6750" t="str">
            <v>mfnvsrvfinakn</v>
          </cell>
          <cell r="D6750">
            <v>830678.99999999988</v>
          </cell>
        </row>
        <row r="6751">
          <cell r="A6751" t="str">
            <v>BGD</v>
          </cell>
          <cell r="B6751">
            <v>2020</v>
          </cell>
          <cell r="C6751" t="str">
            <v>mfnvsrvrestkn</v>
          </cell>
          <cell r="D6751">
            <v>10275827.999999987</v>
          </cell>
        </row>
        <row r="6752">
          <cell r="A6752" t="str">
            <v>BGD</v>
          </cell>
          <cell r="B6752">
            <v>2020</v>
          </cell>
          <cell r="C6752" t="str">
            <v>mfnvsrvtrnskn</v>
          </cell>
          <cell r="D6752">
            <v>2277384</v>
          </cell>
        </row>
        <row r="6753">
          <cell r="A6753" t="str">
            <v>BGD</v>
          </cell>
          <cell r="B6753">
            <v>2020</v>
          </cell>
          <cell r="C6753" t="str">
            <v>mfnygdpmktpkn</v>
          </cell>
          <cell r="D6753">
            <v>26500650.999999993</v>
          </cell>
        </row>
        <row r="6754">
          <cell r="A6754" t="str">
            <v>BGD</v>
          </cell>
          <cell r="B6754">
            <v>2020</v>
          </cell>
          <cell r="C6754" t="str">
            <v>mfpop_totl</v>
          </cell>
          <cell r="D6754">
            <v>167420951</v>
          </cell>
        </row>
        <row r="6755">
          <cell r="A6755" t="str">
            <v>BGD</v>
          </cell>
          <cell r="B6755">
            <v>2021</v>
          </cell>
          <cell r="C6755" t="str">
            <v>mfgdppckn</v>
          </cell>
          <cell r="D6755">
            <v>167336.27387630352</v>
          </cell>
        </row>
        <row r="6756">
          <cell r="A6756" t="str">
            <v>BGD</v>
          </cell>
          <cell r="B6756">
            <v>2021</v>
          </cell>
          <cell r="C6756" t="str">
            <v>mfnvagrtotlkn</v>
          </cell>
          <cell r="D6756">
            <v>3290752.9999999981</v>
          </cell>
        </row>
        <row r="6757">
          <cell r="A6757" t="str">
            <v>BGD</v>
          </cell>
          <cell r="B6757">
            <v>2021</v>
          </cell>
          <cell r="C6757" t="str">
            <v>mfnvindconskn</v>
          </cell>
          <cell r="D6757">
            <v>2563048.9999999944</v>
          </cell>
        </row>
        <row r="6758">
          <cell r="A6758" t="str">
            <v>BGD</v>
          </cell>
          <cell r="B6758">
            <v>2021</v>
          </cell>
          <cell r="C6758" t="str">
            <v>mfnvindrestkn</v>
          </cell>
          <cell r="D6758">
            <v>7252759.0000000056</v>
          </cell>
        </row>
        <row r="6759">
          <cell r="A6759" t="str">
            <v>BGD</v>
          </cell>
          <cell r="B6759">
            <v>2021</v>
          </cell>
          <cell r="C6759" t="str">
            <v>mfnvsrvfinakn</v>
          </cell>
          <cell r="D6759">
            <v>879009.00000000058</v>
          </cell>
        </row>
        <row r="6760">
          <cell r="A6760" t="str">
            <v>BGD</v>
          </cell>
          <cell r="B6760">
            <v>2021</v>
          </cell>
          <cell r="C6760" t="str">
            <v>mfnvsrvrestkn</v>
          </cell>
          <cell r="D6760">
            <v>10892618</v>
          </cell>
        </row>
        <row r="6761">
          <cell r="A6761" t="str">
            <v>BGD</v>
          </cell>
          <cell r="B6761">
            <v>2021</v>
          </cell>
          <cell r="C6761" t="str">
            <v>mfnvsrvtrnskn</v>
          </cell>
          <cell r="D6761">
            <v>2379450.9999999991</v>
          </cell>
        </row>
        <row r="6762">
          <cell r="A6762" t="str">
            <v>BGD</v>
          </cell>
          <cell r="B6762">
            <v>2021</v>
          </cell>
          <cell r="C6762" t="str">
            <v>mfnygdpmktpkn</v>
          </cell>
          <cell r="D6762">
            <v>28339444</v>
          </cell>
        </row>
        <row r="6763">
          <cell r="A6763" t="str">
            <v>BGD</v>
          </cell>
          <cell r="B6763">
            <v>2021</v>
          </cell>
          <cell r="C6763" t="str">
            <v>mfpop_totl</v>
          </cell>
          <cell r="D6763">
            <v>169356251</v>
          </cell>
        </row>
        <row r="6764">
          <cell r="A6764" t="str">
            <v>BGD</v>
          </cell>
          <cell r="B6764">
            <v>2022</v>
          </cell>
          <cell r="C6764" t="str">
            <v>mfgdppckn</v>
          </cell>
          <cell r="D6764">
            <v>177300.88247152706</v>
          </cell>
        </row>
        <row r="6765">
          <cell r="A6765" t="str">
            <v>BGD</v>
          </cell>
          <cell r="B6765">
            <v>2022</v>
          </cell>
          <cell r="C6765" t="str">
            <v>mfnvagrtotlkn</v>
          </cell>
          <cell r="D6765">
            <v>3391251.9999999977</v>
          </cell>
        </row>
        <row r="6766">
          <cell r="A6766" t="str">
            <v>BGD</v>
          </cell>
          <cell r="B6766">
            <v>2022</v>
          </cell>
          <cell r="C6766" t="str">
            <v>mfnvindconskn</v>
          </cell>
          <cell r="D6766">
            <v>2786275.9999999907</v>
          </cell>
        </row>
        <row r="6767">
          <cell r="A6767" t="str">
            <v>BGD</v>
          </cell>
          <cell r="B6767">
            <v>2022</v>
          </cell>
          <cell r="C6767" t="str">
            <v>mfnvindrestkn</v>
          </cell>
          <cell r="D6767">
            <v>7996947.0000000056</v>
          </cell>
        </row>
        <row r="6768">
          <cell r="A6768" t="str">
            <v>BGD</v>
          </cell>
          <cell r="B6768">
            <v>2022</v>
          </cell>
          <cell r="C6768" t="str">
            <v>mfnvsrvfinakn</v>
          </cell>
          <cell r="D6768">
            <v>930615.00000000023</v>
          </cell>
        </row>
        <row r="6769">
          <cell r="A6769" t="str">
            <v>BGD</v>
          </cell>
          <cell r="B6769">
            <v>2022</v>
          </cell>
          <cell r="C6769" t="str">
            <v>mfnvsrvrestkn</v>
          </cell>
          <cell r="D6769">
            <v>11592952</v>
          </cell>
        </row>
        <row r="6770">
          <cell r="A6770" t="str">
            <v>BGD</v>
          </cell>
          <cell r="B6770">
            <v>2022</v>
          </cell>
          <cell r="C6770" t="str">
            <v>mfnvsrvtrnskn</v>
          </cell>
          <cell r="D6770">
            <v>2512898.0000000009</v>
          </cell>
        </row>
        <row r="6771">
          <cell r="A6771" t="str">
            <v>BGD</v>
          </cell>
          <cell r="B6771">
            <v>2022</v>
          </cell>
          <cell r="C6771" t="str">
            <v>mfnygdpmktpkn</v>
          </cell>
          <cell r="D6771">
            <v>30351494.999999993</v>
          </cell>
        </row>
        <row r="6772">
          <cell r="A6772" t="str">
            <v>BGD</v>
          </cell>
          <cell r="B6772">
            <v>2022</v>
          </cell>
          <cell r="C6772" t="str">
            <v>mfpop_totl</v>
          </cell>
          <cell r="D6772">
            <v>171186373</v>
          </cell>
        </row>
        <row r="6773">
          <cell r="A6773" t="str">
            <v>BGD</v>
          </cell>
          <cell r="B6773">
            <v>2023</v>
          </cell>
          <cell r="C6773" t="str">
            <v>mfgdppckn</v>
          </cell>
          <cell r="D6773">
            <v>185623.17024300501</v>
          </cell>
        </row>
        <row r="6774">
          <cell r="A6774" t="str">
            <v>BGD</v>
          </cell>
          <cell r="B6774">
            <v>2023</v>
          </cell>
          <cell r="C6774" t="str">
            <v>mfnvagrtotlkn</v>
          </cell>
          <cell r="D6774">
            <v>3505585.9999999907</v>
          </cell>
        </row>
        <row r="6775">
          <cell r="A6775" t="str">
            <v>BGD</v>
          </cell>
          <cell r="B6775">
            <v>2023</v>
          </cell>
          <cell r="C6775" t="str">
            <v>mfnvindconskn</v>
          </cell>
          <cell r="D6775">
            <v>2980793.9999999907</v>
          </cell>
        </row>
        <row r="6776">
          <cell r="A6776" t="str">
            <v>BGD</v>
          </cell>
          <cell r="B6776">
            <v>2023</v>
          </cell>
          <cell r="C6776" t="str">
            <v>mfnvindrestkn</v>
          </cell>
          <cell r="D6776">
            <v>8704697.0000000037</v>
          </cell>
        </row>
        <row r="6777">
          <cell r="A6777" t="str">
            <v>BGD</v>
          </cell>
          <cell r="B6777">
            <v>2023</v>
          </cell>
          <cell r="C6777" t="str">
            <v>mfnvsrvfinakn</v>
          </cell>
          <cell r="D6777">
            <v>954326.00000000035</v>
          </cell>
        </row>
        <row r="6778">
          <cell r="A6778" t="str">
            <v>BGD</v>
          </cell>
          <cell r="B6778">
            <v>2023</v>
          </cell>
          <cell r="C6778" t="str">
            <v>mfnvsrvrestkn</v>
          </cell>
          <cell r="D6778">
            <v>12235802.000000006</v>
          </cell>
        </row>
        <row r="6779">
          <cell r="A6779" t="str">
            <v>BGD</v>
          </cell>
          <cell r="B6779">
            <v>2023</v>
          </cell>
          <cell r="C6779" t="str">
            <v>mfnvsrvtrnskn</v>
          </cell>
          <cell r="D6779">
            <v>2653981.9999999995</v>
          </cell>
        </row>
        <row r="6780">
          <cell r="A6780" t="str">
            <v>BGD</v>
          </cell>
          <cell r="B6780">
            <v>2023</v>
          </cell>
          <cell r="C6780" t="str">
            <v>mfnygdpmktpkn</v>
          </cell>
          <cell r="D6780">
            <v>32104328.999999993</v>
          </cell>
        </row>
        <row r="6781">
          <cell r="A6781" t="str">
            <v>BGD</v>
          </cell>
          <cell r="B6781">
            <v>2023</v>
          </cell>
          <cell r="C6781" t="str">
            <v>mfpop_totl</v>
          </cell>
          <cell r="D6781">
            <v>172954318.99999997</v>
          </cell>
        </row>
        <row r="6782">
          <cell r="A6782" t="str">
            <v>BGD</v>
          </cell>
          <cell r="B6782">
            <v>2024</v>
          </cell>
          <cell r="C6782" t="str">
            <v>mfgdppckn</v>
          </cell>
          <cell r="D6782">
            <v>194137.08575426164</v>
          </cell>
        </row>
        <row r="6783">
          <cell r="A6783" t="str">
            <v>BGD</v>
          </cell>
          <cell r="B6783">
            <v>2024</v>
          </cell>
          <cell r="C6783" t="str">
            <v>mfnvagrtotlkn</v>
          </cell>
          <cell r="D6783">
            <v>3614259.16599999</v>
          </cell>
        </row>
        <row r="6784">
          <cell r="A6784" t="str">
            <v>BGD</v>
          </cell>
          <cell r="B6784">
            <v>2024</v>
          </cell>
          <cell r="C6784" t="str">
            <v>mfnvindconskn</v>
          </cell>
          <cell r="D6784">
            <v>3031263.5366130602</v>
          </cell>
        </row>
        <row r="6785">
          <cell r="A6785" t="str">
            <v>BGD</v>
          </cell>
          <cell r="B6785">
            <v>2024</v>
          </cell>
          <cell r="C6785" t="str">
            <v>mfnvindrestkn</v>
          </cell>
          <cell r="D6785">
            <v>9425469.8693869337</v>
          </cell>
        </row>
        <row r="6786">
          <cell r="A6786" t="str">
            <v>BGD</v>
          </cell>
          <cell r="B6786">
            <v>2024</v>
          </cell>
          <cell r="C6786" t="str">
            <v>mfnvsrvfinakn</v>
          </cell>
          <cell r="D6786">
            <v>1017246.3249432732</v>
          </cell>
        </row>
        <row r="6787">
          <cell r="A6787" t="str">
            <v>BGD</v>
          </cell>
          <cell r="B6787">
            <v>2024</v>
          </cell>
          <cell r="C6787" t="str">
            <v>mfnvsrvrestkn</v>
          </cell>
          <cell r="D6787">
            <v>12888100.235131629</v>
          </cell>
        </row>
        <row r="6788">
          <cell r="A6788" t="str">
            <v>BGD</v>
          </cell>
          <cell r="B6788">
            <v>2024</v>
          </cell>
          <cell r="C6788" t="str">
            <v>mfnvsrvtrnskn</v>
          </cell>
          <cell r="D6788">
            <v>2832164.1531002247</v>
          </cell>
        </row>
        <row r="6789">
          <cell r="A6789" t="str">
            <v>BGD</v>
          </cell>
          <cell r="B6789">
            <v>2024</v>
          </cell>
          <cell r="C6789" t="str">
            <v>mfnygdpmktpkn</v>
          </cell>
          <cell r="D6789">
            <v>33915983.981280357</v>
          </cell>
        </row>
        <row r="6790">
          <cell r="A6790" t="str">
            <v>BGD</v>
          </cell>
          <cell r="B6790">
            <v>2024</v>
          </cell>
          <cell r="C6790" t="str">
            <v>mfpop_totl</v>
          </cell>
          <cell r="D6790">
            <v>174701211</v>
          </cell>
        </row>
        <row r="6791">
          <cell r="A6791" t="str">
            <v>BGD</v>
          </cell>
          <cell r="B6791">
            <v>2025</v>
          </cell>
          <cell r="C6791" t="str">
            <v>mfgdppckn</v>
          </cell>
          <cell r="D6791">
            <v>203167.38854920864</v>
          </cell>
        </row>
        <row r="6792">
          <cell r="A6792" t="str">
            <v>BGD</v>
          </cell>
          <cell r="B6792">
            <v>2025</v>
          </cell>
          <cell r="C6792" t="str">
            <v>mfnvagrtotlkn</v>
          </cell>
          <cell r="D6792">
            <v>3726301.2001459892</v>
          </cell>
        </row>
        <row r="6793">
          <cell r="A6793" t="str">
            <v>BGD</v>
          </cell>
          <cell r="B6793">
            <v>2025</v>
          </cell>
          <cell r="C6793" t="str">
            <v>mfnvindconskn</v>
          </cell>
          <cell r="D6793">
            <v>3243520.8316052463</v>
          </cell>
        </row>
        <row r="6794">
          <cell r="A6794" t="str">
            <v>BGD</v>
          </cell>
          <cell r="B6794">
            <v>2025</v>
          </cell>
          <cell r="C6794" t="str">
            <v>mfnvindrestkn</v>
          </cell>
          <cell r="D6794">
            <v>10110097.379626747</v>
          </cell>
        </row>
        <row r="6795">
          <cell r="A6795" t="str">
            <v>BGD</v>
          </cell>
          <cell r="B6795">
            <v>2025</v>
          </cell>
          <cell r="C6795" t="str">
            <v>mfnvsrvfinakn</v>
          </cell>
          <cell r="D6795">
            <v>1086419.0750394159</v>
          </cell>
        </row>
        <row r="6796">
          <cell r="A6796" t="str">
            <v>BGD</v>
          </cell>
          <cell r="B6796">
            <v>2025</v>
          </cell>
          <cell r="C6796" t="str">
            <v>mfnvsrvrestkn</v>
          </cell>
          <cell r="D6796">
            <v>13420501.862083349</v>
          </cell>
        </row>
        <row r="6797">
          <cell r="A6797" t="str">
            <v>BGD</v>
          </cell>
          <cell r="B6797">
            <v>2025</v>
          </cell>
          <cell r="C6797" t="str">
            <v>mfnvsrvtrnskn</v>
          </cell>
          <cell r="D6797">
            <v>3085849.1351467855</v>
          </cell>
        </row>
        <row r="6798">
          <cell r="A6798" t="str">
            <v>BGD</v>
          </cell>
          <cell r="B6798">
            <v>2025</v>
          </cell>
          <cell r="C6798" t="str">
            <v>mfnygdpmktpkn</v>
          </cell>
          <cell r="D6798">
            <v>35843097.4706081</v>
          </cell>
        </row>
        <row r="6799">
          <cell r="A6799" t="str">
            <v>BGD</v>
          </cell>
          <cell r="B6799">
            <v>2025</v>
          </cell>
          <cell r="C6799" t="str">
            <v>mfpop_totl</v>
          </cell>
          <cell r="D6799">
            <v>176421510.00000003</v>
          </cell>
        </row>
        <row r="6800">
          <cell r="A6800" t="str">
            <v>BGD</v>
          </cell>
          <cell r="B6800">
            <v>2026</v>
          </cell>
          <cell r="C6800" t="str">
            <v>mfgdppckn</v>
          </cell>
          <cell r="D6800">
            <v>213163.30734638392</v>
          </cell>
        </row>
        <row r="6801">
          <cell r="A6801" t="str">
            <v>BGD</v>
          </cell>
          <cell r="B6801">
            <v>2026</v>
          </cell>
          <cell r="C6801" t="str">
            <v>mfnvagrtotlkn</v>
          </cell>
          <cell r="D6801">
            <v>3845542.8385506608</v>
          </cell>
        </row>
        <row r="6802">
          <cell r="A6802" t="str">
            <v>BGD</v>
          </cell>
          <cell r="B6802">
            <v>2026</v>
          </cell>
          <cell r="C6802" t="str">
            <v>mfnvindconskn</v>
          </cell>
          <cell r="D6802">
            <v>3540218.3908106163</v>
          </cell>
        </row>
        <row r="6803">
          <cell r="A6803" t="str">
            <v>BGD</v>
          </cell>
          <cell r="B6803">
            <v>2026</v>
          </cell>
          <cell r="C6803" t="str">
            <v>mfnvindrestkn</v>
          </cell>
          <cell r="D6803">
            <v>10721445.858785154</v>
          </cell>
        </row>
        <row r="6804">
          <cell r="A6804" t="str">
            <v>BGD</v>
          </cell>
          <cell r="B6804">
            <v>2026</v>
          </cell>
          <cell r="C6804" t="str">
            <v>mfnvsrvfinakn</v>
          </cell>
          <cell r="D6804">
            <v>1175505.439192648</v>
          </cell>
        </row>
        <row r="6805">
          <cell r="A6805" t="str">
            <v>BGD</v>
          </cell>
          <cell r="B6805">
            <v>2026</v>
          </cell>
          <cell r="C6805" t="str">
            <v>mfnvsrvrestkn</v>
          </cell>
          <cell r="D6805">
            <v>14078663.029926665</v>
          </cell>
        </row>
        <row r="6806">
          <cell r="A6806" t="str">
            <v>BGD</v>
          </cell>
          <cell r="B6806">
            <v>2026</v>
          </cell>
          <cell r="C6806" t="str">
            <v>mfnvsrvtrnskn</v>
          </cell>
          <cell r="D6806">
            <v>3362753.1412469191</v>
          </cell>
        </row>
        <row r="6807">
          <cell r="A6807" t="str">
            <v>BGD</v>
          </cell>
          <cell r="B6807">
            <v>2026</v>
          </cell>
          <cell r="C6807" t="str">
            <v>mfnygdpmktpkn</v>
          </cell>
          <cell r="D6807">
            <v>37965693.008444853</v>
          </cell>
        </row>
        <row r="6808">
          <cell r="A6808" t="str">
            <v>BGD</v>
          </cell>
          <cell r="B6808">
            <v>2026</v>
          </cell>
          <cell r="C6808" t="str">
            <v>mfpop_totl</v>
          </cell>
          <cell r="D6808">
            <v>178106136</v>
          </cell>
        </row>
        <row r="6809">
          <cell r="A6809" t="str">
            <v>BGD</v>
          </cell>
          <cell r="B6809">
            <v>2027</v>
          </cell>
          <cell r="C6809" t="str">
            <v>mfgdppckn</v>
          </cell>
          <cell r="D6809">
            <v>223863.81523546207</v>
          </cell>
        </row>
        <row r="6810">
          <cell r="A6810" t="str">
            <v>BGD</v>
          </cell>
          <cell r="B6810">
            <v>2027</v>
          </cell>
          <cell r="C6810" t="str">
            <v>mfnvagrtotlkn</v>
          </cell>
          <cell r="D6810">
            <v>3970522.9808035572</v>
          </cell>
        </row>
        <row r="6811">
          <cell r="A6811" t="str">
            <v>BGD</v>
          </cell>
          <cell r="B6811">
            <v>2027</v>
          </cell>
          <cell r="C6811" t="str">
            <v>mfnvindconskn</v>
          </cell>
          <cell r="D6811">
            <v>4037185.4353527054</v>
          </cell>
        </row>
        <row r="6812">
          <cell r="A6812" t="str">
            <v>BGD</v>
          </cell>
          <cell r="B6812">
            <v>2027</v>
          </cell>
          <cell r="C6812" t="str">
            <v>mfnvindrestkn</v>
          </cell>
          <cell r="D6812">
            <v>11251318.640213961</v>
          </cell>
        </row>
        <row r="6813">
          <cell r="A6813" t="str">
            <v>BGD</v>
          </cell>
          <cell r="B6813">
            <v>2027</v>
          </cell>
          <cell r="C6813" t="str">
            <v>mfnvsrvfinakn</v>
          </cell>
          <cell r="D6813">
            <v>1262492.841692904</v>
          </cell>
        </row>
        <row r="6814">
          <cell r="A6814" t="str">
            <v>BGD</v>
          </cell>
          <cell r="B6814">
            <v>2027</v>
          </cell>
          <cell r="C6814" t="str">
            <v>mfnvsrvrestkn</v>
          </cell>
          <cell r="D6814">
            <v>14772029.933294186</v>
          </cell>
        </row>
        <row r="6815">
          <cell r="A6815" t="str">
            <v>BGD</v>
          </cell>
          <cell r="B6815">
            <v>2027</v>
          </cell>
          <cell r="C6815" t="str">
            <v>mfnvsrvtrnskn</v>
          </cell>
          <cell r="D6815">
            <v>3628410.6394054256</v>
          </cell>
        </row>
        <row r="6816">
          <cell r="A6816" t="str">
            <v>BGD</v>
          </cell>
          <cell r="B6816">
            <v>2027</v>
          </cell>
          <cell r="C6816" t="str">
            <v>mfnygdpmktpkn</v>
          </cell>
          <cell r="D6816">
            <v>40239960.457107425</v>
          </cell>
        </row>
        <row r="6817">
          <cell r="A6817" t="str">
            <v>BGD</v>
          </cell>
          <cell r="B6817">
            <v>2027</v>
          </cell>
          <cell r="C6817" t="str">
            <v>mfpop_totl</v>
          </cell>
          <cell r="D6817">
            <v>179751963.99999997</v>
          </cell>
        </row>
        <row r="6818">
          <cell r="A6818" t="str">
            <v>BGD</v>
          </cell>
          <cell r="B6818">
            <v>2028</v>
          </cell>
          <cell r="C6818" t="str">
            <v>mfgdppckn</v>
          </cell>
          <cell r="D6818">
            <v>237038.55752194297</v>
          </cell>
        </row>
        <row r="6819">
          <cell r="A6819" t="str">
            <v>BGD</v>
          </cell>
          <cell r="B6819">
            <v>2028</v>
          </cell>
          <cell r="C6819" t="str">
            <v>mfnvagrtotlkn</v>
          </cell>
          <cell r="D6819">
            <v>4102741.3960643159</v>
          </cell>
        </row>
        <row r="6820">
          <cell r="A6820" t="str">
            <v>BGD</v>
          </cell>
          <cell r="B6820">
            <v>2028</v>
          </cell>
          <cell r="C6820" t="str">
            <v>mfnvindconskn</v>
          </cell>
          <cell r="D6820">
            <v>4524898.9546360709</v>
          </cell>
        </row>
        <row r="6821">
          <cell r="A6821" t="str">
            <v>BGD</v>
          </cell>
          <cell r="B6821">
            <v>2028</v>
          </cell>
          <cell r="C6821" t="str">
            <v>mfnvindrestkn</v>
          </cell>
          <cell r="D6821">
            <v>11711492.373615729</v>
          </cell>
        </row>
        <row r="6822">
          <cell r="A6822" t="str">
            <v>BGD</v>
          </cell>
          <cell r="B6822">
            <v>2028</v>
          </cell>
          <cell r="C6822" t="str">
            <v>mfnvsrvfinakn</v>
          </cell>
          <cell r="D6822">
            <v>1401593.3545874557</v>
          </cell>
        </row>
        <row r="6823">
          <cell r="A6823" t="str">
            <v>BGD</v>
          </cell>
          <cell r="B6823">
            <v>2028</v>
          </cell>
          <cell r="C6823" t="str">
            <v>mfnvsrvrestkn</v>
          </cell>
          <cell r="D6823">
            <v>15878297.574264737</v>
          </cell>
        </row>
        <row r="6824">
          <cell r="A6824" t="str">
            <v>BGD</v>
          </cell>
          <cell r="B6824">
            <v>2028</v>
          </cell>
          <cell r="C6824" t="str">
            <v>mfnvsrvtrnskn</v>
          </cell>
          <cell r="D6824">
            <v>3961402.0848684986</v>
          </cell>
        </row>
        <row r="6825">
          <cell r="A6825" t="str">
            <v>BGD</v>
          </cell>
          <cell r="B6825">
            <v>2028</v>
          </cell>
          <cell r="C6825" t="str">
            <v>mfnygdpmktpkn</v>
          </cell>
          <cell r="D6825">
            <v>42988384.786226884</v>
          </cell>
        </row>
        <row r="6826">
          <cell r="A6826" t="str">
            <v>BGD</v>
          </cell>
          <cell r="B6826">
            <v>2028</v>
          </cell>
          <cell r="C6826" t="str">
            <v>mfpop_totl</v>
          </cell>
          <cell r="D6826">
            <v>181356085</v>
          </cell>
        </row>
        <row r="6827">
          <cell r="A6827" t="str">
            <v>BGD</v>
          </cell>
          <cell r="B6827">
            <v>2029</v>
          </cell>
          <cell r="C6827" t="str">
            <v>mfgdppckn</v>
          </cell>
          <cell r="D6827">
            <v>235689.34582300475</v>
          </cell>
        </row>
        <row r="6828">
          <cell r="A6828" t="str">
            <v>BGD</v>
          </cell>
          <cell r="B6828">
            <v>2029</v>
          </cell>
          <cell r="C6828" t="str">
            <v>mfnvagrtotlkn</v>
          </cell>
          <cell r="D6828">
            <v>4242234.6035305029</v>
          </cell>
        </row>
        <row r="6829">
          <cell r="A6829" t="str">
            <v>BGD</v>
          </cell>
          <cell r="B6829">
            <v>2029</v>
          </cell>
          <cell r="C6829" t="str">
            <v>mfnvindconskn</v>
          </cell>
          <cell r="D6829">
            <v>5087900.3466370851</v>
          </cell>
        </row>
        <row r="6830">
          <cell r="A6830" t="str">
            <v>BGD</v>
          </cell>
          <cell r="B6830">
            <v>2029</v>
          </cell>
          <cell r="C6830" t="str">
            <v>mfnvindrestkn</v>
          </cell>
          <cell r="D6830">
            <v>12122674.461309824</v>
          </cell>
        </row>
        <row r="6831">
          <cell r="A6831" t="str">
            <v>BGD</v>
          </cell>
          <cell r="B6831">
            <v>2029</v>
          </cell>
          <cell r="C6831" t="str">
            <v>mfnvsrvfinakn</v>
          </cell>
          <cell r="D6831">
            <v>1483721.561078117</v>
          </cell>
        </row>
        <row r="6832">
          <cell r="A6832" t="str">
            <v>BGD</v>
          </cell>
          <cell r="B6832">
            <v>2029</v>
          </cell>
          <cell r="C6832" t="str">
            <v>mfnvsrvrestkn</v>
          </cell>
          <cell r="D6832">
            <v>14622721.006248139</v>
          </cell>
        </row>
        <row r="6833">
          <cell r="A6833" t="str">
            <v>BGD</v>
          </cell>
          <cell r="B6833">
            <v>2029</v>
          </cell>
          <cell r="C6833" t="str">
            <v>mfnvsrvtrnskn</v>
          </cell>
          <cell r="D6833">
            <v>4139805.7662715199</v>
          </cell>
        </row>
        <row r="6834">
          <cell r="A6834" t="str">
            <v>BGD</v>
          </cell>
          <cell r="B6834">
            <v>2029</v>
          </cell>
          <cell r="C6834" t="str">
            <v>mfnygdpmktpkn</v>
          </cell>
          <cell r="D6834">
            <v>43111253.155346148</v>
          </cell>
        </row>
        <row r="6835">
          <cell r="A6835" t="str">
            <v>BGD</v>
          </cell>
          <cell r="B6835">
            <v>2029</v>
          </cell>
          <cell r="C6835" t="str">
            <v>mfpop_totl</v>
          </cell>
          <cell r="D6835">
            <v>182915579</v>
          </cell>
        </row>
        <row r="6836">
          <cell r="A6836" t="str">
            <v>BGD</v>
          </cell>
          <cell r="B6836">
            <v>2030</v>
          </cell>
          <cell r="C6836" t="str">
            <v>mfgdppckn</v>
          </cell>
          <cell r="D6836">
            <v>241742.51339743054</v>
          </cell>
        </row>
        <row r="6837">
          <cell r="A6837" t="str">
            <v>BGD</v>
          </cell>
          <cell r="B6837">
            <v>2030</v>
          </cell>
          <cell r="C6837" t="str">
            <v>mfnvagrtotlkn</v>
          </cell>
          <cell r="D6837">
            <v>4390712.81465407</v>
          </cell>
        </row>
        <row r="6838">
          <cell r="A6838" t="str">
            <v>BGD</v>
          </cell>
          <cell r="B6838">
            <v>2030</v>
          </cell>
          <cell r="C6838" t="str">
            <v>mfnvindconskn</v>
          </cell>
          <cell r="D6838">
            <v>5736522.1434220131</v>
          </cell>
        </row>
        <row r="6839">
          <cell r="A6839" t="str">
            <v>BGD</v>
          </cell>
          <cell r="B6839">
            <v>2030</v>
          </cell>
          <cell r="C6839" t="str">
            <v>mfnvindrestkn</v>
          </cell>
          <cell r="D6839">
            <v>12506687.153001713</v>
          </cell>
        </row>
        <row r="6840">
          <cell r="A6840" t="str">
            <v>BGD</v>
          </cell>
          <cell r="B6840">
            <v>2030</v>
          </cell>
          <cell r="C6840" t="str">
            <v>mfnvsrvfinakn</v>
          </cell>
          <cell r="D6840">
            <v>1571198.9443958639</v>
          </cell>
        </row>
        <row r="6841">
          <cell r="A6841" t="str">
            <v>BGD</v>
          </cell>
          <cell r="B6841">
            <v>2030</v>
          </cell>
          <cell r="C6841" t="str">
            <v>mfnvsrvrestkn</v>
          </cell>
          <cell r="D6841">
            <v>14598418.080731556</v>
          </cell>
        </row>
        <row r="6842">
          <cell r="A6842" t="str">
            <v>BGD</v>
          </cell>
          <cell r="B6842">
            <v>2030</v>
          </cell>
          <cell r="C6842" t="str">
            <v>mfnvsrvtrnskn</v>
          </cell>
          <cell r="D6842">
            <v>4319285.5319130933</v>
          </cell>
        </row>
        <row r="6843">
          <cell r="A6843" t="str">
            <v>BGD</v>
          </cell>
          <cell r="B6843">
            <v>2030</v>
          </cell>
          <cell r="C6843" t="str">
            <v>mfnygdpmktpkn</v>
          </cell>
          <cell r="D6843">
            <v>44583156.101729661</v>
          </cell>
        </row>
        <row r="6844">
          <cell r="A6844" t="str">
            <v>BGD</v>
          </cell>
          <cell r="B6844">
            <v>2030</v>
          </cell>
          <cell r="C6844" t="str">
            <v>mfpop_totl</v>
          </cell>
          <cell r="D6844">
            <v>184424144.00000003</v>
          </cell>
        </row>
        <row r="6845">
          <cell r="A6845" t="str">
            <v>BGD</v>
          </cell>
          <cell r="B6845">
            <v>2031</v>
          </cell>
          <cell r="C6845" t="str">
            <v>mfgdppckn</v>
          </cell>
          <cell r="D6845">
            <v>236347.7696645261</v>
          </cell>
        </row>
        <row r="6846">
          <cell r="A6846" t="str">
            <v>BGD</v>
          </cell>
          <cell r="B6846">
            <v>2031</v>
          </cell>
          <cell r="C6846" t="str">
            <v>mfnvagrtotlkn</v>
          </cell>
          <cell r="D6846">
            <v>4729032.2797094192</v>
          </cell>
        </row>
        <row r="6847">
          <cell r="A6847" t="str">
            <v>BGD</v>
          </cell>
          <cell r="B6847">
            <v>2031</v>
          </cell>
          <cell r="C6847" t="str">
            <v>mfnvindconskn</v>
          </cell>
          <cell r="D6847">
            <v>4422749.7234240007</v>
          </cell>
        </row>
        <row r="6848">
          <cell r="A6848" t="str">
            <v>BGD</v>
          </cell>
          <cell r="B6848">
            <v>2031</v>
          </cell>
          <cell r="C6848" t="str">
            <v>mfnvindrestkn</v>
          </cell>
          <cell r="D6848">
            <v>12882440.66552336</v>
          </cell>
        </row>
        <row r="6849">
          <cell r="A6849" t="str">
            <v>BGD</v>
          </cell>
          <cell r="B6849">
            <v>2031</v>
          </cell>
          <cell r="C6849" t="str">
            <v>mfnvsrvfinakn</v>
          </cell>
          <cell r="D6849">
            <v>1400676.2490424947</v>
          </cell>
        </row>
        <row r="6850">
          <cell r="A6850" t="str">
            <v>BGD</v>
          </cell>
          <cell r="B6850">
            <v>2031</v>
          </cell>
          <cell r="C6850" t="str">
            <v>mfnvsrvrestkn</v>
          </cell>
          <cell r="D6850">
            <v>16166159.035978511</v>
          </cell>
        </row>
        <row r="6851">
          <cell r="A6851" t="str">
            <v>BGD</v>
          </cell>
          <cell r="B6851">
            <v>2031</v>
          </cell>
          <cell r="C6851" t="str">
            <v>mfnvsrvtrnskn</v>
          </cell>
          <cell r="D6851">
            <v>3969227.5332973097</v>
          </cell>
        </row>
        <row r="6852">
          <cell r="A6852" t="str">
            <v>BGD</v>
          </cell>
          <cell r="B6852">
            <v>2031</v>
          </cell>
          <cell r="C6852" t="str">
            <v>mfnygdpmktpkn</v>
          </cell>
          <cell r="D6852">
            <v>44987519.561868824</v>
          </cell>
        </row>
        <row r="6853">
          <cell r="A6853" t="str">
            <v>BGD</v>
          </cell>
          <cell r="B6853">
            <v>2031</v>
          </cell>
          <cell r="C6853" t="str">
            <v>mfpop_totl</v>
          </cell>
          <cell r="D6853">
            <v>190344591.04786333</v>
          </cell>
        </row>
        <row r="6854">
          <cell r="A6854" t="str">
            <v>BGD</v>
          </cell>
          <cell r="B6854">
            <v>2032</v>
          </cell>
          <cell r="C6854" t="str">
            <v>mfgdppckn</v>
          </cell>
          <cell r="D6854">
            <v>241853.65924972715</v>
          </cell>
        </row>
        <row r="6855">
          <cell r="A6855" t="str">
            <v>BGD</v>
          </cell>
          <cell r="B6855">
            <v>2032</v>
          </cell>
          <cell r="C6855" t="str">
            <v>mfnvagrtotlkn</v>
          </cell>
          <cell r="D6855">
            <v>4865893.5818424933</v>
          </cell>
        </row>
        <row r="6856">
          <cell r="A6856" t="str">
            <v>BGD</v>
          </cell>
          <cell r="B6856">
            <v>2032</v>
          </cell>
          <cell r="C6856" t="str">
            <v>mfnvindconskn</v>
          </cell>
          <cell r="D6856">
            <v>4608693.2354863826</v>
          </cell>
        </row>
        <row r="6857">
          <cell r="A6857" t="str">
            <v>BGD</v>
          </cell>
          <cell r="B6857">
            <v>2032</v>
          </cell>
          <cell r="C6857" t="str">
            <v>mfnvindrestkn</v>
          </cell>
          <cell r="D6857">
            <v>13264533.58403361</v>
          </cell>
        </row>
        <row r="6858">
          <cell r="A6858" t="str">
            <v>BGD</v>
          </cell>
          <cell r="B6858">
            <v>2032</v>
          </cell>
          <cell r="C6858" t="str">
            <v>mfnvsrvfinakn</v>
          </cell>
          <cell r="D6858">
            <v>1480963.1546175773</v>
          </cell>
        </row>
        <row r="6859">
          <cell r="A6859" t="str">
            <v>BGD</v>
          </cell>
          <cell r="B6859">
            <v>2032</v>
          </cell>
          <cell r="C6859" t="str">
            <v>mfnvsrvrestkn</v>
          </cell>
          <cell r="D6859">
            <v>16884792.013009422</v>
          </cell>
        </row>
        <row r="6860">
          <cell r="A6860" t="str">
            <v>BGD</v>
          </cell>
          <cell r="B6860">
            <v>2032</v>
          </cell>
          <cell r="C6860" t="str">
            <v>mfnvsrvtrnskn</v>
          </cell>
          <cell r="D6860">
            <v>4137227.7832180671</v>
          </cell>
        </row>
        <row r="6861">
          <cell r="A6861" t="str">
            <v>BGD</v>
          </cell>
          <cell r="B6861">
            <v>2032</v>
          </cell>
          <cell r="C6861" t="str">
            <v>mfnygdpmktpkn</v>
          </cell>
          <cell r="D6861">
            <v>46710158.465379961</v>
          </cell>
        </row>
        <row r="6862">
          <cell r="A6862" t="str">
            <v>BGD</v>
          </cell>
          <cell r="B6862">
            <v>2032</v>
          </cell>
          <cell r="C6862" t="str">
            <v>mfpop_totl</v>
          </cell>
          <cell r="D6862">
            <v>193133974.52940401</v>
          </cell>
        </row>
        <row r="6863">
          <cell r="A6863" t="str">
            <v>BGD</v>
          </cell>
          <cell r="B6863">
            <v>2033</v>
          </cell>
          <cell r="C6863" t="str">
            <v>mfgdppckn</v>
          </cell>
          <cell r="D6863">
            <v>247639.28079878076</v>
          </cell>
        </row>
        <row r="6864">
          <cell r="A6864" t="str">
            <v>BGD</v>
          </cell>
          <cell r="B6864">
            <v>2033</v>
          </cell>
          <cell r="C6864" t="str">
            <v>mfnvagrtotlkn</v>
          </cell>
          <cell r="D6864">
            <v>5008237.268424863</v>
          </cell>
        </row>
        <row r="6865">
          <cell r="A6865" t="str">
            <v>BGD</v>
          </cell>
          <cell r="B6865">
            <v>2033</v>
          </cell>
          <cell r="C6865" t="str">
            <v>mfnvindconskn</v>
          </cell>
          <cell r="D6865">
            <v>4800162.0804751068</v>
          </cell>
        </row>
        <row r="6866">
          <cell r="A6866" t="str">
            <v>BGD</v>
          </cell>
          <cell r="B6866">
            <v>2033</v>
          </cell>
          <cell r="C6866" t="str">
            <v>mfnvindrestkn</v>
          </cell>
          <cell r="D6866">
            <v>13663292.471286707</v>
          </cell>
        </row>
        <row r="6867">
          <cell r="A6867" t="str">
            <v>BGD</v>
          </cell>
          <cell r="B6867">
            <v>2033</v>
          </cell>
          <cell r="C6867" t="str">
            <v>mfnvsrvfinakn</v>
          </cell>
          <cell r="D6867">
            <v>1563923.8844082309</v>
          </cell>
        </row>
        <row r="6868">
          <cell r="A6868" t="str">
            <v>BGD</v>
          </cell>
          <cell r="B6868">
            <v>2033</v>
          </cell>
          <cell r="C6868" t="str">
            <v>mfnvsrvrestkn</v>
          </cell>
          <cell r="D6868">
            <v>17659512.30775968</v>
          </cell>
        </row>
        <row r="6869">
          <cell r="A6869" t="str">
            <v>BGD</v>
          </cell>
          <cell r="B6869">
            <v>2033</v>
          </cell>
          <cell r="C6869" t="str">
            <v>mfnvsrvtrnskn</v>
          </cell>
          <cell r="D6869">
            <v>4312615.5767518245</v>
          </cell>
        </row>
        <row r="6870">
          <cell r="A6870" t="str">
            <v>BGD</v>
          </cell>
          <cell r="B6870">
            <v>2033</v>
          </cell>
          <cell r="C6870" t="str">
            <v>mfnygdpmktpkn</v>
          </cell>
          <cell r="D6870">
            <v>48528442.148004144</v>
          </cell>
        </row>
        <row r="6871">
          <cell r="A6871" t="str">
            <v>BGD</v>
          </cell>
          <cell r="B6871">
            <v>2033</v>
          </cell>
          <cell r="C6871" t="str">
            <v>mfpop_totl</v>
          </cell>
          <cell r="D6871">
            <v>195964234.71862656</v>
          </cell>
        </row>
        <row r="6872">
          <cell r="A6872" t="str">
            <v>BGD</v>
          </cell>
          <cell r="B6872">
            <v>2034</v>
          </cell>
          <cell r="C6872" t="str">
            <v>mfgdppckn</v>
          </cell>
          <cell r="D6872">
            <v>253714.17677614186</v>
          </cell>
        </row>
        <row r="6873">
          <cell r="A6873" t="str">
            <v>BGD</v>
          </cell>
          <cell r="B6873">
            <v>2034</v>
          </cell>
          <cell r="C6873" t="str">
            <v>mfnvagrtotlkn</v>
          </cell>
          <cell r="D6873">
            <v>5157295.6234203912</v>
          </cell>
        </row>
        <row r="6874">
          <cell r="A6874" t="str">
            <v>BGD</v>
          </cell>
          <cell r="B6874">
            <v>2034</v>
          </cell>
          <cell r="C6874" t="str">
            <v>mfnvindconskn</v>
          </cell>
          <cell r="D6874">
            <v>4998639.0375544187</v>
          </cell>
        </row>
        <row r="6875">
          <cell r="A6875" t="str">
            <v>BGD</v>
          </cell>
          <cell r="B6875">
            <v>2034</v>
          </cell>
          <cell r="C6875" t="str">
            <v>mfnvindrestkn</v>
          </cell>
          <cell r="D6875">
            <v>14085437.344014687</v>
          </cell>
        </row>
        <row r="6876">
          <cell r="A6876" t="str">
            <v>BGD</v>
          </cell>
          <cell r="B6876">
            <v>2034</v>
          </cell>
          <cell r="C6876" t="str">
            <v>mfnvsrvfinakn</v>
          </cell>
          <cell r="D6876">
            <v>1649366.399251268</v>
          </cell>
        </row>
        <row r="6877">
          <cell r="A6877" t="str">
            <v>BGD</v>
          </cell>
          <cell r="B6877">
            <v>2034</v>
          </cell>
          <cell r="C6877" t="str">
            <v>mfnvsrvrestkn</v>
          </cell>
          <cell r="D6877">
            <v>18485340.704948898</v>
          </cell>
        </row>
        <row r="6878">
          <cell r="A6878" t="str">
            <v>BGD</v>
          </cell>
          <cell r="B6878">
            <v>2034</v>
          </cell>
          <cell r="C6878" t="str">
            <v>mfnvsrvtrnskn</v>
          </cell>
          <cell r="D6878">
            <v>4496195.7325377911</v>
          </cell>
        </row>
        <row r="6879">
          <cell r="A6879" t="str">
            <v>BGD</v>
          </cell>
          <cell r="B6879">
            <v>2034</v>
          </cell>
          <cell r="C6879" t="str">
            <v>mfnygdpmktpkn</v>
          </cell>
          <cell r="D6879">
            <v>50447504.604073629</v>
          </cell>
        </row>
        <row r="6880">
          <cell r="A6880" t="str">
            <v>BGD</v>
          </cell>
          <cell r="B6880">
            <v>2034</v>
          </cell>
          <cell r="C6880" t="str">
            <v>mfpop_totl</v>
          </cell>
          <cell r="D6880">
            <v>198835970.6386635</v>
          </cell>
        </row>
        <row r="6881">
          <cell r="A6881" t="str">
            <v>BGD</v>
          </cell>
          <cell r="B6881">
            <v>2035</v>
          </cell>
          <cell r="C6881" t="str">
            <v>mfgdppckn</v>
          </cell>
          <cell r="D6881">
            <v>260068.98451374008</v>
          </cell>
        </row>
        <row r="6882">
          <cell r="A6882" t="str">
            <v>BGD</v>
          </cell>
          <cell r="B6882">
            <v>2035</v>
          </cell>
          <cell r="C6882" t="str">
            <v>mfnvagrtotlkn</v>
          </cell>
          <cell r="D6882">
            <v>5313770.4941411344</v>
          </cell>
        </row>
        <row r="6883">
          <cell r="A6883" t="str">
            <v>BGD</v>
          </cell>
          <cell r="B6883">
            <v>2035</v>
          </cell>
          <cell r="C6883" t="str">
            <v>mfnvindconskn</v>
          </cell>
          <cell r="D6883">
            <v>5205180.5063948538</v>
          </cell>
        </row>
        <row r="6884">
          <cell r="A6884" t="str">
            <v>BGD</v>
          </cell>
          <cell r="B6884">
            <v>2035</v>
          </cell>
          <cell r="C6884" t="str">
            <v>mfnvindrestkn</v>
          </cell>
          <cell r="D6884">
            <v>14534920.112339465</v>
          </cell>
        </row>
        <row r="6885">
          <cell r="A6885" t="str">
            <v>BGD</v>
          </cell>
          <cell r="B6885">
            <v>2035</v>
          </cell>
          <cell r="C6885" t="str">
            <v>mfnvsrvfinakn</v>
          </cell>
          <cell r="D6885">
            <v>1737178.8112683229</v>
          </cell>
        </row>
        <row r="6886">
          <cell r="A6886" t="str">
            <v>BGD</v>
          </cell>
          <cell r="B6886">
            <v>2035</v>
          </cell>
          <cell r="C6886" t="str">
            <v>mfnvsrvrestkn</v>
          </cell>
          <cell r="D6886">
            <v>19357784.212009065</v>
          </cell>
        </row>
        <row r="6887">
          <cell r="A6887" t="str">
            <v>BGD</v>
          </cell>
          <cell r="B6887">
            <v>2035</v>
          </cell>
          <cell r="C6887" t="str">
            <v>mfnvsrvtrnskn</v>
          </cell>
          <cell r="D6887">
            <v>4688312.4814545037</v>
          </cell>
        </row>
        <row r="6888">
          <cell r="A6888" t="str">
            <v>BGD</v>
          </cell>
          <cell r="B6888">
            <v>2035</v>
          </cell>
          <cell r="C6888" t="str">
            <v>mfnygdpmktpkn</v>
          </cell>
          <cell r="D6888">
            <v>52468863.034817435</v>
          </cell>
        </row>
        <row r="6889">
          <cell r="A6889" t="str">
            <v>BGD</v>
          </cell>
          <cell r="B6889">
            <v>2035</v>
          </cell>
          <cell r="C6889" t="str">
            <v>mfpop_totl</v>
          </cell>
          <cell r="D6889">
            <v>201749790.09096479</v>
          </cell>
        </row>
        <row r="6890">
          <cell r="A6890" t="str">
            <v>BGD</v>
          </cell>
          <cell r="B6890">
            <v>2036</v>
          </cell>
          <cell r="C6890" t="str">
            <v>mfgdppckn</v>
          </cell>
          <cell r="D6890">
            <v>266682.83707084617</v>
          </cell>
        </row>
        <row r="6891">
          <cell r="A6891" t="str">
            <v>BGD</v>
          </cell>
          <cell r="B6891">
            <v>2036</v>
          </cell>
          <cell r="C6891" t="str">
            <v>mfnvagrtotlkn</v>
          </cell>
          <cell r="D6891">
            <v>5477998.8075559475</v>
          </cell>
        </row>
        <row r="6892">
          <cell r="A6892" t="str">
            <v>BGD</v>
          </cell>
          <cell r="B6892">
            <v>2036</v>
          </cell>
          <cell r="C6892" t="str">
            <v>mfnvindconskn</v>
          </cell>
          <cell r="D6892">
            <v>5420425.4810496643</v>
          </cell>
        </row>
        <row r="6893">
          <cell r="A6893" t="str">
            <v>BGD</v>
          </cell>
          <cell r="B6893">
            <v>2036</v>
          </cell>
          <cell r="C6893" t="str">
            <v>mfnvindrestkn</v>
          </cell>
          <cell r="D6893">
            <v>15013720.16969835</v>
          </cell>
        </row>
        <row r="6894">
          <cell r="A6894" t="str">
            <v>BGD</v>
          </cell>
          <cell r="B6894">
            <v>2036</v>
          </cell>
          <cell r="C6894" t="str">
            <v>mfnvsrvfinakn</v>
          </cell>
          <cell r="D6894">
            <v>1827286.8318333218</v>
          </cell>
        </row>
        <row r="6895">
          <cell r="A6895" t="str">
            <v>BGD</v>
          </cell>
          <cell r="B6895">
            <v>2036</v>
          </cell>
          <cell r="C6895" t="str">
            <v>mfnvsrvrestkn</v>
          </cell>
          <cell r="D6895">
            <v>20273002.804147642</v>
          </cell>
        </row>
        <row r="6896">
          <cell r="A6896" t="str">
            <v>BGD</v>
          </cell>
          <cell r="B6896">
            <v>2036</v>
          </cell>
          <cell r="C6896" t="str">
            <v>mfnvsrvtrnskn</v>
          </cell>
          <cell r="D6896">
            <v>4888996.7205681959</v>
          </cell>
        </row>
        <row r="6897">
          <cell r="A6897" t="str">
            <v>BGD</v>
          </cell>
          <cell r="B6897">
            <v>2036</v>
          </cell>
          <cell r="C6897" t="str">
            <v>mfnygdpmktpkn</v>
          </cell>
          <cell r="D6897">
            <v>54591659.459484227</v>
          </cell>
        </row>
        <row r="6898">
          <cell r="A6898" t="str">
            <v>BGD</v>
          </cell>
          <cell r="B6898">
            <v>2036</v>
          </cell>
          <cell r="C6898" t="str">
            <v>mfpop_totl</v>
          </cell>
          <cell r="D6898">
            <v>204706309.78393847</v>
          </cell>
        </row>
        <row r="6899">
          <cell r="A6899" t="str">
            <v>BGD</v>
          </cell>
          <cell r="B6899">
            <v>2037</v>
          </cell>
          <cell r="C6899" t="str">
            <v>mfgdppckn</v>
          </cell>
          <cell r="D6899">
            <v>273529.19772727892</v>
          </cell>
        </row>
        <row r="6900">
          <cell r="A6900" t="str">
            <v>BGD</v>
          </cell>
          <cell r="B6900">
            <v>2037</v>
          </cell>
          <cell r="C6900" t="str">
            <v>mfnvagrtotlkn</v>
          </cell>
          <cell r="D6900">
            <v>5650091.5253129406</v>
          </cell>
        </row>
        <row r="6901">
          <cell r="A6901" t="str">
            <v>BGD</v>
          </cell>
          <cell r="B6901">
            <v>2037</v>
          </cell>
          <cell r="C6901" t="str">
            <v>mfnvindconskn</v>
          </cell>
          <cell r="D6901">
            <v>5644667.453235168</v>
          </cell>
        </row>
        <row r="6902">
          <cell r="A6902" t="str">
            <v>BGD</v>
          </cell>
          <cell r="B6902">
            <v>2037</v>
          </cell>
          <cell r="C6902" t="str">
            <v>mfnvindrestkn</v>
          </cell>
          <cell r="D6902">
            <v>15522512.983371899</v>
          </cell>
        </row>
        <row r="6903">
          <cell r="A6903" t="str">
            <v>BGD</v>
          </cell>
          <cell r="B6903">
            <v>2037</v>
          </cell>
          <cell r="C6903" t="str">
            <v>mfnvsrvfinakn</v>
          </cell>
          <cell r="D6903">
            <v>1919633.0183677198</v>
          </cell>
        </row>
        <row r="6904">
          <cell r="A6904" t="str">
            <v>BGD</v>
          </cell>
          <cell r="B6904">
            <v>2037</v>
          </cell>
          <cell r="C6904" t="str">
            <v>mfnvsrvrestkn</v>
          </cell>
          <cell r="D6904">
            <v>21227860.204268429</v>
          </cell>
        </row>
        <row r="6905">
          <cell r="A6905" t="str">
            <v>BGD</v>
          </cell>
          <cell r="B6905">
            <v>2037</v>
          </cell>
          <cell r="C6905" t="str">
            <v>mfnvsrvtrnskn</v>
          </cell>
          <cell r="D6905">
            <v>5098093.802139516</v>
          </cell>
        </row>
        <row r="6906">
          <cell r="A6906" t="str">
            <v>BGD</v>
          </cell>
          <cell r="B6906">
            <v>2037</v>
          </cell>
          <cell r="C6906" t="str">
            <v>mfnygdpmktpkn</v>
          </cell>
          <cell r="D6906">
            <v>56813698.066942342</v>
          </cell>
        </row>
        <row r="6907">
          <cell r="A6907" t="str">
            <v>BGD</v>
          </cell>
          <cell r="B6907">
            <v>2037</v>
          </cell>
          <cell r="C6907" t="str">
            <v>mfpop_totl</v>
          </cell>
          <cell r="D6907">
            <v>207706155.46347702</v>
          </cell>
        </row>
        <row r="6908">
          <cell r="A6908" t="str">
            <v>BGD</v>
          </cell>
          <cell r="B6908">
            <v>2038</v>
          </cell>
          <cell r="C6908" t="str">
            <v>mfgdppckn</v>
          </cell>
          <cell r="D6908">
            <v>280580.1840029853</v>
          </cell>
        </row>
        <row r="6909">
          <cell r="A6909" t="str">
            <v>BGD</v>
          </cell>
          <cell r="B6909">
            <v>2038</v>
          </cell>
          <cell r="C6909" t="str">
            <v>mfnvagrtotlkn</v>
          </cell>
          <cell r="D6909">
            <v>5830042.1932393042</v>
          </cell>
        </row>
        <row r="6910">
          <cell r="A6910" t="str">
            <v>BGD</v>
          </cell>
          <cell r="B6910">
            <v>2038</v>
          </cell>
          <cell r="C6910" t="str">
            <v>mfnvindconskn</v>
          </cell>
          <cell r="D6910">
            <v>5877952.2835698593</v>
          </cell>
        </row>
        <row r="6911">
          <cell r="A6911" t="str">
            <v>BGD</v>
          </cell>
          <cell r="B6911">
            <v>2038</v>
          </cell>
          <cell r="C6911" t="str">
            <v>mfnvindrestkn</v>
          </cell>
          <cell r="D6911">
            <v>16061192.550705465</v>
          </cell>
        </row>
        <row r="6912">
          <cell r="A6912" t="str">
            <v>BGD</v>
          </cell>
          <cell r="B6912">
            <v>2038</v>
          </cell>
          <cell r="C6912" t="str">
            <v>mfnvsrvfinakn</v>
          </cell>
          <cell r="D6912">
            <v>2014171.4797134476</v>
          </cell>
        </row>
        <row r="6913">
          <cell r="A6913" t="str">
            <v>BGD</v>
          </cell>
          <cell r="B6913">
            <v>2038</v>
          </cell>
          <cell r="C6913" t="str">
            <v>mfnvsrvrestkn</v>
          </cell>
          <cell r="D6913">
            <v>22219915.823895633</v>
          </cell>
        </row>
        <row r="6914">
          <cell r="A6914" t="str">
            <v>BGD</v>
          </cell>
          <cell r="B6914">
            <v>2038</v>
          </cell>
          <cell r="C6914" t="str">
            <v>mfnvsrvtrnskn</v>
          </cell>
          <cell r="D6914">
            <v>5315365.8338374374</v>
          </cell>
        </row>
        <row r="6915">
          <cell r="A6915" t="str">
            <v>BGD</v>
          </cell>
          <cell r="B6915">
            <v>2038</v>
          </cell>
          <cell r="C6915" t="str">
            <v>mfnygdpmktpkn</v>
          </cell>
          <cell r="D6915">
            <v>59132263.12931934</v>
          </cell>
        </row>
        <row r="6916">
          <cell r="A6916" t="str">
            <v>BGD</v>
          </cell>
          <cell r="B6916">
            <v>2038</v>
          </cell>
          <cell r="C6916" t="str">
            <v>mfpop_totl</v>
          </cell>
          <cell r="D6916">
            <v>210749962.04539588</v>
          </cell>
        </row>
        <row r="6917">
          <cell r="A6917" t="str">
            <v>BGD</v>
          </cell>
          <cell r="B6917">
            <v>2039</v>
          </cell>
          <cell r="C6917" t="str">
            <v>mfgdppckn</v>
          </cell>
          <cell r="D6917">
            <v>287809.54177480162</v>
          </cell>
        </row>
        <row r="6918">
          <cell r="A6918" t="str">
            <v>BGD</v>
          </cell>
          <cell r="B6918">
            <v>2039</v>
          </cell>
          <cell r="C6918" t="str">
            <v>mfnvagrtotlkn</v>
          </cell>
          <cell r="D6918">
            <v>6017806.1303792316</v>
          </cell>
        </row>
        <row r="6919">
          <cell r="A6919" t="str">
            <v>BGD</v>
          </cell>
          <cell r="B6919">
            <v>2039</v>
          </cell>
          <cell r="C6919" t="str">
            <v>mfnvindconskn</v>
          </cell>
          <cell r="D6919">
            <v>6120177.7090010215</v>
          </cell>
        </row>
        <row r="6920">
          <cell r="A6920" t="str">
            <v>BGD</v>
          </cell>
          <cell r="B6920">
            <v>2039</v>
          </cell>
          <cell r="C6920" t="str">
            <v>mfnvindrestkn</v>
          </cell>
          <cell r="D6920">
            <v>16629257.385273105</v>
          </cell>
        </row>
        <row r="6921">
          <cell r="A6921" t="str">
            <v>BGD</v>
          </cell>
          <cell r="B6921">
            <v>2039</v>
          </cell>
          <cell r="C6921" t="str">
            <v>mfnvsrvfinakn</v>
          </cell>
          <cell r="D6921">
            <v>2110871.4342325027</v>
          </cell>
        </row>
        <row r="6922">
          <cell r="A6922" t="str">
            <v>BGD</v>
          </cell>
          <cell r="B6922">
            <v>2039</v>
          </cell>
          <cell r="C6922" t="str">
            <v>mfnvsrvrestkn</v>
          </cell>
          <cell r="D6922">
            <v>23247385.718705617</v>
          </cell>
        </row>
        <row r="6923">
          <cell r="A6923" t="str">
            <v>BGD</v>
          </cell>
          <cell r="B6923">
            <v>2039</v>
          </cell>
          <cell r="C6923" t="str">
            <v>mfnvsrvtrnskn</v>
          </cell>
          <cell r="D6923">
            <v>5540567.7498785192</v>
          </cell>
        </row>
        <row r="6924">
          <cell r="A6924" t="str">
            <v>BGD</v>
          </cell>
          <cell r="B6924">
            <v>2039</v>
          </cell>
          <cell r="C6924" t="str">
            <v>mfnygdpmktpkn</v>
          </cell>
          <cell r="D6924">
            <v>61544724.362802505</v>
          </cell>
        </row>
        <row r="6925">
          <cell r="A6925" t="str">
            <v>BGD</v>
          </cell>
          <cell r="B6925">
            <v>2039</v>
          </cell>
          <cell r="C6925" t="str">
            <v>mfpop_totl</v>
          </cell>
          <cell r="D6925">
            <v>213838373.7498132</v>
          </cell>
        </row>
        <row r="6926">
          <cell r="A6926" t="str">
            <v>BGD</v>
          </cell>
          <cell r="B6926">
            <v>2040</v>
          </cell>
          <cell r="C6926" t="str">
            <v>mfgdppckn</v>
          </cell>
          <cell r="D6926">
            <v>295194.48679167143</v>
          </cell>
        </row>
        <row r="6927">
          <cell r="A6927" t="str">
            <v>BGD</v>
          </cell>
          <cell r="B6927">
            <v>2040</v>
          </cell>
          <cell r="C6927" t="str">
            <v>mfnvagrtotlkn</v>
          </cell>
          <cell r="D6927">
            <v>6213353.8727434957</v>
          </cell>
        </row>
        <row r="6928">
          <cell r="A6928" t="str">
            <v>BGD</v>
          </cell>
          <cell r="B6928">
            <v>2040</v>
          </cell>
          <cell r="C6928" t="str">
            <v>mfnvindconskn</v>
          </cell>
          <cell r="D6928">
            <v>6371180.5047753006</v>
          </cell>
        </row>
        <row r="6929">
          <cell r="A6929" t="str">
            <v>BGD</v>
          </cell>
          <cell r="B6929">
            <v>2040</v>
          </cell>
          <cell r="C6929" t="str">
            <v>mfnvindrestkn</v>
          </cell>
          <cell r="D6929">
            <v>17226080.548142321</v>
          </cell>
        </row>
        <row r="6930">
          <cell r="A6930" t="str">
            <v>BGD</v>
          </cell>
          <cell r="B6930">
            <v>2040</v>
          </cell>
          <cell r="C6930" t="str">
            <v>mfnvsrvfinakn</v>
          </cell>
          <cell r="D6930">
            <v>2209724.1933295345</v>
          </cell>
        </row>
        <row r="6931">
          <cell r="A6931" t="str">
            <v>BGD</v>
          </cell>
          <cell r="B6931">
            <v>2040</v>
          </cell>
          <cell r="C6931" t="str">
            <v>mfnvsrvrestkn</v>
          </cell>
          <cell r="D6931">
            <v>24309087.229548767</v>
          </cell>
        </row>
        <row r="6932">
          <cell r="A6932" t="str">
            <v>BGD</v>
          </cell>
          <cell r="B6932">
            <v>2040</v>
          </cell>
          <cell r="C6932" t="str">
            <v>mfnvsrvtrnskn</v>
          </cell>
          <cell r="D6932">
            <v>5773499.2719361931</v>
          </cell>
        </row>
        <row r="6933">
          <cell r="A6933" t="str">
            <v>BGD</v>
          </cell>
          <cell r="B6933">
            <v>2040</v>
          </cell>
          <cell r="C6933" t="str">
            <v>mfnygdpmktpkn</v>
          </cell>
          <cell r="D6933">
            <v>64048951.246828243</v>
          </cell>
        </row>
        <row r="6934">
          <cell r="A6934" t="str">
            <v>BGD</v>
          </cell>
          <cell r="B6934">
            <v>2040</v>
          </cell>
          <cell r="C6934" t="str">
            <v>mfpop_totl</v>
          </cell>
          <cell r="D6934">
            <v>216972044.23749864</v>
          </cell>
        </row>
        <row r="6935">
          <cell r="A6935" t="str">
            <v>BGD</v>
          </cell>
          <cell r="B6935">
            <v>2041</v>
          </cell>
          <cell r="C6935" t="str">
            <v>mfgdppckn</v>
          </cell>
          <cell r="D6935">
            <v>302716.65140409546</v>
          </cell>
        </row>
        <row r="6936">
          <cell r="A6936" t="str">
            <v>BGD</v>
          </cell>
          <cell r="B6936">
            <v>2041</v>
          </cell>
          <cell r="C6936" t="str">
            <v>mfnvagrtotlkn</v>
          </cell>
          <cell r="D6936">
            <v>6416703.6258107303</v>
          </cell>
        </row>
        <row r="6937">
          <cell r="A6937" t="str">
            <v>BGD</v>
          </cell>
          <cell r="B6937">
            <v>2041</v>
          </cell>
          <cell r="C6937" t="str">
            <v>mfnvindconskn</v>
          </cell>
          <cell r="D6937">
            <v>6630804.7948733494</v>
          </cell>
        </row>
        <row r="6938">
          <cell r="A6938" t="str">
            <v>BGD</v>
          </cell>
          <cell r="B6938">
            <v>2041</v>
          </cell>
          <cell r="C6938" t="str">
            <v>mfnvindrestkn</v>
          </cell>
          <cell r="D6938">
            <v>17851086.749085158</v>
          </cell>
        </row>
        <row r="6939">
          <cell r="A6939" t="str">
            <v>BGD</v>
          </cell>
          <cell r="B6939">
            <v>2041</v>
          </cell>
          <cell r="C6939" t="str">
            <v>mfnvsrvfinakn</v>
          </cell>
          <cell r="D6939">
            <v>2310749.864318152</v>
          </cell>
        </row>
        <row r="6940">
          <cell r="A6940" t="str">
            <v>BGD</v>
          </cell>
          <cell r="B6940">
            <v>2041</v>
          </cell>
          <cell r="C6940" t="str">
            <v>mfnvsrvrestkn</v>
          </cell>
          <cell r="D6940">
            <v>25404376.088862002</v>
          </cell>
        </row>
        <row r="6941">
          <cell r="A6941" t="str">
            <v>BGD</v>
          </cell>
          <cell r="B6941">
            <v>2041</v>
          </cell>
          <cell r="C6941" t="str">
            <v>mfnvsrvtrnskn</v>
          </cell>
          <cell r="D6941">
            <v>6014036.388964789</v>
          </cell>
        </row>
        <row r="6942">
          <cell r="A6942" t="str">
            <v>BGD</v>
          </cell>
          <cell r="B6942">
            <v>2041</v>
          </cell>
          <cell r="C6942" t="str">
            <v>mfnygdpmktpkn</v>
          </cell>
          <cell r="D6942">
            <v>66643566.277552098</v>
          </cell>
        </row>
        <row r="6943">
          <cell r="A6943" t="str">
            <v>BGD</v>
          </cell>
          <cell r="B6943">
            <v>2041</v>
          </cell>
          <cell r="C6943" t="str">
            <v>mfpop_totl</v>
          </cell>
          <cell r="D6943">
            <v>220151636.74822044</v>
          </cell>
        </row>
        <row r="6944">
          <cell r="A6944" t="str">
            <v>BGD</v>
          </cell>
          <cell r="B6944">
            <v>2042</v>
          </cell>
          <cell r="C6944" t="str">
            <v>mfgdppckn</v>
          </cell>
          <cell r="D6944">
            <v>310362.36783020565</v>
          </cell>
        </row>
        <row r="6945">
          <cell r="A6945" t="str">
            <v>BGD</v>
          </cell>
          <cell r="B6945">
            <v>2042</v>
          </cell>
          <cell r="C6945" t="str">
            <v>mfnvagrtotlkn</v>
          </cell>
          <cell r="D6945">
            <v>6627937.6895372681</v>
          </cell>
        </row>
        <row r="6946">
          <cell r="A6946" t="str">
            <v>BGD</v>
          </cell>
          <cell r="B6946">
            <v>2042</v>
          </cell>
          <cell r="C6946" t="str">
            <v>mfnvindconskn</v>
          </cell>
          <cell r="D6946">
            <v>6898949.993482504</v>
          </cell>
        </row>
        <row r="6947">
          <cell r="A6947" t="str">
            <v>BGD</v>
          </cell>
          <cell r="B6947">
            <v>2042</v>
          </cell>
          <cell r="C6947" t="str">
            <v>mfnvindrestkn</v>
          </cell>
          <cell r="D6947">
            <v>18503858.362487949</v>
          </cell>
        </row>
        <row r="6948">
          <cell r="A6948" t="str">
            <v>BGD</v>
          </cell>
          <cell r="B6948">
            <v>2042</v>
          </cell>
          <cell r="C6948" t="str">
            <v>mfnvsrvfinakn</v>
          </cell>
          <cell r="D6948">
            <v>2414001.7458616644</v>
          </cell>
        </row>
        <row r="6949">
          <cell r="A6949" t="str">
            <v>BGD</v>
          </cell>
          <cell r="B6949">
            <v>2042</v>
          </cell>
          <cell r="C6949" t="str">
            <v>mfnvsrvrestkn</v>
          </cell>
          <cell r="D6949">
            <v>26533081.764579363</v>
          </cell>
        </row>
        <row r="6950">
          <cell r="A6950" t="str">
            <v>BGD</v>
          </cell>
          <cell r="B6950">
            <v>2042</v>
          </cell>
          <cell r="C6950" t="str">
            <v>mfnvsrvtrnskn</v>
          </cell>
          <cell r="D6950">
            <v>6262146.6160265151</v>
          </cell>
        </row>
        <row r="6951">
          <cell r="A6951" t="str">
            <v>BGD</v>
          </cell>
          <cell r="B6951">
            <v>2042</v>
          </cell>
          <cell r="C6951" t="str">
            <v>mfnygdpmktpkn</v>
          </cell>
          <cell r="D6951">
            <v>69328070.452233404</v>
          </cell>
        </row>
        <row r="6952">
          <cell r="A6952" t="str">
            <v>BGD</v>
          </cell>
          <cell r="B6952">
            <v>2042</v>
          </cell>
          <cell r="C6952" t="str">
            <v>mfpop_totl</v>
          </cell>
          <cell r="D6952">
            <v>223377824.24111965</v>
          </cell>
        </row>
        <row r="6953">
          <cell r="A6953" t="str">
            <v>BGD</v>
          </cell>
          <cell r="B6953">
            <v>2043</v>
          </cell>
          <cell r="C6953" t="str">
            <v>mfgdppckn</v>
          </cell>
          <cell r="D6953">
            <v>318122.49473656924</v>
          </cell>
        </row>
        <row r="6954">
          <cell r="A6954" t="str">
            <v>BGD</v>
          </cell>
          <cell r="B6954">
            <v>2043</v>
          </cell>
          <cell r="C6954" t="str">
            <v>mfnvagrtotlkn</v>
          </cell>
          <cell r="D6954">
            <v>6847207.4494089484</v>
          </cell>
        </row>
        <row r="6955">
          <cell r="A6955" t="str">
            <v>BGD</v>
          </cell>
          <cell r="B6955">
            <v>2043</v>
          </cell>
          <cell r="C6955" t="str">
            <v>mfnvindconskn</v>
          </cell>
          <cell r="D6955">
            <v>7175599.9191054739</v>
          </cell>
        </row>
        <row r="6956">
          <cell r="A6956" t="str">
            <v>BGD</v>
          </cell>
          <cell r="B6956">
            <v>2043</v>
          </cell>
          <cell r="C6956" t="str">
            <v>mfnvindrestkn</v>
          </cell>
          <cell r="D6956">
            <v>19184189.491325084</v>
          </cell>
        </row>
        <row r="6957">
          <cell r="A6957" t="str">
            <v>BGD</v>
          </cell>
          <cell r="B6957">
            <v>2043</v>
          </cell>
          <cell r="C6957" t="str">
            <v>mfnvsrvfinakn</v>
          </cell>
          <cell r="D6957">
            <v>2519567.7234790805</v>
          </cell>
        </row>
        <row r="6958">
          <cell r="A6958" t="str">
            <v>BGD</v>
          </cell>
          <cell r="B6958">
            <v>2043</v>
          </cell>
          <cell r="C6958" t="str">
            <v>mfnvsrvrestkn</v>
          </cell>
          <cell r="D6958">
            <v>27695444.870214567</v>
          </cell>
        </row>
        <row r="6959">
          <cell r="A6959" t="str">
            <v>BGD</v>
          </cell>
          <cell r="B6959">
            <v>2043</v>
          </cell>
          <cell r="C6959" t="str">
            <v>mfnvsrvtrnskn</v>
          </cell>
          <cell r="D6959">
            <v>6517892.3056127168</v>
          </cell>
        </row>
        <row r="6960">
          <cell r="A6960" t="str">
            <v>BGD</v>
          </cell>
          <cell r="B6960">
            <v>2043</v>
          </cell>
          <cell r="C6960" t="str">
            <v>mfnygdpmktpkn</v>
          </cell>
          <cell r="D6960">
            <v>72102873.662815958</v>
          </cell>
        </row>
        <row r="6961">
          <cell r="A6961" t="str">
            <v>BGD</v>
          </cell>
          <cell r="B6961">
            <v>2043</v>
          </cell>
          <cell r="C6961" t="str">
            <v>mfpop_totl</v>
          </cell>
          <cell r="D6961">
            <v>226651289.53714159</v>
          </cell>
        </row>
        <row r="6962">
          <cell r="A6962" t="str">
            <v>BGD</v>
          </cell>
          <cell r="B6962">
            <v>2044</v>
          </cell>
          <cell r="C6962" t="str">
            <v>mfgdppckn</v>
          </cell>
          <cell r="D6962">
            <v>325991.95954452845</v>
          </cell>
        </row>
        <row r="6963">
          <cell r="A6963" t="str">
            <v>BGD</v>
          </cell>
          <cell r="B6963">
            <v>2044</v>
          </cell>
          <cell r="C6963" t="str">
            <v>mfnvagrtotlkn</v>
          </cell>
          <cell r="D6963">
            <v>7074730.8417666098</v>
          </cell>
        </row>
        <row r="6964">
          <cell r="A6964" t="str">
            <v>BGD</v>
          </cell>
          <cell r="B6964">
            <v>2044</v>
          </cell>
          <cell r="C6964" t="str">
            <v>mfnvindconskn</v>
          </cell>
          <cell r="D6964">
            <v>7460836.2526067533</v>
          </cell>
        </row>
        <row r="6965">
          <cell r="A6965" t="str">
            <v>BGD</v>
          </cell>
          <cell r="B6965">
            <v>2044</v>
          </cell>
          <cell r="C6965" t="str">
            <v>mfnvindrestkn</v>
          </cell>
          <cell r="D6965">
            <v>19892103.978686545</v>
          </cell>
        </row>
        <row r="6966">
          <cell r="A6966" t="str">
            <v>BGD</v>
          </cell>
          <cell r="B6966">
            <v>2044</v>
          </cell>
          <cell r="C6966" t="str">
            <v>mfnvsrvfinakn</v>
          </cell>
          <cell r="D6966">
            <v>2627568.8644415052</v>
          </cell>
        </row>
        <row r="6967">
          <cell r="A6967" t="str">
            <v>BGD</v>
          </cell>
          <cell r="B6967">
            <v>2044</v>
          </cell>
          <cell r="C6967" t="str">
            <v>mfnvsrvrestkn</v>
          </cell>
          <cell r="D6967">
            <v>28892059.006446294</v>
          </cell>
        </row>
        <row r="6968">
          <cell r="A6968" t="str">
            <v>BGD</v>
          </cell>
          <cell r="B6968">
            <v>2044</v>
          </cell>
          <cell r="C6968" t="str">
            <v>mfnvsrvtrnskn</v>
          </cell>
          <cell r="D6968">
            <v>6781425.8846017346</v>
          </cell>
        </row>
        <row r="6969">
          <cell r="A6969" t="str">
            <v>BGD</v>
          </cell>
          <cell r="B6969">
            <v>2044</v>
          </cell>
          <cell r="C6969" t="str">
            <v>mfnygdpmktpkn</v>
          </cell>
          <cell r="D6969">
            <v>74969259.415660083</v>
          </cell>
        </row>
        <row r="6970">
          <cell r="A6970" t="str">
            <v>BGD</v>
          </cell>
          <cell r="B6970">
            <v>2044</v>
          </cell>
          <cell r="C6970" t="str">
            <v>mfpop_totl</v>
          </cell>
          <cell r="D6970">
            <v>229972725.46355471</v>
          </cell>
        </row>
        <row r="6971">
          <cell r="A6971" t="str">
            <v>BGD</v>
          </cell>
          <cell r="B6971">
            <v>2045</v>
          </cell>
          <cell r="C6971" t="str">
            <v>mfgdppckn</v>
          </cell>
          <cell r="D6971">
            <v>333969.15138064272</v>
          </cell>
        </row>
        <row r="6972">
          <cell r="A6972" t="str">
            <v>BGD</v>
          </cell>
          <cell r="B6972">
            <v>2045</v>
          </cell>
          <cell r="C6972" t="str">
            <v>mfnvagrtotlkn</v>
          </cell>
          <cell r="D6972">
            <v>7310785.3973269677</v>
          </cell>
        </row>
        <row r="6973">
          <cell r="A6973" t="str">
            <v>BGD</v>
          </cell>
          <cell r="B6973">
            <v>2045</v>
          </cell>
          <cell r="C6973" t="str">
            <v>mfnvindconskn</v>
          </cell>
          <cell r="D6973">
            <v>7754840.1256974824</v>
          </cell>
        </row>
        <row r="6974">
          <cell r="A6974" t="str">
            <v>BGD</v>
          </cell>
          <cell r="B6974">
            <v>2045</v>
          </cell>
          <cell r="C6974" t="str">
            <v>mfnvindrestkn</v>
          </cell>
          <cell r="D6974">
            <v>20627850.011337776</v>
          </cell>
        </row>
        <row r="6975">
          <cell r="A6975" t="str">
            <v>BGD</v>
          </cell>
          <cell r="B6975">
            <v>2045</v>
          </cell>
          <cell r="C6975" t="str">
            <v>mfnvsrvfinakn</v>
          </cell>
          <cell r="D6975">
            <v>2738155.8909503073</v>
          </cell>
        </row>
        <row r="6976">
          <cell r="A6976" t="str">
            <v>BGD</v>
          </cell>
          <cell r="B6976">
            <v>2045</v>
          </cell>
          <cell r="C6976" t="str">
            <v>mfnvsrvrestkn</v>
          </cell>
          <cell r="D6976">
            <v>30123818.290536258</v>
          </cell>
        </row>
        <row r="6977">
          <cell r="A6977" t="str">
            <v>BGD</v>
          </cell>
          <cell r="B6977">
            <v>2045</v>
          </cell>
          <cell r="C6977" t="str">
            <v>mfnvsrvtrnskn</v>
          </cell>
          <cell r="D6977">
            <v>7052980.2550666807</v>
          </cell>
        </row>
        <row r="6978">
          <cell r="A6978" t="str">
            <v>BGD</v>
          </cell>
          <cell r="B6978">
            <v>2045</v>
          </cell>
          <cell r="C6978" t="str">
            <v>mfnygdpmktpkn</v>
          </cell>
          <cell r="D6978">
            <v>77929308.585899413</v>
          </cell>
        </row>
        <row r="6979">
          <cell r="A6979" t="str">
            <v>BGD</v>
          </cell>
          <cell r="B6979">
            <v>2045</v>
          </cell>
          <cell r="C6979" t="str">
            <v>mfpop_totl</v>
          </cell>
          <cell r="D6979">
            <v>233342835.00058708</v>
          </cell>
        </row>
        <row r="6980">
          <cell r="A6980" t="str">
            <v>BGD</v>
          </cell>
          <cell r="B6980">
            <v>2046</v>
          </cell>
          <cell r="C6980" t="str">
            <v>mfgdppckn</v>
          </cell>
          <cell r="D6980">
            <v>342055.26372688357</v>
          </cell>
        </row>
        <row r="6981">
          <cell r="A6981" t="str">
            <v>BGD</v>
          </cell>
          <cell r="B6981">
            <v>2046</v>
          </cell>
          <cell r="C6981" t="str">
            <v>mfnvagrtotlkn</v>
          </cell>
          <cell r="D6981">
            <v>7555699.1762378905</v>
          </cell>
        </row>
        <row r="6982">
          <cell r="A6982" t="str">
            <v>BGD</v>
          </cell>
          <cell r="B6982">
            <v>2046</v>
          </cell>
          <cell r="C6982" t="str">
            <v>mfnvindconskn</v>
          </cell>
          <cell r="D6982">
            <v>8057885.5679468811</v>
          </cell>
        </row>
        <row r="6983">
          <cell r="A6983" t="str">
            <v>BGD</v>
          </cell>
          <cell r="B6983">
            <v>2046</v>
          </cell>
          <cell r="C6983" t="str">
            <v>mfnvindrestkn</v>
          </cell>
          <cell r="D6983">
            <v>21391880.951641683</v>
          </cell>
        </row>
        <row r="6984">
          <cell r="A6984" t="str">
            <v>BGD</v>
          </cell>
          <cell r="B6984">
            <v>2046</v>
          </cell>
          <cell r="C6984" t="str">
            <v>mfnvsrvfinakn</v>
          </cell>
          <cell r="D6984">
            <v>2851504.3707662355</v>
          </cell>
        </row>
        <row r="6985">
          <cell r="A6985" t="str">
            <v>BGD</v>
          </cell>
          <cell r="B6985">
            <v>2046</v>
          </cell>
          <cell r="C6985" t="str">
            <v>mfnvsrvrestkn</v>
          </cell>
          <cell r="D6985">
            <v>31391871.050883584</v>
          </cell>
        </row>
        <row r="6986">
          <cell r="A6986" t="str">
            <v>BGD</v>
          </cell>
          <cell r="B6986">
            <v>2046</v>
          </cell>
          <cell r="C6986" t="str">
            <v>mfnvsrvtrnskn</v>
          </cell>
          <cell r="D6986">
            <v>7332856.8760898933</v>
          </cell>
        </row>
        <row r="6987">
          <cell r="A6987" t="str">
            <v>BGD</v>
          </cell>
          <cell r="B6987">
            <v>2046</v>
          </cell>
          <cell r="C6987" t="str">
            <v>mfnygdpmktpkn</v>
          </cell>
          <cell r="D6987">
            <v>80985801.717952833</v>
          </cell>
        </row>
        <row r="6988">
          <cell r="A6988" t="str">
            <v>BGD</v>
          </cell>
          <cell r="B6988">
            <v>2046</v>
          </cell>
          <cell r="C6988" t="str">
            <v>mfpop_totl</v>
          </cell>
          <cell r="D6988">
            <v>236762331.43021154</v>
          </cell>
        </row>
        <row r="6989">
          <cell r="A6989" t="str">
            <v>BGD</v>
          </cell>
          <cell r="B6989">
            <v>2047</v>
          </cell>
          <cell r="C6989" t="str">
            <v>mfgdppckn</v>
          </cell>
          <cell r="D6989">
            <v>350253.65444418904</v>
          </cell>
        </row>
        <row r="6990">
          <cell r="A6990" t="str">
            <v>BGD</v>
          </cell>
          <cell r="B6990">
            <v>2047</v>
          </cell>
          <cell r="C6990" t="str">
            <v>mfnvagrtotlkn</v>
          </cell>
          <cell r="D6990">
            <v>7809841.2089286642</v>
          </cell>
        </row>
        <row r="6991">
          <cell r="A6991" t="str">
            <v>BGD</v>
          </cell>
          <cell r="B6991">
            <v>2047</v>
          </cell>
          <cell r="C6991" t="str">
            <v>mfnvindconskn</v>
          </cell>
          <cell r="D6991">
            <v>8370328.0830437616</v>
          </cell>
        </row>
        <row r="6992">
          <cell r="A6992" t="str">
            <v>BGD</v>
          </cell>
          <cell r="B6992">
            <v>2047</v>
          </cell>
          <cell r="C6992" t="str">
            <v>mfnvindrestkn</v>
          </cell>
          <cell r="D6992">
            <v>22184829.415132813</v>
          </cell>
        </row>
        <row r="6993">
          <cell r="A6993" t="str">
            <v>BGD</v>
          </cell>
          <cell r="B6993">
            <v>2047</v>
          </cell>
          <cell r="C6993" t="str">
            <v>mfnvsrvfinakn</v>
          </cell>
          <cell r="D6993">
            <v>2967809.4150644005</v>
          </cell>
        </row>
        <row r="6994">
          <cell r="A6994" t="str">
            <v>BGD</v>
          </cell>
          <cell r="B6994">
            <v>2047</v>
          </cell>
          <cell r="C6994" t="str">
            <v>mfnvsrvrestkn</v>
          </cell>
          <cell r="D6994">
            <v>32697579.673611686</v>
          </cell>
        </row>
        <row r="6995">
          <cell r="A6995" t="str">
            <v>BGD</v>
          </cell>
          <cell r="B6995">
            <v>2047</v>
          </cell>
          <cell r="C6995" t="str">
            <v>mfnvsrvtrnskn</v>
          </cell>
          <cell r="D6995">
            <v>7621413.3446222497</v>
          </cell>
        </row>
        <row r="6996">
          <cell r="A6996" t="str">
            <v>BGD</v>
          </cell>
          <cell r="B6996">
            <v>2047</v>
          </cell>
          <cell r="C6996" t="str">
            <v>mfnygdpmktpkn</v>
          </cell>
          <cell r="D6996">
            <v>84142114.369322598</v>
          </cell>
        </row>
        <row r="6997">
          <cell r="A6997" t="str">
            <v>BGD</v>
          </cell>
          <cell r="B6997">
            <v>2047</v>
          </cell>
          <cell r="C6997" t="str">
            <v>mfpop_totl</v>
          </cell>
          <cell r="D6997">
            <v>240231938.48711196</v>
          </cell>
        </row>
        <row r="6998">
          <cell r="A6998" t="str">
            <v>BGD</v>
          </cell>
          <cell r="B6998">
            <v>2048</v>
          </cell>
          <cell r="C6998" t="str">
            <v>mfgdppckn</v>
          </cell>
          <cell r="D6998">
            <v>358569.26522890135</v>
          </cell>
        </row>
        <row r="6999">
          <cell r="A6999" t="str">
            <v>BGD</v>
          </cell>
          <cell r="B6999">
            <v>2048</v>
          </cell>
          <cell r="C6999" t="str">
            <v>mfnvagrtotlkn</v>
          </cell>
          <cell r="D6999">
            <v>8073612.4844807992</v>
          </cell>
        </row>
        <row r="7000">
          <cell r="A7000" t="str">
            <v>BGD</v>
          </cell>
          <cell r="B7000">
            <v>2048</v>
          </cell>
          <cell r="C7000" t="str">
            <v>mfnvindconskn</v>
          </cell>
          <cell r="D7000">
            <v>8692590.9790327661</v>
          </cell>
        </row>
        <row r="7001">
          <cell r="A7001" t="str">
            <v>BGD</v>
          </cell>
          <cell r="B7001">
            <v>2048</v>
          </cell>
          <cell r="C7001" t="str">
            <v>mfnvindrestkn</v>
          </cell>
          <cell r="D7001">
            <v>23007479.441467408</v>
          </cell>
        </row>
        <row r="7002">
          <cell r="A7002" t="str">
            <v>BGD</v>
          </cell>
          <cell r="B7002">
            <v>2048</v>
          </cell>
          <cell r="C7002" t="str">
            <v>mfnvsrvfinakn</v>
          </cell>
          <cell r="D7002">
            <v>3087280.5124882855</v>
          </cell>
        </row>
        <row r="7003">
          <cell r="A7003" t="str">
            <v>BGD</v>
          </cell>
          <cell r="B7003">
            <v>2048</v>
          </cell>
          <cell r="C7003" t="str">
            <v>mfnvsrvrestkn</v>
          </cell>
          <cell r="D7003">
            <v>34042486.317020774</v>
          </cell>
        </row>
        <row r="7004">
          <cell r="A7004" t="str">
            <v>BGD</v>
          </cell>
          <cell r="B7004">
            <v>2048</v>
          </cell>
          <cell r="C7004" t="str">
            <v>mfnvsrvtrnskn</v>
          </cell>
          <cell r="D7004">
            <v>7919051.6822002307</v>
          </cell>
        </row>
        <row r="7005">
          <cell r="A7005" t="str">
            <v>BGD</v>
          </cell>
          <cell r="B7005">
            <v>2048</v>
          </cell>
          <cell r="C7005" t="str">
            <v>mfnygdpmktpkn</v>
          </cell>
          <cell r="D7005">
            <v>87402115.56362617</v>
          </cell>
        </row>
        <row r="7006">
          <cell r="A7006" t="str">
            <v>BGD</v>
          </cell>
          <cell r="B7006">
            <v>2048</v>
          </cell>
          <cell r="C7006" t="str">
            <v>mfpop_totl</v>
          </cell>
          <cell r="D7006">
            <v>243752390.51186085</v>
          </cell>
        </row>
        <row r="7007">
          <cell r="A7007" t="str">
            <v>BGD</v>
          </cell>
          <cell r="B7007">
            <v>2049</v>
          </cell>
          <cell r="C7007" t="str">
            <v>mfgdppckn</v>
          </cell>
          <cell r="D7007">
            <v>367008.12289014645</v>
          </cell>
        </row>
        <row r="7008">
          <cell r="A7008" t="str">
            <v>BGD</v>
          </cell>
          <cell r="B7008">
            <v>2049</v>
          </cell>
          <cell r="C7008" t="str">
            <v>mfnvagrtotlkn</v>
          </cell>
          <cell r="D7008">
            <v>8347438.087980777</v>
          </cell>
        </row>
        <row r="7009">
          <cell r="A7009" t="str">
            <v>BGD</v>
          </cell>
          <cell r="B7009">
            <v>2049</v>
          </cell>
          <cell r="C7009" t="str">
            <v>mfnvindconskn</v>
          </cell>
          <cell r="D7009">
            <v>9025151.3911496066</v>
          </cell>
        </row>
        <row r="7010">
          <cell r="A7010" t="str">
            <v>BGD</v>
          </cell>
          <cell r="B7010">
            <v>2049</v>
          </cell>
          <cell r="C7010" t="str">
            <v>mfnvindrestkn</v>
          </cell>
          <cell r="D7010">
            <v>23860739.889180534</v>
          </cell>
        </row>
        <row r="7011">
          <cell r="A7011" t="str">
            <v>BGD</v>
          </cell>
          <cell r="B7011">
            <v>2049</v>
          </cell>
          <cell r="C7011" t="str">
            <v>mfnvsrvfinakn</v>
          </cell>
          <cell r="D7011">
            <v>3210136.9301647628</v>
          </cell>
        </row>
        <row r="7012">
          <cell r="A7012" t="str">
            <v>BGD</v>
          </cell>
          <cell r="B7012">
            <v>2049</v>
          </cell>
          <cell r="C7012" t="str">
            <v>mfnvsrvrestkn</v>
          </cell>
          <cell r="D7012">
            <v>35428284.081877261</v>
          </cell>
        </row>
        <row r="7013">
          <cell r="A7013" t="str">
            <v>BGD</v>
          </cell>
          <cell r="B7013">
            <v>2049</v>
          </cell>
          <cell r="C7013" t="str">
            <v>mfnvsrvtrnskn</v>
          </cell>
          <cell r="D7013">
            <v>8226208.0409746366</v>
          </cell>
        </row>
        <row r="7014">
          <cell r="A7014" t="str">
            <v>BGD</v>
          </cell>
          <cell r="B7014">
            <v>2049</v>
          </cell>
          <cell r="C7014" t="str">
            <v>mfnygdpmktpkn</v>
          </cell>
          <cell r="D7014">
            <v>90770075.755724236</v>
          </cell>
        </row>
        <row r="7015">
          <cell r="A7015" t="str">
            <v>BGD</v>
          </cell>
          <cell r="B7015">
            <v>2049</v>
          </cell>
          <cell r="C7015" t="str">
            <v>mfpop_totl</v>
          </cell>
          <cell r="D7015">
            <v>247324432.60634235</v>
          </cell>
        </row>
        <row r="7016">
          <cell r="A7016" t="str">
            <v>BGD</v>
          </cell>
          <cell r="B7016">
            <v>2050</v>
          </cell>
          <cell r="C7016" t="str">
            <v>mfgdppckn</v>
          </cell>
          <cell r="D7016">
            <v>375576.9306014952</v>
          </cell>
        </row>
        <row r="7017">
          <cell r="A7017" t="str">
            <v>BGD</v>
          </cell>
          <cell r="B7017">
            <v>2050</v>
          </cell>
          <cell r="C7017" t="str">
            <v>mfnvagrtotlkn</v>
          </cell>
          <cell r="D7017">
            <v>8631760.7687480766</v>
          </cell>
        </row>
        <row r="7018">
          <cell r="A7018" t="str">
            <v>BGD</v>
          </cell>
          <cell r="B7018">
            <v>2050</v>
          </cell>
          <cell r="C7018" t="str">
            <v>mfnvindconskn</v>
          </cell>
          <cell r="D7018">
            <v>9368527.3031245992</v>
          </cell>
        </row>
        <row r="7019">
          <cell r="A7019" t="str">
            <v>BGD</v>
          </cell>
          <cell r="B7019">
            <v>2050</v>
          </cell>
          <cell r="C7019" t="str">
            <v>mfnvindrestkn</v>
          </cell>
          <cell r="D7019">
            <v>24745620.88413538</v>
          </cell>
        </row>
        <row r="7020">
          <cell r="A7020" t="str">
            <v>BGD</v>
          </cell>
          <cell r="B7020">
            <v>2050</v>
          </cell>
          <cell r="C7020" t="str">
            <v>mfnvsrvfinakn</v>
          </cell>
          <cell r="D7020">
            <v>3336603.9242498074</v>
          </cell>
        </row>
        <row r="7021">
          <cell r="A7021" t="str">
            <v>BGD</v>
          </cell>
          <cell r="B7021">
            <v>2050</v>
          </cell>
          <cell r="C7021" t="str">
            <v>mfnvsrvrestkn</v>
          </cell>
          <cell r="D7021">
            <v>36856793.17713955</v>
          </cell>
        </row>
        <row r="7022">
          <cell r="A7022" t="str">
            <v>BGD</v>
          </cell>
          <cell r="B7022">
            <v>2050</v>
          </cell>
          <cell r="C7022" t="str">
            <v>mfnvsrvtrnskn</v>
          </cell>
          <cell r="D7022">
            <v>8543344.1710420512</v>
          </cell>
        </row>
        <row r="7023">
          <cell r="A7023" t="str">
            <v>BGD</v>
          </cell>
          <cell r="B7023">
            <v>2050</v>
          </cell>
          <cell r="C7023" t="str">
            <v>mfnygdpmktpkn</v>
          </cell>
          <cell r="D7023">
            <v>94250587.850918517</v>
          </cell>
        </row>
        <row r="7024">
          <cell r="A7024" t="str">
            <v>BGD</v>
          </cell>
          <cell r="B7024">
            <v>2050</v>
          </cell>
          <cell r="C7024" t="str">
            <v>mfpop_totl</v>
          </cell>
          <cell r="D7024">
            <v>250948820.79145277</v>
          </cell>
        </row>
        <row r="7025">
          <cell r="A7025" t="str">
            <v>AFG</v>
          </cell>
          <cell r="B7025">
            <v>1960</v>
          </cell>
          <cell r="C7025" t="str">
            <v>wbsp_pop_1564_to</v>
          </cell>
          <cell r="D7025">
            <v>4788899</v>
          </cell>
        </row>
        <row r="7026">
          <cell r="A7026" t="str">
            <v>AFG</v>
          </cell>
          <cell r="B7026">
            <v>1960</v>
          </cell>
          <cell r="C7026" t="str">
            <v>wbsp_pop_totl</v>
          </cell>
          <cell r="D7026">
            <v>8622466</v>
          </cell>
        </row>
        <row r="7027">
          <cell r="A7027" t="str">
            <v>AFG</v>
          </cell>
          <cell r="B7027">
            <v>1961</v>
          </cell>
          <cell r="C7027" t="str">
            <v>wbsp_pop_1564_to</v>
          </cell>
          <cell r="D7027">
            <v>4877387</v>
          </cell>
        </row>
        <row r="7028">
          <cell r="A7028" t="str">
            <v>AFG</v>
          </cell>
          <cell r="B7028">
            <v>1961</v>
          </cell>
          <cell r="C7028" t="str">
            <v>wbsp_pop_totl</v>
          </cell>
          <cell r="D7028">
            <v>8790140</v>
          </cell>
        </row>
        <row r="7029">
          <cell r="A7029" t="str">
            <v>AFG</v>
          </cell>
          <cell r="B7029">
            <v>1962</v>
          </cell>
          <cell r="C7029" t="str">
            <v>wbsp_pop_1564_to</v>
          </cell>
          <cell r="D7029">
            <v>4971702</v>
          </cell>
        </row>
        <row r="7030">
          <cell r="A7030" t="str">
            <v>AFG</v>
          </cell>
          <cell r="B7030">
            <v>1962</v>
          </cell>
          <cell r="C7030" t="str">
            <v>wbsp_pop_totl</v>
          </cell>
          <cell r="D7030">
            <v>8969047</v>
          </cell>
        </row>
        <row r="7031">
          <cell r="A7031" t="str">
            <v>AFG</v>
          </cell>
          <cell r="B7031">
            <v>1963</v>
          </cell>
          <cell r="C7031" t="str">
            <v>wbsp_pop_1564_to</v>
          </cell>
          <cell r="D7031">
            <v>5067343</v>
          </cell>
        </row>
        <row r="7032">
          <cell r="A7032" t="str">
            <v>AFG</v>
          </cell>
          <cell r="B7032">
            <v>1963</v>
          </cell>
          <cell r="C7032" t="str">
            <v>wbsp_pop_totl</v>
          </cell>
          <cell r="D7032">
            <v>9157465</v>
          </cell>
        </row>
        <row r="7033">
          <cell r="A7033" t="str">
            <v>AFG</v>
          </cell>
          <cell r="B7033">
            <v>1964</v>
          </cell>
          <cell r="C7033" t="str">
            <v>wbsp_pop_1564_to</v>
          </cell>
          <cell r="D7033">
            <v>5162530</v>
          </cell>
        </row>
        <row r="7034">
          <cell r="A7034" t="str">
            <v>AFG</v>
          </cell>
          <cell r="B7034">
            <v>1964</v>
          </cell>
          <cell r="C7034" t="str">
            <v>wbsp_pop_totl</v>
          </cell>
          <cell r="D7034">
            <v>9355514</v>
          </cell>
        </row>
        <row r="7035">
          <cell r="A7035" t="str">
            <v>AFG</v>
          </cell>
          <cell r="B7035">
            <v>1965</v>
          </cell>
          <cell r="C7035" t="str">
            <v>wbsp_pop_1564_to</v>
          </cell>
          <cell r="D7035">
            <v>5255725</v>
          </cell>
        </row>
        <row r="7036">
          <cell r="A7036" t="str">
            <v>AFG</v>
          </cell>
          <cell r="B7036">
            <v>1965</v>
          </cell>
          <cell r="C7036" t="str">
            <v>wbsp_pop_totl</v>
          </cell>
          <cell r="D7036">
            <v>9565147</v>
          </cell>
        </row>
        <row r="7037">
          <cell r="A7037" t="str">
            <v>AFG</v>
          </cell>
          <cell r="B7037">
            <v>1966</v>
          </cell>
          <cell r="C7037" t="str">
            <v>wbsp_pop_1564_to</v>
          </cell>
          <cell r="D7037">
            <v>5347305</v>
          </cell>
        </row>
        <row r="7038">
          <cell r="A7038" t="str">
            <v>AFG</v>
          </cell>
          <cell r="B7038">
            <v>1966</v>
          </cell>
          <cell r="C7038" t="str">
            <v>wbsp_pop_totl</v>
          </cell>
          <cell r="D7038">
            <v>9783147</v>
          </cell>
        </row>
        <row r="7039">
          <cell r="A7039" t="str">
            <v>AFG</v>
          </cell>
          <cell r="B7039">
            <v>1967</v>
          </cell>
          <cell r="C7039" t="str">
            <v>wbsp_pop_1564_to</v>
          </cell>
          <cell r="D7039">
            <v>5442953</v>
          </cell>
        </row>
        <row r="7040">
          <cell r="A7040" t="str">
            <v>AFG</v>
          </cell>
          <cell r="B7040">
            <v>1967</v>
          </cell>
          <cell r="C7040" t="str">
            <v>wbsp_pop_totl</v>
          </cell>
          <cell r="D7040">
            <v>10010030</v>
          </cell>
        </row>
        <row r="7041">
          <cell r="A7041" t="str">
            <v>AFG</v>
          </cell>
          <cell r="B7041">
            <v>1968</v>
          </cell>
          <cell r="C7041" t="str">
            <v>wbsp_pop_1564_to</v>
          </cell>
          <cell r="D7041">
            <v>5544011</v>
          </cell>
        </row>
        <row r="7042">
          <cell r="A7042" t="str">
            <v>AFG</v>
          </cell>
          <cell r="B7042">
            <v>1968</v>
          </cell>
          <cell r="C7042" t="str">
            <v>wbsp_pop_totl</v>
          </cell>
          <cell r="D7042">
            <v>10247780</v>
          </cell>
        </row>
        <row r="7043">
          <cell r="A7043" t="str">
            <v>AFG</v>
          </cell>
          <cell r="B7043">
            <v>1969</v>
          </cell>
          <cell r="C7043" t="str">
            <v>wbsp_pop_1564_to</v>
          </cell>
          <cell r="D7043">
            <v>5649463</v>
          </cell>
        </row>
        <row r="7044">
          <cell r="A7044" t="str">
            <v>AFG</v>
          </cell>
          <cell r="B7044">
            <v>1969</v>
          </cell>
          <cell r="C7044" t="str">
            <v>wbsp_pop_totl</v>
          </cell>
          <cell r="D7044">
            <v>10494489</v>
          </cell>
        </row>
        <row r="7045">
          <cell r="A7045" t="str">
            <v>AFG</v>
          </cell>
          <cell r="B7045">
            <v>1970</v>
          </cell>
          <cell r="C7045" t="str">
            <v>wbsp_pop_1564_to</v>
          </cell>
          <cell r="D7045">
            <v>5761195</v>
          </cell>
        </row>
        <row r="7046">
          <cell r="A7046" t="str">
            <v>AFG</v>
          </cell>
          <cell r="B7046">
            <v>1970</v>
          </cell>
          <cell r="C7046" t="str">
            <v>wbsp_pop_totl</v>
          </cell>
          <cell r="D7046">
            <v>10752971</v>
          </cell>
        </row>
        <row r="7047">
          <cell r="A7047" t="str">
            <v>AFG</v>
          </cell>
          <cell r="B7047">
            <v>1971</v>
          </cell>
          <cell r="C7047" t="str">
            <v>wbsp_pop_1564_to</v>
          </cell>
          <cell r="D7047">
            <v>5875339</v>
          </cell>
        </row>
        <row r="7048">
          <cell r="A7048" t="str">
            <v>AFG</v>
          </cell>
          <cell r="B7048">
            <v>1971</v>
          </cell>
          <cell r="C7048" t="str">
            <v>wbsp_pop_totl</v>
          </cell>
          <cell r="D7048">
            <v>11015857</v>
          </cell>
        </row>
        <row r="7049">
          <cell r="A7049" t="str">
            <v>AFG</v>
          </cell>
          <cell r="B7049">
            <v>1972</v>
          </cell>
          <cell r="C7049" t="str">
            <v>wbsp_pop_1564_to</v>
          </cell>
          <cell r="D7049">
            <v>5993595</v>
          </cell>
        </row>
        <row r="7050">
          <cell r="A7050" t="str">
            <v>AFG</v>
          </cell>
          <cell r="B7050">
            <v>1972</v>
          </cell>
          <cell r="C7050" t="str">
            <v>wbsp_pop_totl</v>
          </cell>
          <cell r="D7050">
            <v>11286753</v>
          </cell>
        </row>
        <row r="7051">
          <cell r="A7051" t="str">
            <v>AFG</v>
          </cell>
          <cell r="B7051">
            <v>1973</v>
          </cell>
          <cell r="C7051" t="str">
            <v>wbsp_pop_1564_to</v>
          </cell>
          <cell r="D7051">
            <v>6120994</v>
          </cell>
        </row>
        <row r="7052">
          <cell r="A7052" t="str">
            <v>AFG</v>
          </cell>
          <cell r="B7052">
            <v>1973</v>
          </cell>
          <cell r="C7052" t="str">
            <v>wbsp_pop_totl</v>
          </cell>
          <cell r="D7052">
            <v>11575305</v>
          </cell>
        </row>
        <row r="7053">
          <cell r="A7053" t="str">
            <v>AFG</v>
          </cell>
          <cell r="B7053">
            <v>1974</v>
          </cell>
          <cell r="C7053" t="str">
            <v>wbsp_pop_1564_to</v>
          </cell>
          <cell r="D7053">
            <v>6250852</v>
          </cell>
        </row>
        <row r="7054">
          <cell r="A7054" t="str">
            <v>AFG</v>
          </cell>
          <cell r="B7054">
            <v>1974</v>
          </cell>
          <cell r="C7054" t="str">
            <v>wbsp_pop_totl</v>
          </cell>
          <cell r="D7054">
            <v>11869879</v>
          </cell>
        </row>
        <row r="7055">
          <cell r="A7055" t="str">
            <v>AFG</v>
          </cell>
          <cell r="B7055">
            <v>1975</v>
          </cell>
          <cell r="C7055" t="str">
            <v>wbsp_pop_1564_to</v>
          </cell>
          <cell r="D7055">
            <v>6376579</v>
          </cell>
        </row>
        <row r="7056">
          <cell r="A7056" t="str">
            <v>AFG</v>
          </cell>
          <cell r="B7056">
            <v>1975</v>
          </cell>
          <cell r="C7056" t="str">
            <v>wbsp_pop_totl</v>
          </cell>
          <cell r="D7056">
            <v>12157386</v>
          </cell>
        </row>
        <row r="7057">
          <cell r="A7057" t="str">
            <v>AFG</v>
          </cell>
          <cell r="B7057">
            <v>1976</v>
          </cell>
          <cell r="C7057" t="str">
            <v>wbsp_pop_1564_to</v>
          </cell>
          <cell r="D7057">
            <v>6491903</v>
          </cell>
        </row>
        <row r="7058">
          <cell r="A7058" t="str">
            <v>AFG</v>
          </cell>
          <cell r="B7058">
            <v>1976</v>
          </cell>
          <cell r="C7058" t="str">
            <v>wbsp_pop_totl</v>
          </cell>
          <cell r="D7058">
            <v>12425267</v>
          </cell>
        </row>
        <row r="7059">
          <cell r="A7059" t="str">
            <v>AFG</v>
          </cell>
          <cell r="B7059">
            <v>1977</v>
          </cell>
          <cell r="C7059" t="str">
            <v>wbsp_pop_1564_to</v>
          </cell>
          <cell r="D7059">
            <v>6603844</v>
          </cell>
        </row>
        <row r="7060">
          <cell r="A7060" t="str">
            <v>AFG</v>
          </cell>
          <cell r="B7060">
            <v>1977</v>
          </cell>
          <cell r="C7060" t="str">
            <v>wbsp_pop_totl</v>
          </cell>
          <cell r="D7060">
            <v>12687301</v>
          </cell>
        </row>
        <row r="7061">
          <cell r="A7061" t="str">
            <v>AFG</v>
          </cell>
          <cell r="B7061">
            <v>1978</v>
          </cell>
          <cell r="C7061" t="str">
            <v>wbsp_pop_1564_to</v>
          </cell>
          <cell r="D7061">
            <v>6710175</v>
          </cell>
        </row>
        <row r="7062">
          <cell r="A7062" t="str">
            <v>AFG</v>
          </cell>
          <cell r="B7062">
            <v>1978</v>
          </cell>
          <cell r="C7062" t="str">
            <v>wbsp_pop_totl</v>
          </cell>
          <cell r="D7062">
            <v>12938862</v>
          </cell>
        </row>
        <row r="7063">
          <cell r="A7063" t="str">
            <v>AFG</v>
          </cell>
          <cell r="B7063">
            <v>1979</v>
          </cell>
          <cell r="C7063" t="str">
            <v>wbsp_pop_1564_to</v>
          </cell>
          <cell r="D7063">
            <v>6711038</v>
          </cell>
        </row>
        <row r="7064">
          <cell r="A7064" t="str">
            <v>AFG</v>
          </cell>
          <cell r="B7064">
            <v>1979</v>
          </cell>
          <cell r="C7064" t="str">
            <v>wbsp_pop_totl</v>
          </cell>
          <cell r="D7064">
            <v>12986369</v>
          </cell>
        </row>
        <row r="7065">
          <cell r="A7065" t="str">
            <v>AFG</v>
          </cell>
          <cell r="B7065">
            <v>1980</v>
          </cell>
          <cell r="C7065" t="str">
            <v>wbsp_pop_1564_to</v>
          </cell>
          <cell r="D7065">
            <v>6430939</v>
          </cell>
        </row>
        <row r="7066">
          <cell r="A7066" t="str">
            <v>AFG</v>
          </cell>
          <cell r="B7066">
            <v>1980</v>
          </cell>
          <cell r="C7066" t="str">
            <v>wbsp_pop_totl</v>
          </cell>
          <cell r="D7066">
            <v>12486631</v>
          </cell>
        </row>
        <row r="7067">
          <cell r="A7067" t="str">
            <v>AFG</v>
          </cell>
          <cell r="B7067">
            <v>1981</v>
          </cell>
          <cell r="C7067" t="str">
            <v>wbsp_pop_1564_to</v>
          </cell>
          <cell r="D7067">
            <v>5726741</v>
          </cell>
        </row>
        <row r="7068">
          <cell r="A7068" t="str">
            <v>AFG</v>
          </cell>
          <cell r="B7068">
            <v>1981</v>
          </cell>
          <cell r="C7068" t="str">
            <v>wbsp_pop_totl</v>
          </cell>
          <cell r="D7068">
            <v>11155195</v>
          </cell>
        </row>
        <row r="7069">
          <cell r="A7069" t="str">
            <v>AFG</v>
          </cell>
          <cell r="B7069">
            <v>1982</v>
          </cell>
          <cell r="C7069" t="str">
            <v>wbsp_pop_1564_to</v>
          </cell>
          <cell r="D7069">
            <v>5163712</v>
          </cell>
        </row>
        <row r="7070">
          <cell r="A7070" t="str">
            <v>AFG</v>
          </cell>
          <cell r="B7070">
            <v>1982</v>
          </cell>
          <cell r="C7070" t="str">
            <v>wbsp_pop_totl</v>
          </cell>
          <cell r="D7070">
            <v>10088289</v>
          </cell>
        </row>
        <row r="7071">
          <cell r="A7071" t="str">
            <v>AFG</v>
          </cell>
          <cell r="B7071">
            <v>1983</v>
          </cell>
          <cell r="C7071" t="str">
            <v>wbsp_pop_1564_to</v>
          </cell>
          <cell r="D7071">
            <v>5081674</v>
          </cell>
        </row>
        <row r="7072">
          <cell r="A7072" t="str">
            <v>AFG</v>
          </cell>
          <cell r="B7072">
            <v>1983</v>
          </cell>
          <cell r="C7072" t="str">
            <v>wbsp_pop_totl</v>
          </cell>
          <cell r="D7072">
            <v>9951449</v>
          </cell>
        </row>
        <row r="7073">
          <cell r="A7073" t="str">
            <v>AFG</v>
          </cell>
          <cell r="B7073">
            <v>1984</v>
          </cell>
          <cell r="C7073" t="str">
            <v>wbsp_pop_1564_to</v>
          </cell>
          <cell r="D7073">
            <v>5219865</v>
          </cell>
        </row>
        <row r="7074">
          <cell r="A7074" t="str">
            <v>AFG</v>
          </cell>
          <cell r="B7074">
            <v>1984</v>
          </cell>
          <cell r="C7074" t="str">
            <v>wbsp_pop_totl</v>
          </cell>
          <cell r="D7074">
            <v>10243686</v>
          </cell>
        </row>
        <row r="7075">
          <cell r="A7075" t="str">
            <v>AFG</v>
          </cell>
          <cell r="B7075">
            <v>1985</v>
          </cell>
          <cell r="C7075" t="str">
            <v>wbsp_pop_1564_to</v>
          </cell>
          <cell r="D7075">
            <v>5345522</v>
          </cell>
        </row>
        <row r="7076">
          <cell r="A7076" t="str">
            <v>AFG</v>
          </cell>
          <cell r="B7076">
            <v>1985</v>
          </cell>
          <cell r="C7076" t="str">
            <v>wbsp_pop_totl</v>
          </cell>
          <cell r="D7076">
            <v>10512221</v>
          </cell>
        </row>
        <row r="7077">
          <cell r="A7077" t="str">
            <v>AFG</v>
          </cell>
          <cell r="B7077">
            <v>1986</v>
          </cell>
          <cell r="C7077" t="str">
            <v>wbsp_pop_1564_to</v>
          </cell>
          <cell r="D7077">
            <v>5301692</v>
          </cell>
        </row>
        <row r="7078">
          <cell r="A7078" t="str">
            <v>AFG</v>
          </cell>
          <cell r="B7078">
            <v>1986</v>
          </cell>
          <cell r="C7078" t="str">
            <v>wbsp_pop_totl</v>
          </cell>
          <cell r="D7078">
            <v>10448442</v>
          </cell>
        </row>
        <row r="7079">
          <cell r="A7079" t="str">
            <v>AFG</v>
          </cell>
          <cell r="B7079">
            <v>1987</v>
          </cell>
          <cell r="C7079" t="str">
            <v>wbsp_pop_1564_to</v>
          </cell>
          <cell r="D7079">
            <v>5226926</v>
          </cell>
        </row>
        <row r="7080">
          <cell r="A7080" t="str">
            <v>AFG</v>
          </cell>
          <cell r="B7080">
            <v>1987</v>
          </cell>
          <cell r="C7080" t="str">
            <v>wbsp_pop_totl</v>
          </cell>
          <cell r="D7080">
            <v>10322758</v>
          </cell>
        </row>
        <row r="7081">
          <cell r="A7081" t="str">
            <v>AFG</v>
          </cell>
          <cell r="B7081">
            <v>1988</v>
          </cell>
          <cell r="C7081" t="str">
            <v>wbsp_pop_1564_to</v>
          </cell>
          <cell r="D7081">
            <v>5246397</v>
          </cell>
        </row>
        <row r="7082">
          <cell r="A7082" t="str">
            <v>AFG</v>
          </cell>
          <cell r="B7082">
            <v>1988</v>
          </cell>
          <cell r="C7082" t="str">
            <v>wbsp_pop_totl</v>
          </cell>
          <cell r="D7082">
            <v>10383460</v>
          </cell>
        </row>
        <row r="7083">
          <cell r="A7083" t="str">
            <v>AFG</v>
          </cell>
          <cell r="B7083">
            <v>1989</v>
          </cell>
          <cell r="C7083" t="str">
            <v>wbsp_pop_1564_to</v>
          </cell>
          <cell r="D7083">
            <v>5380687</v>
          </cell>
        </row>
        <row r="7084">
          <cell r="A7084" t="str">
            <v>AFG</v>
          </cell>
          <cell r="B7084">
            <v>1989</v>
          </cell>
          <cell r="C7084" t="str">
            <v>wbsp_pop_totl</v>
          </cell>
          <cell r="D7084">
            <v>10673168</v>
          </cell>
        </row>
        <row r="7085">
          <cell r="A7085" t="str">
            <v>AFG</v>
          </cell>
          <cell r="B7085">
            <v>1990</v>
          </cell>
          <cell r="C7085" t="str">
            <v>wbsp_pop_1564_to</v>
          </cell>
          <cell r="D7085">
            <v>5377229</v>
          </cell>
        </row>
        <row r="7086">
          <cell r="A7086" t="str">
            <v>AFG</v>
          </cell>
          <cell r="B7086">
            <v>1990</v>
          </cell>
          <cell r="C7086" t="str">
            <v>wbsp_pop_totl</v>
          </cell>
          <cell r="D7086">
            <v>10694796</v>
          </cell>
        </row>
        <row r="7087">
          <cell r="A7087" t="str">
            <v>AFG</v>
          </cell>
          <cell r="B7087">
            <v>1991</v>
          </cell>
          <cell r="C7087" t="str">
            <v>wbsp_pop_1564_to</v>
          </cell>
          <cell r="D7087">
            <v>5384510</v>
          </cell>
        </row>
        <row r="7088">
          <cell r="A7088" t="str">
            <v>AFG</v>
          </cell>
          <cell r="B7088">
            <v>1991</v>
          </cell>
          <cell r="C7088" t="str">
            <v>wbsp_pop_totl</v>
          </cell>
          <cell r="D7088">
            <v>10745167</v>
          </cell>
        </row>
        <row r="7089">
          <cell r="A7089" t="str">
            <v>AFG</v>
          </cell>
          <cell r="B7089">
            <v>1992</v>
          </cell>
          <cell r="C7089" t="str">
            <v>wbsp_pop_1564_to</v>
          </cell>
          <cell r="D7089">
            <v>6019621</v>
          </cell>
        </row>
        <row r="7090">
          <cell r="A7090" t="str">
            <v>AFG</v>
          </cell>
          <cell r="B7090">
            <v>1992</v>
          </cell>
          <cell r="C7090" t="str">
            <v>wbsp_pop_totl</v>
          </cell>
          <cell r="D7090">
            <v>12057433</v>
          </cell>
        </row>
        <row r="7091">
          <cell r="A7091" t="str">
            <v>AFG</v>
          </cell>
          <cell r="B7091">
            <v>1993</v>
          </cell>
          <cell r="C7091" t="str">
            <v>wbsp_pop_1564_to</v>
          </cell>
          <cell r="D7091">
            <v>6964546</v>
          </cell>
        </row>
        <row r="7092">
          <cell r="A7092" t="str">
            <v>AFG</v>
          </cell>
          <cell r="B7092">
            <v>1993</v>
          </cell>
          <cell r="C7092" t="str">
            <v>wbsp_pop_totl</v>
          </cell>
          <cell r="D7092">
            <v>14003760</v>
          </cell>
        </row>
        <row r="7093">
          <cell r="A7093" t="str">
            <v>AFG</v>
          </cell>
          <cell r="B7093">
            <v>1994</v>
          </cell>
          <cell r="C7093" t="str">
            <v>wbsp_pop_1564_to</v>
          </cell>
          <cell r="D7093">
            <v>7651708</v>
          </cell>
        </row>
        <row r="7094">
          <cell r="A7094" t="str">
            <v>AFG</v>
          </cell>
          <cell r="B7094">
            <v>1994</v>
          </cell>
          <cell r="C7094" t="str">
            <v>wbsp_pop_totl</v>
          </cell>
          <cell r="D7094">
            <v>15455555</v>
          </cell>
        </row>
        <row r="7095">
          <cell r="A7095" t="str">
            <v>AFG</v>
          </cell>
          <cell r="B7095">
            <v>1995</v>
          </cell>
          <cell r="C7095" t="str">
            <v>wbsp_pop_1564_to</v>
          </cell>
          <cell r="D7095">
            <v>8087000</v>
          </cell>
        </row>
        <row r="7096">
          <cell r="A7096" t="str">
            <v>AFG</v>
          </cell>
          <cell r="B7096">
            <v>1995</v>
          </cell>
          <cell r="C7096" t="str">
            <v>wbsp_pop_totl</v>
          </cell>
          <cell r="D7096">
            <v>16418912</v>
          </cell>
        </row>
        <row r="7097">
          <cell r="A7097" t="str">
            <v>AFG</v>
          </cell>
          <cell r="B7097">
            <v>1996</v>
          </cell>
          <cell r="C7097" t="str">
            <v>wbsp_pop_1564_to</v>
          </cell>
          <cell r="D7097">
            <v>8379675</v>
          </cell>
        </row>
        <row r="7098">
          <cell r="A7098" t="str">
            <v>AFG</v>
          </cell>
          <cell r="B7098">
            <v>1996</v>
          </cell>
          <cell r="C7098" t="str">
            <v>wbsp_pop_totl</v>
          </cell>
          <cell r="D7098">
            <v>17106595</v>
          </cell>
        </row>
        <row r="7099">
          <cell r="A7099" t="str">
            <v>AFG</v>
          </cell>
          <cell r="B7099">
            <v>1997</v>
          </cell>
          <cell r="C7099" t="str">
            <v>wbsp_pop_1564_to</v>
          </cell>
          <cell r="D7099">
            <v>8665271</v>
          </cell>
        </row>
        <row r="7100">
          <cell r="A7100" t="str">
            <v>AFG</v>
          </cell>
          <cell r="B7100">
            <v>1997</v>
          </cell>
          <cell r="C7100" t="str">
            <v>wbsp_pop_totl</v>
          </cell>
          <cell r="D7100">
            <v>17788819</v>
          </cell>
        </row>
        <row r="7101">
          <cell r="A7101" t="str">
            <v>AFG</v>
          </cell>
          <cell r="B7101">
            <v>1998</v>
          </cell>
          <cell r="C7101" t="str">
            <v>wbsp_pop_1564_to</v>
          </cell>
          <cell r="D7101">
            <v>8959026</v>
          </cell>
        </row>
        <row r="7102">
          <cell r="A7102" t="str">
            <v>AFG</v>
          </cell>
          <cell r="B7102">
            <v>1998</v>
          </cell>
          <cell r="C7102" t="str">
            <v>wbsp_pop_totl</v>
          </cell>
          <cell r="D7102">
            <v>18493132</v>
          </cell>
        </row>
        <row r="7103">
          <cell r="A7103" t="str">
            <v>AFG</v>
          </cell>
          <cell r="B7103">
            <v>1999</v>
          </cell>
          <cell r="C7103" t="str">
            <v>wbsp_pop_1564_to</v>
          </cell>
          <cell r="D7103">
            <v>9284531</v>
          </cell>
        </row>
        <row r="7104">
          <cell r="A7104" t="str">
            <v>AFG</v>
          </cell>
          <cell r="B7104">
            <v>1999</v>
          </cell>
          <cell r="C7104" t="str">
            <v>wbsp_pop_totl</v>
          </cell>
          <cell r="D7104">
            <v>19262847</v>
          </cell>
        </row>
        <row r="7105">
          <cell r="A7105" t="str">
            <v>AFG</v>
          </cell>
          <cell r="B7105">
            <v>2000</v>
          </cell>
          <cell r="C7105" t="str">
            <v>wbsp_pop_1564_to</v>
          </cell>
          <cell r="D7105">
            <v>9380032</v>
          </cell>
        </row>
        <row r="7106">
          <cell r="A7106" t="str">
            <v>AFG</v>
          </cell>
          <cell r="B7106">
            <v>2000</v>
          </cell>
          <cell r="C7106" t="str">
            <v>wbsp_pop_totl</v>
          </cell>
          <cell r="D7106">
            <v>19542982</v>
          </cell>
        </row>
        <row r="7107">
          <cell r="A7107" t="str">
            <v>AFG</v>
          </cell>
          <cell r="B7107">
            <v>2001</v>
          </cell>
          <cell r="C7107" t="str">
            <v>wbsp_pop_1564_to</v>
          </cell>
          <cell r="D7107">
            <v>9420854</v>
          </cell>
        </row>
        <row r="7108">
          <cell r="A7108" t="str">
            <v>AFG</v>
          </cell>
          <cell r="B7108">
            <v>2001</v>
          </cell>
          <cell r="C7108" t="str">
            <v>wbsp_pop_totl</v>
          </cell>
          <cell r="D7108">
            <v>19688632</v>
          </cell>
        </row>
        <row r="7109">
          <cell r="A7109" t="str">
            <v>AFG</v>
          </cell>
          <cell r="B7109">
            <v>2002</v>
          </cell>
          <cell r="C7109" t="str">
            <v>wbsp_pop_1564_to</v>
          </cell>
          <cell r="D7109">
            <v>10031307</v>
          </cell>
        </row>
        <row r="7110">
          <cell r="A7110" t="str">
            <v>AFG</v>
          </cell>
          <cell r="B7110">
            <v>2002</v>
          </cell>
          <cell r="C7110" t="str">
            <v>wbsp_pop_totl</v>
          </cell>
          <cell r="D7110">
            <v>21000256</v>
          </cell>
        </row>
        <row r="7111">
          <cell r="A7111" t="str">
            <v>AFG</v>
          </cell>
          <cell r="B7111">
            <v>2003</v>
          </cell>
          <cell r="C7111" t="str">
            <v>wbsp_pop_1564_to</v>
          </cell>
          <cell r="D7111">
            <v>10811839</v>
          </cell>
        </row>
        <row r="7112">
          <cell r="A7112" t="str">
            <v>AFG</v>
          </cell>
          <cell r="B7112">
            <v>2003</v>
          </cell>
          <cell r="C7112" t="str">
            <v>wbsp_pop_totl</v>
          </cell>
          <cell r="D7112">
            <v>22645130</v>
          </cell>
        </row>
        <row r="7113">
          <cell r="A7113" t="str">
            <v>AFG</v>
          </cell>
          <cell r="B7113">
            <v>2004</v>
          </cell>
          <cell r="C7113" t="str">
            <v>wbsp_pop_1564_to</v>
          </cell>
          <cell r="D7113">
            <v>11254197</v>
          </cell>
        </row>
        <row r="7114">
          <cell r="A7114" t="str">
            <v>AFG</v>
          </cell>
          <cell r="B7114">
            <v>2004</v>
          </cell>
          <cell r="C7114" t="str">
            <v>wbsp_pop_totl</v>
          </cell>
          <cell r="D7114">
            <v>23553551</v>
          </cell>
        </row>
        <row r="7115">
          <cell r="A7115" t="str">
            <v>AFG</v>
          </cell>
          <cell r="B7115">
            <v>2005</v>
          </cell>
          <cell r="C7115" t="str">
            <v>wbsp_pop_1564_to</v>
          </cell>
          <cell r="D7115">
            <v>11738147</v>
          </cell>
        </row>
        <row r="7116">
          <cell r="A7116" t="str">
            <v>AFG</v>
          </cell>
          <cell r="B7116">
            <v>2005</v>
          </cell>
          <cell r="C7116" t="str">
            <v>wbsp_pop_totl</v>
          </cell>
          <cell r="D7116">
            <v>24411191</v>
          </cell>
        </row>
        <row r="7117">
          <cell r="A7117" t="str">
            <v>AFG</v>
          </cell>
          <cell r="B7117">
            <v>2006</v>
          </cell>
          <cell r="C7117" t="str">
            <v>wbsp_pop_1564_to</v>
          </cell>
          <cell r="D7117">
            <v>12331417</v>
          </cell>
        </row>
        <row r="7118">
          <cell r="A7118" t="str">
            <v>AFG</v>
          </cell>
          <cell r="B7118">
            <v>2006</v>
          </cell>
          <cell r="C7118" t="str">
            <v>wbsp_pop_totl</v>
          </cell>
          <cell r="D7118">
            <v>25442944</v>
          </cell>
        </row>
        <row r="7119">
          <cell r="A7119" t="str">
            <v>AFG</v>
          </cell>
          <cell r="B7119">
            <v>2007</v>
          </cell>
          <cell r="C7119" t="str">
            <v>wbsp_pop_1564_to</v>
          </cell>
          <cell r="D7119">
            <v>12433299</v>
          </cell>
        </row>
        <row r="7120">
          <cell r="A7120" t="str">
            <v>AFG</v>
          </cell>
          <cell r="B7120">
            <v>2007</v>
          </cell>
          <cell r="C7120" t="str">
            <v>wbsp_pop_totl</v>
          </cell>
          <cell r="D7120">
            <v>25903301</v>
          </cell>
        </row>
        <row r="7121">
          <cell r="A7121" t="str">
            <v>AFG</v>
          </cell>
          <cell r="B7121">
            <v>2008</v>
          </cell>
          <cell r="C7121" t="str">
            <v>wbsp_pop_1564_to</v>
          </cell>
          <cell r="D7121">
            <v>12630067</v>
          </cell>
        </row>
        <row r="7122">
          <cell r="A7122" t="str">
            <v>AFG</v>
          </cell>
          <cell r="B7122">
            <v>2008</v>
          </cell>
          <cell r="C7122" t="str">
            <v>wbsp_pop_totl</v>
          </cell>
          <cell r="D7122">
            <v>26427199</v>
          </cell>
        </row>
        <row r="7123">
          <cell r="A7123" t="str">
            <v>AFG</v>
          </cell>
          <cell r="B7123">
            <v>2009</v>
          </cell>
          <cell r="C7123" t="str">
            <v>wbsp_pop_1564_to</v>
          </cell>
          <cell r="D7123">
            <v>13239481</v>
          </cell>
        </row>
        <row r="7124">
          <cell r="A7124" t="str">
            <v>AFG</v>
          </cell>
          <cell r="B7124">
            <v>2009</v>
          </cell>
          <cell r="C7124" t="str">
            <v>wbsp_pop_totl</v>
          </cell>
          <cell r="D7124">
            <v>27385307</v>
          </cell>
        </row>
        <row r="7125">
          <cell r="A7125" t="str">
            <v>AFG</v>
          </cell>
          <cell r="B7125">
            <v>2010</v>
          </cell>
          <cell r="C7125" t="str">
            <v>wbsp_pop_1564_to</v>
          </cell>
          <cell r="D7125">
            <v>13722048</v>
          </cell>
        </row>
        <row r="7126">
          <cell r="A7126" t="str">
            <v>AFG</v>
          </cell>
          <cell r="B7126">
            <v>2010</v>
          </cell>
          <cell r="C7126" t="str">
            <v>wbsp_pop_totl</v>
          </cell>
          <cell r="D7126">
            <v>28189672</v>
          </cell>
        </row>
        <row r="7127">
          <cell r="A7127" t="str">
            <v>AFG</v>
          </cell>
          <cell r="B7127">
            <v>2011</v>
          </cell>
          <cell r="C7127" t="str">
            <v>wbsp_pop_1564_to</v>
          </cell>
          <cell r="D7127">
            <v>14437898</v>
          </cell>
        </row>
        <row r="7128">
          <cell r="A7128" t="str">
            <v>AFG</v>
          </cell>
          <cell r="B7128">
            <v>2011</v>
          </cell>
          <cell r="C7128" t="str">
            <v>wbsp_pop_totl</v>
          </cell>
          <cell r="D7128">
            <v>29249157</v>
          </cell>
        </row>
        <row r="7129">
          <cell r="A7129" t="str">
            <v>AFG</v>
          </cell>
          <cell r="B7129">
            <v>2012</v>
          </cell>
          <cell r="C7129" t="str">
            <v>wbsp_pop_1564_to</v>
          </cell>
          <cell r="D7129">
            <v>15286716</v>
          </cell>
        </row>
        <row r="7130">
          <cell r="A7130" t="str">
            <v>AFG</v>
          </cell>
          <cell r="B7130">
            <v>2012</v>
          </cell>
          <cell r="C7130" t="str">
            <v>wbsp_pop_totl</v>
          </cell>
          <cell r="D7130">
            <v>30466479</v>
          </cell>
        </row>
        <row r="7131">
          <cell r="A7131" t="str">
            <v>AFG</v>
          </cell>
          <cell r="B7131">
            <v>2013</v>
          </cell>
          <cell r="C7131" t="str">
            <v>wbsp_pop_1564_to</v>
          </cell>
          <cell r="D7131">
            <v>16000570</v>
          </cell>
        </row>
        <row r="7132">
          <cell r="A7132" t="str">
            <v>AFG</v>
          </cell>
          <cell r="B7132">
            <v>2013</v>
          </cell>
          <cell r="C7132" t="str">
            <v>wbsp_pop_totl</v>
          </cell>
          <cell r="D7132">
            <v>31541209</v>
          </cell>
        </row>
        <row r="7133">
          <cell r="A7133" t="str">
            <v>AFG</v>
          </cell>
          <cell r="B7133">
            <v>2014</v>
          </cell>
          <cell r="C7133" t="str">
            <v>wbsp_pop_1564_to</v>
          </cell>
          <cell r="D7133">
            <v>16802817</v>
          </cell>
        </row>
        <row r="7134">
          <cell r="A7134" t="str">
            <v>AFG</v>
          </cell>
          <cell r="B7134">
            <v>2014</v>
          </cell>
          <cell r="C7134" t="str">
            <v>wbsp_pop_totl</v>
          </cell>
          <cell r="D7134">
            <v>32716210</v>
          </cell>
        </row>
        <row r="7135">
          <cell r="A7135" t="str">
            <v>AFG</v>
          </cell>
          <cell r="B7135">
            <v>2015</v>
          </cell>
          <cell r="C7135" t="str">
            <v>wbsp_pop_1564_to</v>
          </cell>
          <cell r="D7135">
            <v>17485014</v>
          </cell>
        </row>
        <row r="7136">
          <cell r="A7136" t="str">
            <v>AFG</v>
          </cell>
          <cell r="B7136">
            <v>2015</v>
          </cell>
          <cell r="C7136" t="str">
            <v>wbsp_pop_totl</v>
          </cell>
          <cell r="D7136">
            <v>33753499</v>
          </cell>
        </row>
        <row r="7137">
          <cell r="A7137" t="str">
            <v>AFG</v>
          </cell>
          <cell r="B7137">
            <v>2016</v>
          </cell>
          <cell r="C7137" t="str">
            <v>wbsp_pop_1564_to</v>
          </cell>
          <cell r="D7137">
            <v>18038552</v>
          </cell>
        </row>
        <row r="7138">
          <cell r="A7138" t="str">
            <v>AFG</v>
          </cell>
          <cell r="B7138">
            <v>2016</v>
          </cell>
          <cell r="C7138" t="str">
            <v>wbsp_pop_totl</v>
          </cell>
          <cell r="D7138">
            <v>34636207</v>
          </cell>
        </row>
        <row r="7139">
          <cell r="A7139" t="str">
            <v>AFG</v>
          </cell>
          <cell r="B7139">
            <v>2017</v>
          </cell>
          <cell r="C7139" t="str">
            <v>wbsp_pop_1564_to</v>
          </cell>
          <cell r="D7139">
            <v>18706224</v>
          </cell>
        </row>
        <row r="7140">
          <cell r="A7140" t="str">
            <v>AFG</v>
          </cell>
          <cell r="B7140">
            <v>2017</v>
          </cell>
          <cell r="C7140" t="str">
            <v>wbsp_pop_totl</v>
          </cell>
          <cell r="D7140">
            <v>35643418</v>
          </cell>
        </row>
        <row r="7141">
          <cell r="A7141" t="str">
            <v>AFG</v>
          </cell>
          <cell r="B7141">
            <v>2018</v>
          </cell>
          <cell r="C7141" t="str">
            <v>wbsp_pop_1564_to</v>
          </cell>
          <cell r="D7141">
            <v>19401609</v>
          </cell>
        </row>
        <row r="7142">
          <cell r="A7142" t="str">
            <v>AFG</v>
          </cell>
          <cell r="B7142">
            <v>2018</v>
          </cell>
          <cell r="C7142" t="str">
            <v>wbsp_pop_totl</v>
          </cell>
          <cell r="D7142">
            <v>36686784</v>
          </cell>
        </row>
        <row r="7143">
          <cell r="A7143" t="str">
            <v>AFG</v>
          </cell>
          <cell r="B7143">
            <v>2019</v>
          </cell>
          <cell r="C7143" t="str">
            <v>wbsp_pop_1564_to</v>
          </cell>
          <cell r="D7143">
            <v>20127704</v>
          </cell>
        </row>
        <row r="7144">
          <cell r="A7144" t="str">
            <v>AFG</v>
          </cell>
          <cell r="B7144">
            <v>2019</v>
          </cell>
          <cell r="C7144" t="str">
            <v>wbsp_pop_totl</v>
          </cell>
          <cell r="D7144">
            <v>37769499</v>
          </cell>
        </row>
        <row r="7145">
          <cell r="A7145" t="str">
            <v>AFG</v>
          </cell>
          <cell r="B7145">
            <v>2020</v>
          </cell>
          <cell r="C7145" t="str">
            <v>wbsp_pop_1564_to</v>
          </cell>
          <cell r="D7145">
            <v>20957369</v>
          </cell>
        </row>
        <row r="7146">
          <cell r="A7146" t="str">
            <v>AFG</v>
          </cell>
          <cell r="B7146">
            <v>2020</v>
          </cell>
          <cell r="C7146" t="str">
            <v>wbsp_pop_totl</v>
          </cell>
          <cell r="D7146">
            <v>38972230</v>
          </cell>
        </row>
        <row r="7147">
          <cell r="A7147" t="str">
            <v>AFG</v>
          </cell>
          <cell r="B7147">
            <v>2021</v>
          </cell>
          <cell r="C7147" t="str">
            <v>wbsp_pop_1564_to</v>
          </cell>
          <cell r="D7147">
            <v>21722439</v>
          </cell>
        </row>
        <row r="7148">
          <cell r="A7148" t="str">
            <v>AFG</v>
          </cell>
          <cell r="B7148">
            <v>2021</v>
          </cell>
          <cell r="C7148" t="str">
            <v>wbsp_pop_totl</v>
          </cell>
          <cell r="D7148">
            <v>40099462</v>
          </cell>
        </row>
        <row r="7149">
          <cell r="A7149" t="str">
            <v>AFG</v>
          </cell>
          <cell r="B7149">
            <v>2022</v>
          </cell>
          <cell r="C7149" t="str">
            <v>wbsp_pop_1564_to</v>
          </cell>
          <cell r="D7149">
            <v>22404909</v>
          </cell>
        </row>
        <row r="7150">
          <cell r="A7150" t="str">
            <v>AFG</v>
          </cell>
          <cell r="B7150">
            <v>2022</v>
          </cell>
          <cell r="C7150" t="str">
            <v>wbsp_pop_totl</v>
          </cell>
          <cell r="D7150">
            <v>41128771</v>
          </cell>
        </row>
        <row r="7151">
          <cell r="A7151" t="str">
            <v>AFG</v>
          </cell>
          <cell r="B7151">
            <v>2023</v>
          </cell>
          <cell r="C7151" t="str">
            <v>wbsp_pop_1564_to</v>
          </cell>
          <cell r="D7151">
            <v>23130436</v>
          </cell>
        </row>
        <row r="7152">
          <cell r="A7152" t="str">
            <v>AFG</v>
          </cell>
          <cell r="B7152">
            <v>2023</v>
          </cell>
          <cell r="C7152" t="str">
            <v>wbsp_pop_totl</v>
          </cell>
          <cell r="D7152">
            <v>42239854</v>
          </cell>
        </row>
        <row r="7153">
          <cell r="A7153" t="str">
            <v>BGD</v>
          </cell>
          <cell r="B7153">
            <v>1960</v>
          </cell>
          <cell r="C7153" t="str">
            <v>wbsp_pop_1564_to</v>
          </cell>
          <cell r="D7153">
            <v>27580799</v>
          </cell>
        </row>
        <row r="7154">
          <cell r="A7154" t="str">
            <v>BGD</v>
          </cell>
          <cell r="B7154">
            <v>1960</v>
          </cell>
          <cell r="C7154" t="str">
            <v>wbsp_pop_totl</v>
          </cell>
          <cell r="D7154">
            <v>50396429</v>
          </cell>
        </row>
        <row r="7155">
          <cell r="A7155" t="str">
            <v>BGD</v>
          </cell>
          <cell r="B7155">
            <v>1961</v>
          </cell>
          <cell r="C7155" t="str">
            <v>wbsp_pop_1564_to</v>
          </cell>
          <cell r="D7155">
            <v>28283605</v>
          </cell>
        </row>
        <row r="7156">
          <cell r="A7156" t="str">
            <v>BGD</v>
          </cell>
          <cell r="B7156">
            <v>1961</v>
          </cell>
          <cell r="C7156" t="str">
            <v>wbsp_pop_totl</v>
          </cell>
          <cell r="D7156">
            <v>51882769</v>
          </cell>
        </row>
        <row r="7157">
          <cell r="A7157" t="str">
            <v>BGD</v>
          </cell>
          <cell r="B7157">
            <v>1962</v>
          </cell>
          <cell r="C7157" t="str">
            <v>wbsp_pop_1564_to</v>
          </cell>
          <cell r="D7157">
            <v>29006832</v>
          </cell>
        </row>
        <row r="7158">
          <cell r="A7158" t="str">
            <v>BGD</v>
          </cell>
          <cell r="B7158">
            <v>1962</v>
          </cell>
          <cell r="C7158" t="str">
            <v>wbsp_pop_totl</v>
          </cell>
          <cell r="D7158">
            <v>53461661</v>
          </cell>
        </row>
        <row r="7159">
          <cell r="A7159" t="str">
            <v>BGD</v>
          </cell>
          <cell r="B7159">
            <v>1963</v>
          </cell>
          <cell r="C7159" t="str">
            <v>wbsp_pop_1564_to</v>
          </cell>
          <cell r="D7159">
            <v>29713769</v>
          </cell>
        </row>
        <row r="7160">
          <cell r="A7160" t="str">
            <v>BGD</v>
          </cell>
          <cell r="B7160">
            <v>1963</v>
          </cell>
          <cell r="C7160" t="str">
            <v>wbsp_pop_totl</v>
          </cell>
          <cell r="D7160">
            <v>55094115</v>
          </cell>
        </row>
        <row r="7161">
          <cell r="A7161" t="str">
            <v>BGD</v>
          </cell>
          <cell r="B7161">
            <v>1964</v>
          </cell>
          <cell r="C7161" t="str">
            <v>wbsp_pop_1564_to</v>
          </cell>
          <cell r="D7161">
            <v>30404573</v>
          </cell>
        </row>
        <row r="7162">
          <cell r="A7162" t="str">
            <v>BGD</v>
          </cell>
          <cell r="B7162">
            <v>1964</v>
          </cell>
          <cell r="C7162" t="str">
            <v>wbsp_pop_totl</v>
          </cell>
          <cell r="D7162">
            <v>56774465</v>
          </cell>
        </row>
        <row r="7163">
          <cell r="A7163" t="str">
            <v>BGD</v>
          </cell>
          <cell r="B7163">
            <v>1965</v>
          </cell>
          <cell r="C7163" t="str">
            <v>wbsp_pop_1564_to</v>
          </cell>
          <cell r="D7163">
            <v>31136766</v>
          </cell>
        </row>
        <row r="7164">
          <cell r="A7164" t="str">
            <v>BGD</v>
          </cell>
          <cell r="B7164">
            <v>1965</v>
          </cell>
          <cell r="C7164" t="str">
            <v>wbsp_pop_totl</v>
          </cell>
          <cell r="D7164">
            <v>58500159</v>
          </cell>
        </row>
        <row r="7165">
          <cell r="A7165" t="str">
            <v>BGD</v>
          </cell>
          <cell r="B7165">
            <v>1966</v>
          </cell>
          <cell r="C7165" t="str">
            <v>wbsp_pop_1564_to</v>
          </cell>
          <cell r="D7165">
            <v>31915005</v>
          </cell>
        </row>
        <row r="7166">
          <cell r="A7166" t="str">
            <v>BGD</v>
          </cell>
          <cell r="B7166">
            <v>1966</v>
          </cell>
          <cell r="C7166" t="str">
            <v>wbsp_pop_totl</v>
          </cell>
          <cell r="D7166">
            <v>60265259</v>
          </cell>
        </row>
        <row r="7167">
          <cell r="A7167" t="str">
            <v>BGD</v>
          </cell>
          <cell r="B7167">
            <v>1967</v>
          </cell>
          <cell r="C7167" t="str">
            <v>wbsp_pop_1564_to</v>
          </cell>
          <cell r="D7167">
            <v>32732195</v>
          </cell>
        </row>
        <row r="7168">
          <cell r="A7168" t="str">
            <v>BGD</v>
          </cell>
          <cell r="B7168">
            <v>1967</v>
          </cell>
          <cell r="C7168" t="str">
            <v>wbsp_pop_totl</v>
          </cell>
          <cell r="D7168">
            <v>62104488</v>
          </cell>
        </row>
        <row r="7169">
          <cell r="A7169" t="str">
            <v>BGD</v>
          </cell>
          <cell r="B7169">
            <v>1968</v>
          </cell>
          <cell r="C7169" t="str">
            <v>wbsp_pop_1564_to</v>
          </cell>
          <cell r="D7169">
            <v>33582627</v>
          </cell>
        </row>
        <row r="7170">
          <cell r="A7170" t="str">
            <v>BGD</v>
          </cell>
          <cell r="B7170">
            <v>1968</v>
          </cell>
          <cell r="C7170" t="str">
            <v>wbsp_pop_totl</v>
          </cell>
          <cell r="D7170">
            <v>63995652</v>
          </cell>
        </row>
        <row r="7171">
          <cell r="A7171" t="str">
            <v>BGD</v>
          </cell>
          <cell r="B7171">
            <v>1969</v>
          </cell>
          <cell r="C7171" t="str">
            <v>wbsp_pop_1564_to</v>
          </cell>
          <cell r="D7171">
            <v>34411530</v>
          </cell>
        </row>
        <row r="7172">
          <cell r="A7172" t="str">
            <v>BGD</v>
          </cell>
          <cell r="B7172">
            <v>1969</v>
          </cell>
          <cell r="C7172" t="str">
            <v>wbsp_pop_totl</v>
          </cell>
          <cell r="D7172">
            <v>65866908</v>
          </cell>
        </row>
        <row r="7173">
          <cell r="A7173" t="str">
            <v>BGD</v>
          </cell>
          <cell r="B7173">
            <v>1970</v>
          </cell>
          <cell r="C7173" t="str">
            <v>wbsp_pop_1564_to</v>
          </cell>
          <cell r="D7173">
            <v>35166177</v>
          </cell>
        </row>
        <row r="7174">
          <cell r="A7174" t="str">
            <v>BGD</v>
          </cell>
          <cell r="B7174">
            <v>1970</v>
          </cell>
          <cell r="C7174" t="str">
            <v>wbsp_pop_totl</v>
          </cell>
          <cell r="D7174">
            <v>67541860</v>
          </cell>
        </row>
        <row r="7175">
          <cell r="A7175" t="str">
            <v>BGD</v>
          </cell>
          <cell r="B7175">
            <v>1971</v>
          </cell>
          <cell r="C7175" t="str">
            <v>wbsp_pop_1564_to</v>
          </cell>
          <cell r="D7175">
            <v>35460980</v>
          </cell>
        </row>
        <row r="7176">
          <cell r="A7176" t="str">
            <v>BGD</v>
          </cell>
          <cell r="B7176">
            <v>1971</v>
          </cell>
          <cell r="C7176" t="str">
            <v>wbsp_pop_totl</v>
          </cell>
          <cell r="D7176">
            <v>68376204</v>
          </cell>
        </row>
        <row r="7177">
          <cell r="A7177" t="str">
            <v>BGD</v>
          </cell>
          <cell r="B7177">
            <v>1972</v>
          </cell>
          <cell r="C7177" t="str">
            <v>wbsp_pop_1564_to</v>
          </cell>
          <cell r="D7177">
            <v>35793839</v>
          </cell>
        </row>
        <row r="7178">
          <cell r="A7178" t="str">
            <v>BGD</v>
          </cell>
          <cell r="B7178">
            <v>1972</v>
          </cell>
          <cell r="C7178" t="str">
            <v>wbsp_pop_totl</v>
          </cell>
          <cell r="D7178">
            <v>69346705</v>
          </cell>
        </row>
        <row r="7179">
          <cell r="A7179" t="str">
            <v>BGD</v>
          </cell>
          <cell r="B7179">
            <v>1973</v>
          </cell>
          <cell r="C7179" t="str">
            <v>wbsp_pop_1564_to</v>
          </cell>
          <cell r="D7179">
            <v>36608767</v>
          </cell>
        </row>
        <row r="7180">
          <cell r="A7180" t="str">
            <v>BGD</v>
          </cell>
          <cell r="B7180">
            <v>1973</v>
          </cell>
          <cell r="C7180" t="str">
            <v>wbsp_pop_totl</v>
          </cell>
          <cell r="D7180">
            <v>71144818</v>
          </cell>
        </row>
        <row r="7181">
          <cell r="A7181" t="str">
            <v>BGD</v>
          </cell>
          <cell r="B7181">
            <v>1974</v>
          </cell>
          <cell r="C7181" t="str">
            <v>wbsp_pop_1564_to</v>
          </cell>
          <cell r="D7181">
            <v>37466310</v>
          </cell>
        </row>
        <row r="7182">
          <cell r="A7182" t="str">
            <v>BGD</v>
          </cell>
          <cell r="B7182">
            <v>1974</v>
          </cell>
          <cell r="C7182" t="str">
            <v>wbsp_pop_totl</v>
          </cell>
          <cell r="D7182">
            <v>72947807</v>
          </cell>
        </row>
        <row r="7183">
          <cell r="A7183" t="str">
            <v>BGD</v>
          </cell>
          <cell r="B7183">
            <v>1975</v>
          </cell>
          <cell r="C7183" t="str">
            <v>wbsp_pop_1564_to</v>
          </cell>
          <cell r="D7183">
            <v>38384750</v>
          </cell>
        </row>
        <row r="7184">
          <cell r="A7184" t="str">
            <v>BGD</v>
          </cell>
          <cell r="B7184">
            <v>1975</v>
          </cell>
          <cell r="C7184" t="str">
            <v>wbsp_pop_totl</v>
          </cell>
          <cell r="D7184">
            <v>74700345</v>
          </cell>
        </row>
        <row r="7185">
          <cell r="A7185" t="str">
            <v>BGD</v>
          </cell>
          <cell r="B7185">
            <v>1976</v>
          </cell>
          <cell r="C7185" t="str">
            <v>wbsp_pop_1564_to</v>
          </cell>
          <cell r="D7185">
            <v>39321545</v>
          </cell>
        </row>
        <row r="7186">
          <cell r="A7186" t="str">
            <v>BGD</v>
          </cell>
          <cell r="B7186">
            <v>1976</v>
          </cell>
          <cell r="C7186" t="str">
            <v>wbsp_pop_totl</v>
          </cell>
          <cell r="D7186">
            <v>76380080</v>
          </cell>
        </row>
        <row r="7187">
          <cell r="A7187" t="str">
            <v>BGD</v>
          </cell>
          <cell r="B7187">
            <v>1977</v>
          </cell>
          <cell r="C7187" t="str">
            <v>wbsp_pop_1564_to</v>
          </cell>
          <cell r="D7187">
            <v>40270986</v>
          </cell>
        </row>
        <row r="7188">
          <cell r="A7188" t="str">
            <v>BGD</v>
          </cell>
          <cell r="B7188">
            <v>1977</v>
          </cell>
          <cell r="C7188" t="str">
            <v>wbsp_pop_totl</v>
          </cell>
          <cell r="D7188">
            <v>78137788</v>
          </cell>
        </row>
        <row r="7189">
          <cell r="A7189" t="str">
            <v>BGD</v>
          </cell>
          <cell r="B7189">
            <v>1978</v>
          </cell>
          <cell r="C7189" t="str">
            <v>wbsp_pop_1564_to</v>
          </cell>
          <cell r="D7189">
            <v>41248866</v>
          </cell>
        </row>
        <row r="7190">
          <cell r="A7190" t="str">
            <v>BGD</v>
          </cell>
          <cell r="B7190">
            <v>1978</v>
          </cell>
          <cell r="C7190" t="str">
            <v>wbsp_pop_totl</v>
          </cell>
          <cell r="D7190">
            <v>80007550</v>
          </cell>
        </row>
        <row r="7191">
          <cell r="A7191" t="str">
            <v>BGD</v>
          </cell>
          <cell r="B7191">
            <v>1979</v>
          </cell>
          <cell r="C7191" t="str">
            <v>wbsp_pop_1564_to</v>
          </cell>
          <cell r="D7191">
            <v>42210450</v>
          </cell>
        </row>
        <row r="7192">
          <cell r="A7192" t="str">
            <v>BGD</v>
          </cell>
          <cell r="B7192">
            <v>1979</v>
          </cell>
          <cell r="C7192" t="str">
            <v>wbsp_pop_totl</v>
          </cell>
          <cell r="D7192">
            <v>81908151</v>
          </cell>
        </row>
        <row r="7193">
          <cell r="A7193" t="str">
            <v>BGD</v>
          </cell>
          <cell r="B7193">
            <v>1980</v>
          </cell>
          <cell r="C7193" t="str">
            <v>wbsp_pop_1564_to</v>
          </cell>
          <cell r="D7193">
            <v>43208765</v>
          </cell>
        </row>
        <row r="7194">
          <cell r="A7194" t="str">
            <v>BGD</v>
          </cell>
          <cell r="B7194">
            <v>1980</v>
          </cell>
          <cell r="C7194" t="str">
            <v>wbsp_pop_totl</v>
          </cell>
          <cell r="D7194">
            <v>83929765</v>
          </cell>
        </row>
        <row r="7195">
          <cell r="A7195" t="str">
            <v>BGD</v>
          </cell>
          <cell r="B7195">
            <v>1981</v>
          </cell>
          <cell r="C7195" t="str">
            <v>wbsp_pop_1564_to</v>
          </cell>
          <cell r="D7195">
            <v>44318734</v>
          </cell>
        </row>
        <row r="7196">
          <cell r="A7196" t="str">
            <v>BGD</v>
          </cell>
          <cell r="B7196">
            <v>1981</v>
          </cell>
          <cell r="C7196" t="str">
            <v>wbsp_pop_totl</v>
          </cell>
          <cell r="D7196">
            <v>86154836</v>
          </cell>
        </row>
        <row r="7197">
          <cell r="A7197" t="str">
            <v>BGD</v>
          </cell>
          <cell r="B7197">
            <v>1982</v>
          </cell>
          <cell r="C7197" t="str">
            <v>wbsp_pop_1564_to</v>
          </cell>
          <cell r="D7197">
            <v>45563067</v>
          </cell>
        </row>
        <row r="7198">
          <cell r="A7198" t="str">
            <v>BGD</v>
          </cell>
          <cell r="B7198">
            <v>1982</v>
          </cell>
          <cell r="C7198" t="str">
            <v>wbsp_pop_totl</v>
          </cell>
          <cell r="D7198">
            <v>88555336</v>
          </cell>
        </row>
        <row r="7199">
          <cell r="A7199" t="str">
            <v>BGD</v>
          </cell>
          <cell r="B7199">
            <v>1983</v>
          </cell>
          <cell r="C7199" t="str">
            <v>wbsp_pop_1564_to</v>
          </cell>
          <cell r="D7199">
            <v>46920954</v>
          </cell>
        </row>
        <row r="7200">
          <cell r="A7200" t="str">
            <v>BGD</v>
          </cell>
          <cell r="B7200">
            <v>1983</v>
          </cell>
          <cell r="C7200" t="str">
            <v>wbsp_pop_totl</v>
          </cell>
          <cell r="D7200">
            <v>91045478</v>
          </cell>
        </row>
        <row r="7201">
          <cell r="A7201" t="str">
            <v>BGD</v>
          </cell>
          <cell r="B7201">
            <v>1984</v>
          </cell>
          <cell r="C7201" t="str">
            <v>wbsp_pop_1564_to</v>
          </cell>
          <cell r="D7201">
            <v>48343108</v>
          </cell>
        </row>
        <row r="7202">
          <cell r="A7202" t="str">
            <v>BGD</v>
          </cell>
          <cell r="B7202">
            <v>1984</v>
          </cell>
          <cell r="C7202" t="str">
            <v>wbsp_pop_totl</v>
          </cell>
          <cell r="D7202">
            <v>93534239</v>
          </cell>
        </row>
        <row r="7203">
          <cell r="A7203" t="str">
            <v>BGD</v>
          </cell>
          <cell r="B7203">
            <v>1985</v>
          </cell>
          <cell r="C7203" t="str">
            <v>wbsp_pop_1564_to</v>
          </cell>
          <cell r="D7203">
            <v>49787346</v>
          </cell>
        </row>
        <row r="7204">
          <cell r="A7204" t="str">
            <v>BGD</v>
          </cell>
          <cell r="B7204">
            <v>1985</v>
          </cell>
          <cell r="C7204" t="str">
            <v>wbsp_pop_totl</v>
          </cell>
          <cell r="D7204">
            <v>95959099</v>
          </cell>
        </row>
        <row r="7205">
          <cell r="A7205" t="str">
            <v>BGD</v>
          </cell>
          <cell r="B7205">
            <v>1986</v>
          </cell>
          <cell r="C7205" t="str">
            <v>wbsp_pop_1564_to</v>
          </cell>
          <cell r="D7205">
            <v>51237943</v>
          </cell>
        </row>
        <row r="7206">
          <cell r="A7206" t="str">
            <v>BGD</v>
          </cell>
          <cell r="B7206">
            <v>1986</v>
          </cell>
          <cell r="C7206" t="str">
            <v>wbsp_pop_totl</v>
          </cell>
          <cell r="D7206">
            <v>98271746</v>
          </cell>
        </row>
        <row r="7207">
          <cell r="A7207" t="str">
            <v>BGD</v>
          </cell>
          <cell r="B7207">
            <v>1987</v>
          </cell>
          <cell r="C7207" t="str">
            <v>wbsp_pop_1564_to</v>
          </cell>
          <cell r="D7207">
            <v>52723265</v>
          </cell>
        </row>
        <row r="7208">
          <cell r="A7208" t="str">
            <v>BGD</v>
          </cell>
          <cell r="B7208">
            <v>1987</v>
          </cell>
          <cell r="C7208" t="str">
            <v>wbsp_pop_totl</v>
          </cell>
          <cell r="D7208">
            <v>100490256</v>
          </cell>
        </row>
        <row r="7209">
          <cell r="A7209" t="str">
            <v>BGD</v>
          </cell>
          <cell r="B7209">
            <v>1988</v>
          </cell>
          <cell r="C7209" t="str">
            <v>wbsp_pop_1564_to</v>
          </cell>
          <cell r="D7209">
            <v>54260481</v>
          </cell>
        </row>
        <row r="7210">
          <cell r="A7210" t="str">
            <v>BGD</v>
          </cell>
          <cell r="B7210">
            <v>1988</v>
          </cell>
          <cell r="C7210" t="str">
            <v>wbsp_pop_totl</v>
          </cell>
          <cell r="D7210">
            <v>102688833</v>
          </cell>
        </row>
        <row r="7211">
          <cell r="A7211" t="str">
            <v>BGD</v>
          </cell>
          <cell r="B7211">
            <v>1989</v>
          </cell>
          <cell r="C7211" t="str">
            <v>wbsp_pop_1564_to</v>
          </cell>
          <cell r="D7211">
            <v>55824497</v>
          </cell>
        </row>
        <row r="7212">
          <cell r="A7212" t="str">
            <v>BGD</v>
          </cell>
          <cell r="B7212">
            <v>1989</v>
          </cell>
          <cell r="C7212" t="str">
            <v>wbsp_pop_totl</v>
          </cell>
          <cell r="D7212">
            <v>104893674</v>
          </cell>
        </row>
        <row r="7213">
          <cell r="A7213" t="str">
            <v>BGD</v>
          </cell>
          <cell r="B7213">
            <v>1990</v>
          </cell>
          <cell r="C7213" t="str">
            <v>wbsp_pop_1564_to</v>
          </cell>
          <cell r="D7213">
            <v>57447194</v>
          </cell>
        </row>
        <row r="7214">
          <cell r="A7214" t="str">
            <v>BGD</v>
          </cell>
          <cell r="B7214">
            <v>1990</v>
          </cell>
          <cell r="C7214" t="str">
            <v>wbsp_pop_totl</v>
          </cell>
          <cell r="D7214">
            <v>107147651</v>
          </cell>
        </row>
        <row r="7215">
          <cell r="A7215" t="str">
            <v>BGD</v>
          </cell>
          <cell r="B7215">
            <v>1991</v>
          </cell>
          <cell r="C7215" t="str">
            <v>wbsp_pop_1564_to</v>
          </cell>
          <cell r="D7215">
            <v>59072788</v>
          </cell>
        </row>
        <row r="7216">
          <cell r="A7216" t="str">
            <v>BGD</v>
          </cell>
          <cell r="B7216">
            <v>1991</v>
          </cell>
          <cell r="C7216" t="str">
            <v>wbsp_pop_totl</v>
          </cell>
          <cell r="D7216">
            <v>109242834</v>
          </cell>
        </row>
        <row r="7217">
          <cell r="A7217" t="str">
            <v>BGD</v>
          </cell>
          <cell r="B7217">
            <v>1992</v>
          </cell>
          <cell r="C7217" t="str">
            <v>wbsp_pop_1564_to</v>
          </cell>
          <cell r="D7217">
            <v>60732893</v>
          </cell>
        </row>
        <row r="7218">
          <cell r="A7218" t="str">
            <v>BGD</v>
          </cell>
          <cell r="B7218">
            <v>1992</v>
          </cell>
          <cell r="C7218" t="str">
            <v>wbsp_pop_totl</v>
          </cell>
          <cell r="D7218">
            <v>111272102</v>
          </cell>
        </row>
        <row r="7219">
          <cell r="A7219" t="str">
            <v>BGD</v>
          </cell>
          <cell r="B7219">
            <v>1993</v>
          </cell>
          <cell r="C7219" t="str">
            <v>wbsp_pop_1564_to</v>
          </cell>
          <cell r="D7219">
            <v>62491456</v>
          </cell>
        </row>
        <row r="7220">
          <cell r="A7220" t="str">
            <v>BGD</v>
          </cell>
          <cell r="B7220">
            <v>1993</v>
          </cell>
          <cell r="C7220" t="str">
            <v>wbsp_pop_totl</v>
          </cell>
          <cell r="D7220">
            <v>113418757</v>
          </cell>
        </row>
        <row r="7221">
          <cell r="A7221" t="str">
            <v>BGD</v>
          </cell>
          <cell r="B7221">
            <v>1994</v>
          </cell>
          <cell r="C7221" t="str">
            <v>wbsp_pop_1564_to</v>
          </cell>
          <cell r="D7221">
            <v>64330045</v>
          </cell>
        </row>
        <row r="7222">
          <cell r="A7222" t="str">
            <v>BGD</v>
          </cell>
          <cell r="B7222">
            <v>1994</v>
          </cell>
          <cell r="C7222" t="str">
            <v>wbsp_pop_totl</v>
          </cell>
          <cell r="D7222">
            <v>115614891</v>
          </cell>
        </row>
        <row r="7223">
          <cell r="A7223" t="str">
            <v>BGD</v>
          </cell>
          <cell r="B7223">
            <v>1995</v>
          </cell>
          <cell r="C7223" t="str">
            <v>wbsp_pop_1564_to</v>
          </cell>
          <cell r="D7223">
            <v>66209208</v>
          </cell>
        </row>
        <row r="7224">
          <cell r="A7224" t="str">
            <v>BGD</v>
          </cell>
          <cell r="B7224">
            <v>1995</v>
          </cell>
          <cell r="C7224" t="str">
            <v>wbsp_pop_totl</v>
          </cell>
          <cell r="D7224">
            <v>117793338</v>
          </cell>
        </row>
        <row r="7225">
          <cell r="A7225" t="str">
            <v>BGD</v>
          </cell>
          <cell r="B7225">
            <v>1996</v>
          </cell>
          <cell r="C7225" t="str">
            <v>wbsp_pop_1564_to</v>
          </cell>
          <cell r="D7225">
            <v>68086718</v>
          </cell>
        </row>
        <row r="7226">
          <cell r="A7226" t="str">
            <v>BGD</v>
          </cell>
          <cell r="B7226">
            <v>1996</v>
          </cell>
          <cell r="C7226" t="str">
            <v>wbsp_pop_totl</v>
          </cell>
          <cell r="D7226">
            <v>119876868</v>
          </cell>
        </row>
        <row r="7227">
          <cell r="A7227" t="str">
            <v>BGD</v>
          </cell>
          <cell r="B7227">
            <v>1997</v>
          </cell>
          <cell r="C7227" t="str">
            <v>wbsp_pop_1564_to</v>
          </cell>
          <cell r="D7227">
            <v>70033213</v>
          </cell>
        </row>
        <row r="7228">
          <cell r="A7228" t="str">
            <v>BGD</v>
          </cell>
          <cell r="B7228">
            <v>1997</v>
          </cell>
          <cell r="C7228" t="str">
            <v>wbsp_pop_totl</v>
          </cell>
          <cell r="D7228">
            <v>122039226</v>
          </cell>
        </row>
        <row r="7229">
          <cell r="A7229" t="str">
            <v>BGD</v>
          </cell>
          <cell r="B7229">
            <v>1998</v>
          </cell>
          <cell r="C7229" t="str">
            <v>wbsp_pop_1564_to</v>
          </cell>
          <cell r="D7229">
            <v>72044989</v>
          </cell>
        </row>
        <row r="7230">
          <cell r="A7230" t="str">
            <v>BGD</v>
          </cell>
          <cell r="B7230">
            <v>1998</v>
          </cell>
          <cell r="C7230" t="str">
            <v>wbsp_pop_totl</v>
          </cell>
          <cell r="D7230">
            <v>124350471</v>
          </cell>
        </row>
        <row r="7231">
          <cell r="A7231" t="str">
            <v>BGD</v>
          </cell>
          <cell r="B7231">
            <v>1999</v>
          </cell>
          <cell r="C7231" t="str">
            <v>wbsp_pop_1564_to</v>
          </cell>
          <cell r="D7231">
            <v>74085380</v>
          </cell>
        </row>
        <row r="7232">
          <cell r="A7232" t="str">
            <v>BGD</v>
          </cell>
          <cell r="B7232">
            <v>1999</v>
          </cell>
          <cell r="C7232" t="str">
            <v>wbsp_pop_totl</v>
          </cell>
          <cell r="D7232">
            <v>126754824</v>
          </cell>
        </row>
        <row r="7233">
          <cell r="A7233" t="str">
            <v>BGD</v>
          </cell>
          <cell r="B7233">
            <v>2000</v>
          </cell>
          <cell r="C7233" t="str">
            <v>wbsp_pop_1564_to</v>
          </cell>
          <cell r="D7233">
            <v>76134099</v>
          </cell>
        </row>
        <row r="7234">
          <cell r="A7234" t="str">
            <v>BGD</v>
          </cell>
          <cell r="B7234">
            <v>2000</v>
          </cell>
          <cell r="C7234" t="str">
            <v>wbsp_pop_totl</v>
          </cell>
          <cell r="D7234">
            <v>129193327</v>
          </cell>
        </row>
        <row r="7235">
          <cell r="A7235" t="str">
            <v>BGD</v>
          </cell>
          <cell r="B7235">
            <v>2001</v>
          </cell>
          <cell r="C7235" t="str">
            <v>wbsp_pop_1564_to</v>
          </cell>
          <cell r="D7235">
            <v>78139758</v>
          </cell>
        </row>
        <row r="7236">
          <cell r="A7236" t="str">
            <v>BGD</v>
          </cell>
          <cell r="B7236">
            <v>2001</v>
          </cell>
          <cell r="C7236" t="str">
            <v>wbsp_pop_totl</v>
          </cell>
          <cell r="D7236">
            <v>131670484</v>
          </cell>
        </row>
        <row r="7237">
          <cell r="A7237" t="str">
            <v>BGD</v>
          </cell>
          <cell r="B7237">
            <v>2002</v>
          </cell>
          <cell r="C7237" t="str">
            <v>wbsp_pop_1564_to</v>
          </cell>
          <cell r="D7237">
            <v>80071880</v>
          </cell>
        </row>
        <row r="7238">
          <cell r="A7238" t="str">
            <v>BGD</v>
          </cell>
          <cell r="B7238">
            <v>2002</v>
          </cell>
          <cell r="C7238" t="str">
            <v>wbsp_pop_totl</v>
          </cell>
          <cell r="D7238">
            <v>134139826</v>
          </cell>
        </row>
        <row r="7239">
          <cell r="A7239" t="str">
            <v>BGD</v>
          </cell>
          <cell r="B7239">
            <v>2003</v>
          </cell>
          <cell r="C7239" t="str">
            <v>wbsp_pop_1564_to</v>
          </cell>
          <cell r="D7239">
            <v>81921372</v>
          </cell>
        </row>
        <row r="7240">
          <cell r="A7240" t="str">
            <v>BGD</v>
          </cell>
          <cell r="B7240">
            <v>2003</v>
          </cell>
          <cell r="C7240" t="str">
            <v>wbsp_pop_totl</v>
          </cell>
          <cell r="D7240">
            <v>136503206</v>
          </cell>
        </row>
        <row r="7241">
          <cell r="A7241" t="str">
            <v>BGD</v>
          </cell>
          <cell r="B7241">
            <v>2004</v>
          </cell>
          <cell r="C7241" t="str">
            <v>wbsp_pop_1564_to</v>
          </cell>
          <cell r="D7241">
            <v>83745577</v>
          </cell>
        </row>
        <row r="7242">
          <cell r="A7242" t="str">
            <v>BGD</v>
          </cell>
          <cell r="B7242">
            <v>2004</v>
          </cell>
          <cell r="C7242" t="str">
            <v>wbsp_pop_totl</v>
          </cell>
          <cell r="D7242">
            <v>138789725</v>
          </cell>
        </row>
        <row r="7243">
          <cell r="A7243" t="str">
            <v>BGD</v>
          </cell>
          <cell r="B7243">
            <v>2005</v>
          </cell>
          <cell r="C7243" t="str">
            <v>wbsp_pop_1564_to</v>
          </cell>
          <cell r="D7243">
            <v>85497651</v>
          </cell>
        </row>
        <row r="7244">
          <cell r="A7244" t="str">
            <v>BGD</v>
          </cell>
          <cell r="B7244">
            <v>2005</v>
          </cell>
          <cell r="C7244" t="str">
            <v>wbsp_pop_totl</v>
          </cell>
          <cell r="D7244">
            <v>140912590</v>
          </cell>
        </row>
        <row r="7245">
          <cell r="A7245" t="str">
            <v>BGD</v>
          </cell>
          <cell r="B7245">
            <v>2006</v>
          </cell>
          <cell r="C7245" t="str">
            <v>wbsp_pop_1564_to</v>
          </cell>
          <cell r="D7245">
            <v>86933413</v>
          </cell>
        </row>
        <row r="7246">
          <cell r="A7246" t="str">
            <v>BGD</v>
          </cell>
          <cell r="B7246">
            <v>2006</v>
          </cell>
          <cell r="C7246" t="str">
            <v>wbsp_pop_totl</v>
          </cell>
          <cell r="D7246">
            <v>142628831</v>
          </cell>
        </row>
        <row r="7247">
          <cell r="A7247" t="str">
            <v>BGD</v>
          </cell>
          <cell r="B7247">
            <v>2007</v>
          </cell>
          <cell r="C7247" t="str">
            <v>wbsp_pop_1564_to</v>
          </cell>
          <cell r="D7247">
            <v>88216600</v>
          </cell>
        </row>
        <row r="7248">
          <cell r="A7248" t="str">
            <v>BGD</v>
          </cell>
          <cell r="B7248">
            <v>2007</v>
          </cell>
          <cell r="C7248" t="str">
            <v>wbsp_pop_totl</v>
          </cell>
          <cell r="D7248">
            <v>144135934</v>
          </cell>
        </row>
        <row r="7249">
          <cell r="A7249" t="str">
            <v>BGD</v>
          </cell>
          <cell r="B7249">
            <v>2008</v>
          </cell>
          <cell r="C7249" t="str">
            <v>wbsp_pop_1564_to</v>
          </cell>
          <cell r="D7249">
            <v>89351100</v>
          </cell>
        </row>
        <row r="7250">
          <cell r="A7250" t="str">
            <v>BGD</v>
          </cell>
          <cell r="B7250">
            <v>2008</v>
          </cell>
          <cell r="C7250" t="str">
            <v>wbsp_pop_totl</v>
          </cell>
          <cell r="D7250">
            <v>145421318</v>
          </cell>
        </row>
        <row r="7251">
          <cell r="A7251" t="str">
            <v>BGD</v>
          </cell>
          <cell r="B7251">
            <v>2009</v>
          </cell>
          <cell r="C7251" t="str">
            <v>wbsp_pop_1564_to</v>
          </cell>
          <cell r="D7251">
            <v>90580787</v>
          </cell>
        </row>
        <row r="7252">
          <cell r="A7252" t="str">
            <v>BGD</v>
          </cell>
          <cell r="B7252">
            <v>2009</v>
          </cell>
          <cell r="C7252" t="str">
            <v>wbsp_pop_totl</v>
          </cell>
          <cell r="D7252">
            <v>146706810</v>
          </cell>
        </row>
        <row r="7253">
          <cell r="A7253" t="str">
            <v>BGD</v>
          </cell>
          <cell r="B7253">
            <v>2010</v>
          </cell>
          <cell r="C7253" t="str">
            <v>wbsp_pop_1564_to</v>
          </cell>
          <cell r="D7253">
            <v>92256484</v>
          </cell>
        </row>
        <row r="7254">
          <cell r="A7254" t="str">
            <v>BGD</v>
          </cell>
          <cell r="B7254">
            <v>2010</v>
          </cell>
          <cell r="C7254" t="str">
            <v>wbsp_pop_totl</v>
          </cell>
          <cell r="D7254">
            <v>148391139</v>
          </cell>
        </row>
        <row r="7255">
          <cell r="A7255" t="str">
            <v>BGD</v>
          </cell>
          <cell r="B7255">
            <v>2011</v>
          </cell>
          <cell r="C7255" t="str">
            <v>wbsp_pop_1564_to</v>
          </cell>
          <cell r="D7255">
            <v>94116706</v>
          </cell>
        </row>
        <row r="7256">
          <cell r="A7256" t="str">
            <v>BGD</v>
          </cell>
          <cell r="B7256">
            <v>2011</v>
          </cell>
          <cell r="C7256" t="str">
            <v>wbsp_pop_totl</v>
          </cell>
          <cell r="D7256">
            <v>150211005</v>
          </cell>
        </row>
        <row r="7257">
          <cell r="A7257" t="str">
            <v>BGD</v>
          </cell>
          <cell r="B7257">
            <v>2012</v>
          </cell>
          <cell r="C7257" t="str">
            <v>wbsp_pop_1564_to</v>
          </cell>
          <cell r="D7257">
            <v>96129495</v>
          </cell>
        </row>
        <row r="7258">
          <cell r="A7258" t="str">
            <v>BGD</v>
          </cell>
          <cell r="B7258">
            <v>2012</v>
          </cell>
          <cell r="C7258" t="str">
            <v>wbsp_pop_totl</v>
          </cell>
          <cell r="D7258">
            <v>152090649</v>
          </cell>
        </row>
        <row r="7259">
          <cell r="A7259" t="str">
            <v>BGD</v>
          </cell>
          <cell r="B7259">
            <v>2013</v>
          </cell>
          <cell r="C7259" t="str">
            <v>wbsp_pop_1564_to</v>
          </cell>
          <cell r="D7259">
            <v>98276729</v>
          </cell>
        </row>
        <row r="7260">
          <cell r="A7260" t="str">
            <v>BGD</v>
          </cell>
          <cell r="B7260">
            <v>2013</v>
          </cell>
          <cell r="C7260" t="str">
            <v>wbsp_pop_totl</v>
          </cell>
          <cell r="D7260">
            <v>154030139</v>
          </cell>
        </row>
        <row r="7261">
          <cell r="A7261" t="str">
            <v>BGD</v>
          </cell>
          <cell r="B7261">
            <v>2014</v>
          </cell>
          <cell r="C7261" t="str">
            <v>wbsp_pop_1564_to</v>
          </cell>
          <cell r="D7261">
            <v>100454049</v>
          </cell>
        </row>
        <row r="7262">
          <cell r="A7262" t="str">
            <v>BGD</v>
          </cell>
          <cell r="B7262">
            <v>2014</v>
          </cell>
          <cell r="C7262" t="str">
            <v>wbsp_pop_totl</v>
          </cell>
          <cell r="D7262">
            <v>155961299</v>
          </cell>
        </row>
        <row r="7263">
          <cell r="A7263" t="str">
            <v>BGD</v>
          </cell>
          <cell r="B7263">
            <v>2015</v>
          </cell>
          <cell r="C7263" t="str">
            <v>wbsp_pop_1564_to</v>
          </cell>
          <cell r="D7263">
            <v>102575958</v>
          </cell>
        </row>
        <row r="7264">
          <cell r="A7264" t="str">
            <v>BGD</v>
          </cell>
          <cell r="B7264">
            <v>2015</v>
          </cell>
          <cell r="C7264" t="str">
            <v>wbsp_pop_totl</v>
          </cell>
          <cell r="D7264">
            <v>157830000</v>
          </cell>
        </row>
        <row r="7265">
          <cell r="A7265" t="str">
            <v>BGD</v>
          </cell>
          <cell r="B7265">
            <v>2016</v>
          </cell>
          <cell r="C7265" t="str">
            <v>wbsp_pop_1564_to</v>
          </cell>
          <cell r="D7265">
            <v>104744797</v>
          </cell>
        </row>
        <row r="7266">
          <cell r="A7266" t="str">
            <v>BGD</v>
          </cell>
          <cell r="B7266">
            <v>2016</v>
          </cell>
          <cell r="C7266" t="str">
            <v>wbsp_pop_totl</v>
          </cell>
          <cell r="D7266">
            <v>159784568</v>
          </cell>
        </row>
        <row r="7267">
          <cell r="A7267" t="str">
            <v>BGD</v>
          </cell>
          <cell r="B7267">
            <v>2017</v>
          </cell>
          <cell r="C7267" t="str">
            <v>wbsp_pop_1564_to</v>
          </cell>
          <cell r="D7267">
            <v>106941690</v>
          </cell>
        </row>
        <row r="7268">
          <cell r="A7268" t="str">
            <v>BGD</v>
          </cell>
          <cell r="B7268">
            <v>2017</v>
          </cell>
          <cell r="C7268" t="str">
            <v>wbsp_pop_totl</v>
          </cell>
          <cell r="D7268">
            <v>161793964</v>
          </cell>
        </row>
        <row r="7269">
          <cell r="A7269" t="str">
            <v>BGD</v>
          </cell>
          <cell r="B7269">
            <v>2018</v>
          </cell>
          <cell r="C7269" t="str">
            <v>wbsp_pop_1564_to</v>
          </cell>
          <cell r="D7269">
            <v>108985072</v>
          </cell>
        </row>
        <row r="7270">
          <cell r="A7270" t="str">
            <v>BGD</v>
          </cell>
          <cell r="B7270">
            <v>2018</v>
          </cell>
          <cell r="C7270" t="str">
            <v>wbsp_pop_totl</v>
          </cell>
          <cell r="D7270">
            <v>163683958</v>
          </cell>
        </row>
        <row r="7271">
          <cell r="A7271" t="str">
            <v>BGD</v>
          </cell>
          <cell r="B7271">
            <v>2019</v>
          </cell>
          <cell r="C7271" t="str">
            <v>wbsp_pop_1564_to</v>
          </cell>
          <cell r="D7271">
            <v>110894720</v>
          </cell>
        </row>
        <row r="7272">
          <cell r="A7272" t="str">
            <v>BGD</v>
          </cell>
          <cell r="B7272">
            <v>2019</v>
          </cell>
          <cell r="C7272" t="str">
            <v>wbsp_pop_totl</v>
          </cell>
          <cell r="D7272">
            <v>165516222</v>
          </cell>
        </row>
        <row r="7273">
          <cell r="A7273" t="str">
            <v>BGD</v>
          </cell>
          <cell r="B7273">
            <v>2020</v>
          </cell>
          <cell r="C7273" t="str">
            <v>wbsp_pop_1564_to</v>
          </cell>
          <cell r="D7273">
            <v>112816371</v>
          </cell>
        </row>
        <row r="7274">
          <cell r="A7274" t="str">
            <v>BGD</v>
          </cell>
          <cell r="B7274">
            <v>2020</v>
          </cell>
          <cell r="C7274" t="str">
            <v>wbsp_pop_totl</v>
          </cell>
          <cell r="D7274">
            <v>167420951</v>
          </cell>
        </row>
        <row r="7275">
          <cell r="A7275" t="str">
            <v>BGD</v>
          </cell>
          <cell r="B7275">
            <v>2021</v>
          </cell>
          <cell r="C7275" t="str">
            <v>wbsp_pop_1564_to</v>
          </cell>
          <cell r="D7275">
            <v>114687891</v>
          </cell>
        </row>
        <row r="7276">
          <cell r="A7276" t="str">
            <v>BGD</v>
          </cell>
          <cell r="B7276">
            <v>2021</v>
          </cell>
          <cell r="C7276" t="str">
            <v>wbsp_pop_totl</v>
          </cell>
          <cell r="D7276">
            <v>169356251</v>
          </cell>
        </row>
        <row r="7277">
          <cell r="A7277" t="str">
            <v>BGD</v>
          </cell>
          <cell r="B7277">
            <v>2022</v>
          </cell>
          <cell r="C7277" t="str">
            <v>wbsp_pop_1564_to</v>
          </cell>
          <cell r="D7277">
            <v>116383491</v>
          </cell>
        </row>
        <row r="7278">
          <cell r="A7278" t="str">
            <v>BGD</v>
          </cell>
          <cell r="B7278">
            <v>2022</v>
          </cell>
          <cell r="C7278" t="str">
            <v>wbsp_pop_totl</v>
          </cell>
          <cell r="D7278">
            <v>171186372</v>
          </cell>
        </row>
        <row r="7279">
          <cell r="A7279" t="str">
            <v>BGD</v>
          </cell>
          <cell r="B7279">
            <v>2023</v>
          </cell>
          <cell r="C7279" t="str">
            <v>wbsp_pop_1564_to</v>
          </cell>
          <cell r="D7279">
            <v>117964397</v>
          </cell>
        </row>
        <row r="7280">
          <cell r="A7280" t="str">
            <v>BGD</v>
          </cell>
          <cell r="B7280">
            <v>2023</v>
          </cell>
          <cell r="C7280" t="str">
            <v>wbsp_pop_totl</v>
          </cell>
          <cell r="D7280">
            <v>172954319</v>
          </cell>
        </row>
        <row r="7281">
          <cell r="A7281" t="str">
            <v>BTN</v>
          </cell>
          <cell r="B7281">
            <v>1960</v>
          </cell>
          <cell r="C7281" t="str">
            <v>wbsp_pop_1564_to</v>
          </cell>
          <cell r="D7281">
            <v>126251</v>
          </cell>
        </row>
        <row r="7282">
          <cell r="A7282" t="str">
            <v>BTN</v>
          </cell>
          <cell r="B7282">
            <v>1960</v>
          </cell>
          <cell r="C7282" t="str">
            <v>wbsp_pop_totl</v>
          </cell>
          <cell r="D7282">
            <v>221266</v>
          </cell>
        </row>
        <row r="7283">
          <cell r="A7283" t="str">
            <v>BTN</v>
          </cell>
          <cell r="B7283">
            <v>1961</v>
          </cell>
          <cell r="C7283" t="str">
            <v>wbsp_pop_1564_to</v>
          </cell>
          <cell r="D7283">
            <v>130143</v>
          </cell>
        </row>
        <row r="7284">
          <cell r="A7284" t="str">
            <v>BTN</v>
          </cell>
          <cell r="B7284">
            <v>1961</v>
          </cell>
          <cell r="C7284" t="str">
            <v>wbsp_pop_totl</v>
          </cell>
          <cell r="D7284">
            <v>227071</v>
          </cell>
        </row>
        <row r="7285">
          <cell r="A7285" t="str">
            <v>BTN</v>
          </cell>
          <cell r="B7285">
            <v>1962</v>
          </cell>
          <cell r="C7285" t="str">
            <v>wbsp_pop_1564_to</v>
          </cell>
          <cell r="D7285">
            <v>134394</v>
          </cell>
        </row>
        <row r="7286">
          <cell r="A7286" t="str">
            <v>BTN</v>
          </cell>
          <cell r="B7286">
            <v>1962</v>
          </cell>
          <cell r="C7286" t="str">
            <v>wbsp_pop_totl</v>
          </cell>
          <cell r="D7286">
            <v>233417</v>
          </cell>
        </row>
        <row r="7287">
          <cell r="A7287" t="str">
            <v>BTN</v>
          </cell>
          <cell r="B7287">
            <v>1963</v>
          </cell>
          <cell r="C7287" t="str">
            <v>wbsp_pop_1564_to</v>
          </cell>
          <cell r="D7287">
            <v>138732</v>
          </cell>
        </row>
        <row r="7288">
          <cell r="A7288" t="str">
            <v>BTN</v>
          </cell>
          <cell r="B7288">
            <v>1963</v>
          </cell>
          <cell r="C7288" t="str">
            <v>wbsp_pop_totl</v>
          </cell>
          <cell r="D7288">
            <v>240268</v>
          </cell>
        </row>
        <row r="7289">
          <cell r="A7289" t="str">
            <v>BTN</v>
          </cell>
          <cell r="B7289">
            <v>1964</v>
          </cell>
          <cell r="C7289" t="str">
            <v>wbsp_pop_1564_to</v>
          </cell>
          <cell r="D7289">
            <v>143021</v>
          </cell>
        </row>
        <row r="7290">
          <cell r="A7290" t="str">
            <v>BTN</v>
          </cell>
          <cell r="B7290">
            <v>1964</v>
          </cell>
          <cell r="C7290" t="str">
            <v>wbsp_pop_totl</v>
          </cell>
          <cell r="D7290">
            <v>247444</v>
          </cell>
        </row>
        <row r="7291">
          <cell r="A7291" t="str">
            <v>BTN</v>
          </cell>
          <cell r="B7291">
            <v>1965</v>
          </cell>
          <cell r="C7291" t="str">
            <v>wbsp_pop_1564_to</v>
          </cell>
          <cell r="D7291">
            <v>147252</v>
          </cell>
        </row>
        <row r="7292">
          <cell r="A7292" t="str">
            <v>BTN</v>
          </cell>
          <cell r="B7292">
            <v>1965</v>
          </cell>
          <cell r="C7292" t="str">
            <v>wbsp_pop_totl</v>
          </cell>
          <cell r="D7292">
            <v>255010</v>
          </cell>
        </row>
        <row r="7293">
          <cell r="A7293" t="str">
            <v>BTN</v>
          </cell>
          <cell r="B7293">
            <v>1966</v>
          </cell>
          <cell r="C7293" t="str">
            <v>wbsp_pop_1564_to</v>
          </cell>
          <cell r="D7293">
            <v>151412</v>
          </cell>
        </row>
        <row r="7294">
          <cell r="A7294" t="str">
            <v>BTN</v>
          </cell>
          <cell r="B7294">
            <v>1966</v>
          </cell>
          <cell r="C7294" t="str">
            <v>wbsp_pop_totl</v>
          </cell>
          <cell r="D7294">
            <v>262976</v>
          </cell>
        </row>
        <row r="7295">
          <cell r="A7295" t="str">
            <v>BTN</v>
          </cell>
          <cell r="B7295">
            <v>1967</v>
          </cell>
          <cell r="C7295" t="str">
            <v>wbsp_pop_1564_to</v>
          </cell>
          <cell r="D7295">
            <v>155771</v>
          </cell>
        </row>
        <row r="7296">
          <cell r="A7296" t="str">
            <v>BTN</v>
          </cell>
          <cell r="B7296">
            <v>1967</v>
          </cell>
          <cell r="C7296" t="str">
            <v>wbsp_pop_totl</v>
          </cell>
          <cell r="D7296">
            <v>271339</v>
          </cell>
        </row>
        <row r="7297">
          <cell r="A7297" t="str">
            <v>BTN</v>
          </cell>
          <cell r="B7297">
            <v>1968</v>
          </cell>
          <cell r="C7297" t="str">
            <v>wbsp_pop_1564_to</v>
          </cell>
          <cell r="D7297">
            <v>160344</v>
          </cell>
        </row>
        <row r="7298">
          <cell r="A7298" t="str">
            <v>BTN</v>
          </cell>
          <cell r="B7298">
            <v>1968</v>
          </cell>
          <cell r="C7298" t="str">
            <v>wbsp_pop_totl</v>
          </cell>
          <cell r="D7298">
            <v>280102</v>
          </cell>
        </row>
        <row r="7299">
          <cell r="A7299" t="str">
            <v>BTN</v>
          </cell>
          <cell r="B7299">
            <v>1969</v>
          </cell>
          <cell r="C7299" t="str">
            <v>wbsp_pop_1564_to</v>
          </cell>
          <cell r="D7299">
            <v>165152</v>
          </cell>
        </row>
        <row r="7300">
          <cell r="A7300" t="str">
            <v>BTN</v>
          </cell>
          <cell r="B7300">
            <v>1969</v>
          </cell>
          <cell r="C7300" t="str">
            <v>wbsp_pop_totl</v>
          </cell>
          <cell r="D7300">
            <v>289296</v>
          </cell>
        </row>
        <row r="7301">
          <cell r="A7301" t="str">
            <v>BTN</v>
          </cell>
          <cell r="B7301">
            <v>1970</v>
          </cell>
          <cell r="C7301" t="str">
            <v>wbsp_pop_1564_to</v>
          </cell>
          <cell r="D7301">
            <v>170161</v>
          </cell>
        </row>
        <row r="7302">
          <cell r="A7302" t="str">
            <v>BTN</v>
          </cell>
          <cell r="B7302">
            <v>1970</v>
          </cell>
          <cell r="C7302" t="str">
            <v>wbsp_pop_totl</v>
          </cell>
          <cell r="D7302">
            <v>298894</v>
          </cell>
        </row>
        <row r="7303">
          <cell r="A7303" t="str">
            <v>BTN</v>
          </cell>
          <cell r="B7303">
            <v>1971</v>
          </cell>
          <cell r="C7303" t="str">
            <v>wbsp_pop_1564_to</v>
          </cell>
          <cell r="D7303">
            <v>175330</v>
          </cell>
        </row>
        <row r="7304">
          <cell r="A7304" t="str">
            <v>BTN</v>
          </cell>
          <cell r="B7304">
            <v>1971</v>
          </cell>
          <cell r="C7304" t="str">
            <v>wbsp_pop_totl</v>
          </cell>
          <cell r="D7304">
            <v>308837</v>
          </cell>
        </row>
        <row r="7305">
          <cell r="A7305" t="str">
            <v>BTN</v>
          </cell>
          <cell r="B7305">
            <v>1972</v>
          </cell>
          <cell r="C7305" t="str">
            <v>wbsp_pop_1564_to</v>
          </cell>
          <cell r="D7305">
            <v>180661</v>
          </cell>
        </row>
        <row r="7306">
          <cell r="A7306" t="str">
            <v>BTN</v>
          </cell>
          <cell r="B7306">
            <v>1972</v>
          </cell>
          <cell r="C7306" t="str">
            <v>wbsp_pop_totl</v>
          </cell>
          <cell r="D7306">
            <v>319128</v>
          </cell>
        </row>
        <row r="7307">
          <cell r="A7307" t="str">
            <v>BTN</v>
          </cell>
          <cell r="B7307">
            <v>1973</v>
          </cell>
          <cell r="C7307" t="str">
            <v>wbsp_pop_1564_to</v>
          </cell>
          <cell r="D7307">
            <v>186168</v>
          </cell>
        </row>
        <row r="7308">
          <cell r="A7308" t="str">
            <v>BTN</v>
          </cell>
          <cell r="B7308">
            <v>1973</v>
          </cell>
          <cell r="C7308" t="str">
            <v>wbsp_pop_totl</v>
          </cell>
          <cell r="D7308">
            <v>329800</v>
          </cell>
        </row>
        <row r="7309">
          <cell r="A7309" t="str">
            <v>BTN</v>
          </cell>
          <cell r="B7309">
            <v>1974</v>
          </cell>
          <cell r="C7309" t="str">
            <v>wbsp_pop_1564_to</v>
          </cell>
          <cell r="D7309">
            <v>191858</v>
          </cell>
        </row>
        <row r="7310">
          <cell r="A7310" t="str">
            <v>BTN</v>
          </cell>
          <cell r="B7310">
            <v>1974</v>
          </cell>
          <cell r="C7310" t="str">
            <v>wbsp_pop_totl</v>
          </cell>
          <cell r="D7310">
            <v>340842</v>
          </cell>
        </row>
        <row r="7311">
          <cell r="A7311" t="str">
            <v>BTN</v>
          </cell>
          <cell r="B7311">
            <v>1975</v>
          </cell>
          <cell r="C7311" t="str">
            <v>wbsp_pop_1564_to</v>
          </cell>
          <cell r="D7311">
            <v>197748</v>
          </cell>
        </row>
        <row r="7312">
          <cell r="A7312" t="str">
            <v>BTN</v>
          </cell>
          <cell r="B7312">
            <v>1975</v>
          </cell>
          <cell r="C7312" t="str">
            <v>wbsp_pop_totl</v>
          </cell>
          <cell r="D7312">
            <v>352269</v>
          </cell>
        </row>
        <row r="7313">
          <cell r="A7313" t="str">
            <v>BTN</v>
          </cell>
          <cell r="B7313">
            <v>1976</v>
          </cell>
          <cell r="C7313" t="str">
            <v>wbsp_pop_1564_to</v>
          </cell>
          <cell r="D7313">
            <v>203857</v>
          </cell>
        </row>
        <row r="7314">
          <cell r="A7314" t="str">
            <v>BTN</v>
          </cell>
          <cell r="B7314">
            <v>1976</v>
          </cell>
          <cell r="C7314" t="str">
            <v>wbsp_pop_totl</v>
          </cell>
          <cell r="D7314">
            <v>364119</v>
          </cell>
        </row>
        <row r="7315">
          <cell r="A7315" t="str">
            <v>BTN</v>
          </cell>
          <cell r="B7315">
            <v>1977</v>
          </cell>
          <cell r="C7315" t="str">
            <v>wbsp_pop_1564_to</v>
          </cell>
          <cell r="D7315">
            <v>210197</v>
          </cell>
        </row>
        <row r="7316">
          <cell r="A7316" t="str">
            <v>BTN</v>
          </cell>
          <cell r="B7316">
            <v>1977</v>
          </cell>
          <cell r="C7316" t="str">
            <v>wbsp_pop_totl</v>
          </cell>
          <cell r="D7316">
            <v>376387</v>
          </cell>
        </row>
        <row r="7317">
          <cell r="A7317" t="str">
            <v>BTN</v>
          </cell>
          <cell r="B7317">
            <v>1978</v>
          </cell>
          <cell r="C7317" t="str">
            <v>wbsp_pop_1564_to</v>
          </cell>
          <cell r="D7317">
            <v>216783</v>
          </cell>
        </row>
        <row r="7318">
          <cell r="A7318" t="str">
            <v>BTN</v>
          </cell>
          <cell r="B7318">
            <v>1978</v>
          </cell>
          <cell r="C7318" t="str">
            <v>wbsp_pop_totl</v>
          </cell>
          <cell r="D7318">
            <v>389072</v>
          </cell>
        </row>
        <row r="7319">
          <cell r="A7319" t="str">
            <v>BTN</v>
          </cell>
          <cell r="B7319">
            <v>1979</v>
          </cell>
          <cell r="C7319" t="str">
            <v>wbsp_pop_1564_to</v>
          </cell>
          <cell r="D7319">
            <v>223534</v>
          </cell>
        </row>
        <row r="7320">
          <cell r="A7320" t="str">
            <v>BTN</v>
          </cell>
          <cell r="B7320">
            <v>1979</v>
          </cell>
          <cell r="C7320" t="str">
            <v>wbsp_pop_totl</v>
          </cell>
          <cell r="D7320">
            <v>402063</v>
          </cell>
        </row>
        <row r="7321">
          <cell r="A7321" t="str">
            <v>BTN</v>
          </cell>
          <cell r="B7321">
            <v>1980</v>
          </cell>
          <cell r="C7321" t="str">
            <v>wbsp_pop_1564_to</v>
          </cell>
          <cell r="D7321">
            <v>230378</v>
          </cell>
        </row>
        <row r="7322">
          <cell r="A7322" t="str">
            <v>BTN</v>
          </cell>
          <cell r="B7322">
            <v>1980</v>
          </cell>
          <cell r="C7322" t="str">
            <v>wbsp_pop_totl</v>
          </cell>
          <cell r="D7322">
            <v>415257</v>
          </cell>
        </row>
        <row r="7323">
          <cell r="A7323" t="str">
            <v>BTN</v>
          </cell>
          <cell r="B7323">
            <v>1981</v>
          </cell>
          <cell r="C7323" t="str">
            <v>wbsp_pop_1564_to</v>
          </cell>
          <cell r="D7323">
            <v>237321</v>
          </cell>
        </row>
        <row r="7324">
          <cell r="A7324" t="str">
            <v>BTN</v>
          </cell>
          <cell r="B7324">
            <v>1981</v>
          </cell>
          <cell r="C7324" t="str">
            <v>wbsp_pop_totl</v>
          </cell>
          <cell r="D7324">
            <v>428641</v>
          </cell>
        </row>
        <row r="7325">
          <cell r="A7325" t="str">
            <v>BTN</v>
          </cell>
          <cell r="B7325">
            <v>1982</v>
          </cell>
          <cell r="C7325" t="str">
            <v>wbsp_pop_1564_to</v>
          </cell>
          <cell r="D7325">
            <v>244365</v>
          </cell>
        </row>
        <row r="7326">
          <cell r="A7326" t="str">
            <v>BTN</v>
          </cell>
          <cell r="B7326">
            <v>1982</v>
          </cell>
          <cell r="C7326" t="str">
            <v>wbsp_pop_totl</v>
          </cell>
          <cell r="D7326">
            <v>442201</v>
          </cell>
        </row>
        <row r="7327">
          <cell r="A7327" t="str">
            <v>BTN</v>
          </cell>
          <cell r="B7327">
            <v>1983</v>
          </cell>
          <cell r="C7327" t="str">
            <v>wbsp_pop_1564_to</v>
          </cell>
          <cell r="D7327">
            <v>251609</v>
          </cell>
        </row>
        <row r="7328">
          <cell r="A7328" t="str">
            <v>BTN</v>
          </cell>
          <cell r="B7328">
            <v>1983</v>
          </cell>
          <cell r="C7328" t="str">
            <v>wbsp_pop_totl</v>
          </cell>
          <cell r="D7328">
            <v>456033</v>
          </cell>
        </row>
        <row r="7329">
          <cell r="A7329" t="str">
            <v>BTN</v>
          </cell>
          <cell r="B7329">
            <v>1984</v>
          </cell>
          <cell r="C7329" t="str">
            <v>wbsp_pop_1564_to</v>
          </cell>
          <cell r="D7329">
            <v>259097</v>
          </cell>
        </row>
        <row r="7330">
          <cell r="A7330" t="str">
            <v>BTN</v>
          </cell>
          <cell r="B7330">
            <v>1984</v>
          </cell>
          <cell r="C7330" t="str">
            <v>wbsp_pop_totl</v>
          </cell>
          <cell r="D7330">
            <v>470165</v>
          </cell>
        </row>
        <row r="7331">
          <cell r="A7331" t="str">
            <v>BTN</v>
          </cell>
          <cell r="B7331">
            <v>1985</v>
          </cell>
          <cell r="C7331" t="str">
            <v>wbsp_pop_1564_to</v>
          </cell>
          <cell r="D7331">
            <v>266785</v>
          </cell>
        </row>
        <row r="7332">
          <cell r="A7332" t="str">
            <v>BTN</v>
          </cell>
          <cell r="B7332">
            <v>1985</v>
          </cell>
          <cell r="C7332" t="str">
            <v>wbsp_pop_totl</v>
          </cell>
          <cell r="D7332">
            <v>484528</v>
          </cell>
        </row>
        <row r="7333">
          <cell r="A7333" t="str">
            <v>BTN</v>
          </cell>
          <cell r="B7333">
            <v>1986</v>
          </cell>
          <cell r="C7333" t="str">
            <v>wbsp_pop_1564_to</v>
          </cell>
          <cell r="D7333">
            <v>274690</v>
          </cell>
        </row>
        <row r="7334">
          <cell r="A7334" t="str">
            <v>BTN</v>
          </cell>
          <cell r="B7334">
            <v>1986</v>
          </cell>
          <cell r="C7334" t="str">
            <v>wbsp_pop_totl</v>
          </cell>
          <cell r="D7334">
            <v>499151</v>
          </cell>
        </row>
        <row r="7335">
          <cell r="A7335" t="str">
            <v>BTN</v>
          </cell>
          <cell r="B7335">
            <v>1987</v>
          </cell>
          <cell r="C7335" t="str">
            <v>wbsp_pop_1564_to</v>
          </cell>
          <cell r="D7335">
            <v>282822</v>
          </cell>
        </row>
        <row r="7336">
          <cell r="A7336" t="str">
            <v>BTN</v>
          </cell>
          <cell r="B7336">
            <v>1987</v>
          </cell>
          <cell r="C7336" t="str">
            <v>wbsp_pop_totl</v>
          </cell>
          <cell r="D7336">
            <v>514026</v>
          </cell>
        </row>
        <row r="7337">
          <cell r="A7337" t="str">
            <v>BTN</v>
          </cell>
          <cell r="B7337">
            <v>1988</v>
          </cell>
          <cell r="C7337" t="str">
            <v>wbsp_pop_1564_to</v>
          </cell>
          <cell r="D7337">
            <v>291136</v>
          </cell>
        </row>
        <row r="7338">
          <cell r="A7338" t="str">
            <v>BTN</v>
          </cell>
          <cell r="B7338">
            <v>1988</v>
          </cell>
          <cell r="C7338" t="str">
            <v>wbsp_pop_totl</v>
          </cell>
          <cell r="D7338">
            <v>529051</v>
          </cell>
        </row>
        <row r="7339">
          <cell r="A7339" t="str">
            <v>BTN</v>
          </cell>
          <cell r="B7339">
            <v>1989</v>
          </cell>
          <cell r="C7339" t="str">
            <v>wbsp_pop_1564_to</v>
          </cell>
          <cell r="D7339">
            <v>299637</v>
          </cell>
        </row>
        <row r="7340">
          <cell r="A7340" t="str">
            <v>BTN</v>
          </cell>
          <cell r="B7340">
            <v>1989</v>
          </cell>
          <cell r="C7340" t="str">
            <v>wbsp_pop_totl</v>
          </cell>
          <cell r="D7340">
            <v>544209</v>
          </cell>
        </row>
        <row r="7341">
          <cell r="A7341" t="str">
            <v>BTN</v>
          </cell>
          <cell r="B7341">
            <v>1990</v>
          </cell>
          <cell r="C7341" t="str">
            <v>wbsp_pop_1564_to</v>
          </cell>
          <cell r="D7341">
            <v>307609</v>
          </cell>
        </row>
        <row r="7342">
          <cell r="A7342" t="str">
            <v>BTN</v>
          </cell>
          <cell r="B7342">
            <v>1990</v>
          </cell>
          <cell r="C7342" t="str">
            <v>wbsp_pop_totl</v>
          </cell>
          <cell r="D7342">
            <v>558442</v>
          </cell>
        </row>
        <row r="7343">
          <cell r="A7343" t="str">
            <v>BTN</v>
          </cell>
          <cell r="B7343">
            <v>1991</v>
          </cell>
          <cell r="C7343" t="str">
            <v>wbsp_pop_1564_to</v>
          </cell>
          <cell r="D7343">
            <v>312908</v>
          </cell>
        </row>
        <row r="7344">
          <cell r="A7344" t="str">
            <v>BTN</v>
          </cell>
          <cell r="B7344">
            <v>1991</v>
          </cell>
          <cell r="C7344" t="str">
            <v>wbsp_pop_totl</v>
          </cell>
          <cell r="D7344">
            <v>567710</v>
          </cell>
        </row>
        <row r="7345">
          <cell r="A7345" t="str">
            <v>BTN</v>
          </cell>
          <cell r="B7345">
            <v>1992</v>
          </cell>
          <cell r="C7345" t="str">
            <v>wbsp_pop_1564_to</v>
          </cell>
          <cell r="D7345">
            <v>301403</v>
          </cell>
        </row>
        <row r="7346">
          <cell r="A7346" t="str">
            <v>BTN</v>
          </cell>
          <cell r="B7346">
            <v>1992</v>
          </cell>
          <cell r="C7346" t="str">
            <v>wbsp_pop_totl</v>
          </cell>
          <cell r="D7346">
            <v>545944</v>
          </cell>
        </row>
        <row r="7347">
          <cell r="A7347" t="str">
            <v>BTN</v>
          </cell>
          <cell r="B7347">
            <v>1993</v>
          </cell>
          <cell r="C7347" t="str">
            <v>wbsp_pop_1564_to</v>
          </cell>
          <cell r="D7347">
            <v>288329</v>
          </cell>
        </row>
        <row r="7348">
          <cell r="A7348" t="str">
            <v>BTN</v>
          </cell>
          <cell r="B7348">
            <v>1993</v>
          </cell>
          <cell r="C7348" t="str">
            <v>wbsp_pop_totl</v>
          </cell>
          <cell r="D7348">
            <v>520838</v>
          </cell>
        </row>
        <row r="7349">
          <cell r="A7349" t="str">
            <v>BTN</v>
          </cell>
          <cell r="B7349">
            <v>1994</v>
          </cell>
          <cell r="C7349" t="str">
            <v>wbsp_pop_1564_to</v>
          </cell>
          <cell r="D7349">
            <v>289600</v>
          </cell>
        </row>
        <row r="7350">
          <cell r="A7350" t="str">
            <v>BTN</v>
          </cell>
          <cell r="B7350">
            <v>1994</v>
          </cell>
          <cell r="C7350" t="str">
            <v>wbsp_pop_totl</v>
          </cell>
          <cell r="D7350">
            <v>521260</v>
          </cell>
        </row>
        <row r="7351">
          <cell r="A7351" t="str">
            <v>BTN</v>
          </cell>
          <cell r="B7351">
            <v>1995</v>
          </cell>
          <cell r="C7351" t="str">
            <v>wbsp_pop_1564_to</v>
          </cell>
          <cell r="D7351">
            <v>294439</v>
          </cell>
        </row>
        <row r="7352">
          <cell r="A7352" t="str">
            <v>BTN</v>
          </cell>
          <cell r="B7352">
            <v>1995</v>
          </cell>
          <cell r="C7352" t="str">
            <v>wbsp_pop_totl</v>
          </cell>
          <cell r="D7352">
            <v>527536</v>
          </cell>
        </row>
        <row r="7353">
          <cell r="A7353" t="str">
            <v>BTN</v>
          </cell>
          <cell r="B7353">
            <v>1996</v>
          </cell>
          <cell r="C7353" t="str">
            <v>wbsp_pop_1564_to</v>
          </cell>
          <cell r="D7353">
            <v>301689</v>
          </cell>
        </row>
        <row r="7354">
          <cell r="A7354" t="str">
            <v>BTN</v>
          </cell>
          <cell r="B7354">
            <v>1996</v>
          </cell>
          <cell r="C7354" t="str">
            <v>wbsp_pop_totl</v>
          </cell>
          <cell r="D7354">
            <v>537494</v>
          </cell>
        </row>
        <row r="7355">
          <cell r="A7355" t="str">
            <v>BTN</v>
          </cell>
          <cell r="B7355">
            <v>1997</v>
          </cell>
          <cell r="C7355" t="str">
            <v>wbsp_pop_1564_to</v>
          </cell>
          <cell r="D7355">
            <v>309035</v>
          </cell>
        </row>
        <row r="7356">
          <cell r="A7356" t="str">
            <v>BTN</v>
          </cell>
          <cell r="B7356">
            <v>1997</v>
          </cell>
          <cell r="C7356" t="str">
            <v>wbsp_pop_totl</v>
          </cell>
          <cell r="D7356">
            <v>546865</v>
          </cell>
        </row>
        <row r="7357">
          <cell r="A7357" t="str">
            <v>BTN</v>
          </cell>
          <cell r="B7357">
            <v>1998</v>
          </cell>
          <cell r="C7357" t="str">
            <v>wbsp_pop_1564_to</v>
          </cell>
          <cell r="D7357">
            <v>317382</v>
          </cell>
        </row>
        <row r="7358">
          <cell r="A7358" t="str">
            <v>BTN</v>
          </cell>
          <cell r="B7358">
            <v>1998</v>
          </cell>
          <cell r="C7358" t="str">
            <v>wbsp_pop_totl</v>
          </cell>
          <cell r="D7358">
            <v>557143</v>
          </cell>
        </row>
        <row r="7359">
          <cell r="A7359" t="str">
            <v>BTN</v>
          </cell>
          <cell r="B7359">
            <v>1999</v>
          </cell>
          <cell r="C7359" t="str">
            <v>wbsp_pop_1564_to</v>
          </cell>
          <cell r="D7359">
            <v>327962</v>
          </cell>
        </row>
        <row r="7360">
          <cell r="A7360" t="str">
            <v>BTN</v>
          </cell>
          <cell r="B7360">
            <v>1999</v>
          </cell>
          <cell r="C7360" t="str">
            <v>wbsp_pop_totl</v>
          </cell>
          <cell r="D7360">
            <v>570990</v>
          </cell>
        </row>
        <row r="7361">
          <cell r="A7361" t="str">
            <v>BTN</v>
          </cell>
          <cell r="B7361">
            <v>2000</v>
          </cell>
          <cell r="C7361" t="str">
            <v>wbsp_pop_1564_to</v>
          </cell>
          <cell r="D7361">
            <v>340261</v>
          </cell>
        </row>
        <row r="7362">
          <cell r="A7362" t="str">
            <v>BTN</v>
          </cell>
          <cell r="B7362">
            <v>2000</v>
          </cell>
          <cell r="C7362" t="str">
            <v>wbsp_pop_totl</v>
          </cell>
          <cell r="D7362">
            <v>587207</v>
          </cell>
        </row>
        <row r="7363">
          <cell r="A7363" t="str">
            <v>BTN</v>
          </cell>
          <cell r="B7363">
            <v>2001</v>
          </cell>
          <cell r="C7363" t="str">
            <v>wbsp_pop_1564_to</v>
          </cell>
          <cell r="D7363">
            <v>353335</v>
          </cell>
        </row>
        <row r="7364">
          <cell r="A7364" t="str">
            <v>BTN</v>
          </cell>
          <cell r="B7364">
            <v>2001</v>
          </cell>
          <cell r="C7364" t="str">
            <v>wbsp_pop_totl</v>
          </cell>
          <cell r="D7364">
            <v>603234</v>
          </cell>
        </row>
        <row r="7365">
          <cell r="A7365" t="str">
            <v>BTN</v>
          </cell>
          <cell r="B7365">
            <v>2002</v>
          </cell>
          <cell r="C7365" t="str">
            <v>wbsp_pop_1564_to</v>
          </cell>
          <cell r="D7365">
            <v>367183</v>
          </cell>
        </row>
        <row r="7366">
          <cell r="A7366" t="str">
            <v>BTN</v>
          </cell>
          <cell r="B7366">
            <v>2002</v>
          </cell>
          <cell r="C7366" t="str">
            <v>wbsp_pop_totl</v>
          </cell>
          <cell r="D7366">
            <v>619048</v>
          </cell>
        </row>
        <row r="7367">
          <cell r="A7367" t="str">
            <v>BTN</v>
          </cell>
          <cell r="B7367">
            <v>2003</v>
          </cell>
          <cell r="C7367" t="str">
            <v>wbsp_pop_1564_to</v>
          </cell>
          <cell r="D7367">
            <v>381792</v>
          </cell>
        </row>
        <row r="7368">
          <cell r="A7368" t="str">
            <v>BTN</v>
          </cell>
          <cell r="B7368">
            <v>2003</v>
          </cell>
          <cell r="C7368" t="str">
            <v>wbsp_pop_totl</v>
          </cell>
          <cell r="D7368">
            <v>634627</v>
          </cell>
        </row>
        <row r="7369">
          <cell r="A7369" t="str">
            <v>BTN</v>
          </cell>
          <cell r="B7369">
            <v>2004</v>
          </cell>
          <cell r="C7369" t="str">
            <v>wbsp_pop_1564_to</v>
          </cell>
          <cell r="D7369">
            <v>397204</v>
          </cell>
        </row>
        <row r="7370">
          <cell r="A7370" t="str">
            <v>BTN</v>
          </cell>
          <cell r="B7370">
            <v>2004</v>
          </cell>
          <cell r="C7370" t="str">
            <v>wbsp_pop_totl</v>
          </cell>
          <cell r="D7370">
            <v>649991</v>
          </cell>
        </row>
        <row r="7371">
          <cell r="A7371" t="str">
            <v>BTN</v>
          </cell>
          <cell r="B7371">
            <v>2005</v>
          </cell>
          <cell r="C7371" t="str">
            <v>wbsp_pop_1564_to</v>
          </cell>
          <cell r="D7371">
            <v>411314</v>
          </cell>
        </row>
        <row r="7372">
          <cell r="A7372" t="str">
            <v>BTN</v>
          </cell>
          <cell r="B7372">
            <v>2005</v>
          </cell>
          <cell r="C7372" t="str">
            <v>wbsp_pop_totl</v>
          </cell>
          <cell r="D7372">
            <v>663323</v>
          </cell>
        </row>
        <row r="7373">
          <cell r="A7373" t="str">
            <v>BTN</v>
          </cell>
          <cell r="B7373">
            <v>2006</v>
          </cell>
          <cell r="C7373" t="str">
            <v>wbsp_pop_1564_to</v>
          </cell>
          <cell r="D7373">
            <v>422358</v>
          </cell>
        </row>
        <row r="7374">
          <cell r="A7374" t="str">
            <v>BTN</v>
          </cell>
          <cell r="B7374">
            <v>2006</v>
          </cell>
          <cell r="C7374" t="str">
            <v>wbsp_pop_totl</v>
          </cell>
          <cell r="D7374">
            <v>673260</v>
          </cell>
        </row>
        <row r="7375">
          <cell r="A7375" t="str">
            <v>BTN</v>
          </cell>
          <cell r="B7375">
            <v>2007</v>
          </cell>
          <cell r="C7375" t="str">
            <v>wbsp_pop_1564_to</v>
          </cell>
          <cell r="D7375">
            <v>432094</v>
          </cell>
        </row>
        <row r="7376">
          <cell r="A7376" t="str">
            <v>BTN</v>
          </cell>
          <cell r="B7376">
            <v>2007</v>
          </cell>
          <cell r="C7376" t="str">
            <v>wbsp_pop_totl</v>
          </cell>
          <cell r="D7376">
            <v>681614</v>
          </cell>
        </row>
        <row r="7377">
          <cell r="A7377" t="str">
            <v>BTN</v>
          </cell>
          <cell r="B7377">
            <v>2008</v>
          </cell>
          <cell r="C7377" t="str">
            <v>wbsp_pop_1564_to</v>
          </cell>
          <cell r="D7377">
            <v>441750</v>
          </cell>
        </row>
        <row r="7378">
          <cell r="A7378" t="str">
            <v>BTN</v>
          </cell>
          <cell r="B7378">
            <v>2008</v>
          </cell>
          <cell r="C7378" t="str">
            <v>wbsp_pop_totl</v>
          </cell>
          <cell r="D7378">
            <v>689737</v>
          </cell>
        </row>
        <row r="7379">
          <cell r="A7379" t="str">
            <v>BTN</v>
          </cell>
          <cell r="B7379">
            <v>2009</v>
          </cell>
          <cell r="C7379" t="str">
            <v>wbsp_pop_1564_to</v>
          </cell>
          <cell r="D7379">
            <v>451111</v>
          </cell>
        </row>
        <row r="7380">
          <cell r="A7380" t="str">
            <v>BTN</v>
          </cell>
          <cell r="B7380">
            <v>2009</v>
          </cell>
          <cell r="C7380" t="str">
            <v>wbsp_pop_totl</v>
          </cell>
          <cell r="D7380">
            <v>697678</v>
          </cell>
        </row>
        <row r="7381">
          <cell r="A7381" t="str">
            <v>BTN</v>
          </cell>
          <cell r="B7381">
            <v>2010</v>
          </cell>
          <cell r="C7381" t="str">
            <v>wbsp_pop_1564_to</v>
          </cell>
          <cell r="D7381">
            <v>460133</v>
          </cell>
        </row>
        <row r="7382">
          <cell r="A7382" t="str">
            <v>BTN</v>
          </cell>
          <cell r="B7382">
            <v>2010</v>
          </cell>
          <cell r="C7382" t="str">
            <v>wbsp_pop_totl</v>
          </cell>
          <cell r="D7382">
            <v>705516</v>
          </cell>
        </row>
        <row r="7383">
          <cell r="A7383" t="str">
            <v>BTN</v>
          </cell>
          <cell r="B7383">
            <v>2011</v>
          </cell>
          <cell r="C7383" t="str">
            <v>wbsp_pop_1564_to</v>
          </cell>
          <cell r="D7383">
            <v>468827</v>
          </cell>
        </row>
        <row r="7384">
          <cell r="A7384" t="str">
            <v>BTN</v>
          </cell>
          <cell r="B7384">
            <v>2011</v>
          </cell>
          <cell r="C7384" t="str">
            <v>wbsp_pop_totl</v>
          </cell>
          <cell r="D7384">
            <v>713331</v>
          </cell>
        </row>
        <row r="7385">
          <cell r="A7385" t="str">
            <v>BTN</v>
          </cell>
          <cell r="B7385">
            <v>2012</v>
          </cell>
          <cell r="C7385" t="str">
            <v>wbsp_pop_1564_to</v>
          </cell>
          <cell r="D7385">
            <v>477108</v>
          </cell>
        </row>
        <row r="7386">
          <cell r="A7386" t="str">
            <v>BTN</v>
          </cell>
          <cell r="B7386">
            <v>2012</v>
          </cell>
          <cell r="C7386" t="str">
            <v>wbsp_pop_totl</v>
          </cell>
          <cell r="D7386">
            <v>721145</v>
          </cell>
        </row>
        <row r="7387">
          <cell r="A7387" t="str">
            <v>BTN</v>
          </cell>
          <cell r="B7387">
            <v>2013</v>
          </cell>
          <cell r="C7387" t="str">
            <v>wbsp_pop_1564_to</v>
          </cell>
          <cell r="D7387">
            <v>484970</v>
          </cell>
        </row>
        <row r="7388">
          <cell r="A7388" t="str">
            <v>BTN</v>
          </cell>
          <cell r="B7388">
            <v>2013</v>
          </cell>
          <cell r="C7388" t="str">
            <v>wbsp_pop_totl</v>
          </cell>
          <cell r="D7388">
            <v>728889</v>
          </cell>
        </row>
        <row r="7389">
          <cell r="A7389" t="str">
            <v>BTN</v>
          </cell>
          <cell r="B7389">
            <v>2014</v>
          </cell>
          <cell r="C7389" t="str">
            <v>wbsp_pop_1564_to</v>
          </cell>
          <cell r="D7389">
            <v>492615</v>
          </cell>
        </row>
        <row r="7390">
          <cell r="A7390" t="str">
            <v>BTN</v>
          </cell>
          <cell r="B7390">
            <v>2014</v>
          </cell>
          <cell r="C7390" t="str">
            <v>wbsp_pop_totl</v>
          </cell>
          <cell r="D7390">
            <v>736357</v>
          </cell>
        </row>
        <row r="7391">
          <cell r="A7391" t="str">
            <v>BTN</v>
          </cell>
          <cell r="B7391">
            <v>2015</v>
          </cell>
          <cell r="C7391" t="str">
            <v>wbsp_pop_1564_to</v>
          </cell>
          <cell r="D7391">
            <v>500206</v>
          </cell>
        </row>
        <row r="7392">
          <cell r="A7392" t="str">
            <v>BTN</v>
          </cell>
          <cell r="B7392">
            <v>2015</v>
          </cell>
          <cell r="C7392" t="str">
            <v>wbsp_pop_totl</v>
          </cell>
          <cell r="D7392">
            <v>743274</v>
          </cell>
        </row>
        <row r="7393">
          <cell r="A7393" t="str">
            <v>BTN</v>
          </cell>
          <cell r="B7393">
            <v>2016</v>
          </cell>
          <cell r="C7393" t="str">
            <v>wbsp_pop_1564_to</v>
          </cell>
          <cell r="D7393">
            <v>507791</v>
          </cell>
        </row>
        <row r="7394">
          <cell r="A7394" t="str">
            <v>BTN</v>
          </cell>
          <cell r="B7394">
            <v>2016</v>
          </cell>
          <cell r="C7394" t="str">
            <v>wbsp_pop_totl</v>
          </cell>
          <cell r="D7394">
            <v>749761</v>
          </cell>
        </row>
        <row r="7395">
          <cell r="A7395" t="str">
            <v>BTN</v>
          </cell>
          <cell r="B7395">
            <v>2017</v>
          </cell>
          <cell r="C7395" t="str">
            <v>wbsp_pop_1564_to</v>
          </cell>
          <cell r="D7395">
            <v>516402</v>
          </cell>
        </row>
        <row r="7396">
          <cell r="A7396" t="str">
            <v>BTN</v>
          </cell>
          <cell r="B7396">
            <v>2017</v>
          </cell>
          <cell r="C7396" t="str">
            <v>wbsp_pop_totl</v>
          </cell>
          <cell r="D7396">
            <v>756121</v>
          </cell>
        </row>
        <row r="7397">
          <cell r="A7397" t="str">
            <v>BTN</v>
          </cell>
          <cell r="B7397">
            <v>2018</v>
          </cell>
          <cell r="C7397" t="str">
            <v>wbsp_pop_1564_to</v>
          </cell>
          <cell r="D7397">
            <v>525958</v>
          </cell>
        </row>
        <row r="7398">
          <cell r="A7398" t="str">
            <v>BTN</v>
          </cell>
          <cell r="B7398">
            <v>2018</v>
          </cell>
          <cell r="C7398" t="str">
            <v>wbsp_pop_totl</v>
          </cell>
          <cell r="D7398">
            <v>762096</v>
          </cell>
        </row>
        <row r="7399">
          <cell r="A7399" t="str">
            <v>BTN</v>
          </cell>
          <cell r="B7399">
            <v>2019</v>
          </cell>
          <cell r="C7399" t="str">
            <v>wbsp_pop_1564_to</v>
          </cell>
          <cell r="D7399">
            <v>535278</v>
          </cell>
        </row>
        <row r="7400">
          <cell r="A7400" t="str">
            <v>BTN</v>
          </cell>
          <cell r="B7400">
            <v>2019</v>
          </cell>
          <cell r="C7400" t="str">
            <v>wbsp_pop_totl</v>
          </cell>
          <cell r="D7400">
            <v>767459</v>
          </cell>
        </row>
        <row r="7401">
          <cell r="A7401" t="str">
            <v>BTN</v>
          </cell>
          <cell r="B7401">
            <v>2020</v>
          </cell>
          <cell r="C7401" t="str">
            <v>wbsp_pop_1564_to</v>
          </cell>
          <cell r="D7401">
            <v>544166</v>
          </cell>
        </row>
        <row r="7402">
          <cell r="A7402" t="str">
            <v>BTN</v>
          </cell>
          <cell r="B7402">
            <v>2020</v>
          </cell>
          <cell r="C7402" t="str">
            <v>wbsp_pop_totl</v>
          </cell>
          <cell r="D7402">
            <v>772506</v>
          </cell>
        </row>
        <row r="7403">
          <cell r="A7403" t="str">
            <v>BTN</v>
          </cell>
          <cell r="B7403">
            <v>2021</v>
          </cell>
          <cell r="C7403" t="str">
            <v>wbsp_pop_1564_to</v>
          </cell>
          <cell r="D7403">
            <v>552490</v>
          </cell>
        </row>
        <row r="7404">
          <cell r="A7404" t="str">
            <v>BTN</v>
          </cell>
          <cell r="B7404">
            <v>2021</v>
          </cell>
          <cell r="C7404" t="str">
            <v>wbsp_pop_totl</v>
          </cell>
          <cell r="D7404">
            <v>777486</v>
          </cell>
        </row>
        <row r="7405">
          <cell r="A7405" t="str">
            <v>BTN</v>
          </cell>
          <cell r="B7405">
            <v>2022</v>
          </cell>
          <cell r="C7405" t="str">
            <v>wbsp_pop_1564_to</v>
          </cell>
          <cell r="D7405">
            <v>560261</v>
          </cell>
        </row>
        <row r="7406">
          <cell r="A7406" t="str">
            <v>BTN</v>
          </cell>
          <cell r="B7406">
            <v>2022</v>
          </cell>
          <cell r="C7406" t="str">
            <v>wbsp_pop_totl</v>
          </cell>
          <cell r="D7406">
            <v>782455</v>
          </cell>
        </row>
        <row r="7407">
          <cell r="A7407" t="str">
            <v>BTN</v>
          </cell>
          <cell r="B7407">
            <v>2023</v>
          </cell>
          <cell r="C7407" t="str">
            <v>wbsp_pop_1564_to</v>
          </cell>
          <cell r="D7407">
            <v>567633</v>
          </cell>
        </row>
        <row r="7408">
          <cell r="A7408" t="str">
            <v>BTN</v>
          </cell>
          <cell r="B7408">
            <v>2023</v>
          </cell>
          <cell r="C7408" t="str">
            <v>wbsp_pop_totl</v>
          </cell>
          <cell r="D7408">
            <v>787424</v>
          </cell>
        </row>
        <row r="7409">
          <cell r="A7409" t="str">
            <v>IND</v>
          </cell>
          <cell r="B7409">
            <v>1960</v>
          </cell>
          <cell r="C7409" t="str">
            <v>wbsp_pop_1564_to</v>
          </cell>
          <cell r="D7409">
            <v>250572490</v>
          </cell>
        </row>
        <row r="7410">
          <cell r="A7410" t="str">
            <v>IND</v>
          </cell>
          <cell r="B7410">
            <v>1960</v>
          </cell>
          <cell r="C7410" t="str">
            <v>wbsp_pop_totl</v>
          </cell>
          <cell r="D7410">
            <v>445954579</v>
          </cell>
        </row>
        <row r="7411">
          <cell r="A7411" t="str">
            <v>IND</v>
          </cell>
          <cell r="B7411">
            <v>1961</v>
          </cell>
          <cell r="C7411" t="str">
            <v>wbsp_pop_1564_to</v>
          </cell>
          <cell r="D7411">
            <v>254983160</v>
          </cell>
        </row>
        <row r="7412">
          <cell r="A7412" t="str">
            <v>IND</v>
          </cell>
          <cell r="B7412">
            <v>1961</v>
          </cell>
          <cell r="C7412" t="str">
            <v>wbsp_pop_totl</v>
          </cell>
          <cell r="D7412">
            <v>456351876</v>
          </cell>
        </row>
        <row r="7413">
          <cell r="A7413" t="str">
            <v>IND</v>
          </cell>
          <cell r="B7413">
            <v>1962</v>
          </cell>
          <cell r="C7413" t="str">
            <v>wbsp_pop_1564_to</v>
          </cell>
          <cell r="D7413">
            <v>259461462</v>
          </cell>
        </row>
        <row r="7414">
          <cell r="A7414" t="str">
            <v>IND</v>
          </cell>
          <cell r="B7414">
            <v>1962</v>
          </cell>
          <cell r="C7414" t="str">
            <v>wbsp_pop_totl</v>
          </cell>
          <cell r="D7414">
            <v>467024193</v>
          </cell>
        </row>
        <row r="7415">
          <cell r="A7415" t="str">
            <v>IND</v>
          </cell>
          <cell r="B7415">
            <v>1963</v>
          </cell>
          <cell r="C7415" t="str">
            <v>wbsp_pop_1564_to</v>
          </cell>
          <cell r="D7415">
            <v>264033144</v>
          </cell>
        </row>
        <row r="7416">
          <cell r="A7416" t="str">
            <v>IND</v>
          </cell>
          <cell r="B7416">
            <v>1963</v>
          </cell>
          <cell r="C7416" t="str">
            <v>wbsp_pop_totl</v>
          </cell>
          <cell r="D7416">
            <v>477933619</v>
          </cell>
        </row>
        <row r="7417">
          <cell r="A7417" t="str">
            <v>IND</v>
          </cell>
          <cell r="B7417">
            <v>1964</v>
          </cell>
          <cell r="C7417" t="str">
            <v>wbsp_pop_1564_to</v>
          </cell>
          <cell r="D7417">
            <v>269239453</v>
          </cell>
        </row>
        <row r="7418">
          <cell r="A7418" t="str">
            <v>IND</v>
          </cell>
          <cell r="B7418">
            <v>1964</v>
          </cell>
          <cell r="C7418" t="str">
            <v>wbsp_pop_totl</v>
          </cell>
          <cell r="D7418">
            <v>489059309</v>
          </cell>
        </row>
        <row r="7419">
          <cell r="A7419" t="str">
            <v>IND</v>
          </cell>
          <cell r="B7419">
            <v>1965</v>
          </cell>
          <cell r="C7419" t="str">
            <v>wbsp_pop_1564_to</v>
          </cell>
          <cell r="D7419">
            <v>275095446</v>
          </cell>
        </row>
        <row r="7420">
          <cell r="A7420" t="str">
            <v>IND</v>
          </cell>
          <cell r="B7420">
            <v>1965</v>
          </cell>
          <cell r="C7420" t="str">
            <v>wbsp_pop_totl</v>
          </cell>
          <cell r="D7420">
            <v>500114346</v>
          </cell>
        </row>
        <row r="7421">
          <cell r="A7421" t="str">
            <v>IND</v>
          </cell>
          <cell r="B7421">
            <v>1966</v>
          </cell>
          <cell r="C7421" t="str">
            <v>wbsp_pop_1564_to</v>
          </cell>
          <cell r="D7421">
            <v>281128542</v>
          </cell>
        </row>
        <row r="7422">
          <cell r="A7422" t="str">
            <v>IND</v>
          </cell>
          <cell r="B7422">
            <v>1966</v>
          </cell>
          <cell r="C7422" t="str">
            <v>wbsp_pop_totl</v>
          </cell>
          <cell r="D7422">
            <v>510992617</v>
          </cell>
        </row>
        <row r="7423">
          <cell r="A7423" t="str">
            <v>IND</v>
          </cell>
          <cell r="B7423">
            <v>1967</v>
          </cell>
          <cell r="C7423" t="str">
            <v>wbsp_pop_1564_to</v>
          </cell>
          <cell r="D7423">
            <v>287440562</v>
          </cell>
        </row>
        <row r="7424">
          <cell r="A7424" t="str">
            <v>IND</v>
          </cell>
          <cell r="B7424">
            <v>1967</v>
          </cell>
          <cell r="C7424" t="str">
            <v>wbsp_pop_totl</v>
          </cell>
          <cell r="D7424">
            <v>521987069</v>
          </cell>
        </row>
        <row r="7425">
          <cell r="A7425" t="str">
            <v>IND</v>
          </cell>
          <cell r="B7425">
            <v>1968</v>
          </cell>
          <cell r="C7425" t="str">
            <v>wbsp_pop_1564_to</v>
          </cell>
          <cell r="D7425">
            <v>294131776</v>
          </cell>
        </row>
        <row r="7426">
          <cell r="A7426" t="str">
            <v>IND</v>
          </cell>
          <cell r="B7426">
            <v>1968</v>
          </cell>
          <cell r="C7426" t="str">
            <v>wbsp_pop_totl</v>
          </cell>
          <cell r="D7426">
            <v>533431909</v>
          </cell>
        </row>
        <row r="7427">
          <cell r="A7427" t="str">
            <v>IND</v>
          </cell>
          <cell r="B7427">
            <v>1969</v>
          </cell>
          <cell r="C7427" t="str">
            <v>wbsp_pop_1564_to</v>
          </cell>
          <cell r="D7427">
            <v>301154377</v>
          </cell>
        </row>
        <row r="7428">
          <cell r="A7428" t="str">
            <v>IND</v>
          </cell>
          <cell r="B7428">
            <v>1969</v>
          </cell>
          <cell r="C7428" t="str">
            <v>wbsp_pop_totl</v>
          </cell>
          <cell r="D7428">
            <v>545314670</v>
          </cell>
        </row>
        <row r="7429">
          <cell r="A7429" t="str">
            <v>IND</v>
          </cell>
          <cell r="B7429">
            <v>1970</v>
          </cell>
          <cell r="C7429" t="str">
            <v>wbsp_pop_1564_to</v>
          </cell>
          <cell r="D7429">
            <v>308479482</v>
          </cell>
        </row>
        <row r="7430">
          <cell r="A7430" t="str">
            <v>IND</v>
          </cell>
          <cell r="B7430">
            <v>1970</v>
          </cell>
          <cell r="C7430" t="str">
            <v>wbsp_pop_totl</v>
          </cell>
          <cell r="D7430">
            <v>557501301</v>
          </cell>
        </row>
        <row r="7431">
          <cell r="A7431" t="str">
            <v>IND</v>
          </cell>
          <cell r="B7431">
            <v>1971</v>
          </cell>
          <cell r="C7431" t="str">
            <v>wbsp_pop_1564_to</v>
          </cell>
          <cell r="D7431">
            <v>315989498</v>
          </cell>
        </row>
        <row r="7432">
          <cell r="A7432" t="str">
            <v>IND</v>
          </cell>
          <cell r="B7432">
            <v>1971</v>
          </cell>
          <cell r="C7432" t="str">
            <v>wbsp_pop_totl</v>
          </cell>
          <cell r="D7432">
            <v>569999178</v>
          </cell>
        </row>
        <row r="7433">
          <cell r="A7433" t="str">
            <v>IND</v>
          </cell>
          <cell r="B7433">
            <v>1972</v>
          </cell>
          <cell r="C7433" t="str">
            <v>wbsp_pop_1564_to</v>
          </cell>
          <cell r="D7433">
            <v>323685090</v>
          </cell>
        </row>
        <row r="7434">
          <cell r="A7434" t="str">
            <v>IND</v>
          </cell>
          <cell r="B7434">
            <v>1972</v>
          </cell>
          <cell r="C7434" t="str">
            <v>wbsp_pop_totl</v>
          </cell>
          <cell r="D7434">
            <v>582837973</v>
          </cell>
        </row>
        <row r="7435">
          <cell r="A7435" t="str">
            <v>IND</v>
          </cell>
          <cell r="B7435">
            <v>1973</v>
          </cell>
          <cell r="C7435" t="str">
            <v>wbsp_pop_1564_to</v>
          </cell>
          <cell r="D7435">
            <v>331640545</v>
          </cell>
        </row>
        <row r="7436">
          <cell r="A7436" t="str">
            <v>IND</v>
          </cell>
          <cell r="B7436">
            <v>1973</v>
          </cell>
          <cell r="C7436" t="str">
            <v>wbsp_pop_totl</v>
          </cell>
          <cell r="D7436">
            <v>596107483</v>
          </cell>
        </row>
        <row r="7437">
          <cell r="A7437" t="str">
            <v>IND</v>
          </cell>
          <cell r="B7437">
            <v>1974</v>
          </cell>
          <cell r="C7437" t="str">
            <v>wbsp_pop_1564_to</v>
          </cell>
          <cell r="D7437">
            <v>339752276</v>
          </cell>
        </row>
        <row r="7438">
          <cell r="A7438" t="str">
            <v>IND</v>
          </cell>
          <cell r="B7438">
            <v>1974</v>
          </cell>
          <cell r="C7438" t="str">
            <v>wbsp_pop_totl</v>
          </cell>
          <cell r="D7438">
            <v>609721951</v>
          </cell>
        </row>
        <row r="7439">
          <cell r="A7439" t="str">
            <v>IND</v>
          </cell>
          <cell r="B7439">
            <v>1975</v>
          </cell>
          <cell r="C7439" t="str">
            <v>wbsp_pop_1564_to</v>
          </cell>
          <cell r="D7439">
            <v>348039335</v>
          </cell>
        </row>
        <row r="7440">
          <cell r="A7440" t="str">
            <v>IND</v>
          </cell>
          <cell r="B7440">
            <v>1975</v>
          </cell>
          <cell r="C7440" t="str">
            <v>wbsp_pop_totl</v>
          </cell>
          <cell r="D7440">
            <v>623524219</v>
          </cell>
        </row>
        <row r="7441">
          <cell r="A7441" t="str">
            <v>IND</v>
          </cell>
          <cell r="B7441">
            <v>1976</v>
          </cell>
          <cell r="C7441" t="str">
            <v>wbsp_pop_1564_to</v>
          </cell>
          <cell r="D7441">
            <v>356475048</v>
          </cell>
        </row>
        <row r="7442">
          <cell r="A7442" t="str">
            <v>IND</v>
          </cell>
          <cell r="B7442">
            <v>1976</v>
          </cell>
          <cell r="C7442" t="str">
            <v>wbsp_pop_totl</v>
          </cell>
          <cell r="D7442">
            <v>637451448</v>
          </cell>
        </row>
        <row r="7443">
          <cell r="A7443" t="str">
            <v>IND</v>
          </cell>
          <cell r="B7443">
            <v>1977</v>
          </cell>
          <cell r="C7443" t="str">
            <v>wbsp_pop_1564_to</v>
          </cell>
          <cell r="D7443">
            <v>365254332</v>
          </cell>
        </row>
        <row r="7444">
          <cell r="A7444" t="str">
            <v>IND</v>
          </cell>
          <cell r="B7444">
            <v>1977</v>
          </cell>
          <cell r="C7444" t="str">
            <v>wbsp_pop_totl</v>
          </cell>
          <cell r="D7444">
            <v>651685628</v>
          </cell>
        </row>
        <row r="7445">
          <cell r="A7445" t="str">
            <v>IND</v>
          </cell>
          <cell r="B7445">
            <v>1978</v>
          </cell>
          <cell r="C7445" t="str">
            <v>wbsp_pop_1564_to</v>
          </cell>
          <cell r="D7445">
            <v>374467006</v>
          </cell>
        </row>
        <row r="7446">
          <cell r="A7446" t="str">
            <v>IND</v>
          </cell>
          <cell r="B7446">
            <v>1978</v>
          </cell>
          <cell r="C7446" t="str">
            <v>wbsp_pop_totl</v>
          </cell>
          <cell r="D7446">
            <v>666267760</v>
          </cell>
        </row>
        <row r="7447">
          <cell r="A7447" t="str">
            <v>IND</v>
          </cell>
          <cell r="B7447">
            <v>1979</v>
          </cell>
          <cell r="C7447" t="str">
            <v>wbsp_pop_1564_to</v>
          </cell>
          <cell r="D7447">
            <v>383945578</v>
          </cell>
        </row>
        <row r="7448">
          <cell r="A7448" t="str">
            <v>IND</v>
          </cell>
          <cell r="B7448">
            <v>1979</v>
          </cell>
          <cell r="C7448" t="str">
            <v>wbsp_pop_totl</v>
          </cell>
          <cell r="D7448">
            <v>681248383</v>
          </cell>
        </row>
        <row r="7449">
          <cell r="A7449" t="str">
            <v>IND</v>
          </cell>
          <cell r="B7449">
            <v>1980</v>
          </cell>
          <cell r="C7449" t="str">
            <v>wbsp_pop_1564_to</v>
          </cell>
          <cell r="D7449">
            <v>393699476</v>
          </cell>
        </row>
        <row r="7450">
          <cell r="A7450" t="str">
            <v>IND</v>
          </cell>
          <cell r="B7450">
            <v>1980</v>
          </cell>
          <cell r="C7450" t="str">
            <v>wbsp_pop_totl</v>
          </cell>
          <cell r="D7450">
            <v>696828385</v>
          </cell>
        </row>
        <row r="7451">
          <cell r="A7451" t="str">
            <v>IND</v>
          </cell>
          <cell r="B7451">
            <v>1981</v>
          </cell>
          <cell r="C7451" t="str">
            <v>wbsp_pop_1564_to</v>
          </cell>
          <cell r="D7451">
            <v>403630682</v>
          </cell>
        </row>
        <row r="7452">
          <cell r="A7452" t="str">
            <v>IND</v>
          </cell>
          <cell r="B7452">
            <v>1981</v>
          </cell>
          <cell r="C7452" t="str">
            <v>wbsp_pop_totl</v>
          </cell>
          <cell r="D7452">
            <v>712869298</v>
          </cell>
        </row>
        <row r="7453">
          <cell r="A7453" t="str">
            <v>IND</v>
          </cell>
          <cell r="B7453">
            <v>1982</v>
          </cell>
          <cell r="C7453" t="str">
            <v>wbsp_pop_1564_to</v>
          </cell>
          <cell r="D7453">
            <v>413737921</v>
          </cell>
        </row>
        <row r="7454">
          <cell r="A7454" t="str">
            <v>IND</v>
          </cell>
          <cell r="B7454">
            <v>1982</v>
          </cell>
          <cell r="C7454" t="str">
            <v>wbsp_pop_totl</v>
          </cell>
          <cell r="D7454">
            <v>729169466</v>
          </cell>
        </row>
        <row r="7455">
          <cell r="A7455" t="str">
            <v>IND</v>
          </cell>
          <cell r="B7455">
            <v>1983</v>
          </cell>
          <cell r="C7455" t="str">
            <v>wbsp_pop_1564_to</v>
          </cell>
          <cell r="D7455">
            <v>424166130</v>
          </cell>
        </row>
        <row r="7456">
          <cell r="A7456" t="str">
            <v>IND</v>
          </cell>
          <cell r="B7456">
            <v>1983</v>
          </cell>
          <cell r="C7456" t="str">
            <v>wbsp_pop_totl</v>
          </cell>
          <cell r="D7456">
            <v>745826546</v>
          </cell>
        </row>
        <row r="7457">
          <cell r="A7457" t="str">
            <v>IND</v>
          </cell>
          <cell r="B7457">
            <v>1984</v>
          </cell>
          <cell r="C7457" t="str">
            <v>wbsp_pop_1564_to</v>
          </cell>
          <cell r="D7457">
            <v>434850151</v>
          </cell>
        </row>
        <row r="7458">
          <cell r="A7458" t="str">
            <v>IND</v>
          </cell>
          <cell r="B7458">
            <v>1984</v>
          </cell>
          <cell r="C7458" t="str">
            <v>wbsp_pop_totl</v>
          </cell>
          <cell r="D7458">
            <v>762895156</v>
          </cell>
        </row>
        <row r="7459">
          <cell r="A7459" t="str">
            <v>IND</v>
          </cell>
          <cell r="B7459">
            <v>1985</v>
          </cell>
          <cell r="C7459" t="str">
            <v>wbsp_pop_1564_to</v>
          </cell>
          <cell r="D7459">
            <v>445720916</v>
          </cell>
        </row>
        <row r="7460">
          <cell r="A7460" t="str">
            <v>IND</v>
          </cell>
          <cell r="B7460">
            <v>1985</v>
          </cell>
          <cell r="C7460" t="str">
            <v>wbsp_pop_totl</v>
          </cell>
          <cell r="D7460">
            <v>780242084</v>
          </cell>
        </row>
        <row r="7461">
          <cell r="A7461" t="str">
            <v>IND</v>
          </cell>
          <cell r="B7461">
            <v>1986</v>
          </cell>
          <cell r="C7461" t="str">
            <v>wbsp_pop_1564_to</v>
          </cell>
          <cell r="D7461">
            <v>456823486</v>
          </cell>
        </row>
        <row r="7462">
          <cell r="A7462" t="str">
            <v>IND</v>
          </cell>
          <cell r="B7462">
            <v>1986</v>
          </cell>
          <cell r="C7462" t="str">
            <v>wbsp_pop_totl</v>
          </cell>
          <cell r="D7462">
            <v>797878993</v>
          </cell>
        </row>
        <row r="7463">
          <cell r="A7463" t="str">
            <v>IND</v>
          </cell>
          <cell r="B7463">
            <v>1987</v>
          </cell>
          <cell r="C7463" t="str">
            <v>wbsp_pop_1564_to</v>
          </cell>
          <cell r="D7463">
            <v>468194817</v>
          </cell>
        </row>
        <row r="7464">
          <cell r="A7464" t="str">
            <v>IND</v>
          </cell>
          <cell r="B7464">
            <v>1987</v>
          </cell>
          <cell r="C7464" t="str">
            <v>wbsp_pop_totl</v>
          </cell>
          <cell r="D7464">
            <v>815716125</v>
          </cell>
        </row>
        <row r="7465">
          <cell r="A7465" t="str">
            <v>IND</v>
          </cell>
          <cell r="B7465">
            <v>1988</v>
          </cell>
          <cell r="C7465" t="str">
            <v>wbsp_pop_1564_to</v>
          </cell>
          <cell r="D7465">
            <v>479936444</v>
          </cell>
        </row>
        <row r="7466">
          <cell r="A7466" t="str">
            <v>IND</v>
          </cell>
          <cell r="B7466">
            <v>1988</v>
          </cell>
          <cell r="C7466" t="str">
            <v>wbsp_pop_totl</v>
          </cell>
          <cell r="D7466">
            <v>833729681</v>
          </cell>
        </row>
        <row r="7467">
          <cell r="A7467" t="str">
            <v>IND</v>
          </cell>
          <cell r="B7467">
            <v>1989</v>
          </cell>
          <cell r="C7467" t="str">
            <v>wbsp_pop_1564_to</v>
          </cell>
          <cell r="D7467">
            <v>492063295</v>
          </cell>
        </row>
        <row r="7468">
          <cell r="A7468" t="str">
            <v>IND</v>
          </cell>
          <cell r="B7468">
            <v>1989</v>
          </cell>
          <cell r="C7468" t="str">
            <v>wbsp_pop_totl</v>
          </cell>
          <cell r="D7468">
            <v>852012673</v>
          </cell>
        </row>
        <row r="7469">
          <cell r="A7469" t="str">
            <v>IND</v>
          </cell>
          <cell r="B7469">
            <v>1990</v>
          </cell>
          <cell r="C7469" t="str">
            <v>wbsp_pop_1564_to</v>
          </cell>
          <cell r="D7469">
            <v>504451116</v>
          </cell>
        </row>
        <row r="7470">
          <cell r="A7470" t="str">
            <v>IND</v>
          </cell>
          <cell r="B7470">
            <v>1990</v>
          </cell>
          <cell r="C7470" t="str">
            <v>wbsp_pop_totl</v>
          </cell>
          <cell r="D7470">
            <v>870452165</v>
          </cell>
        </row>
        <row r="7471">
          <cell r="A7471" t="str">
            <v>IND</v>
          </cell>
          <cell r="B7471">
            <v>1991</v>
          </cell>
          <cell r="C7471" t="str">
            <v>wbsp_pop_1564_to</v>
          </cell>
          <cell r="D7471">
            <v>516954044</v>
          </cell>
        </row>
        <row r="7472">
          <cell r="A7472" t="str">
            <v>IND</v>
          </cell>
          <cell r="B7472">
            <v>1991</v>
          </cell>
          <cell r="C7472" t="str">
            <v>wbsp_pop_totl</v>
          </cell>
          <cell r="D7472">
            <v>888941756</v>
          </cell>
        </row>
        <row r="7473">
          <cell r="A7473" t="str">
            <v>IND</v>
          </cell>
          <cell r="B7473">
            <v>1992</v>
          </cell>
          <cell r="C7473" t="str">
            <v>wbsp_pop_1564_to</v>
          </cell>
          <cell r="D7473">
            <v>529565821</v>
          </cell>
        </row>
        <row r="7474">
          <cell r="A7474" t="str">
            <v>IND</v>
          </cell>
          <cell r="B7474">
            <v>1992</v>
          </cell>
          <cell r="C7474" t="str">
            <v>wbsp_pop_totl</v>
          </cell>
          <cell r="D7474">
            <v>907574049</v>
          </cell>
        </row>
        <row r="7475">
          <cell r="A7475" t="str">
            <v>IND</v>
          </cell>
          <cell r="B7475">
            <v>1993</v>
          </cell>
          <cell r="C7475" t="str">
            <v>wbsp_pop_1564_to</v>
          </cell>
          <cell r="D7475">
            <v>542339649</v>
          </cell>
        </row>
        <row r="7476">
          <cell r="A7476" t="str">
            <v>IND</v>
          </cell>
          <cell r="B7476">
            <v>1993</v>
          </cell>
          <cell r="C7476" t="str">
            <v>wbsp_pop_totl</v>
          </cell>
          <cell r="D7476">
            <v>926351297</v>
          </cell>
        </row>
        <row r="7477">
          <cell r="A7477" t="str">
            <v>IND</v>
          </cell>
          <cell r="B7477">
            <v>1994</v>
          </cell>
          <cell r="C7477" t="str">
            <v>wbsp_pop_1564_to</v>
          </cell>
          <cell r="D7477">
            <v>555426168</v>
          </cell>
        </row>
        <row r="7478">
          <cell r="A7478" t="str">
            <v>IND</v>
          </cell>
          <cell r="B7478">
            <v>1994</v>
          </cell>
          <cell r="C7478" t="str">
            <v>wbsp_pop_totl</v>
          </cell>
          <cell r="D7478">
            <v>945261958</v>
          </cell>
        </row>
        <row r="7479">
          <cell r="A7479" t="str">
            <v>IND</v>
          </cell>
          <cell r="B7479">
            <v>1995</v>
          </cell>
          <cell r="C7479" t="str">
            <v>wbsp_pop_1564_to</v>
          </cell>
          <cell r="D7479">
            <v>568890441</v>
          </cell>
        </row>
        <row r="7480">
          <cell r="A7480" t="str">
            <v>IND</v>
          </cell>
          <cell r="B7480">
            <v>1995</v>
          </cell>
          <cell r="C7480" t="str">
            <v>wbsp_pop_totl</v>
          </cell>
          <cell r="D7480">
            <v>964279129</v>
          </cell>
        </row>
        <row r="7481">
          <cell r="A7481" t="str">
            <v>IND</v>
          </cell>
          <cell r="B7481">
            <v>1996</v>
          </cell>
          <cell r="C7481" t="str">
            <v>wbsp_pop_1564_to</v>
          </cell>
          <cell r="D7481">
            <v>582689001</v>
          </cell>
        </row>
        <row r="7482">
          <cell r="A7482" t="str">
            <v>IND</v>
          </cell>
          <cell r="B7482">
            <v>1996</v>
          </cell>
          <cell r="C7482" t="str">
            <v>wbsp_pop_totl</v>
          </cell>
          <cell r="D7482">
            <v>983281218</v>
          </cell>
        </row>
        <row r="7483">
          <cell r="A7483" t="str">
            <v>IND</v>
          </cell>
          <cell r="B7483">
            <v>1997</v>
          </cell>
          <cell r="C7483" t="str">
            <v>wbsp_pop_1564_to</v>
          </cell>
          <cell r="D7483">
            <v>596800684</v>
          </cell>
        </row>
        <row r="7484">
          <cell r="A7484" t="str">
            <v>IND</v>
          </cell>
          <cell r="B7484">
            <v>1997</v>
          </cell>
          <cell r="C7484" t="str">
            <v>wbsp_pop_totl</v>
          </cell>
          <cell r="D7484">
            <v>1002335230</v>
          </cell>
        </row>
        <row r="7485">
          <cell r="A7485" t="str">
            <v>IND</v>
          </cell>
          <cell r="B7485">
            <v>1998</v>
          </cell>
          <cell r="C7485" t="str">
            <v>wbsp_pop_1564_to</v>
          </cell>
          <cell r="D7485">
            <v>611160335</v>
          </cell>
        </row>
        <row r="7486">
          <cell r="A7486" t="str">
            <v>IND</v>
          </cell>
          <cell r="B7486">
            <v>1998</v>
          </cell>
          <cell r="C7486" t="str">
            <v>wbsp_pop_totl</v>
          </cell>
          <cell r="D7486">
            <v>1021434576</v>
          </cell>
        </row>
        <row r="7487">
          <cell r="A7487" t="str">
            <v>IND</v>
          </cell>
          <cell r="B7487">
            <v>1999</v>
          </cell>
          <cell r="C7487" t="str">
            <v>wbsp_pop_1564_to</v>
          </cell>
          <cell r="D7487">
            <v>625784989</v>
          </cell>
        </row>
        <row r="7488">
          <cell r="A7488" t="str">
            <v>IND</v>
          </cell>
          <cell r="B7488">
            <v>1999</v>
          </cell>
          <cell r="C7488" t="str">
            <v>wbsp_pop_totl</v>
          </cell>
          <cell r="D7488">
            <v>1040500054</v>
          </cell>
        </row>
        <row r="7489">
          <cell r="A7489" t="str">
            <v>IND</v>
          </cell>
          <cell r="B7489">
            <v>2000</v>
          </cell>
          <cell r="C7489" t="str">
            <v>wbsp_pop_1564_to</v>
          </cell>
          <cell r="D7489">
            <v>640617507</v>
          </cell>
        </row>
        <row r="7490">
          <cell r="A7490" t="str">
            <v>IND</v>
          </cell>
          <cell r="B7490">
            <v>2000</v>
          </cell>
          <cell r="C7490" t="str">
            <v>wbsp_pop_totl</v>
          </cell>
          <cell r="D7490">
            <v>1059633675</v>
          </cell>
        </row>
        <row r="7491">
          <cell r="A7491" t="str">
            <v>IND</v>
          </cell>
          <cell r="B7491">
            <v>2001</v>
          </cell>
          <cell r="C7491" t="str">
            <v>wbsp_pop_1564_to</v>
          </cell>
          <cell r="D7491">
            <v>655697139</v>
          </cell>
        </row>
        <row r="7492">
          <cell r="A7492" t="str">
            <v>IND</v>
          </cell>
          <cell r="B7492">
            <v>2001</v>
          </cell>
          <cell r="C7492" t="str">
            <v>wbsp_pop_totl</v>
          </cell>
          <cell r="D7492">
            <v>1078970907</v>
          </cell>
        </row>
        <row r="7493">
          <cell r="A7493" t="str">
            <v>IND</v>
          </cell>
          <cell r="B7493">
            <v>2002</v>
          </cell>
          <cell r="C7493" t="str">
            <v>wbsp_pop_1564_to</v>
          </cell>
          <cell r="D7493">
            <v>670914857</v>
          </cell>
        </row>
        <row r="7494">
          <cell r="A7494" t="str">
            <v>IND</v>
          </cell>
          <cell r="B7494">
            <v>2002</v>
          </cell>
          <cell r="C7494" t="str">
            <v>wbsp_pop_totl</v>
          </cell>
          <cell r="D7494">
            <v>1098313039</v>
          </cell>
        </row>
        <row r="7495">
          <cell r="A7495" t="str">
            <v>IND</v>
          </cell>
          <cell r="B7495">
            <v>2003</v>
          </cell>
          <cell r="C7495" t="str">
            <v>wbsp_pop_1564_to</v>
          </cell>
          <cell r="D7495">
            <v>686160442</v>
          </cell>
        </row>
        <row r="7496">
          <cell r="A7496" t="str">
            <v>IND</v>
          </cell>
          <cell r="B7496">
            <v>2003</v>
          </cell>
          <cell r="C7496" t="str">
            <v>wbsp_pop_totl</v>
          </cell>
          <cell r="D7496">
            <v>1117415123</v>
          </cell>
        </row>
        <row r="7497">
          <cell r="A7497" t="str">
            <v>IND</v>
          </cell>
          <cell r="B7497">
            <v>2004</v>
          </cell>
          <cell r="C7497" t="str">
            <v>wbsp_pop_1564_to</v>
          </cell>
          <cell r="D7497">
            <v>701561063</v>
          </cell>
        </row>
        <row r="7498">
          <cell r="A7498" t="str">
            <v>IND</v>
          </cell>
          <cell r="B7498">
            <v>2004</v>
          </cell>
          <cell r="C7498" t="str">
            <v>wbsp_pop_totl</v>
          </cell>
          <cell r="D7498">
            <v>1136264583</v>
          </cell>
        </row>
        <row r="7499">
          <cell r="A7499" t="str">
            <v>IND</v>
          </cell>
          <cell r="B7499">
            <v>2005</v>
          </cell>
          <cell r="C7499" t="str">
            <v>wbsp_pop_1564_to</v>
          </cell>
          <cell r="D7499">
            <v>716911600</v>
          </cell>
        </row>
        <row r="7500">
          <cell r="A7500" t="str">
            <v>IND</v>
          </cell>
          <cell r="B7500">
            <v>2005</v>
          </cell>
          <cell r="C7500" t="str">
            <v>wbsp_pop_totl</v>
          </cell>
          <cell r="D7500">
            <v>1154638713</v>
          </cell>
        </row>
        <row r="7501">
          <cell r="A7501" t="str">
            <v>IND</v>
          </cell>
          <cell r="B7501">
            <v>2006</v>
          </cell>
          <cell r="C7501" t="str">
            <v>wbsp_pop_1564_to</v>
          </cell>
          <cell r="D7501">
            <v>732180068</v>
          </cell>
        </row>
        <row r="7502">
          <cell r="A7502" t="str">
            <v>IND</v>
          </cell>
          <cell r="B7502">
            <v>2006</v>
          </cell>
          <cell r="C7502" t="str">
            <v>wbsp_pop_totl</v>
          </cell>
          <cell r="D7502">
            <v>1172373788</v>
          </cell>
        </row>
        <row r="7503">
          <cell r="A7503" t="str">
            <v>IND</v>
          </cell>
          <cell r="B7503">
            <v>2007</v>
          </cell>
          <cell r="C7503" t="str">
            <v>wbsp_pop_1564_to</v>
          </cell>
          <cell r="D7503">
            <v>747505065</v>
          </cell>
        </row>
        <row r="7504">
          <cell r="A7504" t="str">
            <v>IND</v>
          </cell>
          <cell r="B7504">
            <v>2007</v>
          </cell>
          <cell r="C7504" t="str">
            <v>wbsp_pop_totl</v>
          </cell>
          <cell r="D7504">
            <v>1189691809</v>
          </cell>
        </row>
        <row r="7505">
          <cell r="A7505" t="str">
            <v>IND</v>
          </cell>
          <cell r="B7505">
            <v>2008</v>
          </cell>
          <cell r="C7505" t="str">
            <v>wbsp_pop_1564_to</v>
          </cell>
          <cell r="D7505">
            <v>762763594</v>
          </cell>
        </row>
        <row r="7506">
          <cell r="A7506" t="str">
            <v>IND</v>
          </cell>
          <cell r="B7506">
            <v>2008</v>
          </cell>
          <cell r="C7506" t="str">
            <v>wbsp_pop_totl</v>
          </cell>
          <cell r="D7506">
            <v>1206734806</v>
          </cell>
        </row>
        <row r="7507">
          <cell r="A7507" t="str">
            <v>IND</v>
          </cell>
          <cell r="B7507">
            <v>2009</v>
          </cell>
          <cell r="C7507" t="str">
            <v>wbsp_pop_1564_to</v>
          </cell>
          <cell r="D7507">
            <v>777995638</v>
          </cell>
        </row>
        <row r="7508">
          <cell r="A7508" t="str">
            <v>IND</v>
          </cell>
          <cell r="B7508">
            <v>2009</v>
          </cell>
          <cell r="C7508" t="str">
            <v>wbsp_pop_totl</v>
          </cell>
          <cell r="D7508">
            <v>1223640160</v>
          </cell>
        </row>
        <row r="7509">
          <cell r="A7509" t="str">
            <v>IND</v>
          </cell>
          <cell r="B7509">
            <v>2010</v>
          </cell>
          <cell r="C7509" t="str">
            <v>wbsp_pop_1564_to</v>
          </cell>
          <cell r="D7509">
            <v>793438411</v>
          </cell>
        </row>
        <row r="7510">
          <cell r="A7510" t="str">
            <v>IND</v>
          </cell>
          <cell r="B7510">
            <v>2010</v>
          </cell>
          <cell r="C7510" t="str">
            <v>wbsp_pop_totl</v>
          </cell>
          <cell r="D7510">
            <v>1240613620</v>
          </cell>
        </row>
        <row r="7511">
          <cell r="A7511" t="str">
            <v>IND</v>
          </cell>
          <cell r="B7511">
            <v>2011</v>
          </cell>
          <cell r="C7511" t="str">
            <v>wbsp_pop_1564_to</v>
          </cell>
          <cell r="D7511">
            <v>809037482</v>
          </cell>
        </row>
        <row r="7512">
          <cell r="A7512" t="str">
            <v>IND</v>
          </cell>
          <cell r="B7512">
            <v>2011</v>
          </cell>
          <cell r="C7512" t="str">
            <v>wbsp_pop_totl</v>
          </cell>
          <cell r="D7512">
            <v>1257621191</v>
          </cell>
        </row>
        <row r="7513">
          <cell r="A7513" t="str">
            <v>IND</v>
          </cell>
          <cell r="B7513">
            <v>2012</v>
          </cell>
          <cell r="C7513" t="str">
            <v>wbsp_pop_1564_to</v>
          </cell>
          <cell r="D7513">
            <v>824603950</v>
          </cell>
        </row>
        <row r="7514">
          <cell r="A7514" t="str">
            <v>IND</v>
          </cell>
          <cell r="B7514">
            <v>2012</v>
          </cell>
          <cell r="C7514" t="str">
            <v>wbsp_pop_totl</v>
          </cell>
          <cell r="D7514">
            <v>1274487215</v>
          </cell>
        </row>
        <row r="7515">
          <cell r="A7515" t="str">
            <v>IND</v>
          </cell>
          <cell r="B7515">
            <v>2013</v>
          </cell>
          <cell r="C7515" t="str">
            <v>wbsp_pop_1564_to</v>
          </cell>
          <cell r="D7515">
            <v>840060464</v>
          </cell>
        </row>
        <row r="7516">
          <cell r="A7516" t="str">
            <v>IND</v>
          </cell>
          <cell r="B7516">
            <v>2013</v>
          </cell>
          <cell r="C7516" t="str">
            <v>wbsp_pop_totl</v>
          </cell>
          <cell r="D7516">
            <v>1291132063</v>
          </cell>
        </row>
        <row r="7517">
          <cell r="A7517" t="str">
            <v>IND</v>
          </cell>
          <cell r="B7517">
            <v>2014</v>
          </cell>
          <cell r="C7517" t="str">
            <v>wbsp_pop_1564_to</v>
          </cell>
          <cell r="D7517">
            <v>854999441</v>
          </cell>
        </row>
        <row r="7518">
          <cell r="A7518" t="str">
            <v>IND</v>
          </cell>
          <cell r="B7518">
            <v>2014</v>
          </cell>
          <cell r="C7518" t="str">
            <v>wbsp_pop_totl</v>
          </cell>
          <cell r="D7518">
            <v>1307246509</v>
          </cell>
        </row>
        <row r="7519">
          <cell r="A7519" t="str">
            <v>IND</v>
          </cell>
          <cell r="B7519">
            <v>2015</v>
          </cell>
          <cell r="C7519" t="str">
            <v>wbsp_pop_1564_to</v>
          </cell>
          <cell r="D7519">
            <v>869459756</v>
          </cell>
        </row>
        <row r="7520">
          <cell r="A7520" t="str">
            <v>IND</v>
          </cell>
          <cell r="B7520">
            <v>2015</v>
          </cell>
          <cell r="C7520" t="str">
            <v>wbsp_pop_totl</v>
          </cell>
          <cell r="D7520">
            <v>1322866505</v>
          </cell>
        </row>
        <row r="7521">
          <cell r="A7521" t="str">
            <v>IND</v>
          </cell>
          <cell r="B7521">
            <v>2016</v>
          </cell>
          <cell r="C7521" t="str">
            <v>wbsp_pop_1564_to</v>
          </cell>
          <cell r="D7521">
            <v>884115112</v>
          </cell>
        </row>
        <row r="7522">
          <cell r="A7522" t="str">
            <v>IND</v>
          </cell>
          <cell r="B7522">
            <v>2016</v>
          </cell>
          <cell r="C7522" t="str">
            <v>wbsp_pop_totl</v>
          </cell>
          <cell r="D7522">
            <v>1338636340</v>
          </cell>
        </row>
        <row r="7523">
          <cell r="A7523" t="str">
            <v>IND</v>
          </cell>
          <cell r="B7523">
            <v>2017</v>
          </cell>
          <cell r="C7523" t="str">
            <v>wbsp_pop_1564_to</v>
          </cell>
          <cell r="D7523">
            <v>898694113</v>
          </cell>
        </row>
        <row r="7524">
          <cell r="A7524" t="str">
            <v>IND</v>
          </cell>
          <cell r="B7524">
            <v>2017</v>
          </cell>
          <cell r="C7524" t="str">
            <v>wbsp_pop_totl</v>
          </cell>
          <cell r="D7524">
            <v>1354195680</v>
          </cell>
        </row>
        <row r="7525">
          <cell r="A7525" t="str">
            <v>IND</v>
          </cell>
          <cell r="B7525">
            <v>2018</v>
          </cell>
          <cell r="C7525" t="str">
            <v>wbsp_pop_1564_to</v>
          </cell>
          <cell r="D7525">
            <v>912553718</v>
          </cell>
        </row>
        <row r="7526">
          <cell r="A7526" t="str">
            <v>IND</v>
          </cell>
          <cell r="B7526">
            <v>2018</v>
          </cell>
          <cell r="C7526" t="str">
            <v>wbsp_pop_totl</v>
          </cell>
          <cell r="D7526">
            <v>1369003306</v>
          </cell>
        </row>
        <row r="7527">
          <cell r="A7527" t="str">
            <v>IND</v>
          </cell>
          <cell r="B7527">
            <v>2019</v>
          </cell>
          <cell r="C7527" t="str">
            <v>wbsp_pop_1564_to</v>
          </cell>
          <cell r="D7527">
            <v>925771433</v>
          </cell>
        </row>
        <row r="7528">
          <cell r="A7528" t="str">
            <v>IND</v>
          </cell>
          <cell r="B7528">
            <v>2019</v>
          </cell>
          <cell r="C7528" t="str">
            <v>wbsp_pop_totl</v>
          </cell>
          <cell r="D7528">
            <v>1383112050</v>
          </cell>
        </row>
        <row r="7529">
          <cell r="A7529" t="str">
            <v>IND</v>
          </cell>
          <cell r="B7529">
            <v>2020</v>
          </cell>
          <cell r="C7529" t="str">
            <v>wbsp_pop_1564_to</v>
          </cell>
          <cell r="D7529">
            <v>938586445</v>
          </cell>
        </row>
        <row r="7530">
          <cell r="A7530" t="str">
            <v>IND</v>
          </cell>
          <cell r="B7530">
            <v>2020</v>
          </cell>
          <cell r="C7530" t="str">
            <v>wbsp_pop_totl</v>
          </cell>
          <cell r="D7530">
            <v>1396387127</v>
          </cell>
        </row>
        <row r="7531">
          <cell r="A7531" t="str">
            <v>IND</v>
          </cell>
          <cell r="B7531">
            <v>2021</v>
          </cell>
          <cell r="C7531" t="str">
            <v>wbsp_pop_1564_to</v>
          </cell>
          <cell r="D7531">
            <v>950245567</v>
          </cell>
        </row>
        <row r="7532">
          <cell r="A7532" t="str">
            <v>IND</v>
          </cell>
          <cell r="B7532">
            <v>2021</v>
          </cell>
          <cell r="C7532" t="str">
            <v>wbsp_pop_totl</v>
          </cell>
          <cell r="D7532">
            <v>1407563842</v>
          </cell>
        </row>
        <row r="7533">
          <cell r="A7533" t="str">
            <v>IND</v>
          </cell>
          <cell r="B7533">
            <v>2022</v>
          </cell>
          <cell r="C7533" t="str">
            <v>wbsp_pop_1564_to</v>
          </cell>
          <cell r="D7533">
            <v>960804385</v>
          </cell>
        </row>
        <row r="7534">
          <cell r="A7534" t="str">
            <v>IND</v>
          </cell>
          <cell r="B7534">
            <v>2022</v>
          </cell>
          <cell r="C7534" t="str">
            <v>wbsp_pop_totl</v>
          </cell>
          <cell r="D7534">
            <v>1417173173</v>
          </cell>
        </row>
        <row r="7535">
          <cell r="A7535" t="str">
            <v>IND</v>
          </cell>
          <cell r="B7535">
            <v>2023</v>
          </cell>
          <cell r="C7535" t="str">
            <v>wbsp_pop_1564_to</v>
          </cell>
          <cell r="D7535">
            <v>971860527</v>
          </cell>
        </row>
        <row r="7536">
          <cell r="A7536" t="str">
            <v>IND</v>
          </cell>
          <cell r="B7536">
            <v>2023</v>
          </cell>
          <cell r="C7536" t="str">
            <v>wbsp_pop_totl</v>
          </cell>
          <cell r="D7536">
            <v>1428627663</v>
          </cell>
        </row>
        <row r="7537">
          <cell r="A7537" t="str">
            <v>LKA</v>
          </cell>
          <cell r="B7537">
            <v>1960</v>
          </cell>
          <cell r="C7537" t="str">
            <v>wbsp_pop_1564_to</v>
          </cell>
          <cell r="D7537">
            <v>5286442</v>
          </cell>
        </row>
        <row r="7538">
          <cell r="A7538" t="str">
            <v>LKA</v>
          </cell>
          <cell r="B7538">
            <v>1960</v>
          </cell>
          <cell r="C7538" t="str">
            <v>wbsp_pop_totl</v>
          </cell>
          <cell r="D7538">
            <v>9783871</v>
          </cell>
        </row>
        <row r="7539">
          <cell r="A7539" t="str">
            <v>LKA</v>
          </cell>
          <cell r="B7539">
            <v>1961</v>
          </cell>
          <cell r="C7539" t="str">
            <v>wbsp_pop_1564_to</v>
          </cell>
          <cell r="D7539">
            <v>5428739</v>
          </cell>
        </row>
        <row r="7540">
          <cell r="A7540" t="str">
            <v>LKA</v>
          </cell>
          <cell r="B7540">
            <v>1961</v>
          </cell>
          <cell r="C7540" t="str">
            <v>wbsp_pop_totl</v>
          </cell>
          <cell r="D7540">
            <v>10022888</v>
          </cell>
        </row>
        <row r="7541">
          <cell r="A7541" t="str">
            <v>LKA</v>
          </cell>
          <cell r="B7541">
            <v>1962</v>
          </cell>
          <cell r="C7541" t="str">
            <v>wbsp_pop_1564_to</v>
          </cell>
          <cell r="D7541">
            <v>5581943</v>
          </cell>
        </row>
        <row r="7542">
          <cell r="A7542" t="str">
            <v>LKA</v>
          </cell>
          <cell r="B7542">
            <v>1962</v>
          </cell>
          <cell r="C7542" t="str">
            <v>wbsp_pop_totl</v>
          </cell>
          <cell r="D7542">
            <v>10267067</v>
          </cell>
        </row>
        <row r="7543">
          <cell r="A7543" t="str">
            <v>LKA</v>
          </cell>
          <cell r="B7543">
            <v>1963</v>
          </cell>
          <cell r="C7543" t="str">
            <v>wbsp_pop_1564_to</v>
          </cell>
          <cell r="D7543">
            <v>5741757</v>
          </cell>
        </row>
        <row r="7544">
          <cell r="A7544" t="str">
            <v>LKA</v>
          </cell>
          <cell r="B7544">
            <v>1963</v>
          </cell>
          <cell r="C7544" t="str">
            <v>wbsp_pop_totl</v>
          </cell>
          <cell r="D7544">
            <v>10517531</v>
          </cell>
        </row>
        <row r="7545">
          <cell r="A7545" t="str">
            <v>LKA</v>
          </cell>
          <cell r="B7545">
            <v>1964</v>
          </cell>
          <cell r="C7545" t="str">
            <v>wbsp_pop_1564_to</v>
          </cell>
          <cell r="D7545">
            <v>5899954</v>
          </cell>
        </row>
        <row r="7546">
          <cell r="A7546" t="str">
            <v>LKA</v>
          </cell>
          <cell r="B7546">
            <v>1964</v>
          </cell>
          <cell r="C7546" t="str">
            <v>wbsp_pop_totl</v>
          </cell>
          <cell r="D7546">
            <v>10774086</v>
          </cell>
        </row>
        <row r="7547">
          <cell r="A7547" t="str">
            <v>LKA</v>
          </cell>
          <cell r="B7547">
            <v>1965</v>
          </cell>
          <cell r="C7547" t="str">
            <v>wbsp_pop_1564_to</v>
          </cell>
          <cell r="D7547">
            <v>6059136</v>
          </cell>
        </row>
        <row r="7548">
          <cell r="A7548" t="str">
            <v>LKA</v>
          </cell>
          <cell r="B7548">
            <v>1965</v>
          </cell>
          <cell r="C7548" t="str">
            <v>wbsp_pop_totl</v>
          </cell>
          <cell r="D7548">
            <v>11035224</v>
          </cell>
        </row>
        <row r="7549">
          <cell r="A7549" t="str">
            <v>LKA</v>
          </cell>
          <cell r="B7549">
            <v>1966</v>
          </cell>
          <cell r="C7549" t="str">
            <v>wbsp_pop_1564_to</v>
          </cell>
          <cell r="D7549">
            <v>6225151</v>
          </cell>
        </row>
        <row r="7550">
          <cell r="A7550" t="str">
            <v>LKA</v>
          </cell>
          <cell r="B7550">
            <v>1966</v>
          </cell>
          <cell r="C7550" t="str">
            <v>wbsp_pop_totl</v>
          </cell>
          <cell r="D7550">
            <v>11299721</v>
          </cell>
        </row>
        <row r="7551">
          <cell r="A7551" t="str">
            <v>LKA</v>
          </cell>
          <cell r="B7551">
            <v>1967</v>
          </cell>
          <cell r="C7551" t="str">
            <v>wbsp_pop_1564_to</v>
          </cell>
          <cell r="D7551">
            <v>6396841</v>
          </cell>
        </row>
        <row r="7552">
          <cell r="A7552" t="str">
            <v>LKA</v>
          </cell>
          <cell r="B7552">
            <v>1967</v>
          </cell>
          <cell r="C7552" t="str">
            <v>wbsp_pop_totl</v>
          </cell>
          <cell r="D7552">
            <v>11571008</v>
          </cell>
        </row>
        <row r="7553">
          <cell r="A7553" t="str">
            <v>LKA</v>
          </cell>
          <cell r="B7553">
            <v>1968</v>
          </cell>
          <cell r="C7553" t="str">
            <v>wbsp_pop_1564_to</v>
          </cell>
          <cell r="D7553">
            <v>6572786</v>
          </cell>
        </row>
        <row r="7554">
          <cell r="A7554" t="str">
            <v>LKA</v>
          </cell>
          <cell r="B7554">
            <v>1968</v>
          </cell>
          <cell r="C7554" t="str">
            <v>wbsp_pop_totl</v>
          </cell>
          <cell r="D7554">
            <v>11846815</v>
          </cell>
        </row>
        <row r="7555">
          <cell r="A7555" t="str">
            <v>LKA</v>
          </cell>
          <cell r="B7555">
            <v>1969</v>
          </cell>
          <cell r="C7555" t="str">
            <v>wbsp_pop_1564_to</v>
          </cell>
          <cell r="D7555">
            <v>6751118</v>
          </cell>
        </row>
        <row r="7556">
          <cell r="A7556" t="str">
            <v>LKA</v>
          </cell>
          <cell r="B7556">
            <v>1969</v>
          </cell>
          <cell r="C7556" t="str">
            <v>wbsp_pop_totl</v>
          </cell>
          <cell r="D7556">
            <v>12119207</v>
          </cell>
        </row>
        <row r="7557">
          <cell r="A7557" t="str">
            <v>LKA</v>
          </cell>
          <cell r="B7557">
            <v>1970</v>
          </cell>
          <cell r="C7557" t="str">
            <v>wbsp_pop_1564_to</v>
          </cell>
          <cell r="D7557">
            <v>6932241</v>
          </cell>
        </row>
        <row r="7558">
          <cell r="A7558" t="str">
            <v>LKA</v>
          </cell>
          <cell r="B7558">
            <v>1970</v>
          </cell>
          <cell r="C7558" t="str">
            <v>wbsp_pop_totl</v>
          </cell>
          <cell r="D7558">
            <v>12388769</v>
          </cell>
        </row>
        <row r="7559">
          <cell r="A7559" t="str">
            <v>LKA</v>
          </cell>
          <cell r="B7559">
            <v>1971</v>
          </cell>
          <cell r="C7559" t="str">
            <v>wbsp_pop_1564_to</v>
          </cell>
          <cell r="D7559">
            <v>7115733</v>
          </cell>
        </row>
        <row r="7560">
          <cell r="A7560" t="str">
            <v>LKA</v>
          </cell>
          <cell r="B7560">
            <v>1971</v>
          </cell>
          <cell r="C7560" t="str">
            <v>wbsp_pop_totl</v>
          </cell>
          <cell r="D7560">
            <v>12654651</v>
          </cell>
        </row>
        <row r="7561">
          <cell r="A7561" t="str">
            <v>LKA</v>
          </cell>
          <cell r="B7561">
            <v>1972</v>
          </cell>
          <cell r="C7561" t="str">
            <v>wbsp_pop_1564_to</v>
          </cell>
          <cell r="D7561">
            <v>7301843</v>
          </cell>
        </row>
        <row r="7562">
          <cell r="A7562" t="str">
            <v>LKA</v>
          </cell>
          <cell r="B7562">
            <v>1972</v>
          </cell>
          <cell r="C7562" t="str">
            <v>wbsp_pop_totl</v>
          </cell>
          <cell r="D7562">
            <v>12914457</v>
          </cell>
        </row>
        <row r="7563">
          <cell r="A7563" t="str">
            <v>LKA</v>
          </cell>
          <cell r="B7563">
            <v>1973</v>
          </cell>
          <cell r="C7563" t="str">
            <v>wbsp_pop_1564_to</v>
          </cell>
          <cell r="D7563">
            <v>7493791</v>
          </cell>
        </row>
        <row r="7564">
          <cell r="A7564" t="str">
            <v>LKA</v>
          </cell>
          <cell r="B7564">
            <v>1973</v>
          </cell>
          <cell r="C7564" t="str">
            <v>wbsp_pop_totl</v>
          </cell>
          <cell r="D7564">
            <v>13169737</v>
          </cell>
        </row>
        <row r="7565">
          <cell r="A7565" t="str">
            <v>LKA</v>
          </cell>
          <cell r="B7565">
            <v>1974</v>
          </cell>
          <cell r="C7565" t="str">
            <v>wbsp_pop_1564_to</v>
          </cell>
          <cell r="D7565">
            <v>7690309</v>
          </cell>
        </row>
        <row r="7566">
          <cell r="A7566" t="str">
            <v>LKA</v>
          </cell>
          <cell r="B7566">
            <v>1974</v>
          </cell>
          <cell r="C7566" t="str">
            <v>wbsp_pop_totl</v>
          </cell>
          <cell r="D7566">
            <v>13418276</v>
          </cell>
        </row>
        <row r="7567">
          <cell r="A7567" t="str">
            <v>LKA</v>
          </cell>
          <cell r="B7567">
            <v>1975</v>
          </cell>
          <cell r="C7567" t="str">
            <v>wbsp_pop_1564_to</v>
          </cell>
          <cell r="D7567">
            <v>7886664</v>
          </cell>
        </row>
        <row r="7568">
          <cell r="A7568" t="str">
            <v>LKA</v>
          </cell>
          <cell r="B7568">
            <v>1975</v>
          </cell>
          <cell r="C7568" t="str">
            <v>wbsp_pop_totl</v>
          </cell>
          <cell r="D7568">
            <v>13662873</v>
          </cell>
        </row>
        <row r="7569">
          <cell r="A7569" t="str">
            <v>LKA</v>
          </cell>
          <cell r="B7569">
            <v>1976</v>
          </cell>
          <cell r="C7569" t="str">
            <v>wbsp_pop_1564_to</v>
          </cell>
          <cell r="D7569">
            <v>8079265</v>
          </cell>
        </row>
        <row r="7570">
          <cell r="A7570" t="str">
            <v>LKA</v>
          </cell>
          <cell r="B7570">
            <v>1976</v>
          </cell>
          <cell r="C7570" t="str">
            <v>wbsp_pop_totl</v>
          </cell>
          <cell r="D7570">
            <v>13910170</v>
          </cell>
        </row>
        <row r="7571">
          <cell r="A7571" t="str">
            <v>LKA</v>
          </cell>
          <cell r="B7571">
            <v>1977</v>
          </cell>
          <cell r="C7571" t="str">
            <v>wbsp_pop_1564_to</v>
          </cell>
          <cell r="D7571">
            <v>8267608</v>
          </cell>
        </row>
        <row r="7572">
          <cell r="A7572" t="str">
            <v>LKA</v>
          </cell>
          <cell r="B7572">
            <v>1977</v>
          </cell>
          <cell r="C7572" t="str">
            <v>wbsp_pop_totl</v>
          </cell>
          <cell r="D7572">
            <v>14159052</v>
          </cell>
        </row>
        <row r="7573">
          <cell r="A7573" t="str">
            <v>LKA</v>
          </cell>
          <cell r="B7573">
            <v>1978</v>
          </cell>
          <cell r="C7573" t="str">
            <v>wbsp_pop_1564_to</v>
          </cell>
          <cell r="D7573">
            <v>8454809</v>
          </cell>
        </row>
        <row r="7574">
          <cell r="A7574" t="str">
            <v>LKA</v>
          </cell>
          <cell r="B7574">
            <v>1978</v>
          </cell>
          <cell r="C7574" t="str">
            <v>wbsp_pop_totl</v>
          </cell>
          <cell r="D7574">
            <v>14414816</v>
          </cell>
        </row>
        <row r="7575">
          <cell r="A7575" t="str">
            <v>LKA</v>
          </cell>
          <cell r="B7575">
            <v>1979</v>
          </cell>
          <cell r="C7575" t="str">
            <v>wbsp_pop_1564_to</v>
          </cell>
          <cell r="D7575">
            <v>8640996</v>
          </cell>
        </row>
        <row r="7576">
          <cell r="A7576" t="str">
            <v>LKA</v>
          </cell>
          <cell r="B7576">
            <v>1979</v>
          </cell>
          <cell r="C7576" t="str">
            <v>wbsp_pop_totl</v>
          </cell>
          <cell r="D7576">
            <v>14680387</v>
          </cell>
        </row>
        <row r="7577">
          <cell r="A7577" t="str">
            <v>LKA</v>
          </cell>
          <cell r="B7577">
            <v>1980</v>
          </cell>
          <cell r="C7577" t="str">
            <v>wbsp_pop_1564_to</v>
          </cell>
          <cell r="D7577">
            <v>8821964</v>
          </cell>
        </row>
        <row r="7578">
          <cell r="A7578" t="str">
            <v>LKA</v>
          </cell>
          <cell r="B7578">
            <v>1980</v>
          </cell>
          <cell r="C7578" t="str">
            <v>wbsp_pop_totl</v>
          </cell>
          <cell r="D7578">
            <v>14943645</v>
          </cell>
        </row>
        <row r="7579">
          <cell r="A7579" t="str">
            <v>LKA</v>
          </cell>
          <cell r="B7579">
            <v>1981</v>
          </cell>
          <cell r="C7579" t="str">
            <v>wbsp_pop_1564_to</v>
          </cell>
          <cell r="D7579">
            <v>8996169</v>
          </cell>
        </row>
        <row r="7580">
          <cell r="A7580" t="str">
            <v>LKA</v>
          </cell>
          <cell r="B7580">
            <v>1981</v>
          </cell>
          <cell r="C7580" t="str">
            <v>wbsp_pop_totl</v>
          </cell>
          <cell r="D7580">
            <v>15198918</v>
          </cell>
        </row>
        <row r="7581">
          <cell r="A7581" t="str">
            <v>LKA</v>
          </cell>
          <cell r="B7581">
            <v>1982</v>
          </cell>
          <cell r="C7581" t="str">
            <v>wbsp_pop_1564_to</v>
          </cell>
          <cell r="D7581">
            <v>9168865</v>
          </cell>
        </row>
        <row r="7582">
          <cell r="A7582" t="str">
            <v>LKA</v>
          </cell>
          <cell r="B7582">
            <v>1982</v>
          </cell>
          <cell r="C7582" t="str">
            <v>wbsp_pop_totl</v>
          </cell>
          <cell r="D7582">
            <v>15438753</v>
          </cell>
        </row>
        <row r="7583">
          <cell r="A7583" t="str">
            <v>LKA</v>
          </cell>
          <cell r="B7583">
            <v>1983</v>
          </cell>
          <cell r="C7583" t="str">
            <v>wbsp_pop_1564_to</v>
          </cell>
          <cell r="D7583">
            <v>9341973</v>
          </cell>
        </row>
        <row r="7584">
          <cell r="A7584" t="str">
            <v>LKA</v>
          </cell>
          <cell r="B7584">
            <v>1983</v>
          </cell>
          <cell r="C7584" t="str">
            <v>wbsp_pop_totl</v>
          </cell>
          <cell r="D7584">
            <v>15658442</v>
          </cell>
        </row>
        <row r="7585">
          <cell r="A7585" t="str">
            <v>LKA</v>
          </cell>
          <cell r="B7585">
            <v>1984</v>
          </cell>
          <cell r="C7585" t="str">
            <v>wbsp_pop_1564_to</v>
          </cell>
          <cell r="D7585">
            <v>9515672</v>
          </cell>
        </row>
        <row r="7586">
          <cell r="A7586" t="str">
            <v>LKA</v>
          </cell>
          <cell r="B7586">
            <v>1984</v>
          </cell>
          <cell r="C7586" t="str">
            <v>wbsp_pop_totl</v>
          </cell>
          <cell r="D7586">
            <v>15872577</v>
          </cell>
        </row>
        <row r="7587">
          <cell r="A7587" t="str">
            <v>LKA</v>
          </cell>
          <cell r="B7587">
            <v>1985</v>
          </cell>
          <cell r="C7587" t="str">
            <v>wbsp_pop_1564_to</v>
          </cell>
          <cell r="D7587">
            <v>9695756</v>
          </cell>
        </row>
        <row r="7588">
          <cell r="A7588" t="str">
            <v>LKA</v>
          </cell>
          <cell r="B7588">
            <v>1985</v>
          </cell>
          <cell r="C7588" t="str">
            <v>wbsp_pop_totl</v>
          </cell>
          <cell r="D7588">
            <v>16092338</v>
          </cell>
        </row>
        <row r="7589">
          <cell r="A7589" t="str">
            <v>LKA</v>
          </cell>
          <cell r="B7589">
            <v>1986</v>
          </cell>
          <cell r="C7589" t="str">
            <v>wbsp_pop_1564_to</v>
          </cell>
          <cell r="D7589">
            <v>9884135</v>
          </cell>
        </row>
        <row r="7590">
          <cell r="A7590" t="str">
            <v>LKA</v>
          </cell>
          <cell r="B7590">
            <v>1986</v>
          </cell>
          <cell r="C7590" t="str">
            <v>wbsp_pop_totl</v>
          </cell>
          <cell r="D7590">
            <v>16317995</v>
          </cell>
        </row>
        <row r="7591">
          <cell r="A7591" t="str">
            <v>LKA</v>
          </cell>
          <cell r="B7591">
            <v>1987</v>
          </cell>
          <cell r="C7591" t="str">
            <v>wbsp_pop_1564_to</v>
          </cell>
          <cell r="D7591">
            <v>10080072</v>
          </cell>
        </row>
        <row r="7592">
          <cell r="A7592" t="str">
            <v>LKA</v>
          </cell>
          <cell r="B7592">
            <v>1987</v>
          </cell>
          <cell r="C7592" t="str">
            <v>wbsp_pop_totl</v>
          </cell>
          <cell r="D7592">
            <v>16547139</v>
          </cell>
        </row>
        <row r="7593">
          <cell r="A7593" t="str">
            <v>LKA</v>
          </cell>
          <cell r="B7593">
            <v>1988</v>
          </cell>
          <cell r="C7593" t="str">
            <v>wbsp_pop_1564_to</v>
          </cell>
          <cell r="D7593">
            <v>10279252</v>
          </cell>
        </row>
        <row r="7594">
          <cell r="A7594" t="str">
            <v>LKA</v>
          </cell>
          <cell r="B7594">
            <v>1988</v>
          </cell>
          <cell r="C7594" t="str">
            <v>wbsp_pop_totl</v>
          </cell>
          <cell r="D7594">
            <v>16773736</v>
          </cell>
        </row>
        <row r="7595">
          <cell r="A7595" t="str">
            <v>LKA</v>
          </cell>
          <cell r="B7595">
            <v>1989</v>
          </cell>
          <cell r="C7595" t="str">
            <v>wbsp_pop_1564_to</v>
          </cell>
          <cell r="D7595">
            <v>10469410</v>
          </cell>
        </row>
        <row r="7596">
          <cell r="A7596" t="str">
            <v>LKA</v>
          </cell>
          <cell r="B7596">
            <v>1989</v>
          </cell>
          <cell r="C7596" t="str">
            <v>wbsp_pop_totl</v>
          </cell>
          <cell r="D7596">
            <v>16990575</v>
          </cell>
        </row>
        <row r="7597">
          <cell r="A7597" t="str">
            <v>LKA</v>
          </cell>
          <cell r="B7597">
            <v>1990</v>
          </cell>
          <cell r="C7597" t="str">
            <v>wbsp_pop_1564_to</v>
          </cell>
          <cell r="D7597">
            <v>10655259</v>
          </cell>
        </row>
        <row r="7598">
          <cell r="A7598" t="str">
            <v>LKA</v>
          </cell>
          <cell r="B7598">
            <v>1990</v>
          </cell>
          <cell r="C7598" t="str">
            <v>wbsp_pop_totl</v>
          </cell>
          <cell r="D7598">
            <v>17204094</v>
          </cell>
        </row>
        <row r="7599">
          <cell r="A7599" t="str">
            <v>LKA</v>
          </cell>
          <cell r="B7599">
            <v>1991</v>
          </cell>
          <cell r="C7599" t="str">
            <v>wbsp_pop_1564_to</v>
          </cell>
          <cell r="D7599">
            <v>10844922</v>
          </cell>
        </row>
        <row r="7600">
          <cell r="A7600" t="str">
            <v>LKA</v>
          </cell>
          <cell r="B7600">
            <v>1991</v>
          </cell>
          <cell r="C7600" t="str">
            <v>wbsp_pop_totl</v>
          </cell>
          <cell r="D7600">
            <v>17416596</v>
          </cell>
        </row>
        <row r="7601">
          <cell r="A7601" t="str">
            <v>LKA</v>
          </cell>
          <cell r="B7601">
            <v>1992</v>
          </cell>
          <cell r="C7601" t="str">
            <v>wbsp_pop_1564_to</v>
          </cell>
          <cell r="D7601">
            <v>11035359</v>
          </cell>
        </row>
        <row r="7602">
          <cell r="A7602" t="str">
            <v>LKA</v>
          </cell>
          <cell r="B7602">
            <v>1992</v>
          </cell>
          <cell r="C7602" t="str">
            <v>wbsp_pop_totl</v>
          </cell>
          <cell r="D7602">
            <v>17624457</v>
          </cell>
        </row>
        <row r="7603">
          <cell r="A7603" t="str">
            <v>LKA</v>
          </cell>
          <cell r="B7603">
            <v>1993</v>
          </cell>
          <cell r="C7603" t="str">
            <v>wbsp_pop_1564_to</v>
          </cell>
          <cell r="D7603">
            <v>11232650</v>
          </cell>
        </row>
        <row r="7604">
          <cell r="A7604" t="str">
            <v>LKA</v>
          </cell>
          <cell r="B7604">
            <v>1993</v>
          </cell>
          <cell r="C7604" t="str">
            <v>wbsp_pop_totl</v>
          </cell>
          <cell r="D7604">
            <v>17825611</v>
          </cell>
        </row>
        <row r="7605">
          <cell r="A7605" t="str">
            <v>LKA</v>
          </cell>
          <cell r="B7605">
            <v>1994</v>
          </cell>
          <cell r="C7605" t="str">
            <v>wbsp_pop_1564_to</v>
          </cell>
          <cell r="D7605">
            <v>11437518</v>
          </cell>
        </row>
        <row r="7606">
          <cell r="A7606" t="str">
            <v>LKA</v>
          </cell>
          <cell r="B7606">
            <v>1994</v>
          </cell>
          <cell r="C7606" t="str">
            <v>wbsp_pop_totl</v>
          </cell>
          <cell r="D7606">
            <v>18011744</v>
          </cell>
        </row>
        <row r="7607">
          <cell r="A7607" t="str">
            <v>LKA</v>
          </cell>
          <cell r="B7607">
            <v>1995</v>
          </cell>
          <cell r="C7607" t="str">
            <v>wbsp_pop_1564_to</v>
          </cell>
          <cell r="D7607">
            <v>11636714</v>
          </cell>
        </row>
        <row r="7608">
          <cell r="A7608" t="str">
            <v>LKA</v>
          </cell>
          <cell r="B7608">
            <v>1995</v>
          </cell>
          <cell r="C7608" t="str">
            <v>wbsp_pop_totl</v>
          </cell>
          <cell r="D7608">
            <v>18177572</v>
          </cell>
        </row>
        <row r="7609">
          <cell r="A7609" t="str">
            <v>LKA</v>
          </cell>
          <cell r="B7609">
            <v>1996</v>
          </cell>
          <cell r="C7609" t="str">
            <v>wbsp_pop_1564_to</v>
          </cell>
          <cell r="D7609">
            <v>11824740</v>
          </cell>
        </row>
        <row r="7610">
          <cell r="A7610" t="str">
            <v>LKA</v>
          </cell>
          <cell r="B7610">
            <v>1996</v>
          </cell>
          <cell r="C7610" t="str">
            <v>wbsp_pop_totl</v>
          </cell>
          <cell r="D7610">
            <v>18322506</v>
          </cell>
        </row>
        <row r="7611">
          <cell r="A7611" t="str">
            <v>LKA</v>
          </cell>
          <cell r="B7611">
            <v>1997</v>
          </cell>
          <cell r="C7611" t="str">
            <v>wbsp_pop_1564_to</v>
          </cell>
          <cell r="D7611">
            <v>11995504</v>
          </cell>
        </row>
        <row r="7612">
          <cell r="A7612" t="str">
            <v>LKA</v>
          </cell>
          <cell r="B7612">
            <v>1997</v>
          </cell>
          <cell r="C7612" t="str">
            <v>wbsp_pop_totl</v>
          </cell>
          <cell r="D7612">
            <v>18449123</v>
          </cell>
        </row>
        <row r="7613">
          <cell r="A7613" t="str">
            <v>LKA</v>
          </cell>
          <cell r="B7613">
            <v>1998</v>
          </cell>
          <cell r="C7613" t="str">
            <v>wbsp_pop_1564_to</v>
          </cell>
          <cell r="D7613">
            <v>12143310</v>
          </cell>
        </row>
        <row r="7614">
          <cell r="A7614" t="str">
            <v>LKA</v>
          </cell>
          <cell r="B7614">
            <v>1998</v>
          </cell>
          <cell r="C7614" t="str">
            <v>wbsp_pop_totl</v>
          </cell>
          <cell r="D7614">
            <v>18560798</v>
          </cell>
        </row>
        <row r="7615">
          <cell r="A7615" t="str">
            <v>LKA</v>
          </cell>
          <cell r="B7615">
            <v>1999</v>
          </cell>
          <cell r="C7615" t="str">
            <v>wbsp_pop_1564_to</v>
          </cell>
          <cell r="D7615">
            <v>12279098</v>
          </cell>
        </row>
        <row r="7616">
          <cell r="A7616" t="str">
            <v>LKA</v>
          </cell>
          <cell r="B7616">
            <v>1999</v>
          </cell>
          <cell r="C7616" t="str">
            <v>wbsp_pop_totl</v>
          </cell>
          <cell r="D7616">
            <v>18670411</v>
          </cell>
        </row>
        <row r="7617">
          <cell r="A7617" t="str">
            <v>LKA</v>
          </cell>
          <cell r="B7617">
            <v>2000</v>
          </cell>
          <cell r="C7617" t="str">
            <v>wbsp_pop_1564_to</v>
          </cell>
          <cell r="D7617">
            <v>12404117</v>
          </cell>
        </row>
        <row r="7618">
          <cell r="A7618" t="str">
            <v>LKA</v>
          </cell>
          <cell r="B7618">
            <v>2000</v>
          </cell>
          <cell r="C7618" t="str">
            <v>wbsp_pop_totl</v>
          </cell>
          <cell r="D7618">
            <v>18776371</v>
          </cell>
        </row>
        <row r="7619">
          <cell r="A7619" t="str">
            <v>LKA</v>
          </cell>
          <cell r="B7619">
            <v>2001</v>
          </cell>
          <cell r="C7619" t="str">
            <v>wbsp_pop_1564_to</v>
          </cell>
          <cell r="D7619">
            <v>12548060</v>
          </cell>
        </row>
        <row r="7620">
          <cell r="A7620" t="str">
            <v>LKA</v>
          </cell>
          <cell r="B7620">
            <v>2001</v>
          </cell>
          <cell r="C7620" t="str">
            <v>wbsp_pop_totl</v>
          </cell>
          <cell r="D7620">
            <v>18920275</v>
          </cell>
        </row>
        <row r="7621">
          <cell r="A7621" t="str">
            <v>LKA</v>
          </cell>
          <cell r="B7621">
            <v>2002</v>
          </cell>
          <cell r="C7621" t="str">
            <v>wbsp_pop_1564_to</v>
          </cell>
          <cell r="D7621">
            <v>12713085</v>
          </cell>
        </row>
        <row r="7622">
          <cell r="A7622" t="str">
            <v>LKA</v>
          </cell>
          <cell r="B7622">
            <v>2002</v>
          </cell>
          <cell r="C7622" t="str">
            <v>wbsp_pop_totl</v>
          </cell>
          <cell r="D7622">
            <v>19110707</v>
          </cell>
        </row>
        <row r="7623">
          <cell r="A7623" t="str">
            <v>LKA</v>
          </cell>
          <cell r="B7623">
            <v>2003</v>
          </cell>
          <cell r="C7623" t="str">
            <v>wbsp_pop_1564_to</v>
          </cell>
          <cell r="D7623">
            <v>12868311</v>
          </cell>
        </row>
        <row r="7624">
          <cell r="A7624" t="str">
            <v>LKA</v>
          </cell>
          <cell r="B7624">
            <v>2003</v>
          </cell>
          <cell r="C7624" t="str">
            <v>wbsp_pop_totl</v>
          </cell>
          <cell r="D7624">
            <v>19303180</v>
          </cell>
        </row>
        <row r="7625">
          <cell r="A7625" t="str">
            <v>LKA</v>
          </cell>
          <cell r="B7625">
            <v>2004</v>
          </cell>
          <cell r="C7625" t="str">
            <v>wbsp_pop_1564_to</v>
          </cell>
          <cell r="D7625">
            <v>13015289</v>
          </cell>
        </row>
        <row r="7626">
          <cell r="A7626" t="str">
            <v>LKA</v>
          </cell>
          <cell r="B7626">
            <v>2004</v>
          </cell>
          <cell r="C7626" t="str">
            <v>wbsp_pop_totl</v>
          </cell>
          <cell r="D7626">
            <v>19490431</v>
          </cell>
        </row>
        <row r="7627">
          <cell r="A7627" t="str">
            <v>LKA</v>
          </cell>
          <cell r="B7627">
            <v>2005</v>
          </cell>
          <cell r="C7627" t="str">
            <v>wbsp_pop_1564_to</v>
          </cell>
          <cell r="D7627">
            <v>13155533</v>
          </cell>
        </row>
        <row r="7628">
          <cell r="A7628" t="str">
            <v>LKA</v>
          </cell>
          <cell r="B7628">
            <v>2005</v>
          </cell>
          <cell r="C7628" t="str">
            <v>wbsp_pop_totl</v>
          </cell>
          <cell r="D7628">
            <v>19673866</v>
          </cell>
        </row>
        <row r="7629">
          <cell r="A7629" t="str">
            <v>LKA</v>
          </cell>
          <cell r="B7629">
            <v>2006</v>
          </cell>
          <cell r="C7629" t="str">
            <v>wbsp_pop_1564_to</v>
          </cell>
          <cell r="D7629">
            <v>13299704</v>
          </cell>
        </row>
        <row r="7630">
          <cell r="A7630" t="str">
            <v>LKA</v>
          </cell>
          <cell r="B7630">
            <v>2006</v>
          </cell>
          <cell r="C7630" t="str">
            <v>wbsp_pop_totl</v>
          </cell>
          <cell r="D7630">
            <v>19870706</v>
          </cell>
        </row>
        <row r="7631">
          <cell r="A7631" t="str">
            <v>LKA</v>
          </cell>
          <cell r="B7631">
            <v>2007</v>
          </cell>
          <cell r="C7631" t="str">
            <v>wbsp_pop_1564_to</v>
          </cell>
          <cell r="D7631">
            <v>13442994</v>
          </cell>
        </row>
        <row r="7632">
          <cell r="A7632" t="str">
            <v>LKA</v>
          </cell>
          <cell r="B7632">
            <v>2007</v>
          </cell>
          <cell r="C7632" t="str">
            <v>wbsp_pop_totl</v>
          </cell>
          <cell r="D7632">
            <v>20078655</v>
          </cell>
        </row>
        <row r="7633">
          <cell r="A7633" t="str">
            <v>LKA</v>
          </cell>
          <cell r="B7633">
            <v>2008</v>
          </cell>
          <cell r="C7633" t="str">
            <v>wbsp_pop_1564_to</v>
          </cell>
          <cell r="D7633">
            <v>13577592</v>
          </cell>
        </row>
        <row r="7634">
          <cell r="A7634" t="str">
            <v>LKA</v>
          </cell>
          <cell r="B7634">
            <v>2008</v>
          </cell>
          <cell r="C7634" t="str">
            <v>wbsp_pop_totl</v>
          </cell>
          <cell r="D7634">
            <v>20285643</v>
          </cell>
        </row>
        <row r="7635">
          <cell r="A7635" t="str">
            <v>LKA</v>
          </cell>
          <cell r="B7635">
            <v>2009</v>
          </cell>
          <cell r="C7635" t="str">
            <v>wbsp_pop_1564_to</v>
          </cell>
          <cell r="D7635">
            <v>13700003</v>
          </cell>
        </row>
        <row r="7636">
          <cell r="A7636" t="str">
            <v>LKA</v>
          </cell>
          <cell r="B7636">
            <v>2009</v>
          </cell>
          <cell r="C7636" t="str">
            <v>wbsp_pop_totl</v>
          </cell>
          <cell r="D7636">
            <v>20482477</v>
          </cell>
        </row>
        <row r="7637">
          <cell r="A7637" t="str">
            <v>LKA</v>
          </cell>
          <cell r="B7637">
            <v>2010</v>
          </cell>
          <cell r="C7637" t="str">
            <v>wbsp_pop_1564_to</v>
          </cell>
          <cell r="D7637">
            <v>13814694</v>
          </cell>
        </row>
        <row r="7638">
          <cell r="A7638" t="str">
            <v>LKA</v>
          </cell>
          <cell r="B7638">
            <v>2010</v>
          </cell>
          <cell r="C7638" t="str">
            <v>wbsp_pop_totl</v>
          </cell>
          <cell r="D7638">
            <v>20668557</v>
          </cell>
        </row>
        <row r="7639">
          <cell r="A7639" t="str">
            <v>LKA</v>
          </cell>
          <cell r="B7639">
            <v>2011</v>
          </cell>
          <cell r="C7639" t="str">
            <v>wbsp_pop_1564_to</v>
          </cell>
          <cell r="D7639">
            <v>13932867</v>
          </cell>
        </row>
        <row r="7640">
          <cell r="A7640" t="str">
            <v>LKA</v>
          </cell>
          <cell r="B7640">
            <v>2011</v>
          </cell>
          <cell r="C7640" t="str">
            <v>wbsp_pop_totl</v>
          </cell>
          <cell r="D7640">
            <v>20859743</v>
          </cell>
        </row>
        <row r="7641">
          <cell r="A7641" t="str">
            <v>LKA</v>
          </cell>
          <cell r="B7641">
            <v>2012</v>
          </cell>
          <cell r="C7641" t="str">
            <v>wbsp_pop_1564_to</v>
          </cell>
          <cell r="D7641">
            <v>14009180</v>
          </cell>
        </row>
        <row r="7642">
          <cell r="A7642" t="str">
            <v>LKA</v>
          </cell>
          <cell r="B7642">
            <v>2012</v>
          </cell>
          <cell r="C7642" t="str">
            <v>wbsp_pop_totl</v>
          </cell>
          <cell r="D7642">
            <v>21017147</v>
          </cell>
        </row>
        <row r="7643">
          <cell r="A7643" t="str">
            <v>LKA</v>
          </cell>
          <cell r="B7643">
            <v>2013</v>
          </cell>
          <cell r="C7643" t="str">
            <v>wbsp_pop_1564_to</v>
          </cell>
          <cell r="D7643">
            <v>14039031</v>
          </cell>
        </row>
        <row r="7644">
          <cell r="A7644" t="str">
            <v>LKA</v>
          </cell>
          <cell r="B7644">
            <v>2013</v>
          </cell>
          <cell r="C7644" t="str">
            <v>wbsp_pop_totl</v>
          </cell>
          <cell r="D7644">
            <v>21131756</v>
          </cell>
        </row>
        <row r="7645">
          <cell r="A7645" t="str">
            <v>LKA</v>
          </cell>
          <cell r="B7645">
            <v>2014</v>
          </cell>
          <cell r="C7645" t="str">
            <v>wbsp_pop_1564_to</v>
          </cell>
          <cell r="D7645">
            <v>14063554</v>
          </cell>
        </row>
        <row r="7646">
          <cell r="A7646" t="str">
            <v>LKA</v>
          </cell>
          <cell r="B7646">
            <v>2014</v>
          </cell>
          <cell r="C7646" t="str">
            <v>wbsp_pop_totl</v>
          </cell>
          <cell r="D7646">
            <v>21239457</v>
          </cell>
        </row>
        <row r="7647">
          <cell r="A7647" t="str">
            <v>LKA</v>
          </cell>
          <cell r="B7647">
            <v>2015</v>
          </cell>
          <cell r="C7647" t="str">
            <v>wbsp_pop_1564_to</v>
          </cell>
          <cell r="D7647">
            <v>14087748</v>
          </cell>
        </row>
        <row r="7648">
          <cell r="A7648" t="str">
            <v>LKA</v>
          </cell>
          <cell r="B7648">
            <v>2015</v>
          </cell>
          <cell r="C7648" t="str">
            <v>wbsp_pop_totl</v>
          </cell>
          <cell r="D7648">
            <v>21336697</v>
          </cell>
        </row>
        <row r="7649">
          <cell r="A7649" t="str">
            <v>LKA</v>
          </cell>
          <cell r="B7649">
            <v>2016</v>
          </cell>
          <cell r="C7649" t="str">
            <v>wbsp_pop_1564_to</v>
          </cell>
          <cell r="D7649">
            <v>14117896</v>
          </cell>
        </row>
        <row r="7650">
          <cell r="A7650" t="str">
            <v>LKA</v>
          </cell>
          <cell r="B7650">
            <v>2016</v>
          </cell>
          <cell r="C7650" t="str">
            <v>wbsp_pop_totl</v>
          </cell>
          <cell r="D7650">
            <v>21425494</v>
          </cell>
        </row>
        <row r="7651">
          <cell r="A7651" t="str">
            <v>LKA</v>
          </cell>
          <cell r="B7651">
            <v>2017</v>
          </cell>
          <cell r="C7651" t="str">
            <v>wbsp_pop_1564_to</v>
          </cell>
          <cell r="D7651">
            <v>14148610</v>
          </cell>
        </row>
        <row r="7652">
          <cell r="A7652" t="str">
            <v>LKA</v>
          </cell>
          <cell r="B7652">
            <v>2017</v>
          </cell>
          <cell r="C7652" t="str">
            <v>wbsp_pop_totl</v>
          </cell>
          <cell r="D7652">
            <v>21506813</v>
          </cell>
        </row>
        <row r="7653">
          <cell r="A7653" t="str">
            <v>LKA</v>
          </cell>
          <cell r="B7653">
            <v>2018</v>
          </cell>
          <cell r="C7653" t="str">
            <v>wbsp_pop_1564_to</v>
          </cell>
          <cell r="D7653">
            <v>14234737</v>
          </cell>
        </row>
        <row r="7654">
          <cell r="A7654" t="str">
            <v>LKA</v>
          </cell>
          <cell r="B7654">
            <v>2018</v>
          </cell>
          <cell r="C7654" t="str">
            <v>wbsp_pop_totl</v>
          </cell>
          <cell r="D7654">
            <v>21670000</v>
          </cell>
        </row>
        <row r="7655">
          <cell r="A7655" t="str">
            <v>LKA</v>
          </cell>
          <cell r="B7655">
            <v>2019</v>
          </cell>
          <cell r="C7655" t="str">
            <v>wbsp_pop_1564_to</v>
          </cell>
          <cell r="D7655">
            <v>14307585</v>
          </cell>
        </row>
        <row r="7656">
          <cell r="A7656" t="str">
            <v>LKA</v>
          </cell>
          <cell r="B7656">
            <v>2019</v>
          </cell>
          <cell r="C7656" t="str">
            <v>wbsp_pop_totl</v>
          </cell>
          <cell r="D7656">
            <v>21803000</v>
          </cell>
        </row>
        <row r="7657">
          <cell r="A7657" t="str">
            <v>LKA</v>
          </cell>
          <cell r="B7657">
            <v>2020</v>
          </cell>
          <cell r="C7657" t="str">
            <v>wbsp_pop_1564_to</v>
          </cell>
          <cell r="D7657">
            <v>14381014</v>
          </cell>
        </row>
        <row r="7658">
          <cell r="A7658" t="str">
            <v>LKA</v>
          </cell>
          <cell r="B7658">
            <v>2020</v>
          </cell>
          <cell r="C7658" t="str">
            <v>wbsp_pop_totl</v>
          </cell>
          <cell r="D7658">
            <v>21919000</v>
          </cell>
        </row>
        <row r="7659">
          <cell r="A7659" t="str">
            <v>LKA</v>
          </cell>
          <cell r="B7659">
            <v>2021</v>
          </cell>
          <cell r="C7659" t="str">
            <v>wbsp_pop_1564_to</v>
          </cell>
          <cell r="D7659">
            <v>14540694</v>
          </cell>
        </row>
        <row r="7660">
          <cell r="A7660" t="str">
            <v>LKA</v>
          </cell>
          <cell r="B7660">
            <v>2021</v>
          </cell>
          <cell r="C7660" t="str">
            <v>wbsp_pop_totl</v>
          </cell>
          <cell r="D7660">
            <v>22156000</v>
          </cell>
        </row>
        <row r="7661">
          <cell r="A7661" t="str">
            <v>LKA</v>
          </cell>
          <cell r="B7661">
            <v>2022</v>
          </cell>
          <cell r="C7661" t="str">
            <v>wbsp_pop_1564_to</v>
          </cell>
          <cell r="D7661">
            <v>14560801</v>
          </cell>
        </row>
        <row r="7662">
          <cell r="A7662" t="str">
            <v>LKA</v>
          </cell>
          <cell r="B7662">
            <v>2022</v>
          </cell>
          <cell r="C7662" t="str">
            <v>wbsp_pop_totl</v>
          </cell>
          <cell r="D7662">
            <v>22181000</v>
          </cell>
        </row>
        <row r="7663">
          <cell r="A7663" t="str">
            <v>LKA</v>
          </cell>
          <cell r="B7663">
            <v>2023</v>
          </cell>
          <cell r="C7663" t="str">
            <v>wbsp_pop_1564_to</v>
          </cell>
          <cell r="D7663">
            <v>14471414</v>
          </cell>
        </row>
        <row r="7664">
          <cell r="A7664" t="str">
            <v>LKA</v>
          </cell>
          <cell r="B7664">
            <v>2023</v>
          </cell>
          <cell r="C7664" t="str">
            <v>wbsp_pop_totl</v>
          </cell>
          <cell r="D7664">
            <v>22037000</v>
          </cell>
        </row>
        <row r="7665">
          <cell r="A7665" t="str">
            <v>MDV</v>
          </cell>
          <cell r="B7665">
            <v>1960</v>
          </cell>
          <cell r="C7665" t="str">
            <v>wbsp_pop_1564_to</v>
          </cell>
          <cell r="D7665">
            <v>53688</v>
          </cell>
        </row>
        <row r="7666">
          <cell r="A7666" t="str">
            <v>MDV</v>
          </cell>
          <cell r="B7666">
            <v>1960</v>
          </cell>
          <cell r="C7666" t="str">
            <v>wbsp_pop_totl</v>
          </cell>
          <cell r="D7666">
            <v>91650</v>
          </cell>
        </row>
        <row r="7667">
          <cell r="A7667" t="str">
            <v>MDV</v>
          </cell>
          <cell r="B7667">
            <v>1961</v>
          </cell>
          <cell r="C7667" t="str">
            <v>wbsp_pop_1564_to</v>
          </cell>
          <cell r="D7667">
            <v>54761</v>
          </cell>
        </row>
        <row r="7668">
          <cell r="A7668" t="str">
            <v>MDV</v>
          </cell>
          <cell r="B7668">
            <v>1961</v>
          </cell>
          <cell r="C7668" t="str">
            <v>wbsp_pop_totl</v>
          </cell>
          <cell r="D7668">
            <v>93952</v>
          </cell>
        </row>
        <row r="7669">
          <cell r="A7669" t="str">
            <v>MDV</v>
          </cell>
          <cell r="B7669">
            <v>1962</v>
          </cell>
          <cell r="C7669" t="str">
            <v>wbsp_pop_1564_to</v>
          </cell>
          <cell r="D7669">
            <v>55717</v>
          </cell>
        </row>
        <row r="7670">
          <cell r="A7670" t="str">
            <v>MDV</v>
          </cell>
          <cell r="B7670">
            <v>1962</v>
          </cell>
          <cell r="C7670" t="str">
            <v>wbsp_pop_totl</v>
          </cell>
          <cell r="D7670">
            <v>96332</v>
          </cell>
        </row>
        <row r="7671">
          <cell r="A7671" t="str">
            <v>MDV</v>
          </cell>
          <cell r="B7671">
            <v>1963</v>
          </cell>
          <cell r="C7671" t="str">
            <v>wbsp_pop_1564_to</v>
          </cell>
          <cell r="D7671">
            <v>56528</v>
          </cell>
        </row>
        <row r="7672">
          <cell r="A7672" t="str">
            <v>MDV</v>
          </cell>
          <cell r="B7672">
            <v>1963</v>
          </cell>
          <cell r="C7672" t="str">
            <v>wbsp_pop_totl</v>
          </cell>
          <cell r="D7672">
            <v>98775</v>
          </cell>
        </row>
        <row r="7673">
          <cell r="A7673" t="str">
            <v>MDV</v>
          </cell>
          <cell r="B7673">
            <v>1964</v>
          </cell>
          <cell r="C7673" t="str">
            <v>wbsp_pop_1564_to</v>
          </cell>
          <cell r="D7673">
            <v>57102</v>
          </cell>
        </row>
        <row r="7674">
          <cell r="A7674" t="str">
            <v>MDV</v>
          </cell>
          <cell r="B7674">
            <v>1964</v>
          </cell>
          <cell r="C7674" t="str">
            <v>wbsp_pop_totl</v>
          </cell>
          <cell r="D7674">
            <v>101241</v>
          </cell>
        </row>
        <row r="7675">
          <cell r="A7675" t="str">
            <v>MDV</v>
          </cell>
          <cell r="B7675">
            <v>1965</v>
          </cell>
          <cell r="C7675" t="str">
            <v>wbsp_pop_1564_to</v>
          </cell>
          <cell r="D7675">
            <v>57780</v>
          </cell>
        </row>
        <row r="7676">
          <cell r="A7676" t="str">
            <v>MDV</v>
          </cell>
          <cell r="B7676">
            <v>1965</v>
          </cell>
          <cell r="C7676" t="str">
            <v>wbsp_pop_totl</v>
          </cell>
          <cell r="D7676">
            <v>104566</v>
          </cell>
        </row>
        <row r="7677">
          <cell r="A7677" t="str">
            <v>MDV</v>
          </cell>
          <cell r="B7677">
            <v>1966</v>
          </cell>
          <cell r="C7677" t="str">
            <v>wbsp_pop_1564_to</v>
          </cell>
          <cell r="D7677">
            <v>58775</v>
          </cell>
        </row>
        <row r="7678">
          <cell r="A7678" t="str">
            <v>MDV</v>
          </cell>
          <cell r="B7678">
            <v>1966</v>
          </cell>
          <cell r="C7678" t="str">
            <v>wbsp_pop_totl</v>
          </cell>
          <cell r="D7678">
            <v>108713</v>
          </cell>
        </row>
        <row r="7679">
          <cell r="A7679" t="str">
            <v>MDV</v>
          </cell>
          <cell r="B7679">
            <v>1967</v>
          </cell>
          <cell r="C7679" t="str">
            <v>wbsp_pop_1564_to</v>
          </cell>
          <cell r="D7679">
            <v>59921</v>
          </cell>
        </row>
        <row r="7680">
          <cell r="A7680" t="str">
            <v>MDV</v>
          </cell>
          <cell r="B7680">
            <v>1967</v>
          </cell>
          <cell r="C7680" t="str">
            <v>wbsp_pop_totl</v>
          </cell>
          <cell r="D7680">
            <v>112547</v>
          </cell>
        </row>
        <row r="7681">
          <cell r="A7681" t="str">
            <v>MDV</v>
          </cell>
          <cell r="B7681">
            <v>1968</v>
          </cell>
          <cell r="C7681" t="str">
            <v>wbsp_pop_1564_to</v>
          </cell>
          <cell r="D7681">
            <v>61277</v>
          </cell>
        </row>
        <row r="7682">
          <cell r="A7682" t="str">
            <v>MDV</v>
          </cell>
          <cell r="B7682">
            <v>1968</v>
          </cell>
          <cell r="C7682" t="str">
            <v>wbsp_pop_totl</v>
          </cell>
          <cell r="D7682">
            <v>116049</v>
          </cell>
        </row>
        <row r="7683">
          <cell r="A7683" t="str">
            <v>MDV</v>
          </cell>
          <cell r="B7683">
            <v>1969</v>
          </cell>
          <cell r="C7683" t="str">
            <v>wbsp_pop_1564_to</v>
          </cell>
          <cell r="D7683">
            <v>62787</v>
          </cell>
        </row>
        <row r="7684">
          <cell r="A7684" t="str">
            <v>MDV</v>
          </cell>
          <cell r="B7684">
            <v>1969</v>
          </cell>
          <cell r="C7684" t="str">
            <v>wbsp_pop_totl</v>
          </cell>
          <cell r="D7684">
            <v>119569</v>
          </cell>
        </row>
        <row r="7685">
          <cell r="A7685" t="str">
            <v>MDV</v>
          </cell>
          <cell r="B7685">
            <v>1970</v>
          </cell>
          <cell r="C7685" t="str">
            <v>wbsp_pop_1564_to</v>
          </cell>
          <cell r="D7685">
            <v>64408</v>
          </cell>
        </row>
        <row r="7686">
          <cell r="A7686" t="str">
            <v>MDV</v>
          </cell>
          <cell r="B7686">
            <v>1970</v>
          </cell>
          <cell r="C7686" t="str">
            <v>wbsp_pop_totl</v>
          </cell>
          <cell r="D7686">
            <v>123243</v>
          </cell>
        </row>
        <row r="7687">
          <cell r="A7687" t="str">
            <v>MDV</v>
          </cell>
          <cell r="B7687">
            <v>1971</v>
          </cell>
          <cell r="C7687" t="str">
            <v>wbsp_pop_1564_to</v>
          </cell>
          <cell r="D7687">
            <v>66185</v>
          </cell>
        </row>
        <row r="7688">
          <cell r="A7688" t="str">
            <v>MDV</v>
          </cell>
          <cell r="B7688">
            <v>1971</v>
          </cell>
          <cell r="C7688" t="str">
            <v>wbsp_pop_totl</v>
          </cell>
          <cell r="D7688">
            <v>127066</v>
          </cell>
        </row>
        <row r="7689">
          <cell r="A7689" t="str">
            <v>MDV</v>
          </cell>
          <cell r="B7689">
            <v>1972</v>
          </cell>
          <cell r="C7689" t="str">
            <v>wbsp_pop_1564_to</v>
          </cell>
          <cell r="D7689">
            <v>68147</v>
          </cell>
        </row>
        <row r="7690">
          <cell r="A7690" t="str">
            <v>MDV</v>
          </cell>
          <cell r="B7690">
            <v>1972</v>
          </cell>
          <cell r="C7690" t="str">
            <v>wbsp_pop_totl</v>
          </cell>
          <cell r="D7690">
            <v>130990</v>
          </cell>
        </row>
        <row r="7691">
          <cell r="A7691" t="str">
            <v>MDV</v>
          </cell>
          <cell r="B7691">
            <v>1973</v>
          </cell>
          <cell r="C7691" t="str">
            <v>wbsp_pop_1564_to</v>
          </cell>
          <cell r="D7691">
            <v>70287</v>
          </cell>
        </row>
        <row r="7692">
          <cell r="A7692" t="str">
            <v>MDV</v>
          </cell>
          <cell r="B7692">
            <v>1973</v>
          </cell>
          <cell r="C7692" t="str">
            <v>wbsp_pop_totl</v>
          </cell>
          <cell r="D7692">
            <v>134940</v>
          </cell>
        </row>
        <row r="7693">
          <cell r="A7693" t="str">
            <v>MDV</v>
          </cell>
          <cell r="B7693">
            <v>1974</v>
          </cell>
          <cell r="C7693" t="str">
            <v>wbsp_pop_1564_to</v>
          </cell>
          <cell r="D7693">
            <v>72431</v>
          </cell>
        </row>
        <row r="7694">
          <cell r="A7694" t="str">
            <v>MDV</v>
          </cell>
          <cell r="B7694">
            <v>1974</v>
          </cell>
          <cell r="C7694" t="str">
            <v>wbsp_pop_totl</v>
          </cell>
          <cell r="D7694">
            <v>138944</v>
          </cell>
        </row>
        <row r="7695">
          <cell r="A7695" t="str">
            <v>MDV</v>
          </cell>
          <cell r="B7695">
            <v>1975</v>
          </cell>
          <cell r="C7695" t="str">
            <v>wbsp_pop_1564_to</v>
          </cell>
          <cell r="D7695">
            <v>74409</v>
          </cell>
        </row>
        <row r="7696">
          <cell r="A7696" t="str">
            <v>MDV</v>
          </cell>
          <cell r="B7696">
            <v>1975</v>
          </cell>
          <cell r="C7696" t="str">
            <v>wbsp_pop_totl</v>
          </cell>
          <cell r="D7696">
            <v>143126</v>
          </cell>
        </row>
        <row r="7697">
          <cell r="A7697" t="str">
            <v>MDV</v>
          </cell>
          <cell r="B7697">
            <v>1976</v>
          </cell>
          <cell r="C7697" t="str">
            <v>wbsp_pop_1564_to</v>
          </cell>
          <cell r="D7697">
            <v>76359</v>
          </cell>
        </row>
        <row r="7698">
          <cell r="A7698" t="str">
            <v>MDV</v>
          </cell>
          <cell r="B7698">
            <v>1976</v>
          </cell>
          <cell r="C7698" t="str">
            <v>wbsp_pop_totl</v>
          </cell>
          <cell r="D7698">
            <v>147468</v>
          </cell>
        </row>
        <row r="7699">
          <cell r="A7699" t="str">
            <v>MDV</v>
          </cell>
          <cell r="B7699">
            <v>1977</v>
          </cell>
          <cell r="C7699" t="str">
            <v>wbsp_pop_1564_to</v>
          </cell>
          <cell r="D7699">
            <v>78445</v>
          </cell>
        </row>
        <row r="7700">
          <cell r="A7700" t="str">
            <v>MDV</v>
          </cell>
          <cell r="B7700">
            <v>1977</v>
          </cell>
          <cell r="C7700" t="str">
            <v>wbsp_pop_totl</v>
          </cell>
          <cell r="D7700">
            <v>151792</v>
          </cell>
        </row>
        <row r="7701">
          <cell r="A7701" t="str">
            <v>MDV</v>
          </cell>
          <cell r="B7701">
            <v>1978</v>
          </cell>
          <cell r="C7701" t="str">
            <v>wbsp_pop_1564_to</v>
          </cell>
          <cell r="D7701">
            <v>80499</v>
          </cell>
        </row>
        <row r="7702">
          <cell r="A7702" t="str">
            <v>MDV</v>
          </cell>
          <cell r="B7702">
            <v>1978</v>
          </cell>
          <cell r="C7702" t="str">
            <v>wbsp_pop_totl</v>
          </cell>
          <cell r="D7702">
            <v>156025</v>
          </cell>
        </row>
        <row r="7703">
          <cell r="A7703" t="str">
            <v>MDV</v>
          </cell>
          <cell r="B7703">
            <v>1979</v>
          </cell>
          <cell r="C7703" t="str">
            <v>wbsp_pop_1564_to</v>
          </cell>
          <cell r="D7703">
            <v>82572</v>
          </cell>
        </row>
        <row r="7704">
          <cell r="A7704" t="str">
            <v>MDV</v>
          </cell>
          <cell r="B7704">
            <v>1979</v>
          </cell>
          <cell r="C7704" t="str">
            <v>wbsp_pop_totl</v>
          </cell>
          <cell r="D7704">
            <v>160326</v>
          </cell>
        </row>
        <row r="7705">
          <cell r="A7705" t="str">
            <v>MDV</v>
          </cell>
          <cell r="B7705">
            <v>1980</v>
          </cell>
          <cell r="C7705" t="str">
            <v>wbsp_pop_1564_to</v>
          </cell>
          <cell r="D7705">
            <v>84907</v>
          </cell>
        </row>
        <row r="7706">
          <cell r="A7706" t="str">
            <v>MDV</v>
          </cell>
          <cell r="B7706">
            <v>1980</v>
          </cell>
          <cell r="C7706" t="str">
            <v>wbsp_pop_totl</v>
          </cell>
          <cell r="D7706">
            <v>164887</v>
          </cell>
        </row>
        <row r="7707">
          <cell r="A7707" t="str">
            <v>MDV</v>
          </cell>
          <cell r="B7707">
            <v>1981</v>
          </cell>
          <cell r="C7707" t="str">
            <v>wbsp_pop_1564_to</v>
          </cell>
          <cell r="D7707">
            <v>87493</v>
          </cell>
        </row>
        <row r="7708">
          <cell r="A7708" t="str">
            <v>MDV</v>
          </cell>
          <cell r="B7708">
            <v>1981</v>
          </cell>
          <cell r="C7708" t="str">
            <v>wbsp_pop_totl</v>
          </cell>
          <cell r="D7708">
            <v>169663</v>
          </cell>
        </row>
        <row r="7709">
          <cell r="A7709" t="str">
            <v>MDV</v>
          </cell>
          <cell r="B7709">
            <v>1982</v>
          </cell>
          <cell r="C7709" t="str">
            <v>wbsp_pop_1564_to</v>
          </cell>
          <cell r="D7709">
            <v>90297</v>
          </cell>
        </row>
        <row r="7710">
          <cell r="A7710" t="str">
            <v>MDV</v>
          </cell>
          <cell r="B7710">
            <v>1982</v>
          </cell>
          <cell r="C7710" t="str">
            <v>wbsp_pop_totl</v>
          </cell>
          <cell r="D7710">
            <v>174523</v>
          </cell>
        </row>
        <row r="7711">
          <cell r="A7711" t="str">
            <v>MDV</v>
          </cell>
          <cell r="B7711">
            <v>1983</v>
          </cell>
          <cell r="C7711" t="str">
            <v>wbsp_pop_1564_to</v>
          </cell>
          <cell r="D7711">
            <v>93279</v>
          </cell>
        </row>
        <row r="7712">
          <cell r="A7712" t="str">
            <v>MDV</v>
          </cell>
          <cell r="B7712">
            <v>1983</v>
          </cell>
          <cell r="C7712" t="str">
            <v>wbsp_pop_totl</v>
          </cell>
          <cell r="D7712">
            <v>179339</v>
          </cell>
        </row>
        <row r="7713">
          <cell r="A7713" t="str">
            <v>MDV</v>
          </cell>
          <cell r="B7713">
            <v>1984</v>
          </cell>
          <cell r="C7713" t="str">
            <v>wbsp_pop_1564_to</v>
          </cell>
          <cell r="D7713">
            <v>96342</v>
          </cell>
        </row>
        <row r="7714">
          <cell r="A7714" t="str">
            <v>MDV</v>
          </cell>
          <cell r="B7714">
            <v>1984</v>
          </cell>
          <cell r="C7714" t="str">
            <v>wbsp_pop_totl</v>
          </cell>
          <cell r="D7714">
            <v>184388</v>
          </cell>
        </row>
        <row r="7715">
          <cell r="A7715" t="str">
            <v>MDV</v>
          </cell>
          <cell r="B7715">
            <v>1985</v>
          </cell>
          <cell r="C7715" t="str">
            <v>wbsp_pop_1564_to</v>
          </cell>
          <cell r="D7715">
            <v>99212</v>
          </cell>
        </row>
        <row r="7716">
          <cell r="A7716" t="str">
            <v>MDV</v>
          </cell>
          <cell r="B7716">
            <v>1985</v>
          </cell>
          <cell r="C7716" t="str">
            <v>wbsp_pop_totl</v>
          </cell>
          <cell r="D7716">
            <v>190383</v>
          </cell>
        </row>
        <row r="7717">
          <cell r="A7717" t="str">
            <v>MDV</v>
          </cell>
          <cell r="B7717">
            <v>1986</v>
          </cell>
          <cell r="C7717" t="str">
            <v>wbsp_pop_1564_to</v>
          </cell>
          <cell r="D7717">
            <v>101866</v>
          </cell>
        </row>
        <row r="7718">
          <cell r="A7718" t="str">
            <v>MDV</v>
          </cell>
          <cell r="B7718">
            <v>1986</v>
          </cell>
          <cell r="C7718" t="str">
            <v>wbsp_pop_totl</v>
          </cell>
          <cell r="D7718">
            <v>197225</v>
          </cell>
        </row>
        <row r="7719">
          <cell r="A7719" t="str">
            <v>MDV</v>
          </cell>
          <cell r="B7719">
            <v>1987</v>
          </cell>
          <cell r="C7719" t="str">
            <v>wbsp_pop_1564_to</v>
          </cell>
          <cell r="D7719">
            <v>104577</v>
          </cell>
        </row>
        <row r="7720">
          <cell r="A7720" t="str">
            <v>MDV</v>
          </cell>
          <cell r="B7720">
            <v>1987</v>
          </cell>
          <cell r="C7720" t="str">
            <v>wbsp_pop_totl</v>
          </cell>
          <cell r="D7720">
            <v>204256</v>
          </cell>
        </row>
        <row r="7721">
          <cell r="A7721" t="str">
            <v>MDV</v>
          </cell>
          <cell r="B7721">
            <v>1988</v>
          </cell>
          <cell r="C7721" t="str">
            <v>wbsp_pop_1564_to</v>
          </cell>
          <cell r="D7721">
            <v>107439</v>
          </cell>
        </row>
        <row r="7722">
          <cell r="A7722" t="str">
            <v>MDV</v>
          </cell>
          <cell r="B7722">
            <v>1988</v>
          </cell>
          <cell r="C7722" t="str">
            <v>wbsp_pop_totl</v>
          </cell>
          <cell r="D7722">
            <v>211160</v>
          </cell>
        </row>
        <row r="7723">
          <cell r="A7723" t="str">
            <v>MDV</v>
          </cell>
          <cell r="B7723">
            <v>1989</v>
          </cell>
          <cell r="C7723" t="str">
            <v>wbsp_pop_1564_to</v>
          </cell>
          <cell r="D7723">
            <v>110438</v>
          </cell>
        </row>
        <row r="7724">
          <cell r="A7724" t="str">
            <v>MDV</v>
          </cell>
          <cell r="B7724">
            <v>1989</v>
          </cell>
          <cell r="C7724" t="str">
            <v>wbsp_pop_totl</v>
          </cell>
          <cell r="D7724">
            <v>217937</v>
          </cell>
        </row>
        <row r="7725">
          <cell r="A7725" t="str">
            <v>MDV</v>
          </cell>
          <cell r="B7725">
            <v>1990</v>
          </cell>
          <cell r="C7725" t="str">
            <v>wbsp_pop_1564_to</v>
          </cell>
          <cell r="D7725">
            <v>113519</v>
          </cell>
        </row>
        <row r="7726">
          <cell r="A7726" t="str">
            <v>MDV</v>
          </cell>
          <cell r="B7726">
            <v>1990</v>
          </cell>
          <cell r="C7726" t="str">
            <v>wbsp_pop_totl</v>
          </cell>
          <cell r="D7726">
            <v>224957</v>
          </cell>
        </row>
        <row r="7727">
          <cell r="A7727" t="str">
            <v>MDV</v>
          </cell>
          <cell r="B7727">
            <v>1991</v>
          </cell>
          <cell r="C7727" t="str">
            <v>wbsp_pop_1564_to</v>
          </cell>
          <cell r="D7727">
            <v>116679</v>
          </cell>
        </row>
        <row r="7728">
          <cell r="A7728" t="str">
            <v>MDV</v>
          </cell>
          <cell r="B7728">
            <v>1991</v>
          </cell>
          <cell r="C7728" t="str">
            <v>wbsp_pop_totl</v>
          </cell>
          <cell r="D7728">
            <v>232150</v>
          </cell>
        </row>
        <row r="7729">
          <cell r="A7729" t="str">
            <v>MDV</v>
          </cell>
          <cell r="B7729">
            <v>1992</v>
          </cell>
          <cell r="C7729" t="str">
            <v>wbsp_pop_1564_to</v>
          </cell>
          <cell r="D7729">
            <v>119984</v>
          </cell>
        </row>
        <row r="7730">
          <cell r="A7730" t="str">
            <v>MDV</v>
          </cell>
          <cell r="B7730">
            <v>1992</v>
          </cell>
          <cell r="C7730" t="str">
            <v>wbsp_pop_totl</v>
          </cell>
          <cell r="D7730">
            <v>239136</v>
          </cell>
        </row>
        <row r="7731">
          <cell r="A7731" t="str">
            <v>MDV</v>
          </cell>
          <cell r="B7731">
            <v>1993</v>
          </cell>
          <cell r="C7731" t="str">
            <v>wbsp_pop_1564_to</v>
          </cell>
          <cell r="D7731">
            <v>123506</v>
          </cell>
        </row>
        <row r="7732">
          <cell r="A7732" t="str">
            <v>MDV</v>
          </cell>
          <cell r="B7732">
            <v>1993</v>
          </cell>
          <cell r="C7732" t="str">
            <v>wbsp_pop_totl</v>
          </cell>
          <cell r="D7732">
            <v>245845</v>
          </cell>
        </row>
        <row r="7733">
          <cell r="A7733" t="str">
            <v>MDV</v>
          </cell>
          <cell r="B7733">
            <v>1994</v>
          </cell>
          <cell r="C7733" t="str">
            <v>wbsp_pop_1564_to</v>
          </cell>
          <cell r="D7733">
            <v>127313</v>
          </cell>
        </row>
        <row r="7734">
          <cell r="A7734" t="str">
            <v>MDV</v>
          </cell>
          <cell r="B7734">
            <v>1994</v>
          </cell>
          <cell r="C7734" t="str">
            <v>wbsp_pop_totl</v>
          </cell>
          <cell r="D7734">
            <v>252201</v>
          </cell>
        </row>
        <row r="7735">
          <cell r="A7735" t="str">
            <v>MDV</v>
          </cell>
          <cell r="B7735">
            <v>1995</v>
          </cell>
          <cell r="C7735" t="str">
            <v>wbsp_pop_1564_to</v>
          </cell>
          <cell r="D7735">
            <v>131658</v>
          </cell>
        </row>
        <row r="7736">
          <cell r="A7736" t="str">
            <v>MDV</v>
          </cell>
          <cell r="B7736">
            <v>1995</v>
          </cell>
          <cell r="C7736" t="str">
            <v>wbsp_pop_totl</v>
          </cell>
          <cell r="D7736">
            <v>258208</v>
          </cell>
        </row>
        <row r="7737">
          <cell r="A7737" t="str">
            <v>MDV</v>
          </cell>
          <cell r="B7737">
            <v>1996</v>
          </cell>
          <cell r="C7737" t="str">
            <v>wbsp_pop_1564_to</v>
          </cell>
          <cell r="D7737">
            <v>136531</v>
          </cell>
        </row>
        <row r="7738">
          <cell r="A7738" t="str">
            <v>MDV</v>
          </cell>
          <cell r="B7738">
            <v>1996</v>
          </cell>
          <cell r="C7738" t="str">
            <v>wbsp_pop_totl</v>
          </cell>
          <cell r="D7738">
            <v>263841</v>
          </cell>
        </row>
        <row r="7739">
          <cell r="A7739" t="str">
            <v>MDV</v>
          </cell>
          <cell r="B7739">
            <v>1997</v>
          </cell>
          <cell r="C7739" t="str">
            <v>wbsp_pop_1564_to</v>
          </cell>
          <cell r="D7739">
            <v>141638</v>
          </cell>
        </row>
        <row r="7740">
          <cell r="A7740" t="str">
            <v>MDV</v>
          </cell>
          <cell r="B7740">
            <v>1997</v>
          </cell>
          <cell r="C7740" t="str">
            <v>wbsp_pop_totl</v>
          </cell>
          <cell r="D7740">
            <v>269040</v>
          </cell>
        </row>
        <row r="7741">
          <cell r="A7741" t="str">
            <v>MDV</v>
          </cell>
          <cell r="B7741">
            <v>1998</v>
          </cell>
          <cell r="C7741" t="str">
            <v>wbsp_pop_1564_to</v>
          </cell>
          <cell r="D7741">
            <v>146968</v>
          </cell>
        </row>
        <row r="7742">
          <cell r="A7742" t="str">
            <v>MDV</v>
          </cell>
          <cell r="B7742">
            <v>1998</v>
          </cell>
          <cell r="C7742" t="str">
            <v>wbsp_pop_totl</v>
          </cell>
          <cell r="D7742">
            <v>273796</v>
          </cell>
        </row>
        <row r="7743">
          <cell r="A7743" t="str">
            <v>MDV</v>
          </cell>
          <cell r="B7743">
            <v>1999</v>
          </cell>
          <cell r="C7743" t="str">
            <v>wbsp_pop_1564_to</v>
          </cell>
          <cell r="D7743">
            <v>152575</v>
          </cell>
        </row>
        <row r="7744">
          <cell r="A7744" t="str">
            <v>MDV</v>
          </cell>
          <cell r="B7744">
            <v>1999</v>
          </cell>
          <cell r="C7744" t="str">
            <v>wbsp_pop_totl</v>
          </cell>
          <cell r="D7744">
            <v>278111</v>
          </cell>
        </row>
        <row r="7745">
          <cell r="A7745" t="str">
            <v>MDV</v>
          </cell>
          <cell r="B7745">
            <v>2000</v>
          </cell>
          <cell r="C7745" t="str">
            <v>wbsp_pop_1564_to</v>
          </cell>
          <cell r="D7745">
            <v>158661</v>
          </cell>
        </row>
        <row r="7746">
          <cell r="A7746" t="str">
            <v>MDV</v>
          </cell>
          <cell r="B7746">
            <v>2000</v>
          </cell>
          <cell r="C7746" t="str">
            <v>wbsp_pop_totl</v>
          </cell>
          <cell r="D7746">
            <v>282507</v>
          </cell>
        </row>
        <row r="7747">
          <cell r="A7747" t="str">
            <v>MDV</v>
          </cell>
          <cell r="B7747">
            <v>2001</v>
          </cell>
          <cell r="C7747" t="str">
            <v>wbsp_pop_1564_to</v>
          </cell>
          <cell r="D7747">
            <v>165232</v>
          </cell>
        </row>
        <row r="7748">
          <cell r="A7748" t="str">
            <v>MDV</v>
          </cell>
          <cell r="B7748">
            <v>2001</v>
          </cell>
          <cell r="C7748" t="str">
            <v>wbsp_pop_totl</v>
          </cell>
          <cell r="D7748">
            <v>287324</v>
          </cell>
        </row>
        <row r="7749">
          <cell r="A7749" t="str">
            <v>MDV</v>
          </cell>
          <cell r="B7749">
            <v>2002</v>
          </cell>
          <cell r="C7749" t="str">
            <v>wbsp_pop_1564_to</v>
          </cell>
          <cell r="D7749">
            <v>171964</v>
          </cell>
        </row>
        <row r="7750">
          <cell r="A7750" t="str">
            <v>MDV</v>
          </cell>
          <cell r="B7750">
            <v>2002</v>
          </cell>
          <cell r="C7750" t="str">
            <v>wbsp_pop_totl</v>
          </cell>
          <cell r="D7750">
            <v>292284</v>
          </cell>
        </row>
        <row r="7751">
          <cell r="A7751" t="str">
            <v>MDV</v>
          </cell>
          <cell r="B7751">
            <v>2003</v>
          </cell>
          <cell r="C7751" t="str">
            <v>wbsp_pop_1564_to</v>
          </cell>
          <cell r="D7751">
            <v>178749</v>
          </cell>
        </row>
        <row r="7752">
          <cell r="A7752" t="str">
            <v>MDV</v>
          </cell>
          <cell r="B7752">
            <v>2003</v>
          </cell>
          <cell r="C7752" t="str">
            <v>wbsp_pop_totl</v>
          </cell>
          <cell r="D7752">
            <v>297226</v>
          </cell>
        </row>
        <row r="7753">
          <cell r="A7753" t="str">
            <v>MDV</v>
          </cell>
          <cell r="B7753">
            <v>2004</v>
          </cell>
          <cell r="C7753" t="str">
            <v>wbsp_pop_1564_to</v>
          </cell>
          <cell r="D7753">
            <v>185640</v>
          </cell>
        </row>
        <row r="7754">
          <cell r="A7754" t="str">
            <v>MDV</v>
          </cell>
          <cell r="B7754">
            <v>2004</v>
          </cell>
          <cell r="C7754" t="str">
            <v>wbsp_pop_totl</v>
          </cell>
          <cell r="D7754">
            <v>302135</v>
          </cell>
        </row>
        <row r="7755">
          <cell r="A7755" t="str">
            <v>MDV</v>
          </cell>
          <cell r="B7755">
            <v>2005</v>
          </cell>
          <cell r="C7755" t="str">
            <v>wbsp_pop_1564_to</v>
          </cell>
          <cell r="D7755">
            <v>192620</v>
          </cell>
        </row>
        <row r="7756">
          <cell r="A7756" t="str">
            <v>MDV</v>
          </cell>
          <cell r="B7756">
            <v>2005</v>
          </cell>
          <cell r="C7756" t="str">
            <v>wbsp_pop_totl</v>
          </cell>
          <cell r="D7756">
            <v>307018</v>
          </cell>
        </row>
        <row r="7757">
          <cell r="A7757" t="str">
            <v>MDV</v>
          </cell>
          <cell r="B7757">
            <v>2006</v>
          </cell>
          <cell r="C7757" t="str">
            <v>wbsp_pop_1564_to</v>
          </cell>
          <cell r="D7757">
            <v>201869</v>
          </cell>
        </row>
        <row r="7758">
          <cell r="A7758" t="str">
            <v>MDV</v>
          </cell>
          <cell r="B7758">
            <v>2006</v>
          </cell>
          <cell r="C7758" t="str">
            <v>wbsp_pop_totl</v>
          </cell>
          <cell r="D7758">
            <v>314401</v>
          </cell>
        </row>
        <row r="7759">
          <cell r="A7759" t="str">
            <v>MDV</v>
          </cell>
          <cell r="B7759">
            <v>2007</v>
          </cell>
          <cell r="C7759" t="str">
            <v>wbsp_pop_1564_to</v>
          </cell>
          <cell r="D7759">
            <v>214109</v>
          </cell>
        </row>
        <row r="7760">
          <cell r="A7760" t="str">
            <v>MDV</v>
          </cell>
          <cell r="B7760">
            <v>2007</v>
          </cell>
          <cell r="C7760" t="str">
            <v>wbsp_pop_totl</v>
          </cell>
          <cell r="D7760">
            <v>325126</v>
          </cell>
        </row>
        <row r="7761">
          <cell r="A7761" t="str">
            <v>MDV</v>
          </cell>
          <cell r="B7761">
            <v>2008</v>
          </cell>
          <cell r="C7761" t="str">
            <v>wbsp_pop_1564_to</v>
          </cell>
          <cell r="D7761">
            <v>227081</v>
          </cell>
        </row>
        <row r="7762">
          <cell r="A7762" t="str">
            <v>MDV</v>
          </cell>
          <cell r="B7762">
            <v>2008</v>
          </cell>
          <cell r="C7762" t="str">
            <v>wbsp_pop_totl</v>
          </cell>
          <cell r="D7762">
            <v>336883</v>
          </cell>
        </row>
        <row r="7763">
          <cell r="A7763" t="str">
            <v>MDV</v>
          </cell>
          <cell r="B7763">
            <v>2009</v>
          </cell>
          <cell r="C7763" t="str">
            <v>wbsp_pop_1564_to</v>
          </cell>
          <cell r="D7763">
            <v>239929</v>
          </cell>
        </row>
        <row r="7764">
          <cell r="A7764" t="str">
            <v>MDV</v>
          </cell>
          <cell r="B7764">
            <v>2009</v>
          </cell>
          <cell r="C7764" t="str">
            <v>wbsp_pop_totl</v>
          </cell>
          <cell r="D7764">
            <v>349037</v>
          </cell>
        </row>
        <row r="7765">
          <cell r="A7765" t="str">
            <v>MDV</v>
          </cell>
          <cell r="B7765">
            <v>2010</v>
          </cell>
          <cell r="C7765" t="str">
            <v>wbsp_pop_1564_to</v>
          </cell>
          <cell r="D7765">
            <v>252544</v>
          </cell>
        </row>
        <row r="7766">
          <cell r="A7766" t="str">
            <v>MDV</v>
          </cell>
          <cell r="B7766">
            <v>2010</v>
          </cell>
          <cell r="C7766" t="str">
            <v>wbsp_pop_totl</v>
          </cell>
          <cell r="D7766">
            <v>361575</v>
          </cell>
        </row>
        <row r="7767">
          <cell r="A7767" t="str">
            <v>MDV</v>
          </cell>
          <cell r="B7767">
            <v>2011</v>
          </cell>
          <cell r="C7767" t="str">
            <v>wbsp_pop_1564_to</v>
          </cell>
          <cell r="D7767">
            <v>264867</v>
          </cell>
        </row>
        <row r="7768">
          <cell r="A7768" t="str">
            <v>MDV</v>
          </cell>
          <cell r="B7768">
            <v>2011</v>
          </cell>
          <cell r="C7768" t="str">
            <v>wbsp_pop_totl</v>
          </cell>
          <cell r="D7768">
            <v>374440</v>
          </cell>
        </row>
        <row r="7769">
          <cell r="A7769" t="str">
            <v>MDV</v>
          </cell>
          <cell r="B7769">
            <v>2012</v>
          </cell>
          <cell r="C7769" t="str">
            <v>wbsp_pop_1564_to</v>
          </cell>
          <cell r="D7769">
            <v>276800</v>
          </cell>
        </row>
        <row r="7770">
          <cell r="A7770" t="str">
            <v>MDV</v>
          </cell>
          <cell r="B7770">
            <v>2012</v>
          </cell>
          <cell r="C7770" t="str">
            <v>wbsp_pop_totl</v>
          </cell>
          <cell r="D7770">
            <v>387539</v>
          </cell>
        </row>
        <row r="7771">
          <cell r="A7771" t="str">
            <v>MDV</v>
          </cell>
          <cell r="B7771">
            <v>2013</v>
          </cell>
          <cell r="C7771" t="str">
            <v>wbsp_pop_1564_to</v>
          </cell>
          <cell r="D7771">
            <v>288316</v>
          </cell>
        </row>
        <row r="7772">
          <cell r="A7772" t="str">
            <v>MDV</v>
          </cell>
          <cell r="B7772">
            <v>2013</v>
          </cell>
          <cell r="C7772" t="str">
            <v>wbsp_pop_totl</v>
          </cell>
          <cell r="D7772">
            <v>400728</v>
          </cell>
        </row>
        <row r="7773">
          <cell r="A7773" t="str">
            <v>MDV</v>
          </cell>
          <cell r="B7773">
            <v>2014</v>
          </cell>
          <cell r="C7773" t="str">
            <v>wbsp_pop_1564_to</v>
          </cell>
          <cell r="D7773">
            <v>301838</v>
          </cell>
        </row>
        <row r="7774">
          <cell r="A7774" t="str">
            <v>MDV</v>
          </cell>
          <cell r="B7774">
            <v>2014</v>
          </cell>
          <cell r="C7774" t="str">
            <v>wbsp_pop_totl</v>
          </cell>
          <cell r="D7774">
            <v>416738</v>
          </cell>
        </row>
        <row r="7775">
          <cell r="A7775" t="str">
            <v>MDV</v>
          </cell>
          <cell r="B7775">
            <v>2015</v>
          </cell>
          <cell r="C7775" t="str">
            <v>wbsp_pop_1564_to</v>
          </cell>
          <cell r="D7775">
            <v>317435</v>
          </cell>
        </row>
        <row r="7776">
          <cell r="A7776" t="str">
            <v>MDV</v>
          </cell>
          <cell r="B7776">
            <v>2015</v>
          </cell>
          <cell r="C7776" t="str">
            <v>wbsp_pop_totl</v>
          </cell>
          <cell r="D7776">
            <v>435582</v>
          </cell>
        </row>
        <row r="7777">
          <cell r="A7777" t="str">
            <v>MDV</v>
          </cell>
          <cell r="B7777">
            <v>2016</v>
          </cell>
          <cell r="C7777" t="str">
            <v>wbsp_pop_1564_to</v>
          </cell>
          <cell r="D7777">
            <v>332645</v>
          </cell>
        </row>
        <row r="7778">
          <cell r="A7778" t="str">
            <v>MDV</v>
          </cell>
          <cell r="B7778">
            <v>2016</v>
          </cell>
          <cell r="C7778" t="str">
            <v>wbsp_pop_totl</v>
          </cell>
          <cell r="D7778">
            <v>454252</v>
          </cell>
        </row>
        <row r="7779">
          <cell r="A7779" t="str">
            <v>MDV</v>
          </cell>
          <cell r="B7779">
            <v>2017</v>
          </cell>
          <cell r="C7779" t="str">
            <v>wbsp_pop_1564_to</v>
          </cell>
          <cell r="D7779">
            <v>347307</v>
          </cell>
        </row>
        <row r="7780">
          <cell r="A7780" t="str">
            <v>MDV</v>
          </cell>
          <cell r="B7780">
            <v>2017</v>
          </cell>
          <cell r="C7780" t="str">
            <v>wbsp_pop_totl</v>
          </cell>
          <cell r="D7780">
            <v>472442</v>
          </cell>
        </row>
        <row r="7781">
          <cell r="A7781" t="str">
            <v>MDV</v>
          </cell>
          <cell r="B7781">
            <v>2018</v>
          </cell>
          <cell r="C7781" t="str">
            <v>wbsp_pop_1564_to</v>
          </cell>
          <cell r="D7781">
            <v>361126</v>
          </cell>
        </row>
        <row r="7782">
          <cell r="A7782" t="str">
            <v>MDV</v>
          </cell>
          <cell r="B7782">
            <v>2018</v>
          </cell>
          <cell r="C7782" t="str">
            <v>wbsp_pop_totl</v>
          </cell>
          <cell r="D7782">
            <v>489758</v>
          </cell>
        </row>
        <row r="7783">
          <cell r="A7783" t="str">
            <v>MDV</v>
          </cell>
          <cell r="B7783">
            <v>2019</v>
          </cell>
          <cell r="C7783" t="str">
            <v>wbsp_pop_1564_to</v>
          </cell>
          <cell r="D7783">
            <v>372607</v>
          </cell>
        </row>
        <row r="7784">
          <cell r="A7784" t="str">
            <v>MDV</v>
          </cell>
          <cell r="B7784">
            <v>2019</v>
          </cell>
          <cell r="C7784" t="str">
            <v>wbsp_pop_totl</v>
          </cell>
          <cell r="D7784">
            <v>504508</v>
          </cell>
        </row>
        <row r="7785">
          <cell r="A7785" t="str">
            <v>MDV</v>
          </cell>
          <cell r="B7785">
            <v>2020</v>
          </cell>
          <cell r="C7785" t="str">
            <v>wbsp_pop_1564_to</v>
          </cell>
          <cell r="D7785">
            <v>379792</v>
          </cell>
        </row>
        <row r="7786">
          <cell r="A7786" t="str">
            <v>MDV</v>
          </cell>
          <cell r="B7786">
            <v>2020</v>
          </cell>
          <cell r="C7786" t="str">
            <v>wbsp_pop_totl</v>
          </cell>
          <cell r="D7786">
            <v>514438</v>
          </cell>
        </row>
        <row r="7787">
          <cell r="A7787" t="str">
            <v>MDV</v>
          </cell>
          <cell r="B7787">
            <v>2021</v>
          </cell>
          <cell r="C7787" t="str">
            <v>wbsp_pop_1564_to</v>
          </cell>
          <cell r="D7787">
            <v>384512</v>
          </cell>
        </row>
        <row r="7788">
          <cell r="A7788" t="str">
            <v>MDV</v>
          </cell>
          <cell r="B7788">
            <v>2021</v>
          </cell>
          <cell r="C7788" t="str">
            <v>wbsp_pop_totl</v>
          </cell>
          <cell r="D7788">
            <v>521457</v>
          </cell>
        </row>
        <row r="7789">
          <cell r="A7789" t="str">
            <v>MDV</v>
          </cell>
          <cell r="B7789">
            <v>2022</v>
          </cell>
          <cell r="C7789" t="str">
            <v>wbsp_pop_1564_to</v>
          </cell>
          <cell r="D7789">
            <v>385180</v>
          </cell>
        </row>
        <row r="7790">
          <cell r="A7790" t="str">
            <v>MDV</v>
          </cell>
          <cell r="B7790">
            <v>2022</v>
          </cell>
          <cell r="C7790" t="str">
            <v>wbsp_pop_totl</v>
          </cell>
          <cell r="D7790">
            <v>523787</v>
          </cell>
        </row>
        <row r="7791">
          <cell r="A7791" t="str">
            <v>MDV</v>
          </cell>
          <cell r="B7791">
            <v>2023</v>
          </cell>
          <cell r="C7791" t="str">
            <v>wbsp_pop_1564_to</v>
          </cell>
          <cell r="D7791">
            <v>381505</v>
          </cell>
        </row>
        <row r="7792">
          <cell r="A7792" t="str">
            <v>MDV</v>
          </cell>
          <cell r="B7792">
            <v>2023</v>
          </cell>
          <cell r="C7792" t="str">
            <v>wbsp_pop_totl</v>
          </cell>
          <cell r="D7792">
            <v>521021</v>
          </cell>
        </row>
        <row r="7793">
          <cell r="A7793" t="str">
            <v>NPL</v>
          </cell>
          <cell r="B7793">
            <v>1960</v>
          </cell>
          <cell r="C7793" t="str">
            <v>wbsp_pop_1564_to</v>
          </cell>
          <cell r="D7793">
            <v>5707694</v>
          </cell>
        </row>
        <row r="7794">
          <cell r="A7794" t="str">
            <v>NPL</v>
          </cell>
          <cell r="B7794">
            <v>1960</v>
          </cell>
          <cell r="C7794" t="str">
            <v>wbsp_pop_totl</v>
          </cell>
          <cell r="D7794">
            <v>10167941</v>
          </cell>
        </row>
        <row r="7795">
          <cell r="A7795" t="str">
            <v>NPL</v>
          </cell>
          <cell r="B7795">
            <v>1961</v>
          </cell>
          <cell r="C7795" t="str">
            <v>wbsp_pop_1564_to</v>
          </cell>
          <cell r="D7795">
            <v>5815430</v>
          </cell>
        </row>
        <row r="7796">
          <cell r="A7796" t="str">
            <v>NPL</v>
          </cell>
          <cell r="B7796">
            <v>1961</v>
          </cell>
          <cell r="C7796" t="str">
            <v>wbsp_pop_totl</v>
          </cell>
          <cell r="D7796">
            <v>10365144</v>
          </cell>
        </row>
        <row r="7797">
          <cell r="A7797" t="str">
            <v>NPL</v>
          </cell>
          <cell r="B7797">
            <v>1962</v>
          </cell>
          <cell r="C7797" t="str">
            <v>wbsp_pop_1564_to</v>
          </cell>
          <cell r="D7797">
            <v>5930823</v>
          </cell>
        </row>
        <row r="7798">
          <cell r="A7798" t="str">
            <v>NPL</v>
          </cell>
          <cell r="B7798">
            <v>1962</v>
          </cell>
          <cell r="C7798" t="str">
            <v>wbsp_pop_totl</v>
          </cell>
          <cell r="D7798">
            <v>10570716</v>
          </cell>
        </row>
        <row r="7799">
          <cell r="A7799" t="str">
            <v>NPL</v>
          </cell>
          <cell r="B7799">
            <v>1963</v>
          </cell>
          <cell r="C7799" t="str">
            <v>wbsp_pop_1564_to</v>
          </cell>
          <cell r="D7799">
            <v>6055322</v>
          </cell>
        </row>
        <row r="7800">
          <cell r="A7800" t="str">
            <v>NPL</v>
          </cell>
          <cell r="B7800">
            <v>1963</v>
          </cell>
          <cell r="C7800" t="str">
            <v>wbsp_pop_totl</v>
          </cell>
          <cell r="D7800">
            <v>10782717</v>
          </cell>
        </row>
        <row r="7801">
          <cell r="A7801" t="str">
            <v>NPL</v>
          </cell>
          <cell r="B7801">
            <v>1964</v>
          </cell>
          <cell r="C7801" t="str">
            <v>wbsp_pop_1564_to</v>
          </cell>
          <cell r="D7801">
            <v>6183035</v>
          </cell>
        </row>
        <row r="7802">
          <cell r="A7802" t="str">
            <v>NPL</v>
          </cell>
          <cell r="B7802">
            <v>1964</v>
          </cell>
          <cell r="C7802" t="str">
            <v>wbsp_pop_totl</v>
          </cell>
          <cell r="D7802">
            <v>11002819</v>
          </cell>
        </row>
        <row r="7803">
          <cell r="A7803" t="str">
            <v>NPL</v>
          </cell>
          <cell r="B7803">
            <v>1965</v>
          </cell>
          <cell r="C7803" t="str">
            <v>wbsp_pop_1564_to</v>
          </cell>
          <cell r="D7803">
            <v>6313401</v>
          </cell>
        </row>
        <row r="7804">
          <cell r="A7804" t="str">
            <v>NPL</v>
          </cell>
          <cell r="B7804">
            <v>1965</v>
          </cell>
          <cell r="C7804" t="str">
            <v>wbsp_pop_totl</v>
          </cell>
          <cell r="D7804">
            <v>11232951</v>
          </cell>
        </row>
        <row r="7805">
          <cell r="A7805" t="str">
            <v>NPL</v>
          </cell>
          <cell r="B7805">
            <v>1966</v>
          </cell>
          <cell r="C7805" t="str">
            <v>wbsp_pop_1564_to</v>
          </cell>
          <cell r="D7805">
            <v>6448439</v>
          </cell>
        </row>
        <row r="7806">
          <cell r="A7806" t="str">
            <v>NPL</v>
          </cell>
          <cell r="B7806">
            <v>1966</v>
          </cell>
          <cell r="C7806" t="str">
            <v>wbsp_pop_totl</v>
          </cell>
          <cell r="D7806">
            <v>11470199</v>
          </cell>
        </row>
        <row r="7807">
          <cell r="A7807" t="str">
            <v>NPL</v>
          </cell>
          <cell r="B7807">
            <v>1967</v>
          </cell>
          <cell r="C7807" t="str">
            <v>wbsp_pop_1564_to</v>
          </cell>
          <cell r="D7807">
            <v>6587415</v>
          </cell>
        </row>
        <row r="7808">
          <cell r="A7808" t="str">
            <v>NPL</v>
          </cell>
          <cell r="B7808">
            <v>1967</v>
          </cell>
          <cell r="C7808" t="str">
            <v>wbsp_pop_totl</v>
          </cell>
          <cell r="D7808">
            <v>11715579</v>
          </cell>
        </row>
        <row r="7809">
          <cell r="A7809" t="str">
            <v>NPL</v>
          </cell>
          <cell r="B7809">
            <v>1968</v>
          </cell>
          <cell r="C7809" t="str">
            <v>wbsp_pop_1564_to</v>
          </cell>
          <cell r="D7809">
            <v>6730183</v>
          </cell>
        </row>
        <row r="7810">
          <cell r="A7810" t="str">
            <v>NPL</v>
          </cell>
          <cell r="B7810">
            <v>1968</v>
          </cell>
          <cell r="C7810" t="str">
            <v>wbsp_pop_totl</v>
          </cell>
          <cell r="D7810">
            <v>11970411</v>
          </cell>
        </row>
        <row r="7811">
          <cell r="A7811" t="str">
            <v>NPL</v>
          </cell>
          <cell r="B7811">
            <v>1969</v>
          </cell>
          <cell r="C7811" t="str">
            <v>wbsp_pop_1564_to</v>
          </cell>
          <cell r="D7811">
            <v>6874718</v>
          </cell>
        </row>
        <row r="7812">
          <cell r="A7812" t="str">
            <v>NPL</v>
          </cell>
          <cell r="B7812">
            <v>1969</v>
          </cell>
          <cell r="C7812" t="str">
            <v>wbsp_pop_totl</v>
          </cell>
          <cell r="D7812">
            <v>12231874</v>
          </cell>
        </row>
        <row r="7813">
          <cell r="A7813" t="str">
            <v>NPL</v>
          </cell>
          <cell r="B7813">
            <v>1970</v>
          </cell>
          <cell r="C7813" t="str">
            <v>wbsp_pop_1564_to</v>
          </cell>
          <cell r="D7813">
            <v>7022340</v>
          </cell>
        </row>
        <row r="7814">
          <cell r="A7814" t="str">
            <v>NPL</v>
          </cell>
          <cell r="B7814">
            <v>1970</v>
          </cell>
          <cell r="C7814" t="str">
            <v>wbsp_pop_totl</v>
          </cell>
          <cell r="D7814">
            <v>12501285</v>
          </cell>
        </row>
        <row r="7815">
          <cell r="A7815" t="str">
            <v>NPL</v>
          </cell>
          <cell r="B7815">
            <v>1971</v>
          </cell>
          <cell r="C7815" t="str">
            <v>wbsp_pop_1564_to</v>
          </cell>
          <cell r="D7815">
            <v>7168912</v>
          </cell>
        </row>
        <row r="7816">
          <cell r="A7816" t="str">
            <v>NPL</v>
          </cell>
          <cell r="B7816">
            <v>1971</v>
          </cell>
          <cell r="C7816" t="str">
            <v>wbsp_pop_totl</v>
          </cell>
          <cell r="D7816">
            <v>12774870</v>
          </cell>
        </row>
        <row r="7817">
          <cell r="A7817" t="str">
            <v>NPL</v>
          </cell>
          <cell r="B7817">
            <v>1972</v>
          </cell>
          <cell r="C7817" t="str">
            <v>wbsp_pop_1564_to</v>
          </cell>
          <cell r="D7817">
            <v>7315637</v>
          </cell>
        </row>
        <row r="7818">
          <cell r="A7818" t="str">
            <v>NPL</v>
          </cell>
          <cell r="B7818">
            <v>1972</v>
          </cell>
          <cell r="C7818" t="str">
            <v>wbsp_pop_totl</v>
          </cell>
          <cell r="D7818">
            <v>13052220</v>
          </cell>
        </row>
        <row r="7819">
          <cell r="A7819" t="str">
            <v>NPL</v>
          </cell>
          <cell r="B7819">
            <v>1973</v>
          </cell>
          <cell r="C7819" t="str">
            <v>wbsp_pop_1564_to</v>
          </cell>
          <cell r="D7819">
            <v>7467145</v>
          </cell>
        </row>
        <row r="7820">
          <cell r="A7820" t="str">
            <v>NPL</v>
          </cell>
          <cell r="B7820">
            <v>1973</v>
          </cell>
          <cell r="C7820" t="str">
            <v>wbsp_pop_totl</v>
          </cell>
          <cell r="D7820">
            <v>13335963</v>
          </cell>
        </row>
        <row r="7821">
          <cell r="A7821" t="str">
            <v>NPL</v>
          </cell>
          <cell r="B7821">
            <v>1974</v>
          </cell>
          <cell r="C7821" t="str">
            <v>wbsp_pop_1564_to</v>
          </cell>
          <cell r="D7821">
            <v>7620275</v>
          </cell>
        </row>
        <row r="7822">
          <cell r="A7822" t="str">
            <v>NPL</v>
          </cell>
          <cell r="B7822">
            <v>1974</v>
          </cell>
          <cell r="C7822" t="str">
            <v>wbsp_pop_totl</v>
          </cell>
          <cell r="D7822">
            <v>13626301</v>
          </cell>
        </row>
        <row r="7823">
          <cell r="A7823" t="str">
            <v>NPL</v>
          </cell>
          <cell r="B7823">
            <v>1975</v>
          </cell>
          <cell r="C7823" t="str">
            <v>wbsp_pop_1564_to</v>
          </cell>
          <cell r="D7823">
            <v>7775919</v>
          </cell>
        </row>
        <row r="7824">
          <cell r="A7824" t="str">
            <v>NPL</v>
          </cell>
          <cell r="B7824">
            <v>1975</v>
          </cell>
          <cell r="C7824" t="str">
            <v>wbsp_pop_totl</v>
          </cell>
          <cell r="D7824">
            <v>13925541</v>
          </cell>
        </row>
        <row r="7825">
          <cell r="A7825" t="str">
            <v>NPL</v>
          </cell>
          <cell r="B7825">
            <v>1976</v>
          </cell>
          <cell r="C7825" t="str">
            <v>wbsp_pop_1564_to</v>
          </cell>
          <cell r="D7825">
            <v>7933713</v>
          </cell>
        </row>
        <row r="7826">
          <cell r="A7826" t="str">
            <v>NPL</v>
          </cell>
          <cell r="B7826">
            <v>1976</v>
          </cell>
          <cell r="C7826" t="str">
            <v>wbsp_pop_totl</v>
          </cell>
          <cell r="D7826">
            <v>14230738</v>
          </cell>
        </row>
        <row r="7827">
          <cell r="A7827" t="str">
            <v>NPL</v>
          </cell>
          <cell r="B7827">
            <v>1977</v>
          </cell>
          <cell r="C7827" t="str">
            <v>wbsp_pop_1564_to</v>
          </cell>
          <cell r="D7827">
            <v>8102034</v>
          </cell>
        </row>
        <row r="7828">
          <cell r="A7828" t="str">
            <v>NPL</v>
          </cell>
          <cell r="B7828">
            <v>1977</v>
          </cell>
          <cell r="C7828" t="str">
            <v>wbsp_pop_totl</v>
          </cell>
          <cell r="D7828">
            <v>14550430</v>
          </cell>
        </row>
        <row r="7829">
          <cell r="A7829" t="str">
            <v>NPL</v>
          </cell>
          <cell r="B7829">
            <v>1978</v>
          </cell>
          <cell r="C7829" t="str">
            <v>wbsp_pop_1564_to</v>
          </cell>
          <cell r="D7829">
            <v>8283945</v>
          </cell>
        </row>
        <row r="7830">
          <cell r="A7830" t="str">
            <v>NPL</v>
          </cell>
          <cell r="B7830">
            <v>1978</v>
          </cell>
          <cell r="C7830" t="str">
            <v>wbsp_pop_totl</v>
          </cell>
          <cell r="D7830">
            <v>14888770</v>
          </cell>
        </row>
        <row r="7831">
          <cell r="A7831" t="str">
            <v>NPL</v>
          </cell>
          <cell r="B7831">
            <v>1979</v>
          </cell>
          <cell r="C7831" t="str">
            <v>wbsp_pop_1564_to</v>
          </cell>
          <cell r="D7831">
            <v>8471930</v>
          </cell>
        </row>
        <row r="7832">
          <cell r="A7832" t="str">
            <v>NPL</v>
          </cell>
          <cell r="B7832">
            <v>1979</v>
          </cell>
          <cell r="C7832" t="str">
            <v>wbsp_pop_totl</v>
          </cell>
          <cell r="D7832">
            <v>15238564</v>
          </cell>
        </row>
        <row r="7833">
          <cell r="A7833" t="str">
            <v>NPL</v>
          </cell>
          <cell r="B7833">
            <v>1980</v>
          </cell>
          <cell r="C7833" t="str">
            <v>wbsp_pop_1564_to</v>
          </cell>
          <cell r="D7833">
            <v>8668587</v>
          </cell>
        </row>
        <row r="7834">
          <cell r="A7834" t="str">
            <v>NPL</v>
          </cell>
          <cell r="B7834">
            <v>1980</v>
          </cell>
          <cell r="C7834" t="str">
            <v>wbsp_pop_totl</v>
          </cell>
          <cell r="D7834">
            <v>15600442</v>
          </cell>
        </row>
        <row r="7835">
          <cell r="A7835" t="str">
            <v>NPL</v>
          </cell>
          <cell r="B7835">
            <v>1981</v>
          </cell>
          <cell r="C7835" t="str">
            <v>wbsp_pop_1564_to</v>
          </cell>
          <cell r="D7835">
            <v>8869187</v>
          </cell>
        </row>
        <row r="7836">
          <cell r="A7836" t="str">
            <v>NPL</v>
          </cell>
          <cell r="B7836">
            <v>1981</v>
          </cell>
          <cell r="C7836" t="str">
            <v>wbsp_pop_totl</v>
          </cell>
          <cell r="D7836">
            <v>15969792</v>
          </cell>
        </row>
        <row r="7837">
          <cell r="A7837" t="str">
            <v>NPL</v>
          </cell>
          <cell r="B7837">
            <v>1982</v>
          </cell>
          <cell r="C7837" t="str">
            <v>wbsp_pop_1564_to</v>
          </cell>
          <cell r="D7837">
            <v>9072329</v>
          </cell>
        </row>
        <row r="7838">
          <cell r="A7838" t="str">
            <v>NPL</v>
          </cell>
          <cell r="B7838">
            <v>1982</v>
          </cell>
          <cell r="C7838" t="str">
            <v>wbsp_pop_totl</v>
          </cell>
          <cell r="D7838">
            <v>16347124</v>
          </cell>
        </row>
        <row r="7839">
          <cell r="A7839" t="str">
            <v>NPL</v>
          </cell>
          <cell r="B7839">
            <v>1983</v>
          </cell>
          <cell r="C7839" t="str">
            <v>wbsp_pop_1564_to</v>
          </cell>
          <cell r="D7839">
            <v>9285730</v>
          </cell>
        </row>
        <row r="7840">
          <cell r="A7840" t="str">
            <v>NPL</v>
          </cell>
          <cell r="B7840">
            <v>1983</v>
          </cell>
          <cell r="C7840" t="str">
            <v>wbsp_pop_totl</v>
          </cell>
          <cell r="D7840">
            <v>16740664</v>
          </cell>
        </row>
        <row r="7841">
          <cell r="A7841" t="str">
            <v>NPL</v>
          </cell>
          <cell r="B7841">
            <v>1984</v>
          </cell>
          <cell r="C7841" t="str">
            <v>wbsp_pop_1564_to</v>
          </cell>
          <cell r="D7841">
            <v>9499961</v>
          </cell>
        </row>
        <row r="7842">
          <cell r="A7842" t="str">
            <v>NPL</v>
          </cell>
          <cell r="B7842">
            <v>1984</v>
          </cell>
          <cell r="C7842" t="str">
            <v>wbsp_pop_totl</v>
          </cell>
          <cell r="D7842">
            <v>17141610</v>
          </cell>
        </row>
        <row r="7843">
          <cell r="A7843" t="str">
            <v>NPL</v>
          </cell>
          <cell r="B7843">
            <v>1985</v>
          </cell>
          <cell r="C7843" t="str">
            <v>wbsp_pop_1564_to</v>
          </cell>
          <cell r="D7843">
            <v>9707480</v>
          </cell>
        </row>
        <row r="7844">
          <cell r="A7844" t="str">
            <v>NPL</v>
          </cell>
          <cell r="B7844">
            <v>1985</v>
          </cell>
          <cell r="C7844" t="str">
            <v>wbsp_pop_totl</v>
          </cell>
          <cell r="D7844">
            <v>17540571</v>
          </cell>
        </row>
        <row r="7845">
          <cell r="A7845" t="str">
            <v>NPL</v>
          </cell>
          <cell r="B7845">
            <v>1986</v>
          </cell>
          <cell r="C7845" t="str">
            <v>wbsp_pop_1564_to</v>
          </cell>
          <cell r="D7845">
            <v>9910071</v>
          </cell>
        </row>
        <row r="7846">
          <cell r="A7846" t="str">
            <v>NPL</v>
          </cell>
          <cell r="B7846">
            <v>1986</v>
          </cell>
          <cell r="C7846" t="str">
            <v>wbsp_pop_totl</v>
          </cell>
          <cell r="D7846">
            <v>17936926</v>
          </cell>
        </row>
        <row r="7847">
          <cell r="A7847" t="str">
            <v>NPL</v>
          </cell>
          <cell r="B7847">
            <v>1987</v>
          </cell>
          <cell r="C7847" t="str">
            <v>wbsp_pop_1564_to</v>
          </cell>
          <cell r="D7847">
            <v>10101100</v>
          </cell>
        </row>
        <row r="7848">
          <cell r="A7848" t="str">
            <v>NPL</v>
          </cell>
          <cell r="B7848">
            <v>1987</v>
          </cell>
          <cell r="C7848" t="str">
            <v>wbsp_pop_totl</v>
          </cell>
          <cell r="D7848">
            <v>18326204</v>
          </cell>
        </row>
        <row r="7849">
          <cell r="A7849" t="str">
            <v>NPL</v>
          </cell>
          <cell r="B7849">
            <v>1988</v>
          </cell>
          <cell r="C7849" t="str">
            <v>wbsp_pop_1564_to</v>
          </cell>
          <cell r="D7849">
            <v>10290041</v>
          </cell>
        </row>
        <row r="7850">
          <cell r="A7850" t="str">
            <v>NPL</v>
          </cell>
          <cell r="B7850">
            <v>1988</v>
          </cell>
          <cell r="C7850" t="str">
            <v>wbsp_pop_totl</v>
          </cell>
          <cell r="D7850">
            <v>18720745</v>
          </cell>
        </row>
        <row r="7851">
          <cell r="A7851" t="str">
            <v>NPL</v>
          </cell>
          <cell r="B7851">
            <v>1989</v>
          </cell>
          <cell r="C7851" t="str">
            <v>wbsp_pop_1564_to</v>
          </cell>
          <cell r="D7851">
            <v>10502814</v>
          </cell>
        </row>
        <row r="7852">
          <cell r="A7852" t="str">
            <v>NPL</v>
          </cell>
          <cell r="B7852">
            <v>1989</v>
          </cell>
          <cell r="C7852" t="str">
            <v>wbsp_pop_totl</v>
          </cell>
          <cell r="D7852">
            <v>19145077</v>
          </cell>
        </row>
        <row r="7853">
          <cell r="A7853" t="str">
            <v>NPL</v>
          </cell>
          <cell r="B7853">
            <v>1990</v>
          </cell>
          <cell r="C7853" t="str">
            <v>wbsp_pop_1564_to</v>
          </cell>
          <cell r="D7853">
            <v>10756328</v>
          </cell>
        </row>
        <row r="7854">
          <cell r="A7854" t="str">
            <v>NPL</v>
          </cell>
          <cell r="B7854">
            <v>1990</v>
          </cell>
          <cell r="C7854" t="str">
            <v>wbsp_pop_totl</v>
          </cell>
          <cell r="D7854">
            <v>19616530</v>
          </cell>
        </row>
        <row r="7855">
          <cell r="A7855" t="str">
            <v>NPL</v>
          </cell>
          <cell r="B7855">
            <v>1991</v>
          </cell>
          <cell r="C7855" t="str">
            <v>wbsp_pop_1564_to</v>
          </cell>
          <cell r="D7855">
            <v>11046371</v>
          </cell>
        </row>
        <row r="7856">
          <cell r="A7856" t="str">
            <v>NPL</v>
          </cell>
          <cell r="B7856">
            <v>1991</v>
          </cell>
          <cell r="C7856" t="str">
            <v>wbsp_pop_totl</v>
          </cell>
          <cell r="D7856">
            <v>20130779</v>
          </cell>
        </row>
        <row r="7857">
          <cell r="A7857" t="str">
            <v>NPL</v>
          </cell>
          <cell r="B7857">
            <v>1992</v>
          </cell>
          <cell r="C7857" t="str">
            <v>wbsp_pop_1564_to</v>
          </cell>
          <cell r="D7857">
            <v>11385101</v>
          </cell>
        </row>
        <row r="7858">
          <cell r="A7858" t="str">
            <v>NPL</v>
          </cell>
          <cell r="B7858">
            <v>1992</v>
          </cell>
          <cell r="C7858" t="str">
            <v>wbsp_pop_totl</v>
          </cell>
          <cell r="D7858">
            <v>20702133</v>
          </cell>
        </row>
        <row r="7859">
          <cell r="A7859" t="str">
            <v>NPL</v>
          </cell>
          <cell r="B7859">
            <v>1993</v>
          </cell>
          <cell r="C7859" t="str">
            <v>wbsp_pop_1564_to</v>
          </cell>
          <cell r="D7859">
            <v>11712441</v>
          </cell>
        </row>
        <row r="7860">
          <cell r="A7860" t="str">
            <v>NPL</v>
          </cell>
          <cell r="B7860">
            <v>1993</v>
          </cell>
          <cell r="C7860" t="str">
            <v>wbsp_pop_totl</v>
          </cell>
          <cell r="D7860">
            <v>21267359</v>
          </cell>
        </row>
        <row r="7861">
          <cell r="A7861" t="str">
            <v>NPL</v>
          </cell>
          <cell r="B7861">
            <v>1994</v>
          </cell>
          <cell r="C7861" t="str">
            <v>wbsp_pop_1564_to</v>
          </cell>
          <cell r="D7861">
            <v>12004467</v>
          </cell>
        </row>
        <row r="7862">
          <cell r="A7862" t="str">
            <v>NPL</v>
          </cell>
          <cell r="B7862">
            <v>1994</v>
          </cell>
          <cell r="C7862" t="str">
            <v>wbsp_pop_totl</v>
          </cell>
          <cell r="D7862">
            <v>21794751</v>
          </cell>
        </row>
        <row r="7863">
          <cell r="A7863" t="str">
            <v>NPL</v>
          </cell>
          <cell r="B7863">
            <v>1995</v>
          </cell>
          <cell r="C7863" t="str">
            <v>wbsp_pop_1564_to</v>
          </cell>
          <cell r="D7863">
            <v>12285280</v>
          </cell>
        </row>
        <row r="7864">
          <cell r="A7864" t="str">
            <v>NPL</v>
          </cell>
          <cell r="B7864">
            <v>1995</v>
          </cell>
          <cell r="C7864" t="str">
            <v>wbsp_pop_totl</v>
          </cell>
          <cell r="D7864">
            <v>22305571</v>
          </cell>
        </row>
        <row r="7865">
          <cell r="A7865" t="str">
            <v>NPL</v>
          </cell>
          <cell r="B7865">
            <v>1996</v>
          </cell>
          <cell r="C7865" t="str">
            <v>wbsp_pop_1564_to</v>
          </cell>
          <cell r="D7865">
            <v>12547526</v>
          </cell>
        </row>
        <row r="7866">
          <cell r="A7866" t="str">
            <v>NPL</v>
          </cell>
          <cell r="B7866">
            <v>1996</v>
          </cell>
          <cell r="C7866" t="str">
            <v>wbsp_pop_totl</v>
          </cell>
          <cell r="D7866">
            <v>22783969</v>
          </cell>
        </row>
        <row r="7867">
          <cell r="A7867" t="str">
            <v>NPL</v>
          </cell>
          <cell r="B7867">
            <v>1997</v>
          </cell>
          <cell r="C7867" t="str">
            <v>wbsp_pop_1564_to</v>
          </cell>
          <cell r="D7867">
            <v>12817467</v>
          </cell>
        </row>
        <row r="7868">
          <cell r="A7868" t="str">
            <v>NPL</v>
          </cell>
          <cell r="B7868">
            <v>1997</v>
          </cell>
          <cell r="C7868" t="str">
            <v>wbsp_pop_totl</v>
          </cell>
          <cell r="D7868">
            <v>23249417</v>
          </cell>
        </row>
        <row r="7869">
          <cell r="A7869" t="str">
            <v>NPL</v>
          </cell>
          <cell r="B7869">
            <v>1998</v>
          </cell>
          <cell r="C7869" t="str">
            <v>wbsp_pop_1564_to</v>
          </cell>
          <cell r="D7869">
            <v>13094652</v>
          </cell>
        </row>
        <row r="7870">
          <cell r="A7870" t="str">
            <v>NPL</v>
          </cell>
          <cell r="B7870">
            <v>1998</v>
          </cell>
          <cell r="C7870" t="str">
            <v>wbsp_pop_totl</v>
          </cell>
          <cell r="D7870">
            <v>23703328</v>
          </cell>
        </row>
        <row r="7871">
          <cell r="A7871" t="str">
            <v>NPL</v>
          </cell>
          <cell r="B7871">
            <v>1999</v>
          </cell>
          <cell r="C7871" t="str">
            <v>wbsp_pop_1564_to</v>
          </cell>
          <cell r="D7871">
            <v>13375707</v>
          </cell>
        </row>
        <row r="7872">
          <cell r="A7872" t="str">
            <v>NPL</v>
          </cell>
          <cell r="B7872">
            <v>1999</v>
          </cell>
          <cell r="C7872" t="str">
            <v>wbsp_pop_totl</v>
          </cell>
          <cell r="D7872">
            <v>24143157</v>
          </cell>
        </row>
        <row r="7873">
          <cell r="A7873" t="str">
            <v>NPL</v>
          </cell>
          <cell r="B7873">
            <v>2000</v>
          </cell>
          <cell r="C7873" t="str">
            <v>wbsp_pop_1564_to</v>
          </cell>
          <cell r="D7873">
            <v>13651335</v>
          </cell>
        </row>
        <row r="7874">
          <cell r="A7874" t="str">
            <v>NPL</v>
          </cell>
          <cell r="B7874">
            <v>2000</v>
          </cell>
          <cell r="C7874" t="str">
            <v>wbsp_pop_totl</v>
          </cell>
          <cell r="D7874">
            <v>24559500</v>
          </cell>
        </row>
        <row r="7875">
          <cell r="A7875" t="str">
            <v>NPL</v>
          </cell>
          <cell r="B7875">
            <v>2001</v>
          </cell>
          <cell r="C7875" t="str">
            <v>wbsp_pop_1564_to</v>
          </cell>
          <cell r="D7875">
            <v>13926230</v>
          </cell>
        </row>
        <row r="7876">
          <cell r="A7876" t="str">
            <v>NPL</v>
          </cell>
          <cell r="B7876">
            <v>2001</v>
          </cell>
          <cell r="C7876" t="str">
            <v>wbsp_pop_totl</v>
          </cell>
          <cell r="D7876">
            <v>24956071</v>
          </cell>
        </row>
        <row r="7877">
          <cell r="A7877" t="str">
            <v>NPL</v>
          </cell>
          <cell r="B7877">
            <v>2002</v>
          </cell>
          <cell r="C7877" t="str">
            <v>wbsp_pop_1564_to</v>
          </cell>
          <cell r="D7877">
            <v>14201723</v>
          </cell>
        </row>
        <row r="7878">
          <cell r="A7878" t="str">
            <v>NPL</v>
          </cell>
          <cell r="B7878">
            <v>2002</v>
          </cell>
          <cell r="C7878" t="str">
            <v>wbsp_pop_totl</v>
          </cell>
          <cell r="D7878">
            <v>25332178</v>
          </cell>
        </row>
        <row r="7879">
          <cell r="A7879" t="str">
            <v>NPL</v>
          </cell>
          <cell r="B7879">
            <v>2003</v>
          </cell>
          <cell r="C7879" t="str">
            <v>wbsp_pop_1564_to</v>
          </cell>
          <cell r="D7879">
            <v>14469885</v>
          </cell>
        </row>
        <row r="7880">
          <cell r="A7880" t="str">
            <v>NPL</v>
          </cell>
          <cell r="B7880">
            <v>2003</v>
          </cell>
          <cell r="C7880" t="str">
            <v>wbsp_pop_totl</v>
          </cell>
          <cell r="D7880">
            <v>25682908</v>
          </cell>
        </row>
        <row r="7881">
          <cell r="A7881" t="str">
            <v>NPL</v>
          </cell>
          <cell r="B7881">
            <v>2004</v>
          </cell>
          <cell r="C7881" t="str">
            <v>wbsp_pop_1564_to</v>
          </cell>
          <cell r="D7881">
            <v>14727925</v>
          </cell>
        </row>
        <row r="7882">
          <cell r="A7882" t="str">
            <v>NPL</v>
          </cell>
          <cell r="B7882">
            <v>2004</v>
          </cell>
          <cell r="C7882" t="str">
            <v>wbsp_pop_totl</v>
          </cell>
          <cell r="D7882">
            <v>26003965</v>
          </cell>
        </row>
        <row r="7883">
          <cell r="A7883" t="str">
            <v>NPL</v>
          </cell>
          <cell r="B7883">
            <v>2005</v>
          </cell>
          <cell r="C7883" t="str">
            <v>wbsp_pop_1564_to</v>
          </cell>
          <cell r="D7883">
            <v>14970294</v>
          </cell>
        </row>
        <row r="7884">
          <cell r="A7884" t="str">
            <v>NPL</v>
          </cell>
          <cell r="B7884">
            <v>2005</v>
          </cell>
          <cell r="C7884" t="str">
            <v>wbsp_pop_totl</v>
          </cell>
          <cell r="D7884">
            <v>26285110</v>
          </cell>
        </row>
        <row r="7885">
          <cell r="A7885" t="str">
            <v>NPL</v>
          </cell>
          <cell r="B7885">
            <v>2006</v>
          </cell>
          <cell r="C7885" t="str">
            <v>wbsp_pop_1564_to</v>
          </cell>
          <cell r="D7885">
            <v>15193345</v>
          </cell>
        </row>
        <row r="7886">
          <cell r="A7886" t="str">
            <v>NPL</v>
          </cell>
          <cell r="B7886">
            <v>2006</v>
          </cell>
          <cell r="C7886" t="str">
            <v>wbsp_pop_totl</v>
          </cell>
          <cell r="D7886">
            <v>26518971</v>
          </cell>
        </row>
        <row r="7887">
          <cell r="A7887" t="str">
            <v>NPL</v>
          </cell>
          <cell r="B7887">
            <v>2007</v>
          </cell>
          <cell r="C7887" t="str">
            <v>wbsp_pop_1564_to</v>
          </cell>
          <cell r="D7887">
            <v>15404452</v>
          </cell>
        </row>
        <row r="7888">
          <cell r="A7888" t="str">
            <v>NPL</v>
          </cell>
          <cell r="B7888">
            <v>2007</v>
          </cell>
          <cell r="C7888" t="str">
            <v>wbsp_pop_totl</v>
          </cell>
          <cell r="D7888">
            <v>26713655</v>
          </cell>
        </row>
        <row r="7889">
          <cell r="A7889" t="str">
            <v>NPL</v>
          </cell>
          <cell r="B7889">
            <v>2008</v>
          </cell>
          <cell r="C7889" t="str">
            <v>wbsp_pop_1564_to</v>
          </cell>
          <cell r="D7889">
            <v>15618218</v>
          </cell>
        </row>
        <row r="7890">
          <cell r="A7890" t="str">
            <v>NPL</v>
          </cell>
          <cell r="B7890">
            <v>2008</v>
          </cell>
          <cell r="C7890" t="str">
            <v>wbsp_pop_totl</v>
          </cell>
          <cell r="D7890">
            <v>26881544</v>
          </cell>
        </row>
        <row r="7891">
          <cell r="A7891" t="str">
            <v>NPL</v>
          </cell>
          <cell r="B7891">
            <v>2009</v>
          </cell>
          <cell r="C7891" t="str">
            <v>wbsp_pop_1564_to</v>
          </cell>
          <cell r="D7891">
            <v>15835198</v>
          </cell>
        </row>
        <row r="7892">
          <cell r="A7892" t="str">
            <v>NPL</v>
          </cell>
          <cell r="B7892">
            <v>2009</v>
          </cell>
          <cell r="C7892" t="str">
            <v>wbsp_pop_totl</v>
          </cell>
          <cell r="D7892">
            <v>27026941</v>
          </cell>
        </row>
        <row r="7893">
          <cell r="A7893" t="str">
            <v>NPL</v>
          </cell>
          <cell r="B7893">
            <v>2010</v>
          </cell>
          <cell r="C7893" t="str">
            <v>wbsp_pop_1564_to</v>
          </cell>
          <cell r="D7893">
            <v>16056222</v>
          </cell>
        </row>
        <row r="7894">
          <cell r="A7894" t="str">
            <v>NPL</v>
          </cell>
          <cell r="B7894">
            <v>2010</v>
          </cell>
          <cell r="C7894" t="str">
            <v>wbsp_pop_totl</v>
          </cell>
          <cell r="D7894">
            <v>27161567</v>
          </cell>
        </row>
        <row r="7895">
          <cell r="A7895" t="str">
            <v>NPL</v>
          </cell>
          <cell r="B7895">
            <v>2011</v>
          </cell>
          <cell r="C7895" t="str">
            <v>wbsp_pop_1564_to</v>
          </cell>
          <cell r="D7895">
            <v>16251872</v>
          </cell>
        </row>
        <row r="7896">
          <cell r="A7896" t="str">
            <v>NPL</v>
          </cell>
          <cell r="B7896">
            <v>2011</v>
          </cell>
          <cell r="C7896" t="str">
            <v>wbsp_pop_totl</v>
          </cell>
          <cell r="D7896">
            <v>27266399</v>
          </cell>
        </row>
        <row r="7897">
          <cell r="A7897" t="str">
            <v>NPL</v>
          </cell>
          <cell r="B7897">
            <v>2012</v>
          </cell>
          <cell r="C7897" t="str">
            <v>wbsp_pop_1564_to</v>
          </cell>
          <cell r="D7897">
            <v>16397960</v>
          </cell>
        </row>
        <row r="7898">
          <cell r="A7898" t="str">
            <v>NPL</v>
          </cell>
          <cell r="B7898">
            <v>2012</v>
          </cell>
          <cell r="C7898" t="str">
            <v>wbsp_pop_totl</v>
          </cell>
          <cell r="D7898">
            <v>27330694</v>
          </cell>
        </row>
        <row r="7899">
          <cell r="A7899" t="str">
            <v>NPL</v>
          </cell>
          <cell r="B7899">
            <v>2013</v>
          </cell>
          <cell r="C7899" t="str">
            <v>wbsp_pop_1564_to</v>
          </cell>
          <cell r="D7899">
            <v>16519935</v>
          </cell>
        </row>
        <row r="7900">
          <cell r="A7900" t="str">
            <v>NPL</v>
          </cell>
          <cell r="B7900">
            <v>2013</v>
          </cell>
          <cell r="C7900" t="str">
            <v>wbsp_pop_totl</v>
          </cell>
          <cell r="D7900">
            <v>27381555</v>
          </cell>
        </row>
        <row r="7901">
          <cell r="A7901" t="str">
            <v>NPL</v>
          </cell>
          <cell r="B7901">
            <v>2014</v>
          </cell>
          <cell r="C7901" t="str">
            <v>wbsp_pop_1564_to</v>
          </cell>
          <cell r="D7901">
            <v>16665345</v>
          </cell>
        </row>
        <row r="7902">
          <cell r="A7902" t="str">
            <v>NPL</v>
          </cell>
          <cell r="B7902">
            <v>2014</v>
          </cell>
          <cell r="C7902" t="str">
            <v>wbsp_pop_totl</v>
          </cell>
          <cell r="D7902">
            <v>27462106</v>
          </cell>
        </row>
        <row r="7903">
          <cell r="A7903" t="str">
            <v>NPL</v>
          </cell>
          <cell r="B7903">
            <v>2015</v>
          </cell>
          <cell r="C7903" t="str">
            <v>wbsp_pop_1564_to</v>
          </cell>
          <cell r="D7903">
            <v>16873900</v>
          </cell>
        </row>
        <row r="7904">
          <cell r="A7904" t="str">
            <v>NPL</v>
          </cell>
          <cell r="B7904">
            <v>2015</v>
          </cell>
          <cell r="C7904" t="str">
            <v>wbsp_pop_totl</v>
          </cell>
          <cell r="D7904">
            <v>27610325</v>
          </cell>
        </row>
        <row r="7905">
          <cell r="A7905" t="str">
            <v>NPL</v>
          </cell>
          <cell r="B7905">
            <v>2016</v>
          </cell>
          <cell r="C7905" t="str">
            <v>wbsp_pop_1564_to</v>
          </cell>
          <cell r="D7905">
            <v>17172370</v>
          </cell>
        </row>
        <row r="7906">
          <cell r="A7906" t="str">
            <v>NPL</v>
          </cell>
          <cell r="B7906">
            <v>2016</v>
          </cell>
          <cell r="C7906" t="str">
            <v>wbsp_pop_totl</v>
          </cell>
          <cell r="D7906">
            <v>27861186</v>
          </cell>
        </row>
        <row r="7907">
          <cell r="A7907" t="str">
            <v>NPL</v>
          </cell>
          <cell r="B7907">
            <v>2017</v>
          </cell>
          <cell r="C7907" t="str">
            <v>wbsp_pop_1564_to</v>
          </cell>
          <cell r="D7907">
            <v>17527080</v>
          </cell>
        </row>
        <row r="7908">
          <cell r="A7908" t="str">
            <v>NPL</v>
          </cell>
          <cell r="B7908">
            <v>2017</v>
          </cell>
          <cell r="C7908" t="str">
            <v>wbsp_pop_totl</v>
          </cell>
          <cell r="D7908">
            <v>28183426</v>
          </cell>
        </row>
        <row r="7909">
          <cell r="A7909" t="str">
            <v>NPL</v>
          </cell>
          <cell r="B7909">
            <v>2018</v>
          </cell>
          <cell r="C7909" t="str">
            <v>wbsp_pop_1564_to</v>
          </cell>
          <cell r="D7909">
            <v>17879134</v>
          </cell>
        </row>
        <row r="7910">
          <cell r="A7910" t="str">
            <v>NPL</v>
          </cell>
          <cell r="B7910">
            <v>2018</v>
          </cell>
          <cell r="C7910" t="str">
            <v>wbsp_pop_totl</v>
          </cell>
          <cell r="D7910">
            <v>28506712</v>
          </cell>
        </row>
        <row r="7911">
          <cell r="A7911" t="str">
            <v>NPL</v>
          </cell>
          <cell r="B7911">
            <v>2019</v>
          </cell>
          <cell r="C7911" t="str">
            <v>wbsp_pop_1564_to</v>
          </cell>
          <cell r="D7911">
            <v>18227535</v>
          </cell>
        </row>
        <row r="7912">
          <cell r="A7912" t="str">
            <v>NPL</v>
          </cell>
          <cell r="B7912">
            <v>2019</v>
          </cell>
          <cell r="C7912" t="str">
            <v>wbsp_pop_totl</v>
          </cell>
          <cell r="D7912">
            <v>28832496</v>
          </cell>
        </row>
        <row r="7913">
          <cell r="A7913" t="str">
            <v>NPL</v>
          </cell>
          <cell r="B7913">
            <v>2020</v>
          </cell>
          <cell r="C7913" t="str">
            <v>wbsp_pop_1564_to</v>
          </cell>
          <cell r="D7913">
            <v>18737431</v>
          </cell>
        </row>
        <row r="7914">
          <cell r="A7914" t="str">
            <v>NPL</v>
          </cell>
          <cell r="B7914">
            <v>2020</v>
          </cell>
          <cell r="C7914" t="str">
            <v>wbsp_pop_totl</v>
          </cell>
          <cell r="D7914">
            <v>29348627</v>
          </cell>
        </row>
        <row r="7915">
          <cell r="A7915" t="str">
            <v>NPL</v>
          </cell>
          <cell r="B7915">
            <v>2021</v>
          </cell>
          <cell r="C7915" t="str">
            <v>wbsp_pop_1564_to</v>
          </cell>
          <cell r="D7915">
            <v>19390423</v>
          </cell>
        </row>
        <row r="7916">
          <cell r="A7916" t="str">
            <v>NPL</v>
          </cell>
          <cell r="B7916">
            <v>2021</v>
          </cell>
          <cell r="C7916" t="str">
            <v>wbsp_pop_totl</v>
          </cell>
          <cell r="D7916">
            <v>30034989</v>
          </cell>
        </row>
        <row r="7917">
          <cell r="A7917" t="str">
            <v>NPL</v>
          </cell>
          <cell r="B7917">
            <v>2022</v>
          </cell>
          <cell r="C7917" t="str">
            <v>wbsp_pop_1564_to</v>
          </cell>
          <cell r="D7917">
            <v>19864639</v>
          </cell>
        </row>
        <row r="7918">
          <cell r="A7918" t="str">
            <v>NPL</v>
          </cell>
          <cell r="B7918">
            <v>2022</v>
          </cell>
          <cell r="C7918" t="str">
            <v>wbsp_pop_totl</v>
          </cell>
          <cell r="D7918">
            <v>30547580</v>
          </cell>
        </row>
        <row r="7919">
          <cell r="A7919" t="str">
            <v>NPL</v>
          </cell>
          <cell r="B7919">
            <v>2023</v>
          </cell>
          <cell r="C7919" t="str">
            <v>wbsp_pop_1564_to</v>
          </cell>
          <cell r="D7919">
            <v>20170837</v>
          </cell>
        </row>
        <row r="7920">
          <cell r="A7920" t="str">
            <v>NPL</v>
          </cell>
          <cell r="B7920">
            <v>2023</v>
          </cell>
          <cell r="C7920" t="str">
            <v>wbsp_pop_totl</v>
          </cell>
          <cell r="D7920">
            <v>30896590</v>
          </cell>
        </row>
        <row r="7921">
          <cell r="A7921" t="str">
            <v>PAK</v>
          </cell>
          <cell r="B7921">
            <v>1960</v>
          </cell>
          <cell r="C7921" t="str">
            <v>wbsp_pop_1564_to</v>
          </cell>
          <cell r="D7921">
            <v>25570261</v>
          </cell>
        </row>
        <row r="7922">
          <cell r="A7922" t="str">
            <v>PAK</v>
          </cell>
          <cell r="B7922">
            <v>1960</v>
          </cell>
          <cell r="C7922" t="str">
            <v>wbsp_pop_totl</v>
          </cell>
          <cell r="D7922">
            <v>45954226</v>
          </cell>
        </row>
        <row r="7923">
          <cell r="A7923" t="str">
            <v>PAK</v>
          </cell>
          <cell r="B7923">
            <v>1961</v>
          </cell>
          <cell r="C7923" t="str">
            <v>wbsp_pop_1564_to</v>
          </cell>
          <cell r="D7923">
            <v>26133187</v>
          </cell>
        </row>
        <row r="7924">
          <cell r="A7924" t="str">
            <v>PAK</v>
          </cell>
          <cell r="B7924">
            <v>1961</v>
          </cell>
          <cell r="C7924" t="str">
            <v>wbsp_pop_totl</v>
          </cell>
          <cell r="D7924">
            <v>47060915</v>
          </cell>
        </row>
        <row r="7925">
          <cell r="A7925" t="str">
            <v>PAK</v>
          </cell>
          <cell r="B7925">
            <v>1962</v>
          </cell>
          <cell r="C7925" t="str">
            <v>wbsp_pop_1564_to</v>
          </cell>
          <cell r="D7925">
            <v>26647273</v>
          </cell>
        </row>
        <row r="7926">
          <cell r="A7926" t="str">
            <v>PAK</v>
          </cell>
          <cell r="B7926">
            <v>1962</v>
          </cell>
          <cell r="C7926" t="str">
            <v>wbsp_pop_totl</v>
          </cell>
          <cell r="D7926">
            <v>48161841</v>
          </cell>
        </row>
        <row r="7927">
          <cell r="A7927" t="str">
            <v>PAK</v>
          </cell>
          <cell r="B7927">
            <v>1963</v>
          </cell>
          <cell r="C7927" t="str">
            <v>wbsp_pop_1564_to</v>
          </cell>
          <cell r="D7927">
            <v>27161552</v>
          </cell>
        </row>
        <row r="7928">
          <cell r="A7928" t="str">
            <v>PAK</v>
          </cell>
          <cell r="B7928">
            <v>1963</v>
          </cell>
          <cell r="C7928" t="str">
            <v>wbsp_pop_totl</v>
          </cell>
          <cell r="D7928">
            <v>49325050</v>
          </cell>
        </row>
        <row r="7929">
          <cell r="A7929" t="str">
            <v>PAK</v>
          </cell>
          <cell r="B7929">
            <v>1964</v>
          </cell>
          <cell r="C7929" t="str">
            <v>wbsp_pop_1564_to</v>
          </cell>
          <cell r="D7929">
            <v>27670855</v>
          </cell>
        </row>
        <row r="7930">
          <cell r="A7930" t="str">
            <v>PAK</v>
          </cell>
          <cell r="B7930">
            <v>1964</v>
          </cell>
          <cell r="C7930" t="str">
            <v>wbsp_pop_totl</v>
          </cell>
          <cell r="D7930">
            <v>50552592</v>
          </cell>
        </row>
        <row r="7931">
          <cell r="A7931" t="str">
            <v>PAK</v>
          </cell>
          <cell r="B7931">
            <v>1965</v>
          </cell>
          <cell r="C7931" t="str">
            <v>wbsp_pop_1564_to</v>
          </cell>
          <cell r="D7931">
            <v>28180458</v>
          </cell>
        </row>
        <row r="7932">
          <cell r="A7932" t="str">
            <v>PAK</v>
          </cell>
          <cell r="B7932">
            <v>1965</v>
          </cell>
          <cell r="C7932" t="str">
            <v>wbsp_pop_totl</v>
          </cell>
          <cell r="D7932">
            <v>51841626</v>
          </cell>
        </row>
        <row r="7933">
          <cell r="A7933" t="str">
            <v>PAK</v>
          </cell>
          <cell r="B7933">
            <v>1966</v>
          </cell>
          <cell r="C7933" t="str">
            <v>wbsp_pop_1564_to</v>
          </cell>
          <cell r="D7933">
            <v>28719980</v>
          </cell>
        </row>
        <row r="7934">
          <cell r="A7934" t="str">
            <v>PAK</v>
          </cell>
          <cell r="B7934">
            <v>1966</v>
          </cell>
          <cell r="C7934" t="str">
            <v>wbsp_pop_totl</v>
          </cell>
          <cell r="D7934">
            <v>53199414</v>
          </cell>
        </row>
        <row r="7935">
          <cell r="A7935" t="str">
            <v>PAK</v>
          </cell>
          <cell r="B7935">
            <v>1967</v>
          </cell>
          <cell r="C7935" t="str">
            <v>wbsp_pop_1564_to</v>
          </cell>
          <cell r="D7935">
            <v>29316689</v>
          </cell>
        </row>
        <row r="7936">
          <cell r="A7936" t="str">
            <v>PAK</v>
          </cell>
          <cell r="B7936">
            <v>1967</v>
          </cell>
          <cell r="C7936" t="str">
            <v>wbsp_pop_totl</v>
          </cell>
          <cell r="D7936">
            <v>54629793</v>
          </cell>
        </row>
        <row r="7937">
          <cell r="A7937" t="str">
            <v>PAK</v>
          </cell>
          <cell r="B7937">
            <v>1968</v>
          </cell>
          <cell r="C7937" t="str">
            <v>wbsp_pop_1564_to</v>
          </cell>
          <cell r="D7937">
            <v>29970029</v>
          </cell>
        </row>
        <row r="7938">
          <cell r="A7938" t="str">
            <v>PAK</v>
          </cell>
          <cell r="B7938">
            <v>1968</v>
          </cell>
          <cell r="C7938" t="str">
            <v>wbsp_pop_totl</v>
          </cell>
          <cell r="D7938">
            <v>56124743</v>
          </cell>
        </row>
        <row r="7939">
          <cell r="A7939" t="str">
            <v>PAK</v>
          </cell>
          <cell r="B7939">
            <v>1969</v>
          </cell>
          <cell r="C7939" t="str">
            <v>wbsp_pop_1564_to</v>
          </cell>
          <cell r="D7939">
            <v>30679820</v>
          </cell>
        </row>
        <row r="7940">
          <cell r="A7940" t="str">
            <v>PAK</v>
          </cell>
          <cell r="B7940">
            <v>1969</v>
          </cell>
          <cell r="C7940" t="str">
            <v>wbsp_pop_totl</v>
          </cell>
          <cell r="D7940">
            <v>57676805</v>
          </cell>
        </row>
        <row r="7941">
          <cell r="A7941" t="str">
            <v>PAK</v>
          </cell>
          <cell r="B7941">
            <v>1970</v>
          </cell>
          <cell r="C7941" t="str">
            <v>wbsp_pop_1564_to</v>
          </cell>
          <cell r="D7941">
            <v>31445393</v>
          </cell>
        </row>
        <row r="7942">
          <cell r="A7942" t="str">
            <v>PAK</v>
          </cell>
          <cell r="B7942">
            <v>1970</v>
          </cell>
          <cell r="C7942" t="str">
            <v>wbsp_pop_totl</v>
          </cell>
          <cell r="D7942">
            <v>59290872</v>
          </cell>
        </row>
        <row r="7943">
          <cell r="A7943" t="str">
            <v>PAK</v>
          </cell>
          <cell r="B7943">
            <v>1971</v>
          </cell>
          <cell r="C7943" t="str">
            <v>wbsp_pop_1564_to</v>
          </cell>
          <cell r="D7943">
            <v>32210002</v>
          </cell>
        </row>
        <row r="7944">
          <cell r="A7944" t="str">
            <v>PAK</v>
          </cell>
          <cell r="B7944">
            <v>1971</v>
          </cell>
          <cell r="C7944" t="str">
            <v>wbsp_pop_totl</v>
          </cell>
          <cell r="D7944">
            <v>60878781</v>
          </cell>
        </row>
        <row r="7945">
          <cell r="A7945" t="str">
            <v>PAK</v>
          </cell>
          <cell r="B7945">
            <v>1972</v>
          </cell>
          <cell r="C7945" t="str">
            <v>wbsp_pop_1564_to</v>
          </cell>
          <cell r="D7945">
            <v>33010766</v>
          </cell>
        </row>
        <row r="7946">
          <cell r="A7946" t="str">
            <v>PAK</v>
          </cell>
          <cell r="B7946">
            <v>1972</v>
          </cell>
          <cell r="C7946" t="str">
            <v>wbsp_pop_totl</v>
          </cell>
          <cell r="D7946">
            <v>62509565</v>
          </cell>
        </row>
        <row r="7947">
          <cell r="A7947" t="str">
            <v>PAK</v>
          </cell>
          <cell r="B7947">
            <v>1973</v>
          </cell>
          <cell r="C7947" t="str">
            <v>wbsp_pop_1564_to</v>
          </cell>
          <cell r="D7947">
            <v>33909280</v>
          </cell>
        </row>
        <row r="7948">
          <cell r="A7948" t="str">
            <v>PAK</v>
          </cell>
          <cell r="B7948">
            <v>1973</v>
          </cell>
          <cell r="C7948" t="str">
            <v>wbsp_pop_totl</v>
          </cell>
          <cell r="D7948">
            <v>64285624</v>
          </cell>
        </row>
        <row r="7949">
          <cell r="A7949" t="str">
            <v>PAK</v>
          </cell>
          <cell r="B7949">
            <v>1974</v>
          </cell>
          <cell r="C7949" t="str">
            <v>wbsp_pop_1564_to</v>
          </cell>
          <cell r="D7949">
            <v>34880089</v>
          </cell>
        </row>
        <row r="7950">
          <cell r="A7950" t="str">
            <v>PAK</v>
          </cell>
          <cell r="B7950">
            <v>1974</v>
          </cell>
          <cell r="C7950" t="str">
            <v>wbsp_pop_totl</v>
          </cell>
          <cell r="D7950">
            <v>66149169</v>
          </cell>
        </row>
        <row r="7951">
          <cell r="A7951" t="str">
            <v>PAK</v>
          </cell>
          <cell r="B7951">
            <v>1975</v>
          </cell>
          <cell r="C7951" t="str">
            <v>wbsp_pop_1564_to</v>
          </cell>
          <cell r="D7951">
            <v>35943866</v>
          </cell>
        </row>
        <row r="7952">
          <cell r="A7952" t="str">
            <v>PAK</v>
          </cell>
          <cell r="B7952">
            <v>1975</v>
          </cell>
          <cell r="C7952" t="str">
            <v>wbsp_pop_totl</v>
          </cell>
          <cell r="D7952">
            <v>68126999</v>
          </cell>
        </row>
        <row r="7953">
          <cell r="A7953" t="str">
            <v>PAK</v>
          </cell>
          <cell r="B7953">
            <v>1976</v>
          </cell>
          <cell r="C7953" t="str">
            <v>wbsp_pop_1564_to</v>
          </cell>
          <cell r="D7953">
            <v>37105910</v>
          </cell>
        </row>
        <row r="7954">
          <cell r="A7954" t="str">
            <v>PAK</v>
          </cell>
          <cell r="B7954">
            <v>1976</v>
          </cell>
          <cell r="C7954" t="str">
            <v>wbsp_pop_totl</v>
          </cell>
          <cell r="D7954">
            <v>70230923</v>
          </cell>
        </row>
        <row r="7955">
          <cell r="A7955" t="str">
            <v>PAK</v>
          </cell>
          <cell r="B7955">
            <v>1977</v>
          </cell>
          <cell r="C7955" t="str">
            <v>wbsp_pop_1564_to</v>
          </cell>
          <cell r="D7955">
            <v>38347308</v>
          </cell>
        </row>
        <row r="7956">
          <cell r="A7956" t="str">
            <v>PAK</v>
          </cell>
          <cell r="B7956">
            <v>1977</v>
          </cell>
          <cell r="C7956" t="str">
            <v>wbsp_pop_totl</v>
          </cell>
          <cell r="D7956">
            <v>72451105</v>
          </cell>
        </row>
        <row r="7957">
          <cell r="A7957" t="str">
            <v>PAK</v>
          </cell>
          <cell r="B7957">
            <v>1978</v>
          </cell>
          <cell r="C7957" t="str">
            <v>wbsp_pop_1564_to</v>
          </cell>
          <cell r="D7957">
            <v>39657595</v>
          </cell>
        </row>
        <row r="7958">
          <cell r="A7958" t="str">
            <v>PAK</v>
          </cell>
          <cell r="B7958">
            <v>1978</v>
          </cell>
          <cell r="C7958" t="str">
            <v>wbsp_pop_totl</v>
          </cell>
          <cell r="D7958">
            <v>74789330</v>
          </cell>
        </row>
        <row r="7959">
          <cell r="A7959" t="str">
            <v>PAK</v>
          </cell>
          <cell r="B7959">
            <v>1979</v>
          </cell>
          <cell r="C7959" t="str">
            <v>wbsp_pop_1564_to</v>
          </cell>
          <cell r="D7959">
            <v>41170488</v>
          </cell>
        </row>
        <row r="7960">
          <cell r="A7960" t="str">
            <v>PAK</v>
          </cell>
          <cell r="B7960">
            <v>1979</v>
          </cell>
          <cell r="C7960" t="str">
            <v>wbsp_pop_totl</v>
          </cell>
          <cell r="D7960">
            <v>77407341</v>
          </cell>
        </row>
        <row r="7961">
          <cell r="A7961" t="str">
            <v>PAK</v>
          </cell>
          <cell r="B7961">
            <v>1980</v>
          </cell>
          <cell r="C7961" t="str">
            <v>wbsp_pop_1564_to</v>
          </cell>
          <cell r="D7961">
            <v>43146027</v>
          </cell>
        </row>
        <row r="7962">
          <cell r="A7962" t="str">
            <v>PAK</v>
          </cell>
          <cell r="B7962">
            <v>1980</v>
          </cell>
          <cell r="C7962" t="str">
            <v>wbsp_pop_totl</v>
          </cell>
          <cell r="D7962">
            <v>80624057</v>
          </cell>
        </row>
        <row r="7963">
          <cell r="A7963" t="str">
            <v>PAK</v>
          </cell>
          <cell r="B7963">
            <v>1981</v>
          </cell>
          <cell r="C7963" t="str">
            <v>wbsp_pop_1564_to</v>
          </cell>
          <cell r="D7963">
            <v>45403275</v>
          </cell>
        </row>
        <row r="7964">
          <cell r="A7964" t="str">
            <v>PAK</v>
          </cell>
          <cell r="B7964">
            <v>1981</v>
          </cell>
          <cell r="C7964" t="str">
            <v>wbsp_pop_totl</v>
          </cell>
          <cell r="D7964">
            <v>84270202</v>
          </cell>
        </row>
        <row r="7965">
          <cell r="A7965" t="str">
            <v>PAK</v>
          </cell>
          <cell r="B7965">
            <v>1982</v>
          </cell>
          <cell r="C7965" t="str">
            <v>wbsp_pop_1564_to</v>
          </cell>
          <cell r="D7965">
            <v>47475600</v>
          </cell>
        </row>
        <row r="7966">
          <cell r="A7966" t="str">
            <v>PAK</v>
          </cell>
          <cell r="B7966">
            <v>1982</v>
          </cell>
          <cell r="C7966" t="str">
            <v>wbsp_pop_totl</v>
          </cell>
          <cell r="D7966">
            <v>87828198</v>
          </cell>
        </row>
        <row r="7967">
          <cell r="A7967" t="str">
            <v>PAK</v>
          </cell>
          <cell r="B7967">
            <v>1983</v>
          </cell>
          <cell r="C7967" t="str">
            <v>wbsp_pop_1564_to</v>
          </cell>
          <cell r="D7967">
            <v>49186474</v>
          </cell>
        </row>
        <row r="7968">
          <cell r="A7968" t="str">
            <v>PAK</v>
          </cell>
          <cell r="B7968">
            <v>1983</v>
          </cell>
          <cell r="C7968" t="str">
            <v>wbsp_pop_totl</v>
          </cell>
          <cell r="D7968">
            <v>91080372</v>
          </cell>
        </row>
        <row r="7969">
          <cell r="A7969" t="str">
            <v>PAK</v>
          </cell>
          <cell r="B7969">
            <v>1984</v>
          </cell>
          <cell r="C7969" t="str">
            <v>wbsp_pop_1564_to</v>
          </cell>
          <cell r="D7969">
            <v>50537029</v>
          </cell>
        </row>
        <row r="7970">
          <cell r="A7970" t="str">
            <v>PAK</v>
          </cell>
          <cell r="B7970">
            <v>1984</v>
          </cell>
          <cell r="C7970" t="str">
            <v>wbsp_pop_totl</v>
          </cell>
          <cell r="D7970">
            <v>94003867</v>
          </cell>
        </row>
        <row r="7971">
          <cell r="A7971" t="str">
            <v>PAK</v>
          </cell>
          <cell r="B7971">
            <v>1985</v>
          </cell>
          <cell r="C7971" t="str">
            <v>wbsp_pop_1564_to</v>
          </cell>
          <cell r="D7971">
            <v>52006725</v>
          </cell>
        </row>
        <row r="7972">
          <cell r="A7972" t="str">
            <v>PAK</v>
          </cell>
          <cell r="B7972">
            <v>1985</v>
          </cell>
          <cell r="C7972" t="str">
            <v>wbsp_pop_totl</v>
          </cell>
          <cell r="D7972">
            <v>97121552</v>
          </cell>
        </row>
        <row r="7973">
          <cell r="A7973" t="str">
            <v>PAK</v>
          </cell>
          <cell r="B7973">
            <v>1986</v>
          </cell>
          <cell r="C7973" t="str">
            <v>wbsp_pop_1564_to</v>
          </cell>
          <cell r="D7973">
            <v>53753217</v>
          </cell>
        </row>
        <row r="7974">
          <cell r="A7974" t="str">
            <v>PAK</v>
          </cell>
          <cell r="B7974">
            <v>1986</v>
          </cell>
          <cell r="C7974" t="str">
            <v>wbsp_pop_totl</v>
          </cell>
          <cell r="D7974">
            <v>100618523</v>
          </cell>
        </row>
        <row r="7975">
          <cell r="A7975" t="str">
            <v>PAK</v>
          </cell>
          <cell r="B7975">
            <v>1987</v>
          </cell>
          <cell r="C7975" t="str">
            <v>wbsp_pop_1564_to</v>
          </cell>
          <cell r="D7975">
            <v>55560118</v>
          </cell>
        </row>
        <row r="7976">
          <cell r="A7976" t="str">
            <v>PAK</v>
          </cell>
          <cell r="B7976">
            <v>1987</v>
          </cell>
          <cell r="C7976" t="str">
            <v>wbsp_pop_totl</v>
          </cell>
          <cell r="D7976">
            <v>104251093</v>
          </cell>
        </row>
        <row r="7977">
          <cell r="A7977" t="str">
            <v>PAK</v>
          </cell>
          <cell r="B7977">
            <v>1988</v>
          </cell>
          <cell r="C7977" t="str">
            <v>wbsp_pop_1564_to</v>
          </cell>
          <cell r="D7977">
            <v>57392380</v>
          </cell>
        </row>
        <row r="7978">
          <cell r="A7978" t="str">
            <v>PAK</v>
          </cell>
          <cell r="B7978">
            <v>1988</v>
          </cell>
          <cell r="C7978" t="str">
            <v>wbsp_pop_totl</v>
          </cell>
          <cell r="D7978">
            <v>107967838</v>
          </cell>
        </row>
        <row r="7979">
          <cell r="A7979" t="str">
            <v>PAK</v>
          </cell>
          <cell r="B7979">
            <v>1989</v>
          </cell>
          <cell r="C7979" t="str">
            <v>wbsp_pop_1564_to</v>
          </cell>
          <cell r="D7979">
            <v>59167337</v>
          </cell>
        </row>
        <row r="7980">
          <cell r="A7980" t="str">
            <v>PAK</v>
          </cell>
          <cell r="B7980">
            <v>1989</v>
          </cell>
          <cell r="C7980" t="str">
            <v>wbsp_pop_totl</v>
          </cell>
          <cell r="D7980">
            <v>111670386</v>
          </cell>
        </row>
        <row r="7981">
          <cell r="A7981" t="str">
            <v>PAK</v>
          </cell>
          <cell r="B7981">
            <v>1990</v>
          </cell>
          <cell r="C7981" t="str">
            <v>wbsp_pop_1564_to</v>
          </cell>
          <cell r="D7981">
            <v>60949508</v>
          </cell>
        </row>
        <row r="7982">
          <cell r="A7982" t="str">
            <v>PAK</v>
          </cell>
          <cell r="B7982">
            <v>1990</v>
          </cell>
          <cell r="C7982" t="str">
            <v>wbsp_pop_totl</v>
          </cell>
          <cell r="D7982">
            <v>115414069</v>
          </cell>
        </row>
        <row r="7983">
          <cell r="A7983" t="str">
            <v>PAK</v>
          </cell>
          <cell r="B7983">
            <v>1991</v>
          </cell>
          <cell r="C7983" t="str">
            <v>wbsp_pop_1564_to</v>
          </cell>
          <cell r="D7983">
            <v>62762404</v>
          </cell>
        </row>
        <row r="7984">
          <cell r="A7984" t="str">
            <v>PAK</v>
          </cell>
          <cell r="B7984">
            <v>1991</v>
          </cell>
          <cell r="C7984" t="str">
            <v>wbsp_pop_totl</v>
          </cell>
          <cell r="D7984">
            <v>119203569</v>
          </cell>
        </row>
        <row r="7985">
          <cell r="A7985" t="str">
            <v>PAK</v>
          </cell>
          <cell r="B7985">
            <v>1992</v>
          </cell>
          <cell r="C7985" t="str">
            <v>wbsp_pop_1564_to</v>
          </cell>
          <cell r="D7985">
            <v>64052618</v>
          </cell>
        </row>
        <row r="7986">
          <cell r="A7986" t="str">
            <v>PAK</v>
          </cell>
          <cell r="B7986">
            <v>1992</v>
          </cell>
          <cell r="C7986" t="str">
            <v>wbsp_pop_totl</v>
          </cell>
          <cell r="D7986">
            <v>122375179</v>
          </cell>
        </row>
        <row r="7987">
          <cell r="A7987" t="str">
            <v>PAK</v>
          </cell>
          <cell r="B7987">
            <v>1993</v>
          </cell>
          <cell r="C7987" t="str">
            <v>wbsp_pop_1564_to</v>
          </cell>
          <cell r="D7987">
            <v>65405796</v>
          </cell>
        </row>
        <row r="7988">
          <cell r="A7988" t="str">
            <v>PAK</v>
          </cell>
          <cell r="B7988">
            <v>1993</v>
          </cell>
          <cell r="C7988" t="str">
            <v>wbsp_pop_totl</v>
          </cell>
          <cell r="D7988">
            <v>125546615</v>
          </cell>
        </row>
        <row r="7989">
          <cell r="A7989" t="str">
            <v>PAK</v>
          </cell>
          <cell r="B7989">
            <v>1994</v>
          </cell>
          <cell r="C7989" t="str">
            <v>wbsp_pop_1564_to</v>
          </cell>
          <cell r="D7989">
            <v>67282401</v>
          </cell>
        </row>
        <row r="7990">
          <cell r="A7990" t="str">
            <v>PAK</v>
          </cell>
          <cell r="B7990">
            <v>1994</v>
          </cell>
          <cell r="C7990" t="str">
            <v>wbsp_pop_totl</v>
          </cell>
          <cell r="D7990">
            <v>129245139</v>
          </cell>
        </row>
        <row r="7991">
          <cell r="A7991" t="str">
            <v>PAK</v>
          </cell>
          <cell r="B7991">
            <v>1995</v>
          </cell>
          <cell r="C7991" t="str">
            <v>wbsp_pop_1564_to</v>
          </cell>
          <cell r="D7991">
            <v>69374710</v>
          </cell>
        </row>
        <row r="7992">
          <cell r="A7992" t="str">
            <v>PAK</v>
          </cell>
          <cell r="B7992">
            <v>1995</v>
          </cell>
          <cell r="C7992" t="str">
            <v>wbsp_pop_totl</v>
          </cell>
          <cell r="D7992">
            <v>133117476</v>
          </cell>
        </row>
        <row r="7993">
          <cell r="A7993" t="str">
            <v>PAK</v>
          </cell>
          <cell r="B7993">
            <v>1996</v>
          </cell>
          <cell r="C7993" t="str">
            <v>wbsp_pop_1564_to</v>
          </cell>
          <cell r="D7993">
            <v>71775455</v>
          </cell>
        </row>
        <row r="7994">
          <cell r="A7994" t="str">
            <v>PAK</v>
          </cell>
          <cell r="B7994">
            <v>1996</v>
          </cell>
          <cell r="C7994" t="str">
            <v>wbsp_pop_totl</v>
          </cell>
          <cell r="D7994">
            <v>137234810</v>
          </cell>
        </row>
        <row r="7995">
          <cell r="A7995" t="str">
            <v>PAK</v>
          </cell>
          <cell r="B7995">
            <v>1997</v>
          </cell>
          <cell r="C7995" t="str">
            <v>wbsp_pop_1564_to</v>
          </cell>
          <cell r="D7995">
            <v>74261716</v>
          </cell>
        </row>
        <row r="7996">
          <cell r="A7996" t="str">
            <v>PAK</v>
          </cell>
          <cell r="B7996">
            <v>1997</v>
          </cell>
          <cell r="C7996" t="str">
            <v>wbsp_pop_totl</v>
          </cell>
          <cell r="D7996">
            <v>141330267</v>
          </cell>
        </row>
        <row r="7997">
          <cell r="A7997" t="str">
            <v>PAK</v>
          </cell>
          <cell r="B7997">
            <v>1998</v>
          </cell>
          <cell r="C7997" t="str">
            <v>wbsp_pop_1564_to</v>
          </cell>
          <cell r="D7997">
            <v>76878682</v>
          </cell>
        </row>
        <row r="7998">
          <cell r="A7998" t="str">
            <v>PAK</v>
          </cell>
          <cell r="B7998">
            <v>1998</v>
          </cell>
          <cell r="C7998" t="str">
            <v>wbsp_pop_totl</v>
          </cell>
          <cell r="D7998">
            <v>145476106</v>
          </cell>
        </row>
        <row r="7999">
          <cell r="A7999" t="str">
            <v>PAK</v>
          </cell>
          <cell r="B7999">
            <v>1999</v>
          </cell>
          <cell r="C7999" t="str">
            <v>wbsp_pop_1564_to</v>
          </cell>
          <cell r="D7999">
            <v>79606748</v>
          </cell>
        </row>
        <row r="8000">
          <cell r="A8000" t="str">
            <v>PAK</v>
          </cell>
          <cell r="B8000">
            <v>1999</v>
          </cell>
          <cell r="C8000" t="str">
            <v>wbsp_pop_totl</v>
          </cell>
          <cell r="D8000">
            <v>149694462</v>
          </cell>
        </row>
        <row r="8001">
          <cell r="A8001" t="str">
            <v>PAK</v>
          </cell>
          <cell r="B8001">
            <v>2000</v>
          </cell>
          <cell r="C8001" t="str">
            <v>wbsp_pop_1564_to</v>
          </cell>
          <cell r="D8001">
            <v>82770846</v>
          </cell>
        </row>
        <row r="8002">
          <cell r="A8002" t="str">
            <v>PAK</v>
          </cell>
          <cell r="B8002">
            <v>2000</v>
          </cell>
          <cell r="C8002" t="str">
            <v>wbsp_pop_totl</v>
          </cell>
          <cell r="D8002">
            <v>154369924</v>
          </cell>
        </row>
        <row r="8003">
          <cell r="A8003" t="str">
            <v>PAK</v>
          </cell>
          <cell r="B8003">
            <v>2001</v>
          </cell>
          <cell r="C8003" t="str">
            <v>wbsp_pop_1564_to</v>
          </cell>
          <cell r="D8003">
            <v>86125833</v>
          </cell>
        </row>
        <row r="8004">
          <cell r="A8004" t="str">
            <v>PAK</v>
          </cell>
          <cell r="B8004">
            <v>2001</v>
          </cell>
          <cell r="C8004" t="str">
            <v>wbsp_pop_totl</v>
          </cell>
          <cell r="D8004">
            <v>159217727</v>
          </cell>
        </row>
        <row r="8005">
          <cell r="A8005" t="str">
            <v>PAK</v>
          </cell>
          <cell r="B8005">
            <v>2002</v>
          </cell>
          <cell r="C8005" t="str">
            <v>wbsp_pop_1564_to</v>
          </cell>
          <cell r="D8005">
            <v>88828749</v>
          </cell>
        </row>
        <row r="8006">
          <cell r="A8006" t="str">
            <v>PAK</v>
          </cell>
          <cell r="B8006">
            <v>2002</v>
          </cell>
          <cell r="C8006" t="str">
            <v>wbsp_pop_totl</v>
          </cell>
          <cell r="D8006">
            <v>163262807</v>
          </cell>
        </row>
        <row r="8007">
          <cell r="A8007" t="str">
            <v>PAK</v>
          </cell>
          <cell r="B8007">
            <v>2003</v>
          </cell>
          <cell r="C8007" t="str">
            <v>wbsp_pop_1564_to</v>
          </cell>
          <cell r="D8007">
            <v>91232910</v>
          </cell>
        </row>
        <row r="8008">
          <cell r="A8008" t="str">
            <v>PAK</v>
          </cell>
          <cell r="B8008">
            <v>2003</v>
          </cell>
          <cell r="C8008" t="str">
            <v>wbsp_pop_totl</v>
          </cell>
          <cell r="D8008">
            <v>166876680</v>
          </cell>
        </row>
        <row r="8009">
          <cell r="A8009" t="str">
            <v>PAK</v>
          </cell>
          <cell r="B8009">
            <v>2004</v>
          </cell>
          <cell r="C8009" t="str">
            <v>wbsp_pop_1564_to</v>
          </cell>
          <cell r="D8009">
            <v>93860799</v>
          </cell>
        </row>
        <row r="8010">
          <cell r="A8010" t="str">
            <v>PAK</v>
          </cell>
          <cell r="B8010">
            <v>2004</v>
          </cell>
          <cell r="C8010" t="str">
            <v>wbsp_pop_totl</v>
          </cell>
          <cell r="D8010">
            <v>170648620</v>
          </cell>
        </row>
        <row r="8011">
          <cell r="A8011" t="str">
            <v>PAK</v>
          </cell>
          <cell r="B8011">
            <v>2005</v>
          </cell>
          <cell r="C8011" t="str">
            <v>wbsp_pop_1564_to</v>
          </cell>
          <cell r="D8011">
            <v>96528411</v>
          </cell>
        </row>
        <row r="8012">
          <cell r="A8012" t="str">
            <v>PAK</v>
          </cell>
          <cell r="B8012">
            <v>2005</v>
          </cell>
          <cell r="C8012" t="str">
            <v>wbsp_pop_totl</v>
          </cell>
          <cell r="D8012">
            <v>174372098</v>
          </cell>
        </row>
        <row r="8013">
          <cell r="A8013" t="str">
            <v>PAK</v>
          </cell>
          <cell r="B8013">
            <v>2006</v>
          </cell>
          <cell r="C8013" t="str">
            <v>wbsp_pop_1564_to</v>
          </cell>
          <cell r="D8013">
            <v>99222675</v>
          </cell>
        </row>
        <row r="8014">
          <cell r="A8014" t="str">
            <v>PAK</v>
          </cell>
          <cell r="B8014">
            <v>2006</v>
          </cell>
          <cell r="C8014" t="str">
            <v>wbsp_pop_totl</v>
          </cell>
          <cell r="D8014">
            <v>178069984</v>
          </cell>
        </row>
        <row r="8015">
          <cell r="A8015" t="str">
            <v>PAK</v>
          </cell>
          <cell r="B8015">
            <v>2007</v>
          </cell>
          <cell r="C8015" t="str">
            <v>wbsp_pop_1564_to</v>
          </cell>
          <cell r="D8015">
            <v>102020263</v>
          </cell>
        </row>
        <row r="8016">
          <cell r="A8016" t="str">
            <v>PAK</v>
          </cell>
          <cell r="B8016">
            <v>2007</v>
          </cell>
          <cell r="C8016" t="str">
            <v>wbsp_pop_totl</v>
          </cell>
          <cell r="D8016">
            <v>181924521</v>
          </cell>
        </row>
        <row r="8017">
          <cell r="A8017" t="str">
            <v>PAK</v>
          </cell>
          <cell r="B8017">
            <v>2008</v>
          </cell>
          <cell r="C8017" t="str">
            <v>wbsp_pop_1564_to</v>
          </cell>
          <cell r="D8017">
            <v>104874732</v>
          </cell>
        </row>
        <row r="8018">
          <cell r="A8018" t="str">
            <v>PAK</v>
          </cell>
          <cell r="B8018">
            <v>2008</v>
          </cell>
          <cell r="C8018" t="str">
            <v>wbsp_pop_totl</v>
          </cell>
          <cell r="D8018">
            <v>185931955</v>
          </cell>
        </row>
        <row r="8019">
          <cell r="A8019" t="str">
            <v>PAK</v>
          </cell>
          <cell r="B8019">
            <v>2009</v>
          </cell>
          <cell r="C8019" t="str">
            <v>wbsp_pop_1564_to</v>
          </cell>
          <cell r="D8019">
            <v>107842466</v>
          </cell>
        </row>
        <row r="8020">
          <cell r="A8020" t="str">
            <v>PAK</v>
          </cell>
          <cell r="B8020">
            <v>2009</v>
          </cell>
          <cell r="C8020" t="str">
            <v>wbsp_pop_totl</v>
          </cell>
          <cell r="D8020">
            <v>190123222</v>
          </cell>
        </row>
        <row r="8021">
          <cell r="A8021" t="str">
            <v>PAK</v>
          </cell>
          <cell r="B8021">
            <v>2010</v>
          </cell>
          <cell r="C8021" t="str">
            <v>wbsp_pop_1564_to</v>
          </cell>
          <cell r="D8021">
            <v>110893362</v>
          </cell>
        </row>
        <row r="8022">
          <cell r="A8022" t="str">
            <v>PAK</v>
          </cell>
          <cell r="B8022">
            <v>2010</v>
          </cell>
          <cell r="C8022" t="str">
            <v>wbsp_pop_totl</v>
          </cell>
          <cell r="D8022">
            <v>194454498</v>
          </cell>
        </row>
        <row r="8023">
          <cell r="A8023" t="str">
            <v>PAK</v>
          </cell>
          <cell r="B8023">
            <v>2011</v>
          </cell>
          <cell r="C8023" t="str">
            <v>wbsp_pop_1564_to</v>
          </cell>
          <cell r="D8023">
            <v>113745731</v>
          </cell>
        </row>
        <row r="8024">
          <cell r="A8024" t="str">
            <v>PAK</v>
          </cell>
          <cell r="B8024">
            <v>2011</v>
          </cell>
          <cell r="C8024" t="str">
            <v>wbsp_pop_totl</v>
          </cell>
          <cell r="D8024">
            <v>198602738</v>
          </cell>
        </row>
        <row r="8025">
          <cell r="A8025" t="str">
            <v>PAK</v>
          </cell>
          <cell r="B8025">
            <v>2012</v>
          </cell>
          <cell r="C8025" t="str">
            <v>wbsp_pop_1564_to</v>
          </cell>
          <cell r="D8025">
            <v>116104655</v>
          </cell>
        </row>
        <row r="8026">
          <cell r="A8026" t="str">
            <v>PAK</v>
          </cell>
          <cell r="B8026">
            <v>2012</v>
          </cell>
          <cell r="C8026" t="str">
            <v>wbsp_pop_totl</v>
          </cell>
          <cell r="D8026">
            <v>202205861</v>
          </cell>
        </row>
        <row r="8027">
          <cell r="A8027" t="str">
            <v>PAK</v>
          </cell>
          <cell r="B8027">
            <v>2013</v>
          </cell>
          <cell r="C8027" t="str">
            <v>wbsp_pop_1564_to</v>
          </cell>
          <cell r="D8027">
            <v>118065872</v>
          </cell>
        </row>
        <row r="8028">
          <cell r="A8028" t="str">
            <v>PAK</v>
          </cell>
          <cell r="B8028">
            <v>2013</v>
          </cell>
          <cell r="C8028" t="str">
            <v>wbsp_pop_totl</v>
          </cell>
          <cell r="D8028">
            <v>205337562</v>
          </cell>
        </row>
        <row r="8029">
          <cell r="A8029" t="str">
            <v>PAK</v>
          </cell>
          <cell r="B8029">
            <v>2014</v>
          </cell>
          <cell r="C8029" t="str">
            <v>wbsp_pop_1564_to</v>
          </cell>
          <cell r="D8029">
            <v>119914538</v>
          </cell>
        </row>
        <row r="8030">
          <cell r="A8030" t="str">
            <v>PAK</v>
          </cell>
          <cell r="B8030">
            <v>2014</v>
          </cell>
          <cell r="C8030" t="str">
            <v>wbsp_pop_totl</v>
          </cell>
          <cell r="D8030">
            <v>208251628</v>
          </cell>
        </row>
        <row r="8031">
          <cell r="A8031" t="str">
            <v>PAK</v>
          </cell>
          <cell r="B8031">
            <v>2015</v>
          </cell>
          <cell r="C8031" t="str">
            <v>wbsp_pop_1564_to</v>
          </cell>
          <cell r="D8031">
            <v>121660966</v>
          </cell>
        </row>
        <row r="8032">
          <cell r="A8032" t="str">
            <v>PAK</v>
          </cell>
          <cell r="B8032">
            <v>2015</v>
          </cell>
          <cell r="C8032" t="str">
            <v>wbsp_pop_totl</v>
          </cell>
          <cell r="D8032">
            <v>210969298</v>
          </cell>
        </row>
        <row r="8033">
          <cell r="A8033" t="str">
            <v>PAK</v>
          </cell>
          <cell r="B8033">
            <v>2016</v>
          </cell>
          <cell r="C8033" t="str">
            <v>wbsp_pop_1564_to</v>
          </cell>
          <cell r="D8033">
            <v>123307884</v>
          </cell>
        </row>
        <row r="8034">
          <cell r="A8034" t="str">
            <v>PAK</v>
          </cell>
          <cell r="B8034">
            <v>2016</v>
          </cell>
          <cell r="C8034" t="str">
            <v>wbsp_pop_totl</v>
          </cell>
          <cell r="D8034">
            <v>213524840</v>
          </cell>
        </row>
        <row r="8035">
          <cell r="A8035" t="str">
            <v>PAK</v>
          </cell>
          <cell r="B8035">
            <v>2017</v>
          </cell>
          <cell r="C8035" t="str">
            <v>wbsp_pop_1564_to</v>
          </cell>
          <cell r="D8035">
            <v>125260953</v>
          </cell>
        </row>
        <row r="8036">
          <cell r="A8036" t="str">
            <v>PAK</v>
          </cell>
          <cell r="B8036">
            <v>2017</v>
          </cell>
          <cell r="C8036" t="str">
            <v>wbsp_pop_totl</v>
          </cell>
          <cell r="D8036">
            <v>216379655</v>
          </cell>
        </row>
        <row r="8037">
          <cell r="A8037" t="str">
            <v>PAK</v>
          </cell>
          <cell r="B8037">
            <v>2018</v>
          </cell>
          <cell r="C8037" t="str">
            <v>wbsp_pop_1564_to</v>
          </cell>
          <cell r="D8037">
            <v>127651888</v>
          </cell>
        </row>
        <row r="8038">
          <cell r="A8038" t="str">
            <v>PAK</v>
          </cell>
          <cell r="B8038">
            <v>2018</v>
          </cell>
          <cell r="C8038" t="str">
            <v>wbsp_pop_totl</v>
          </cell>
          <cell r="D8038">
            <v>219731479</v>
          </cell>
        </row>
        <row r="8039">
          <cell r="A8039" t="str">
            <v>PAK</v>
          </cell>
          <cell r="B8039">
            <v>2019</v>
          </cell>
          <cell r="C8039" t="str">
            <v>wbsp_pop_1564_to</v>
          </cell>
          <cell r="D8039">
            <v>130195040</v>
          </cell>
        </row>
        <row r="8040">
          <cell r="A8040" t="str">
            <v>PAK</v>
          </cell>
          <cell r="B8040">
            <v>2019</v>
          </cell>
          <cell r="C8040" t="str">
            <v>wbsp_pop_totl</v>
          </cell>
          <cell r="D8040">
            <v>223293280</v>
          </cell>
        </row>
        <row r="8041">
          <cell r="A8041" t="str">
            <v>PAK</v>
          </cell>
          <cell r="B8041">
            <v>2020</v>
          </cell>
          <cell r="C8041" t="str">
            <v>wbsp_pop_1564_to</v>
          </cell>
          <cell r="D8041">
            <v>133031513</v>
          </cell>
        </row>
        <row r="8042">
          <cell r="A8042" t="str">
            <v>PAK</v>
          </cell>
          <cell r="B8042">
            <v>2020</v>
          </cell>
          <cell r="C8042" t="str">
            <v>wbsp_pop_totl</v>
          </cell>
          <cell r="D8042">
            <v>227196741</v>
          </cell>
        </row>
        <row r="8043">
          <cell r="A8043" t="str">
            <v>PAK</v>
          </cell>
          <cell r="B8043">
            <v>2021</v>
          </cell>
          <cell r="C8043" t="str">
            <v>wbsp_pop_1564_to</v>
          </cell>
          <cell r="D8043">
            <v>136153500</v>
          </cell>
        </row>
        <row r="8044">
          <cell r="A8044" t="str">
            <v>PAK</v>
          </cell>
          <cell r="B8044">
            <v>2021</v>
          </cell>
          <cell r="C8044" t="str">
            <v>wbsp_pop_totl</v>
          </cell>
          <cell r="D8044">
            <v>231402117</v>
          </cell>
        </row>
        <row r="8045">
          <cell r="A8045" t="str">
            <v>PAK</v>
          </cell>
          <cell r="B8045">
            <v>2022</v>
          </cell>
          <cell r="C8045" t="str">
            <v>wbsp_pop_1564_to</v>
          </cell>
          <cell r="D8045">
            <v>139515778</v>
          </cell>
        </row>
        <row r="8046">
          <cell r="A8046" t="str">
            <v>PAK</v>
          </cell>
          <cell r="B8046">
            <v>2022</v>
          </cell>
          <cell r="C8046" t="str">
            <v>wbsp_pop_totl</v>
          </cell>
          <cell r="D8046">
            <v>235824862</v>
          </cell>
        </row>
        <row r="8047">
          <cell r="A8047" t="str">
            <v>PAK</v>
          </cell>
          <cell r="B8047">
            <v>2023</v>
          </cell>
          <cell r="C8047" t="str">
            <v>wbsp_pop_1564_to</v>
          </cell>
          <cell r="D8047">
            <v>143111062</v>
          </cell>
        </row>
        <row r="8048">
          <cell r="A8048" t="str">
            <v>PAK</v>
          </cell>
          <cell r="B8048">
            <v>2023</v>
          </cell>
          <cell r="C8048" t="str">
            <v>wbsp_pop_totl</v>
          </cell>
          <cell r="D8048">
            <v>240485658</v>
          </cell>
        </row>
        <row r="8049">
          <cell r="A8049" t="str">
            <v>AFG</v>
          </cell>
          <cell r="B8049">
            <v>2000</v>
          </cell>
          <cell r="C8049" t="str">
            <v>unpop_0014</v>
          </cell>
          <cell r="D8049">
            <v>10070182</v>
          </cell>
        </row>
        <row r="8050">
          <cell r="A8050" t="str">
            <v>AFG</v>
          </cell>
          <cell r="B8050">
            <v>2000</v>
          </cell>
          <cell r="C8050" t="str">
            <v>unpop_1564</v>
          </cell>
          <cell r="D8050">
            <v>9604803</v>
          </cell>
        </row>
        <row r="8051">
          <cell r="A8051" t="str">
            <v>AFG</v>
          </cell>
          <cell r="B8051">
            <v>2000</v>
          </cell>
          <cell r="C8051" t="str">
            <v>unpop_65up</v>
          </cell>
          <cell r="D8051">
            <v>455342</v>
          </cell>
        </row>
        <row r="8052">
          <cell r="A8052" t="str">
            <v>AFG</v>
          </cell>
          <cell r="B8052">
            <v>2000</v>
          </cell>
          <cell r="C8052" t="str">
            <v>unpop_total</v>
          </cell>
          <cell r="D8052">
            <v>20130327</v>
          </cell>
        </row>
        <row r="8053">
          <cell r="A8053" t="str">
            <v>AFG</v>
          </cell>
          <cell r="B8053">
            <v>2001</v>
          </cell>
          <cell r="C8053" t="str">
            <v>unpop_0014</v>
          </cell>
          <cell r="D8053">
            <v>10176371</v>
          </cell>
        </row>
        <row r="8054">
          <cell r="A8054" t="str">
            <v>AFG</v>
          </cell>
          <cell r="B8054">
            <v>2001</v>
          </cell>
          <cell r="C8054" t="str">
            <v>unpop_1564</v>
          </cell>
          <cell r="D8054">
            <v>9649115.5</v>
          </cell>
        </row>
        <row r="8055">
          <cell r="A8055" t="str">
            <v>AFG</v>
          </cell>
          <cell r="B8055">
            <v>2001</v>
          </cell>
          <cell r="C8055" t="str">
            <v>unpop_65up</v>
          </cell>
          <cell r="D8055">
            <v>458820.5</v>
          </cell>
        </row>
        <row r="8056">
          <cell r="A8056" t="str">
            <v>AFG</v>
          </cell>
          <cell r="B8056">
            <v>2001</v>
          </cell>
          <cell r="C8056" t="str">
            <v>unpop_total</v>
          </cell>
          <cell r="D8056">
            <v>20284307</v>
          </cell>
        </row>
        <row r="8057">
          <cell r="A8057" t="str">
            <v>AFG</v>
          </cell>
          <cell r="B8057">
            <v>2002</v>
          </cell>
          <cell r="C8057" t="str">
            <v>unpop_0014</v>
          </cell>
          <cell r="D8057">
            <v>10739916.5</v>
          </cell>
        </row>
        <row r="8058">
          <cell r="A8058" t="str">
            <v>AFG</v>
          </cell>
          <cell r="B8058">
            <v>2002</v>
          </cell>
          <cell r="C8058" t="str">
            <v>unpop_1564</v>
          </cell>
          <cell r="D8058">
            <v>10154205.5</v>
          </cell>
        </row>
        <row r="8059">
          <cell r="A8059" t="str">
            <v>AFG</v>
          </cell>
          <cell r="B8059">
            <v>2002</v>
          </cell>
          <cell r="C8059" t="str">
            <v>unpop_65up</v>
          </cell>
          <cell r="D8059">
            <v>483995</v>
          </cell>
        </row>
        <row r="8060">
          <cell r="A8060" t="str">
            <v>AFG</v>
          </cell>
          <cell r="B8060">
            <v>2002</v>
          </cell>
          <cell r="C8060" t="str">
            <v>unpop_total</v>
          </cell>
          <cell r="D8060">
            <v>21378117</v>
          </cell>
        </row>
        <row r="8061">
          <cell r="A8061" t="str">
            <v>AFG</v>
          </cell>
          <cell r="B8061">
            <v>2003</v>
          </cell>
          <cell r="C8061" t="str">
            <v>unpop_0014</v>
          </cell>
          <cell r="D8061">
            <v>11421150</v>
          </cell>
        </row>
        <row r="8062">
          <cell r="A8062" t="str">
            <v>AFG</v>
          </cell>
          <cell r="B8062">
            <v>2003</v>
          </cell>
          <cell r="C8062" t="str">
            <v>unpop_1564</v>
          </cell>
          <cell r="D8062">
            <v>10796597</v>
          </cell>
        </row>
        <row r="8063">
          <cell r="A8063" t="str">
            <v>AFG</v>
          </cell>
          <cell r="B8063">
            <v>2003</v>
          </cell>
          <cell r="C8063" t="str">
            <v>unpop_65up</v>
          </cell>
          <cell r="D8063">
            <v>515302</v>
          </cell>
        </row>
        <row r="8064">
          <cell r="A8064" t="str">
            <v>AFG</v>
          </cell>
          <cell r="B8064">
            <v>2003</v>
          </cell>
          <cell r="C8064" t="str">
            <v>unpop_total</v>
          </cell>
          <cell r="D8064">
            <v>22733049</v>
          </cell>
        </row>
        <row r="8065">
          <cell r="A8065" t="str">
            <v>AFG</v>
          </cell>
          <cell r="B8065">
            <v>2004</v>
          </cell>
          <cell r="C8065" t="str">
            <v>unpop_0014</v>
          </cell>
          <cell r="D8065">
            <v>11822009</v>
          </cell>
        </row>
        <row r="8066">
          <cell r="A8066" t="str">
            <v>AFG</v>
          </cell>
          <cell r="B8066">
            <v>2004</v>
          </cell>
          <cell r="C8066" t="str">
            <v>unpop_1564</v>
          </cell>
          <cell r="D8066">
            <v>11204136.5</v>
          </cell>
        </row>
        <row r="8067">
          <cell r="A8067" t="str">
            <v>AFG</v>
          </cell>
          <cell r="B8067">
            <v>2004</v>
          </cell>
          <cell r="C8067" t="str">
            <v>unpop_65up</v>
          </cell>
          <cell r="D8067">
            <v>534508</v>
          </cell>
        </row>
        <row r="8068">
          <cell r="A8068" t="str">
            <v>AFG</v>
          </cell>
          <cell r="B8068">
            <v>2004</v>
          </cell>
          <cell r="C8068" t="str">
            <v>unpop_total</v>
          </cell>
          <cell r="D8068">
            <v>23560653.5</v>
          </cell>
        </row>
        <row r="8069">
          <cell r="A8069" t="str">
            <v>AFG</v>
          </cell>
          <cell r="B8069">
            <v>2005</v>
          </cell>
          <cell r="C8069" t="str">
            <v>unpop_0014</v>
          </cell>
          <cell r="D8069">
            <v>12214380</v>
          </cell>
        </row>
        <row r="8070">
          <cell r="A8070" t="str">
            <v>AFG</v>
          </cell>
          <cell r="B8070">
            <v>2005</v>
          </cell>
          <cell r="C8070" t="str">
            <v>unpop_1564</v>
          </cell>
          <cell r="D8070">
            <v>11636264.5</v>
          </cell>
        </row>
        <row r="8071">
          <cell r="A8071" t="str">
            <v>AFG</v>
          </cell>
          <cell r="B8071">
            <v>2005</v>
          </cell>
          <cell r="C8071" t="str">
            <v>unpop_65up</v>
          </cell>
          <cell r="D8071">
            <v>553922.5</v>
          </cell>
        </row>
        <row r="8072">
          <cell r="A8072" t="str">
            <v>AFG</v>
          </cell>
          <cell r="B8072">
            <v>2005</v>
          </cell>
          <cell r="C8072" t="str">
            <v>unpop_total</v>
          </cell>
          <cell r="D8072">
            <v>24404567</v>
          </cell>
        </row>
        <row r="8073">
          <cell r="A8073" t="str">
            <v>AFG</v>
          </cell>
          <cell r="B8073">
            <v>2006</v>
          </cell>
          <cell r="C8073" t="str">
            <v>unpop_0014</v>
          </cell>
          <cell r="D8073">
            <v>12675420.5</v>
          </cell>
        </row>
        <row r="8074">
          <cell r="A8074" t="str">
            <v>AFG</v>
          </cell>
          <cell r="B8074">
            <v>2006</v>
          </cell>
          <cell r="C8074" t="str">
            <v>unpop_1564</v>
          </cell>
          <cell r="D8074">
            <v>12171094.5</v>
          </cell>
        </row>
        <row r="8075">
          <cell r="A8075" t="str">
            <v>AFG</v>
          </cell>
          <cell r="B8075">
            <v>2006</v>
          </cell>
          <cell r="C8075" t="str">
            <v>unpop_65up</v>
          </cell>
          <cell r="D8075">
            <v>577579.5</v>
          </cell>
        </row>
        <row r="8076">
          <cell r="A8076" t="str">
            <v>AFG</v>
          </cell>
          <cell r="B8076">
            <v>2006</v>
          </cell>
          <cell r="C8076" t="str">
            <v>unpop_total</v>
          </cell>
          <cell r="D8076">
            <v>25424094.5</v>
          </cell>
        </row>
        <row r="8077">
          <cell r="A8077" t="str">
            <v>AFG</v>
          </cell>
          <cell r="B8077">
            <v>2007</v>
          </cell>
          <cell r="C8077" t="str">
            <v>unpop_0014</v>
          </cell>
          <cell r="D8077">
            <v>12847673</v>
          </cell>
        </row>
        <row r="8078">
          <cell r="A8078" t="str">
            <v>AFG</v>
          </cell>
          <cell r="B8078">
            <v>2007</v>
          </cell>
          <cell r="C8078" t="str">
            <v>unpop_1564</v>
          </cell>
          <cell r="D8078">
            <v>12472415</v>
          </cell>
        </row>
        <row r="8079">
          <cell r="A8079" t="str">
            <v>AFG</v>
          </cell>
          <cell r="B8079">
            <v>2007</v>
          </cell>
          <cell r="C8079" t="str">
            <v>unpop_65up</v>
          </cell>
          <cell r="D8079">
            <v>589764</v>
          </cell>
        </row>
        <row r="8080">
          <cell r="A8080" t="str">
            <v>AFG</v>
          </cell>
          <cell r="B8080">
            <v>2007</v>
          </cell>
          <cell r="C8080" t="str">
            <v>unpop_total</v>
          </cell>
          <cell r="D8080">
            <v>25909852</v>
          </cell>
        </row>
        <row r="8081">
          <cell r="A8081" t="str">
            <v>AFG</v>
          </cell>
          <cell r="B8081">
            <v>2008</v>
          </cell>
          <cell r="C8081" t="str">
            <v>unpop_0014</v>
          </cell>
          <cell r="D8081">
            <v>13043064.5</v>
          </cell>
        </row>
        <row r="8082">
          <cell r="A8082" t="str">
            <v>AFG</v>
          </cell>
          <cell r="B8082">
            <v>2008</v>
          </cell>
          <cell r="C8082" t="str">
            <v>unpop_1564</v>
          </cell>
          <cell r="D8082">
            <v>12834808.5</v>
          </cell>
        </row>
        <row r="8083">
          <cell r="A8083" t="str">
            <v>AFG</v>
          </cell>
          <cell r="B8083">
            <v>2008</v>
          </cell>
          <cell r="C8083" t="str">
            <v>unpop_65up</v>
          </cell>
          <cell r="D8083">
            <v>604749</v>
          </cell>
        </row>
        <row r="8084">
          <cell r="A8084" t="str">
            <v>AFG</v>
          </cell>
          <cell r="B8084">
            <v>2008</v>
          </cell>
          <cell r="C8084" t="str">
            <v>unpop_total</v>
          </cell>
          <cell r="D8084">
            <v>26482622</v>
          </cell>
        </row>
        <row r="8085">
          <cell r="A8085" t="str">
            <v>AFG</v>
          </cell>
          <cell r="B8085">
            <v>2009</v>
          </cell>
          <cell r="C8085" t="str">
            <v>unpop_0014</v>
          </cell>
          <cell r="D8085">
            <v>13424937</v>
          </cell>
        </row>
        <row r="8086">
          <cell r="A8086" t="str">
            <v>AFG</v>
          </cell>
          <cell r="B8086">
            <v>2009</v>
          </cell>
          <cell r="C8086" t="str">
            <v>unpop_1564</v>
          </cell>
          <cell r="D8086">
            <v>13411216.5</v>
          </cell>
        </row>
        <row r="8087">
          <cell r="A8087" t="str">
            <v>AFG</v>
          </cell>
          <cell r="B8087">
            <v>2009</v>
          </cell>
          <cell r="C8087" t="str">
            <v>unpop_65up</v>
          </cell>
          <cell r="D8087">
            <v>629947</v>
          </cell>
        </row>
        <row r="8088">
          <cell r="A8088" t="str">
            <v>AFG</v>
          </cell>
          <cell r="B8088">
            <v>2009</v>
          </cell>
          <cell r="C8088" t="str">
            <v>unpop_total</v>
          </cell>
          <cell r="D8088">
            <v>27466100.5</v>
          </cell>
        </row>
        <row r="8089">
          <cell r="A8089" t="str">
            <v>AFG</v>
          </cell>
          <cell r="B8089">
            <v>2010</v>
          </cell>
          <cell r="C8089" t="str">
            <v>unpop_0014</v>
          </cell>
          <cell r="D8089">
            <v>13708542.5</v>
          </cell>
        </row>
        <row r="8090">
          <cell r="A8090" t="str">
            <v>AFG</v>
          </cell>
          <cell r="B8090">
            <v>2010</v>
          </cell>
          <cell r="C8090" t="str">
            <v>unpop_1564</v>
          </cell>
          <cell r="D8090">
            <v>13923141</v>
          </cell>
        </row>
        <row r="8091">
          <cell r="A8091" t="str">
            <v>AFG</v>
          </cell>
          <cell r="B8091">
            <v>2010</v>
          </cell>
          <cell r="C8091" t="str">
            <v>unpop_65up</v>
          </cell>
          <cell r="D8091">
            <v>652405</v>
          </cell>
        </row>
        <row r="8092">
          <cell r="A8092" t="str">
            <v>AFG</v>
          </cell>
          <cell r="B8092">
            <v>2010</v>
          </cell>
          <cell r="C8092" t="str">
            <v>unpop_total</v>
          </cell>
          <cell r="D8092">
            <v>28284088.5</v>
          </cell>
        </row>
        <row r="8093">
          <cell r="A8093" t="str">
            <v>AFG</v>
          </cell>
          <cell r="B8093">
            <v>2011</v>
          </cell>
          <cell r="C8093" t="str">
            <v>unpop_0014</v>
          </cell>
          <cell r="D8093">
            <v>14098579.5</v>
          </cell>
        </row>
        <row r="8094">
          <cell r="A8094" t="str">
            <v>AFG</v>
          </cell>
          <cell r="B8094">
            <v>2011</v>
          </cell>
          <cell r="C8094" t="str">
            <v>unpop_1564</v>
          </cell>
          <cell r="D8094">
            <v>14567633.5</v>
          </cell>
        </row>
        <row r="8095">
          <cell r="A8095" t="str">
            <v>AFG</v>
          </cell>
          <cell r="B8095">
            <v>2011</v>
          </cell>
          <cell r="C8095" t="str">
            <v>unpop_65up</v>
          </cell>
          <cell r="D8095">
            <v>681495</v>
          </cell>
        </row>
        <row r="8096">
          <cell r="A8096" t="str">
            <v>AFG</v>
          </cell>
          <cell r="B8096">
            <v>2011</v>
          </cell>
          <cell r="C8096" t="str">
            <v>unpop_total</v>
          </cell>
          <cell r="D8096">
            <v>29347708</v>
          </cell>
        </row>
        <row r="8097">
          <cell r="A8097" t="str">
            <v>AFG</v>
          </cell>
          <cell r="B8097">
            <v>2012</v>
          </cell>
          <cell r="C8097" t="str">
            <v>unpop_0014</v>
          </cell>
          <cell r="D8097">
            <v>14548197.5</v>
          </cell>
        </row>
        <row r="8098">
          <cell r="A8098" t="str">
            <v>AFG</v>
          </cell>
          <cell r="B8098">
            <v>2012</v>
          </cell>
          <cell r="C8098" t="str">
            <v>unpop_1564</v>
          </cell>
          <cell r="D8098">
            <v>15297370</v>
          </cell>
        </row>
        <row r="8099">
          <cell r="A8099" t="str">
            <v>AFG</v>
          </cell>
          <cell r="B8099">
            <v>2012</v>
          </cell>
          <cell r="C8099" t="str">
            <v>unpop_65up</v>
          </cell>
          <cell r="D8099">
            <v>714466.5</v>
          </cell>
        </row>
        <row r="8100">
          <cell r="A8100" t="str">
            <v>AFG</v>
          </cell>
          <cell r="B8100">
            <v>2012</v>
          </cell>
          <cell r="C8100" t="str">
            <v>unpop_total</v>
          </cell>
          <cell r="D8100">
            <v>30560034</v>
          </cell>
        </row>
        <row r="8101">
          <cell r="A8101" t="str">
            <v>AFG</v>
          </cell>
          <cell r="B8101">
            <v>2013</v>
          </cell>
          <cell r="C8101" t="str">
            <v>unpop_0014</v>
          </cell>
          <cell r="D8101">
            <v>14913705.5</v>
          </cell>
        </row>
        <row r="8102">
          <cell r="A8102" t="str">
            <v>AFG</v>
          </cell>
          <cell r="B8102">
            <v>2013</v>
          </cell>
          <cell r="C8102" t="str">
            <v>unpop_1564</v>
          </cell>
          <cell r="D8102">
            <v>15965938</v>
          </cell>
        </row>
        <row r="8103">
          <cell r="A8103" t="str">
            <v>AFG</v>
          </cell>
          <cell r="B8103">
            <v>2013</v>
          </cell>
          <cell r="C8103" t="str">
            <v>unpop_65up</v>
          </cell>
          <cell r="D8103">
            <v>743060.5</v>
          </cell>
        </row>
        <row r="8104">
          <cell r="A8104" t="str">
            <v>AFG</v>
          </cell>
          <cell r="B8104">
            <v>2013</v>
          </cell>
          <cell r="C8104" t="str">
            <v>unpop_total</v>
          </cell>
          <cell r="D8104">
            <v>31622704</v>
          </cell>
        </row>
        <row r="8105">
          <cell r="A8105" t="str">
            <v>AFG</v>
          </cell>
          <cell r="B8105">
            <v>2014</v>
          </cell>
          <cell r="C8105" t="str">
            <v>unpop_0014</v>
          </cell>
          <cell r="D8105">
            <v>15318393</v>
          </cell>
        </row>
        <row r="8106">
          <cell r="A8106" t="str">
            <v>AFG</v>
          </cell>
          <cell r="B8106">
            <v>2014</v>
          </cell>
          <cell r="C8106" t="str">
            <v>unpop_1564</v>
          </cell>
          <cell r="D8106">
            <v>16701362.5</v>
          </cell>
        </row>
        <row r="8107">
          <cell r="A8107" t="str">
            <v>AFG</v>
          </cell>
          <cell r="B8107">
            <v>2014</v>
          </cell>
          <cell r="C8107" t="str">
            <v>unpop_65up</v>
          </cell>
          <cell r="D8107">
            <v>772767.5</v>
          </cell>
        </row>
        <row r="8108">
          <cell r="A8108" t="str">
            <v>AFG</v>
          </cell>
          <cell r="B8108">
            <v>2014</v>
          </cell>
          <cell r="C8108" t="str">
            <v>unpop_total</v>
          </cell>
          <cell r="D8108">
            <v>32792523</v>
          </cell>
        </row>
        <row r="8109">
          <cell r="A8109" t="str">
            <v>AFG</v>
          </cell>
          <cell r="B8109">
            <v>2015</v>
          </cell>
          <cell r="C8109" t="str">
            <v>unpop_0014</v>
          </cell>
          <cell r="D8109">
            <v>15650349.5</v>
          </cell>
        </row>
        <row r="8110">
          <cell r="A8110" t="str">
            <v>AFG</v>
          </cell>
          <cell r="B8110">
            <v>2015</v>
          </cell>
          <cell r="C8110" t="str">
            <v>unpop_1564</v>
          </cell>
          <cell r="D8110">
            <v>17384102.5</v>
          </cell>
        </row>
        <row r="8111">
          <cell r="A8111" t="str">
            <v>AFG</v>
          </cell>
          <cell r="B8111">
            <v>2015</v>
          </cell>
          <cell r="C8111" t="str">
            <v>unpop_65up</v>
          </cell>
          <cell r="D8111">
            <v>797311.5</v>
          </cell>
        </row>
        <row r="8112">
          <cell r="A8112" t="str">
            <v>AFG</v>
          </cell>
          <cell r="B8112">
            <v>2015</v>
          </cell>
          <cell r="C8112" t="str">
            <v>unpop_total</v>
          </cell>
          <cell r="D8112">
            <v>33831763.5</v>
          </cell>
        </row>
        <row r="8113">
          <cell r="A8113" t="str">
            <v>AFG</v>
          </cell>
          <cell r="B8113">
            <v>2016</v>
          </cell>
          <cell r="C8113" t="str">
            <v>unpop_0014</v>
          </cell>
          <cell r="D8113">
            <v>15893383</v>
          </cell>
        </row>
        <row r="8114">
          <cell r="A8114" t="str">
            <v>AFG</v>
          </cell>
          <cell r="B8114">
            <v>2016</v>
          </cell>
          <cell r="C8114" t="str">
            <v>unpop_1564</v>
          </cell>
          <cell r="D8114">
            <v>17989857</v>
          </cell>
        </row>
        <row r="8115">
          <cell r="A8115" t="str">
            <v>AFG</v>
          </cell>
          <cell r="B8115">
            <v>2016</v>
          </cell>
          <cell r="C8115" t="str">
            <v>unpop_65up</v>
          </cell>
          <cell r="D8115">
            <v>817372</v>
          </cell>
        </row>
        <row r="8116">
          <cell r="A8116" t="str">
            <v>AFG</v>
          </cell>
          <cell r="B8116">
            <v>2016</v>
          </cell>
          <cell r="C8116" t="str">
            <v>unpop_total</v>
          </cell>
          <cell r="D8116">
            <v>34700612</v>
          </cell>
        </row>
        <row r="8117">
          <cell r="A8117" t="str">
            <v>AFG</v>
          </cell>
          <cell r="B8117">
            <v>2017</v>
          </cell>
          <cell r="C8117" t="str">
            <v>unpop_0014</v>
          </cell>
          <cell r="D8117">
            <v>16190144</v>
          </cell>
        </row>
        <row r="8118">
          <cell r="A8118" t="str">
            <v>AFG</v>
          </cell>
          <cell r="B8118">
            <v>2017</v>
          </cell>
          <cell r="C8118" t="str">
            <v>unpop_1564</v>
          </cell>
          <cell r="D8118">
            <v>18656625.5</v>
          </cell>
        </row>
        <row r="8119">
          <cell r="A8119" t="str">
            <v>AFG</v>
          </cell>
          <cell r="B8119">
            <v>2017</v>
          </cell>
          <cell r="C8119" t="str">
            <v>unpop_65up</v>
          </cell>
          <cell r="D8119">
            <v>842165</v>
          </cell>
        </row>
        <row r="8120">
          <cell r="A8120" t="str">
            <v>AFG</v>
          </cell>
          <cell r="B8120">
            <v>2017</v>
          </cell>
          <cell r="C8120" t="str">
            <v>unpop_total</v>
          </cell>
          <cell r="D8120">
            <v>35688934.5</v>
          </cell>
        </row>
        <row r="8121">
          <cell r="A8121" t="str">
            <v>AFG</v>
          </cell>
          <cell r="B8121">
            <v>2018</v>
          </cell>
          <cell r="C8121" t="str">
            <v>unpop_0014</v>
          </cell>
          <cell r="D8121">
            <v>16519526</v>
          </cell>
        </row>
        <row r="8122">
          <cell r="A8122" t="str">
            <v>AFG</v>
          </cell>
          <cell r="B8122">
            <v>2018</v>
          </cell>
          <cell r="C8122" t="str">
            <v>unpop_1564</v>
          </cell>
          <cell r="D8122">
            <v>19353761</v>
          </cell>
        </row>
        <row r="8123">
          <cell r="A8123" t="str">
            <v>AFG</v>
          </cell>
          <cell r="B8123">
            <v>2018</v>
          </cell>
          <cell r="C8123" t="str">
            <v>unpop_65up</v>
          </cell>
          <cell r="D8123">
            <v>869752</v>
          </cell>
        </row>
        <row r="8124">
          <cell r="A8124" t="str">
            <v>AFG</v>
          </cell>
          <cell r="B8124">
            <v>2018</v>
          </cell>
          <cell r="C8124" t="str">
            <v>unpop_total</v>
          </cell>
          <cell r="D8124">
            <v>36743039</v>
          </cell>
        </row>
        <row r="8125">
          <cell r="A8125" t="str">
            <v>AFG</v>
          </cell>
          <cell r="B8125">
            <v>2019</v>
          </cell>
          <cell r="C8125" t="str">
            <v>unpop_0014</v>
          </cell>
          <cell r="D8125">
            <v>16875059.5</v>
          </cell>
        </row>
        <row r="8126">
          <cell r="A8126" t="str">
            <v>AFG</v>
          </cell>
          <cell r="B8126">
            <v>2019</v>
          </cell>
          <cell r="C8126" t="str">
            <v>unpop_1564</v>
          </cell>
          <cell r="D8126">
            <v>20081542</v>
          </cell>
        </row>
        <row r="8127">
          <cell r="A8127" t="str">
            <v>AFG</v>
          </cell>
          <cell r="B8127">
            <v>2019</v>
          </cell>
          <cell r="C8127" t="str">
            <v>unpop_65up</v>
          </cell>
          <cell r="D8127">
            <v>899519.5</v>
          </cell>
        </row>
        <row r="8128">
          <cell r="A8128" t="str">
            <v>AFG</v>
          </cell>
          <cell r="B8128">
            <v>2019</v>
          </cell>
          <cell r="C8128" t="str">
            <v>unpop_total</v>
          </cell>
          <cell r="D8128">
            <v>37856121</v>
          </cell>
        </row>
        <row r="8129">
          <cell r="A8129" t="str">
            <v>AFG</v>
          </cell>
          <cell r="B8129">
            <v>2020</v>
          </cell>
          <cell r="C8129" t="str">
            <v>unpop_0014</v>
          </cell>
          <cell r="D8129">
            <v>17277906</v>
          </cell>
        </row>
        <row r="8130">
          <cell r="A8130" t="str">
            <v>AFG</v>
          </cell>
          <cell r="B8130">
            <v>2020</v>
          </cell>
          <cell r="C8130" t="str">
            <v>unpop_1564</v>
          </cell>
          <cell r="D8130">
            <v>20864851.5</v>
          </cell>
        </row>
        <row r="8131">
          <cell r="A8131" t="str">
            <v>AFG</v>
          </cell>
          <cell r="B8131">
            <v>2020</v>
          </cell>
          <cell r="C8131" t="str">
            <v>unpop_65up</v>
          </cell>
          <cell r="D8131">
            <v>926221.5</v>
          </cell>
        </row>
        <row r="8132">
          <cell r="A8132" t="str">
            <v>AFG</v>
          </cell>
          <cell r="B8132">
            <v>2020</v>
          </cell>
          <cell r="C8132" t="str">
            <v>unpop_total</v>
          </cell>
          <cell r="D8132">
            <v>39068979</v>
          </cell>
        </row>
        <row r="8133">
          <cell r="A8133" t="str">
            <v>AFG</v>
          </cell>
          <cell r="B8133">
            <v>2021</v>
          </cell>
          <cell r="C8133" t="str">
            <v>unpop_0014</v>
          </cell>
          <cell r="D8133">
            <v>17563431</v>
          </cell>
        </row>
        <row r="8134">
          <cell r="A8134" t="str">
            <v>AFG</v>
          </cell>
          <cell r="B8134">
            <v>2021</v>
          </cell>
          <cell r="C8134" t="str">
            <v>unpop_1564</v>
          </cell>
          <cell r="D8134">
            <v>21495951.5</v>
          </cell>
        </row>
        <row r="8135">
          <cell r="A8135" t="str">
            <v>AFG</v>
          </cell>
          <cell r="B8135">
            <v>2021</v>
          </cell>
          <cell r="C8135" t="str">
            <v>unpop_65up</v>
          </cell>
          <cell r="D8135">
            <v>941029.5</v>
          </cell>
        </row>
        <row r="8136">
          <cell r="A8136" t="str">
            <v>AFG</v>
          </cell>
          <cell r="B8136">
            <v>2021</v>
          </cell>
          <cell r="C8136" t="str">
            <v>unpop_total</v>
          </cell>
          <cell r="D8136">
            <v>40000412</v>
          </cell>
        </row>
        <row r="8137">
          <cell r="A8137" t="str">
            <v>AFG</v>
          </cell>
          <cell r="B8137">
            <v>2022</v>
          </cell>
          <cell r="C8137" t="str">
            <v>unpop_0014</v>
          </cell>
          <cell r="D8137">
            <v>17684195</v>
          </cell>
        </row>
        <row r="8138">
          <cell r="A8138" t="str">
            <v>AFG</v>
          </cell>
          <cell r="B8138">
            <v>2022</v>
          </cell>
          <cell r="C8138" t="str">
            <v>unpop_1564</v>
          </cell>
          <cell r="D8138">
            <v>21938957.5</v>
          </cell>
        </row>
        <row r="8139">
          <cell r="A8139" t="str">
            <v>AFG</v>
          </cell>
          <cell r="B8139">
            <v>2022</v>
          </cell>
          <cell r="C8139" t="str">
            <v>unpop_65up</v>
          </cell>
          <cell r="D8139">
            <v>955689.5</v>
          </cell>
        </row>
        <row r="8140">
          <cell r="A8140" t="str">
            <v>AFG</v>
          </cell>
          <cell r="B8140">
            <v>2022</v>
          </cell>
          <cell r="C8140" t="str">
            <v>unpop_total</v>
          </cell>
          <cell r="D8140">
            <v>40578842</v>
          </cell>
        </row>
        <row r="8141">
          <cell r="A8141" t="str">
            <v>AFG</v>
          </cell>
          <cell r="B8141">
            <v>2023</v>
          </cell>
          <cell r="C8141" t="str">
            <v>unpop_0014</v>
          </cell>
          <cell r="D8141">
            <v>17919319.5</v>
          </cell>
        </row>
        <row r="8142">
          <cell r="A8142" t="str">
            <v>AFG</v>
          </cell>
          <cell r="B8142">
            <v>2023</v>
          </cell>
          <cell r="C8142" t="str">
            <v>unpop_1564</v>
          </cell>
          <cell r="D8142">
            <v>22549839</v>
          </cell>
        </row>
        <row r="8143">
          <cell r="A8143" t="str">
            <v>AFG</v>
          </cell>
          <cell r="B8143">
            <v>2023</v>
          </cell>
          <cell r="C8143" t="str">
            <v>unpop_65up</v>
          </cell>
          <cell r="D8143">
            <v>985602.5</v>
          </cell>
        </row>
        <row r="8144">
          <cell r="A8144" t="str">
            <v>AFG</v>
          </cell>
          <cell r="B8144">
            <v>2023</v>
          </cell>
          <cell r="C8144" t="str">
            <v>unpop_total</v>
          </cell>
          <cell r="D8144">
            <v>41454761</v>
          </cell>
        </row>
        <row r="8145">
          <cell r="A8145" t="str">
            <v>AFG</v>
          </cell>
          <cell r="B8145">
            <v>2024</v>
          </cell>
          <cell r="C8145" t="str">
            <v>unpop_0014</v>
          </cell>
          <cell r="D8145">
            <v>18290445.5</v>
          </cell>
        </row>
        <row r="8146">
          <cell r="A8146" t="str">
            <v>AFG</v>
          </cell>
          <cell r="B8146">
            <v>2024</v>
          </cell>
          <cell r="C8146" t="str">
            <v>unpop_1564</v>
          </cell>
          <cell r="D8146">
            <v>23333093</v>
          </cell>
        </row>
        <row r="8147">
          <cell r="A8147" t="str">
            <v>AFG</v>
          </cell>
          <cell r="B8147">
            <v>2024</v>
          </cell>
          <cell r="C8147" t="str">
            <v>unpop_65up</v>
          </cell>
          <cell r="D8147">
            <v>1023953.5</v>
          </cell>
        </row>
        <row r="8148">
          <cell r="A8148" t="str">
            <v>AFG</v>
          </cell>
          <cell r="B8148">
            <v>2024</v>
          </cell>
          <cell r="C8148" t="str">
            <v>unpop_total</v>
          </cell>
          <cell r="D8148">
            <v>42647492</v>
          </cell>
        </row>
        <row r="8149">
          <cell r="A8149" t="str">
            <v>AFG</v>
          </cell>
          <cell r="B8149">
            <v>2025</v>
          </cell>
          <cell r="C8149" t="str">
            <v>unpop_0014</v>
          </cell>
          <cell r="D8149">
            <v>18660459</v>
          </cell>
        </row>
        <row r="8150">
          <cell r="A8150" t="str">
            <v>AFG</v>
          </cell>
          <cell r="B8150">
            <v>2025</v>
          </cell>
          <cell r="C8150" t="str">
            <v>unpop_1564</v>
          </cell>
          <cell r="D8150">
            <v>24120179</v>
          </cell>
        </row>
        <row r="8151">
          <cell r="A8151" t="str">
            <v>AFG</v>
          </cell>
          <cell r="B8151">
            <v>2025</v>
          </cell>
          <cell r="C8151" t="str">
            <v>unpop_65up</v>
          </cell>
          <cell r="D8151">
            <v>1063473.5</v>
          </cell>
        </row>
        <row r="8152">
          <cell r="A8152" t="str">
            <v>AFG</v>
          </cell>
          <cell r="B8152">
            <v>2025</v>
          </cell>
          <cell r="C8152" t="str">
            <v>unpop_total</v>
          </cell>
          <cell r="D8152">
            <v>43844111.5</v>
          </cell>
        </row>
        <row r="8153">
          <cell r="A8153" t="str">
            <v>AFG</v>
          </cell>
          <cell r="B8153">
            <v>2026</v>
          </cell>
          <cell r="C8153" t="str">
            <v>unpop_0014</v>
          </cell>
          <cell r="D8153">
            <v>19017331</v>
          </cell>
        </row>
        <row r="8154">
          <cell r="A8154" t="str">
            <v>AFG</v>
          </cell>
          <cell r="B8154">
            <v>2026</v>
          </cell>
          <cell r="C8154" t="str">
            <v>unpop_1564</v>
          </cell>
          <cell r="D8154">
            <v>24924936.5</v>
          </cell>
        </row>
        <row r="8155">
          <cell r="A8155" t="str">
            <v>AFG</v>
          </cell>
          <cell r="B8155">
            <v>2026</v>
          </cell>
          <cell r="C8155" t="str">
            <v>unpop_65up</v>
          </cell>
          <cell r="D8155">
            <v>1104801</v>
          </cell>
        </row>
        <row r="8156">
          <cell r="A8156" t="str">
            <v>AFG</v>
          </cell>
          <cell r="B8156">
            <v>2026</v>
          </cell>
          <cell r="C8156" t="str">
            <v>unpop_total</v>
          </cell>
          <cell r="D8156">
            <v>45047068.5</v>
          </cell>
        </row>
        <row r="8157">
          <cell r="A8157" t="str">
            <v>AFG</v>
          </cell>
          <cell r="B8157">
            <v>2027</v>
          </cell>
          <cell r="C8157" t="str">
            <v>unpop_0014</v>
          </cell>
          <cell r="D8157">
            <v>19363670.5</v>
          </cell>
        </row>
        <row r="8158">
          <cell r="A8158" t="str">
            <v>AFG</v>
          </cell>
          <cell r="B8158">
            <v>2027</v>
          </cell>
          <cell r="C8158" t="str">
            <v>unpop_1564</v>
          </cell>
          <cell r="D8158">
            <v>25747024.5</v>
          </cell>
        </row>
        <row r="8159">
          <cell r="A8159" t="str">
            <v>AFG</v>
          </cell>
          <cell r="B8159">
            <v>2027</v>
          </cell>
          <cell r="C8159" t="str">
            <v>unpop_65up</v>
          </cell>
          <cell r="D8159">
            <v>1148210.5</v>
          </cell>
        </row>
        <row r="8160">
          <cell r="A8160" t="str">
            <v>AFG</v>
          </cell>
          <cell r="B8160">
            <v>2027</v>
          </cell>
          <cell r="C8160" t="str">
            <v>unpop_total</v>
          </cell>
          <cell r="D8160">
            <v>46258905.5</v>
          </cell>
        </row>
        <row r="8161">
          <cell r="A8161" t="str">
            <v>AFG</v>
          </cell>
          <cell r="B8161">
            <v>2028</v>
          </cell>
          <cell r="C8161" t="str">
            <v>unpop_0014</v>
          </cell>
          <cell r="D8161">
            <v>19699267.5</v>
          </cell>
        </row>
        <row r="8162">
          <cell r="A8162" t="str">
            <v>AFG</v>
          </cell>
          <cell r="B8162">
            <v>2028</v>
          </cell>
          <cell r="C8162" t="str">
            <v>unpop_1564</v>
          </cell>
          <cell r="D8162">
            <v>26577630</v>
          </cell>
        </row>
        <row r="8163">
          <cell r="A8163" t="str">
            <v>AFG</v>
          </cell>
          <cell r="B8163">
            <v>2028</v>
          </cell>
          <cell r="C8163" t="str">
            <v>unpop_65up</v>
          </cell>
          <cell r="D8163">
            <v>1193677</v>
          </cell>
        </row>
        <row r="8164">
          <cell r="A8164" t="str">
            <v>AFG</v>
          </cell>
          <cell r="B8164">
            <v>2028</v>
          </cell>
          <cell r="C8164" t="str">
            <v>unpop_total</v>
          </cell>
          <cell r="D8164">
            <v>47470574.5</v>
          </cell>
        </row>
        <row r="8165">
          <cell r="A8165" t="str">
            <v>AFG</v>
          </cell>
          <cell r="B8165">
            <v>2029</v>
          </cell>
          <cell r="C8165" t="str">
            <v>unpop_0014</v>
          </cell>
          <cell r="D8165">
            <v>20029077.5</v>
          </cell>
        </row>
        <row r="8166">
          <cell r="A8166" t="str">
            <v>AFG</v>
          </cell>
          <cell r="B8166">
            <v>2029</v>
          </cell>
          <cell r="C8166" t="str">
            <v>unpop_1564</v>
          </cell>
          <cell r="D8166">
            <v>27453438.5</v>
          </cell>
        </row>
        <row r="8167">
          <cell r="A8167" t="str">
            <v>AFG</v>
          </cell>
          <cell r="B8167">
            <v>2029</v>
          </cell>
          <cell r="C8167" t="str">
            <v>unpop_65up</v>
          </cell>
          <cell r="D8167">
            <v>1243200.5</v>
          </cell>
        </row>
        <row r="8168">
          <cell r="A8168" t="str">
            <v>AFG</v>
          </cell>
          <cell r="B8168">
            <v>2029</v>
          </cell>
          <cell r="C8168" t="str">
            <v>unpop_total</v>
          </cell>
          <cell r="D8168">
            <v>48725716.5</v>
          </cell>
        </row>
        <row r="8169">
          <cell r="A8169" t="str">
            <v>AFG</v>
          </cell>
          <cell r="B8169">
            <v>2030</v>
          </cell>
          <cell r="C8169" t="str">
            <v>unpop_0014</v>
          </cell>
          <cell r="D8169">
            <v>20358428</v>
          </cell>
        </row>
        <row r="8170">
          <cell r="A8170" t="str">
            <v>AFG</v>
          </cell>
          <cell r="B8170">
            <v>2030</v>
          </cell>
          <cell r="C8170" t="str">
            <v>unpop_1564</v>
          </cell>
          <cell r="D8170">
            <v>28383404</v>
          </cell>
        </row>
        <row r="8171">
          <cell r="A8171" t="str">
            <v>AFG</v>
          </cell>
          <cell r="B8171">
            <v>2030</v>
          </cell>
          <cell r="C8171" t="str">
            <v>unpop_65up</v>
          </cell>
          <cell r="D8171">
            <v>1297570</v>
          </cell>
        </row>
        <row r="8172">
          <cell r="A8172" t="str">
            <v>AFG</v>
          </cell>
          <cell r="B8172">
            <v>2030</v>
          </cell>
          <cell r="C8172" t="str">
            <v>unpop_total</v>
          </cell>
          <cell r="D8172">
            <v>50039402</v>
          </cell>
        </row>
        <row r="8173">
          <cell r="A8173" t="str">
            <v>BGD</v>
          </cell>
          <cell r="B8173">
            <v>2000</v>
          </cell>
          <cell r="C8173" t="str">
            <v>unpop_0014</v>
          </cell>
          <cell r="D8173">
            <v>50215540.5</v>
          </cell>
        </row>
        <row r="8174">
          <cell r="A8174" t="str">
            <v>BGD</v>
          </cell>
          <cell r="B8174">
            <v>2000</v>
          </cell>
          <cell r="C8174" t="str">
            <v>unpop_1564</v>
          </cell>
          <cell r="D8174">
            <v>79671645</v>
          </cell>
        </row>
        <row r="8175">
          <cell r="A8175" t="str">
            <v>BGD</v>
          </cell>
          <cell r="B8175">
            <v>2000</v>
          </cell>
          <cell r="C8175" t="str">
            <v>unpop_65up</v>
          </cell>
          <cell r="D8175">
            <v>4657119</v>
          </cell>
        </row>
        <row r="8176">
          <cell r="A8176" t="str">
            <v>BGD</v>
          </cell>
          <cell r="B8176">
            <v>2000</v>
          </cell>
          <cell r="C8176" t="str">
            <v>unpop_total</v>
          </cell>
          <cell r="D8176">
            <v>134544304.5</v>
          </cell>
        </row>
        <row r="8177">
          <cell r="A8177" t="str">
            <v>BGD</v>
          </cell>
          <cell r="B8177">
            <v>2001</v>
          </cell>
          <cell r="C8177" t="str">
            <v>unpop_0014</v>
          </cell>
          <cell r="D8177">
            <v>50508004.5</v>
          </cell>
        </row>
        <row r="8178">
          <cell r="A8178" t="str">
            <v>BGD</v>
          </cell>
          <cell r="B8178">
            <v>2001</v>
          </cell>
          <cell r="C8178" t="str">
            <v>unpop_1564</v>
          </cell>
          <cell r="D8178">
            <v>81514615.5</v>
          </cell>
        </row>
        <row r="8179">
          <cell r="A8179" t="str">
            <v>BGD</v>
          </cell>
          <cell r="B8179">
            <v>2001</v>
          </cell>
          <cell r="C8179" t="str">
            <v>unpop_65up</v>
          </cell>
          <cell r="D8179">
            <v>4783190.5</v>
          </cell>
        </row>
        <row r="8180">
          <cell r="A8180" t="str">
            <v>BGD</v>
          </cell>
          <cell r="B8180">
            <v>2001</v>
          </cell>
          <cell r="C8180" t="str">
            <v>unpop_total</v>
          </cell>
          <cell r="D8180">
            <v>136805810.5</v>
          </cell>
        </row>
        <row r="8181">
          <cell r="A8181" t="str">
            <v>BGD</v>
          </cell>
          <cell r="B8181">
            <v>2002</v>
          </cell>
          <cell r="C8181" t="str">
            <v>unpop_0014</v>
          </cell>
          <cell r="D8181">
            <v>50894836.5</v>
          </cell>
        </row>
        <row r="8182">
          <cell r="A8182" t="str">
            <v>BGD</v>
          </cell>
          <cell r="B8182">
            <v>2002</v>
          </cell>
          <cell r="C8182" t="str">
            <v>unpop_1564</v>
          </cell>
          <cell r="D8182">
            <v>83121544</v>
          </cell>
        </row>
        <row r="8183">
          <cell r="A8183" t="str">
            <v>BGD</v>
          </cell>
          <cell r="B8183">
            <v>2002</v>
          </cell>
          <cell r="C8183" t="str">
            <v>unpop_65up</v>
          </cell>
          <cell r="D8183">
            <v>4917277.5</v>
          </cell>
        </row>
        <row r="8184">
          <cell r="A8184" t="str">
            <v>BGD</v>
          </cell>
          <cell r="B8184">
            <v>2002</v>
          </cell>
          <cell r="C8184" t="str">
            <v>unpop_total</v>
          </cell>
          <cell r="D8184">
            <v>138933658</v>
          </cell>
        </row>
        <row r="8185">
          <cell r="A8185" t="str">
            <v>BGD</v>
          </cell>
          <cell r="B8185">
            <v>2003</v>
          </cell>
          <cell r="C8185" t="str">
            <v>unpop_0014</v>
          </cell>
          <cell r="D8185">
            <v>51244176.5</v>
          </cell>
        </row>
        <row r="8186">
          <cell r="A8186" t="str">
            <v>BGD</v>
          </cell>
          <cell r="B8186">
            <v>2003</v>
          </cell>
          <cell r="C8186" t="str">
            <v>unpop_1564</v>
          </cell>
          <cell r="D8186">
            <v>84660399</v>
          </cell>
        </row>
        <row r="8187">
          <cell r="A8187" t="str">
            <v>BGD</v>
          </cell>
          <cell r="B8187">
            <v>2003</v>
          </cell>
          <cell r="C8187" t="str">
            <v>unpop_65up</v>
          </cell>
          <cell r="D8187">
            <v>5065776</v>
          </cell>
        </row>
        <row r="8188">
          <cell r="A8188" t="str">
            <v>BGD</v>
          </cell>
          <cell r="B8188">
            <v>2003</v>
          </cell>
          <cell r="C8188" t="str">
            <v>unpop_total</v>
          </cell>
          <cell r="D8188">
            <v>140970351.5</v>
          </cell>
        </row>
        <row r="8189">
          <cell r="A8189" t="str">
            <v>BGD</v>
          </cell>
          <cell r="B8189">
            <v>2004</v>
          </cell>
          <cell r="C8189" t="str">
            <v>unpop_0014</v>
          </cell>
          <cell r="D8189">
            <v>51526671</v>
          </cell>
        </row>
        <row r="8190">
          <cell r="A8190" t="str">
            <v>BGD</v>
          </cell>
          <cell r="B8190">
            <v>2004</v>
          </cell>
          <cell r="C8190" t="str">
            <v>unpop_1564</v>
          </cell>
          <cell r="D8190">
            <v>86151903</v>
          </cell>
        </row>
        <row r="8191">
          <cell r="A8191" t="str">
            <v>BGD</v>
          </cell>
          <cell r="B8191">
            <v>2004</v>
          </cell>
          <cell r="C8191" t="str">
            <v>unpop_65up</v>
          </cell>
          <cell r="D8191">
            <v>5224281.5</v>
          </cell>
        </row>
        <row r="8192">
          <cell r="A8192" t="str">
            <v>BGD</v>
          </cell>
          <cell r="B8192">
            <v>2004</v>
          </cell>
          <cell r="C8192" t="str">
            <v>unpop_total</v>
          </cell>
          <cell r="D8192">
            <v>142902855.5</v>
          </cell>
        </row>
        <row r="8193">
          <cell r="A8193" t="str">
            <v>BGD</v>
          </cell>
          <cell r="B8193">
            <v>2005</v>
          </cell>
          <cell r="C8193" t="str">
            <v>unpop_0014</v>
          </cell>
          <cell r="D8193">
            <v>51720142.5</v>
          </cell>
        </row>
        <row r="8194">
          <cell r="A8194" t="str">
            <v>BGD</v>
          </cell>
          <cell r="B8194">
            <v>2005</v>
          </cell>
          <cell r="C8194" t="str">
            <v>unpop_1564</v>
          </cell>
          <cell r="D8194">
            <v>87605093.5</v>
          </cell>
        </row>
        <row r="8195">
          <cell r="A8195" t="str">
            <v>BGD</v>
          </cell>
          <cell r="B8195">
            <v>2005</v>
          </cell>
          <cell r="C8195" t="str">
            <v>unpop_65up</v>
          </cell>
          <cell r="D8195">
            <v>5390550</v>
          </cell>
        </row>
        <row r="8196">
          <cell r="A8196" t="str">
            <v>BGD</v>
          </cell>
          <cell r="B8196">
            <v>2005</v>
          </cell>
          <cell r="C8196" t="str">
            <v>unpop_total</v>
          </cell>
          <cell r="D8196">
            <v>144715786</v>
          </cell>
        </row>
        <row r="8197">
          <cell r="A8197" t="str">
            <v>BGD</v>
          </cell>
          <cell r="B8197">
            <v>2006</v>
          </cell>
          <cell r="C8197" t="str">
            <v>unpop_0014</v>
          </cell>
          <cell r="D8197">
            <v>51852362.5</v>
          </cell>
        </row>
        <row r="8198">
          <cell r="A8198" t="str">
            <v>BGD</v>
          </cell>
          <cell r="B8198">
            <v>2006</v>
          </cell>
          <cell r="C8198" t="str">
            <v>unpop_1564</v>
          </cell>
          <cell r="D8198">
            <v>88987587</v>
          </cell>
        </row>
        <row r="8199">
          <cell r="A8199" t="str">
            <v>BGD</v>
          </cell>
          <cell r="B8199">
            <v>2006</v>
          </cell>
          <cell r="C8199" t="str">
            <v>unpop_65up</v>
          </cell>
          <cell r="D8199">
            <v>5566024</v>
          </cell>
        </row>
        <row r="8200">
          <cell r="A8200" t="str">
            <v>BGD</v>
          </cell>
          <cell r="B8200">
            <v>2006</v>
          </cell>
          <cell r="C8200" t="str">
            <v>unpop_total</v>
          </cell>
          <cell r="D8200">
            <v>146405973.5</v>
          </cell>
        </row>
        <row r="8201">
          <cell r="A8201" t="str">
            <v>BGD</v>
          </cell>
          <cell r="B8201">
            <v>2007</v>
          </cell>
          <cell r="C8201" t="str">
            <v>unpop_0014</v>
          </cell>
          <cell r="D8201">
            <v>51950709</v>
          </cell>
        </row>
        <row r="8202">
          <cell r="A8202" t="str">
            <v>BGD</v>
          </cell>
          <cell r="B8202">
            <v>2007</v>
          </cell>
          <cell r="C8202" t="str">
            <v>unpop_1564</v>
          </cell>
          <cell r="D8202">
            <v>90285654.5</v>
          </cell>
        </row>
        <row r="8203">
          <cell r="A8203" t="str">
            <v>BGD</v>
          </cell>
          <cell r="B8203">
            <v>2007</v>
          </cell>
          <cell r="C8203" t="str">
            <v>unpop_65up</v>
          </cell>
          <cell r="D8203">
            <v>5752914.5</v>
          </cell>
        </row>
        <row r="8204">
          <cell r="A8204" t="str">
            <v>BGD</v>
          </cell>
          <cell r="B8204">
            <v>2007</v>
          </cell>
          <cell r="C8204" t="str">
            <v>unpop_total</v>
          </cell>
          <cell r="D8204">
            <v>147989278</v>
          </cell>
        </row>
        <row r="8205">
          <cell r="A8205" t="str">
            <v>BGD</v>
          </cell>
          <cell r="B8205">
            <v>2008</v>
          </cell>
          <cell r="C8205" t="str">
            <v>unpop_0014</v>
          </cell>
          <cell r="D8205">
            <v>52006995</v>
          </cell>
        </row>
        <row r="8206">
          <cell r="A8206" t="str">
            <v>BGD</v>
          </cell>
          <cell r="B8206">
            <v>2008</v>
          </cell>
          <cell r="C8206" t="str">
            <v>unpop_1564</v>
          </cell>
          <cell r="D8206">
            <v>91513536</v>
          </cell>
        </row>
        <row r="8207">
          <cell r="A8207" t="str">
            <v>BGD</v>
          </cell>
          <cell r="B8207">
            <v>2008</v>
          </cell>
          <cell r="C8207" t="str">
            <v>unpop_65up</v>
          </cell>
          <cell r="D8207">
            <v>5953732.5</v>
          </cell>
        </row>
        <row r="8208">
          <cell r="A8208" t="str">
            <v>BGD</v>
          </cell>
          <cell r="B8208">
            <v>2008</v>
          </cell>
          <cell r="C8208" t="str">
            <v>unpop_total</v>
          </cell>
          <cell r="D8208">
            <v>149474263.5</v>
          </cell>
        </row>
        <row r="8209">
          <cell r="A8209" t="str">
            <v>BGD</v>
          </cell>
          <cell r="B8209">
            <v>2009</v>
          </cell>
          <cell r="C8209" t="str">
            <v>unpop_0014</v>
          </cell>
          <cell r="D8209">
            <v>51973108.5</v>
          </cell>
        </row>
        <row r="8210">
          <cell r="A8210" t="str">
            <v>BGD</v>
          </cell>
          <cell r="B8210">
            <v>2009</v>
          </cell>
          <cell r="C8210" t="str">
            <v>unpop_1564</v>
          </cell>
          <cell r="D8210">
            <v>92729412</v>
          </cell>
        </row>
        <row r="8211">
          <cell r="A8211" t="str">
            <v>BGD</v>
          </cell>
          <cell r="B8211">
            <v>2009</v>
          </cell>
          <cell r="C8211" t="str">
            <v>unpop_65up</v>
          </cell>
          <cell r="D8211">
            <v>6171193.5</v>
          </cell>
        </row>
        <row r="8212">
          <cell r="A8212" t="str">
            <v>BGD</v>
          </cell>
          <cell r="B8212">
            <v>2009</v>
          </cell>
          <cell r="C8212" t="str">
            <v>unpop_total</v>
          </cell>
          <cell r="D8212">
            <v>150873714</v>
          </cell>
        </row>
        <row r="8213">
          <cell r="A8213" t="str">
            <v>BGD</v>
          </cell>
          <cell r="B8213">
            <v>2010</v>
          </cell>
          <cell r="C8213" t="str">
            <v>unpop_0014</v>
          </cell>
          <cell r="D8213">
            <v>51825406</v>
          </cell>
        </row>
        <row r="8214">
          <cell r="A8214" t="str">
            <v>BGD</v>
          </cell>
          <cell r="B8214">
            <v>2010</v>
          </cell>
          <cell r="C8214" t="str">
            <v>unpop_1564</v>
          </cell>
          <cell r="D8214">
            <v>93970006.5</v>
          </cell>
        </row>
        <row r="8215">
          <cell r="A8215" t="str">
            <v>BGD</v>
          </cell>
          <cell r="B8215">
            <v>2010</v>
          </cell>
          <cell r="C8215" t="str">
            <v>unpop_65up</v>
          </cell>
          <cell r="D8215">
            <v>6406569</v>
          </cell>
        </row>
        <row r="8216">
          <cell r="A8216" t="str">
            <v>BGD</v>
          </cell>
          <cell r="B8216">
            <v>2010</v>
          </cell>
          <cell r="C8216" t="str">
            <v>unpop_total</v>
          </cell>
          <cell r="D8216">
            <v>152201981.5</v>
          </cell>
        </row>
        <row r="8217">
          <cell r="A8217" t="str">
            <v>BGD</v>
          </cell>
          <cell r="B8217">
            <v>2011</v>
          </cell>
          <cell r="C8217" t="str">
            <v>unpop_0014</v>
          </cell>
          <cell r="D8217">
            <v>51579249.5</v>
          </cell>
        </row>
        <row r="8218">
          <cell r="A8218" t="str">
            <v>BGD</v>
          </cell>
          <cell r="B8218">
            <v>2011</v>
          </cell>
          <cell r="C8218" t="str">
            <v>unpop_1564</v>
          </cell>
          <cell r="D8218">
            <v>95340177.5</v>
          </cell>
        </row>
        <row r="8219">
          <cell r="A8219" t="str">
            <v>BGD</v>
          </cell>
          <cell r="B8219">
            <v>2011</v>
          </cell>
          <cell r="C8219" t="str">
            <v>unpop_65up</v>
          </cell>
          <cell r="D8219">
            <v>6671648.5</v>
          </cell>
        </row>
        <row r="8220">
          <cell r="A8220" t="str">
            <v>BGD</v>
          </cell>
          <cell r="B8220">
            <v>2011</v>
          </cell>
          <cell r="C8220" t="str">
            <v>unpop_total</v>
          </cell>
          <cell r="D8220">
            <v>153591075.5</v>
          </cell>
        </row>
        <row r="8221">
          <cell r="A8221" t="str">
            <v>BGD</v>
          </cell>
          <cell r="B8221">
            <v>2012</v>
          </cell>
          <cell r="C8221" t="str">
            <v>unpop_0014</v>
          </cell>
          <cell r="D8221">
            <v>51214229.5</v>
          </cell>
        </row>
        <row r="8222">
          <cell r="A8222" t="str">
            <v>BGD</v>
          </cell>
          <cell r="B8222">
            <v>2012</v>
          </cell>
          <cell r="C8222" t="str">
            <v>unpop_1564</v>
          </cell>
          <cell r="D8222">
            <v>96894688.5</v>
          </cell>
        </row>
        <row r="8223">
          <cell r="A8223" t="str">
            <v>BGD</v>
          </cell>
          <cell r="B8223">
            <v>2012</v>
          </cell>
          <cell r="C8223" t="str">
            <v>unpop_65up</v>
          </cell>
          <cell r="D8223">
            <v>6961183.5</v>
          </cell>
        </row>
        <row r="8224">
          <cell r="A8224" t="str">
            <v>BGD</v>
          </cell>
          <cell r="B8224">
            <v>2012</v>
          </cell>
          <cell r="C8224" t="str">
            <v>unpop_total</v>
          </cell>
          <cell r="D8224">
            <v>155070101.5</v>
          </cell>
        </row>
        <row r="8225">
          <cell r="A8225" t="str">
            <v>BGD</v>
          </cell>
          <cell r="B8225">
            <v>2013</v>
          </cell>
          <cell r="C8225" t="str">
            <v>unpop_0014</v>
          </cell>
          <cell r="D8225">
            <v>50753511.5</v>
          </cell>
        </row>
        <row r="8226">
          <cell r="A8226" t="str">
            <v>BGD</v>
          </cell>
          <cell r="B8226">
            <v>2013</v>
          </cell>
          <cell r="C8226" t="str">
            <v>unpop_1564</v>
          </cell>
          <cell r="D8226">
            <v>98536132.5</v>
          </cell>
        </row>
        <row r="8227">
          <cell r="A8227" t="str">
            <v>BGD</v>
          </cell>
          <cell r="B8227">
            <v>2013</v>
          </cell>
          <cell r="C8227" t="str">
            <v>unpop_65up</v>
          </cell>
          <cell r="D8227">
            <v>7242496.5</v>
          </cell>
        </row>
        <row r="8228">
          <cell r="A8228" t="str">
            <v>BGD</v>
          </cell>
          <cell r="B8228">
            <v>2013</v>
          </cell>
          <cell r="C8228" t="str">
            <v>unpop_total</v>
          </cell>
          <cell r="D8228">
            <v>156532140.5</v>
          </cell>
        </row>
        <row r="8229">
          <cell r="A8229" t="str">
            <v>BGD</v>
          </cell>
          <cell r="B8229">
            <v>2014</v>
          </cell>
          <cell r="C8229" t="str">
            <v>unpop_0014</v>
          </cell>
          <cell r="D8229">
            <v>50242810.5</v>
          </cell>
        </row>
        <row r="8230">
          <cell r="A8230" t="str">
            <v>BGD</v>
          </cell>
          <cell r="B8230">
            <v>2014</v>
          </cell>
          <cell r="C8230" t="str">
            <v>unpop_1564</v>
          </cell>
          <cell r="D8230">
            <v>100208409.5</v>
          </cell>
        </row>
        <row r="8231">
          <cell r="A8231" t="str">
            <v>BGD</v>
          </cell>
          <cell r="B8231">
            <v>2014</v>
          </cell>
          <cell r="C8231" t="str">
            <v>unpop_65up</v>
          </cell>
          <cell r="D8231">
            <v>7513708.5</v>
          </cell>
        </row>
        <row r="8232">
          <cell r="A8232" t="str">
            <v>BGD</v>
          </cell>
          <cell r="B8232">
            <v>2014</v>
          </cell>
          <cell r="C8232" t="str">
            <v>unpop_total</v>
          </cell>
          <cell r="D8232">
            <v>157964928.5</v>
          </cell>
        </row>
        <row r="8233">
          <cell r="A8233" t="str">
            <v>BGD</v>
          </cell>
          <cell r="B8233">
            <v>2015</v>
          </cell>
          <cell r="C8233" t="str">
            <v>unpop_0014</v>
          </cell>
          <cell r="D8233">
            <v>49699406</v>
          </cell>
        </row>
        <row r="8234">
          <cell r="A8234" t="str">
            <v>BGD</v>
          </cell>
          <cell r="B8234">
            <v>2015</v>
          </cell>
          <cell r="C8234" t="str">
            <v>unpop_1564</v>
          </cell>
          <cell r="D8234">
            <v>101869851</v>
          </cell>
        </row>
        <row r="8235">
          <cell r="A8235" t="str">
            <v>BGD</v>
          </cell>
          <cell r="B8235">
            <v>2015</v>
          </cell>
          <cell r="C8235" t="str">
            <v>unpop_65up</v>
          </cell>
          <cell r="D8235">
            <v>7813922</v>
          </cell>
        </row>
        <row r="8236">
          <cell r="A8236" t="str">
            <v>BGD</v>
          </cell>
          <cell r="B8236">
            <v>2015</v>
          </cell>
          <cell r="C8236" t="str">
            <v>unpop_total</v>
          </cell>
          <cell r="D8236">
            <v>159383179</v>
          </cell>
        </row>
        <row r="8237">
          <cell r="A8237" t="str">
            <v>BGD</v>
          </cell>
          <cell r="B8237">
            <v>2016</v>
          </cell>
          <cell r="C8237" t="str">
            <v>unpop_0014</v>
          </cell>
          <cell r="D8237">
            <v>49153855.5</v>
          </cell>
        </row>
        <row r="8238">
          <cell r="A8238" t="str">
            <v>BGD</v>
          </cell>
          <cell r="B8238">
            <v>2016</v>
          </cell>
          <cell r="C8238" t="str">
            <v>unpop_1564</v>
          </cell>
          <cell r="D8238">
            <v>103501312.5</v>
          </cell>
        </row>
        <row r="8239">
          <cell r="A8239" t="str">
            <v>BGD</v>
          </cell>
          <cell r="B8239">
            <v>2016</v>
          </cell>
          <cell r="C8239" t="str">
            <v>unpop_65up</v>
          </cell>
          <cell r="D8239">
            <v>8156764.5</v>
          </cell>
        </row>
        <row r="8240">
          <cell r="A8240" t="str">
            <v>BGD</v>
          </cell>
          <cell r="B8240">
            <v>2016</v>
          </cell>
          <cell r="C8240" t="str">
            <v>unpop_total</v>
          </cell>
          <cell r="D8240">
            <v>160811932.5</v>
          </cell>
        </row>
        <row r="8241">
          <cell r="A8241" t="str">
            <v>BGD</v>
          </cell>
          <cell r="B8241">
            <v>2017</v>
          </cell>
          <cell r="C8241" t="str">
            <v>unpop_0014</v>
          </cell>
          <cell r="D8241">
            <v>48779609.5</v>
          </cell>
        </row>
        <row r="8242">
          <cell r="A8242" t="str">
            <v>BGD</v>
          </cell>
          <cell r="B8242">
            <v>2017</v>
          </cell>
          <cell r="C8242" t="str">
            <v>unpop_1564</v>
          </cell>
          <cell r="D8242">
            <v>104877347.5</v>
          </cell>
        </row>
        <row r="8243">
          <cell r="A8243" t="str">
            <v>BGD</v>
          </cell>
          <cell r="B8243">
            <v>2017</v>
          </cell>
          <cell r="C8243" t="str">
            <v>unpop_65up</v>
          </cell>
          <cell r="D8243">
            <v>8529189.5</v>
          </cell>
        </row>
        <row r="8244">
          <cell r="A8244" t="str">
            <v>BGD</v>
          </cell>
          <cell r="B8244">
            <v>2017</v>
          </cell>
          <cell r="C8244" t="str">
            <v>unpop_total</v>
          </cell>
          <cell r="D8244">
            <v>162186146.5</v>
          </cell>
        </row>
        <row r="8245">
          <cell r="A8245" t="str">
            <v>BGD</v>
          </cell>
          <cell r="B8245">
            <v>2018</v>
          </cell>
          <cell r="C8245" t="str">
            <v>unpop_0014</v>
          </cell>
          <cell r="D8245">
            <v>48639192</v>
          </cell>
        </row>
        <row r="8246">
          <cell r="A8246" t="str">
            <v>BGD</v>
          </cell>
          <cell r="B8246">
            <v>2018</v>
          </cell>
          <cell r="C8246" t="str">
            <v>unpop_1564</v>
          </cell>
          <cell r="D8246">
            <v>105958585</v>
          </cell>
        </row>
        <row r="8247">
          <cell r="A8247" t="str">
            <v>BGD</v>
          </cell>
          <cell r="B8247">
            <v>2018</v>
          </cell>
          <cell r="C8247" t="str">
            <v>unpop_65up</v>
          </cell>
          <cell r="D8247">
            <v>8925326.5</v>
          </cell>
        </row>
        <row r="8248">
          <cell r="A8248" t="str">
            <v>BGD</v>
          </cell>
          <cell r="B8248">
            <v>2018</v>
          </cell>
          <cell r="C8248" t="str">
            <v>unpop_total</v>
          </cell>
          <cell r="D8248">
            <v>163523103.5</v>
          </cell>
        </row>
        <row r="8249">
          <cell r="A8249" t="str">
            <v>BGD</v>
          </cell>
          <cell r="B8249">
            <v>2019</v>
          </cell>
          <cell r="C8249" t="str">
            <v>unpop_0014</v>
          </cell>
          <cell r="D8249">
            <v>48610039</v>
          </cell>
        </row>
        <row r="8250">
          <cell r="A8250" t="str">
            <v>BGD</v>
          </cell>
          <cell r="B8250">
            <v>2019</v>
          </cell>
          <cell r="C8250" t="str">
            <v>unpop_1564</v>
          </cell>
          <cell r="D8250">
            <v>106964718</v>
          </cell>
        </row>
        <row r="8251">
          <cell r="A8251" t="str">
            <v>BGD</v>
          </cell>
          <cell r="B8251">
            <v>2019</v>
          </cell>
          <cell r="C8251" t="str">
            <v>unpop_65up</v>
          </cell>
          <cell r="D8251">
            <v>9338298</v>
          </cell>
        </row>
        <row r="8252">
          <cell r="A8252" t="str">
            <v>BGD</v>
          </cell>
          <cell r="B8252">
            <v>2019</v>
          </cell>
          <cell r="C8252" t="str">
            <v>unpop_total</v>
          </cell>
          <cell r="D8252">
            <v>164913055</v>
          </cell>
        </row>
        <row r="8253">
          <cell r="A8253" t="str">
            <v>BGD</v>
          </cell>
          <cell r="B8253">
            <v>2020</v>
          </cell>
          <cell r="C8253" t="str">
            <v>unpop_0014</v>
          </cell>
          <cell r="D8253">
            <v>48656232</v>
          </cell>
        </row>
        <row r="8254">
          <cell r="A8254" t="str">
            <v>BGD</v>
          </cell>
          <cell r="B8254">
            <v>2020</v>
          </cell>
          <cell r="C8254" t="str">
            <v>unpop_1564</v>
          </cell>
          <cell r="D8254">
            <v>107938076.5</v>
          </cell>
        </row>
        <row r="8255">
          <cell r="A8255" t="str">
            <v>BGD</v>
          </cell>
          <cell r="B8255">
            <v>2020</v>
          </cell>
          <cell r="C8255" t="str">
            <v>unpop_65up</v>
          </cell>
          <cell r="D8255">
            <v>9703715.5</v>
          </cell>
        </row>
        <row r="8256">
          <cell r="A8256" t="str">
            <v>BGD</v>
          </cell>
          <cell r="B8256">
            <v>2020</v>
          </cell>
          <cell r="C8256" t="str">
            <v>unpop_total</v>
          </cell>
          <cell r="D8256">
            <v>166298024</v>
          </cell>
        </row>
        <row r="8257">
          <cell r="A8257" t="str">
            <v>BGD</v>
          </cell>
          <cell r="B8257">
            <v>2021</v>
          </cell>
          <cell r="C8257" t="str">
            <v>unpop_0014</v>
          </cell>
          <cell r="D8257">
            <v>48745975</v>
          </cell>
        </row>
        <row r="8258">
          <cell r="A8258" t="str">
            <v>BGD</v>
          </cell>
          <cell r="B8258">
            <v>2021</v>
          </cell>
          <cell r="C8258" t="str">
            <v>unpop_1564</v>
          </cell>
          <cell r="D8258">
            <v>108897252.5</v>
          </cell>
        </row>
        <row r="8259">
          <cell r="A8259" t="str">
            <v>BGD</v>
          </cell>
          <cell r="B8259">
            <v>2021</v>
          </cell>
          <cell r="C8259" t="str">
            <v>unpop_65up</v>
          </cell>
          <cell r="D8259">
            <v>10015627</v>
          </cell>
        </row>
        <row r="8260">
          <cell r="A8260" t="str">
            <v>BGD</v>
          </cell>
          <cell r="B8260">
            <v>2021</v>
          </cell>
          <cell r="C8260" t="str">
            <v>unpop_total</v>
          </cell>
          <cell r="D8260">
            <v>167658854.5</v>
          </cell>
        </row>
        <row r="8261">
          <cell r="A8261" t="str">
            <v>BGD</v>
          </cell>
          <cell r="B8261">
            <v>2022</v>
          </cell>
          <cell r="C8261" t="str">
            <v>unpop_0014</v>
          </cell>
          <cell r="D8261">
            <v>48732187.5</v>
          </cell>
        </row>
        <row r="8262">
          <cell r="A8262" t="str">
            <v>BGD</v>
          </cell>
          <cell r="B8262">
            <v>2022</v>
          </cell>
          <cell r="C8262" t="str">
            <v>unpop_1564</v>
          </cell>
          <cell r="D8262">
            <v>110260679.5</v>
          </cell>
        </row>
        <row r="8263">
          <cell r="A8263" t="str">
            <v>BGD</v>
          </cell>
          <cell r="B8263">
            <v>2022</v>
          </cell>
          <cell r="C8263" t="str">
            <v>unpop_65up</v>
          </cell>
          <cell r="D8263">
            <v>10392030.5</v>
          </cell>
        </row>
        <row r="8264">
          <cell r="A8264" t="str">
            <v>BGD</v>
          </cell>
          <cell r="B8264">
            <v>2022</v>
          </cell>
          <cell r="C8264" t="str">
            <v>unpop_total</v>
          </cell>
          <cell r="D8264">
            <v>169384897.5</v>
          </cell>
        </row>
        <row r="8265">
          <cell r="A8265" t="str">
            <v>BGD</v>
          </cell>
          <cell r="B8265">
            <v>2023</v>
          </cell>
          <cell r="C8265" t="str">
            <v>unpop_0014</v>
          </cell>
          <cell r="D8265">
            <v>48629551</v>
          </cell>
        </row>
        <row r="8266">
          <cell r="A8266" t="str">
            <v>BGD</v>
          </cell>
          <cell r="B8266">
            <v>2023</v>
          </cell>
          <cell r="C8266" t="str">
            <v>unpop_1564</v>
          </cell>
          <cell r="D8266">
            <v>111999785.5</v>
          </cell>
        </row>
        <row r="8267">
          <cell r="A8267" t="str">
            <v>BGD</v>
          </cell>
          <cell r="B8267">
            <v>2023</v>
          </cell>
          <cell r="C8267" t="str">
            <v>unpop_65up</v>
          </cell>
          <cell r="D8267">
            <v>10837653.5</v>
          </cell>
        </row>
        <row r="8268">
          <cell r="A8268" t="str">
            <v>BGD</v>
          </cell>
          <cell r="B8268">
            <v>2023</v>
          </cell>
          <cell r="C8268" t="str">
            <v>unpop_total</v>
          </cell>
          <cell r="D8268">
            <v>171466990</v>
          </cell>
        </row>
        <row r="8269">
          <cell r="A8269" t="str">
            <v>BGD</v>
          </cell>
          <cell r="B8269">
            <v>2024</v>
          </cell>
          <cell r="C8269" t="str">
            <v>unpop_0014</v>
          </cell>
          <cell r="D8269">
            <v>48578249.5</v>
          </cell>
        </row>
        <row r="8270">
          <cell r="A8270" t="str">
            <v>BGD</v>
          </cell>
          <cell r="B8270">
            <v>2024</v>
          </cell>
          <cell r="C8270" t="str">
            <v>unpop_1564</v>
          </cell>
          <cell r="D8270">
            <v>113705228.5</v>
          </cell>
        </row>
        <row r="8271">
          <cell r="A8271" t="str">
            <v>BGD</v>
          </cell>
          <cell r="B8271">
            <v>2024</v>
          </cell>
          <cell r="C8271" t="str">
            <v>unpop_65up</v>
          </cell>
          <cell r="D8271">
            <v>11278886</v>
          </cell>
        </row>
        <row r="8272">
          <cell r="A8272" t="str">
            <v>BGD</v>
          </cell>
          <cell r="B8272">
            <v>2024</v>
          </cell>
          <cell r="C8272" t="str">
            <v>unpop_total</v>
          </cell>
          <cell r="D8272">
            <v>173562364</v>
          </cell>
        </row>
        <row r="8273">
          <cell r="A8273" t="str">
            <v>BGD</v>
          </cell>
          <cell r="B8273">
            <v>2025</v>
          </cell>
          <cell r="C8273" t="str">
            <v>unpop_0014</v>
          </cell>
          <cell r="D8273">
            <v>48569949</v>
          </cell>
        </row>
        <row r="8274">
          <cell r="A8274" t="str">
            <v>BGD</v>
          </cell>
          <cell r="B8274">
            <v>2025</v>
          </cell>
          <cell r="C8274" t="str">
            <v>unpop_1564</v>
          </cell>
          <cell r="D8274">
            <v>115401404</v>
          </cell>
        </row>
        <row r="8275">
          <cell r="A8275" t="str">
            <v>BGD</v>
          </cell>
          <cell r="B8275">
            <v>2025</v>
          </cell>
          <cell r="C8275" t="str">
            <v>unpop_65up</v>
          </cell>
          <cell r="D8275">
            <v>11715546.5</v>
          </cell>
        </row>
        <row r="8276">
          <cell r="A8276" t="str">
            <v>BGD</v>
          </cell>
          <cell r="B8276">
            <v>2025</v>
          </cell>
          <cell r="C8276" t="str">
            <v>unpop_total</v>
          </cell>
          <cell r="D8276">
            <v>175686899.5</v>
          </cell>
        </row>
        <row r="8277">
          <cell r="A8277" t="str">
            <v>BGD</v>
          </cell>
          <cell r="B8277">
            <v>2026</v>
          </cell>
          <cell r="C8277" t="str">
            <v>unpop_0014</v>
          </cell>
          <cell r="D8277">
            <v>48593660.5</v>
          </cell>
        </row>
        <row r="8278">
          <cell r="A8278" t="str">
            <v>BGD</v>
          </cell>
          <cell r="B8278">
            <v>2026</v>
          </cell>
          <cell r="C8278" t="str">
            <v>unpop_1564</v>
          </cell>
          <cell r="D8278">
            <v>117061314</v>
          </cell>
        </row>
        <row r="8279">
          <cell r="A8279" t="str">
            <v>BGD</v>
          </cell>
          <cell r="B8279">
            <v>2026</v>
          </cell>
          <cell r="C8279" t="str">
            <v>unpop_65up</v>
          </cell>
          <cell r="D8279">
            <v>12163070</v>
          </cell>
        </row>
        <row r="8280">
          <cell r="A8280" t="str">
            <v>BGD</v>
          </cell>
          <cell r="B8280">
            <v>2026</v>
          </cell>
          <cell r="C8280" t="str">
            <v>unpop_total</v>
          </cell>
          <cell r="D8280">
            <v>177818044.5</v>
          </cell>
        </row>
        <row r="8281">
          <cell r="A8281" t="str">
            <v>BGD</v>
          </cell>
          <cell r="B8281">
            <v>2027</v>
          </cell>
          <cell r="C8281" t="str">
            <v>unpop_0014</v>
          </cell>
          <cell r="D8281">
            <v>48645360</v>
          </cell>
        </row>
        <row r="8282">
          <cell r="A8282" t="str">
            <v>BGD</v>
          </cell>
          <cell r="B8282">
            <v>2027</v>
          </cell>
          <cell r="C8282" t="str">
            <v>unpop_1564</v>
          </cell>
          <cell r="D8282">
            <v>118663717.5</v>
          </cell>
        </row>
        <row r="8283">
          <cell r="A8283" t="str">
            <v>BGD</v>
          </cell>
          <cell r="B8283">
            <v>2027</v>
          </cell>
          <cell r="C8283" t="str">
            <v>unpop_65up</v>
          </cell>
          <cell r="D8283">
            <v>12621097.5</v>
          </cell>
        </row>
        <row r="8284">
          <cell r="A8284" t="str">
            <v>BGD</v>
          </cell>
          <cell r="B8284">
            <v>2027</v>
          </cell>
          <cell r="C8284" t="str">
            <v>unpop_total</v>
          </cell>
          <cell r="D8284">
            <v>179930175</v>
          </cell>
        </row>
        <row r="8285">
          <cell r="A8285" t="str">
            <v>BGD</v>
          </cell>
          <cell r="B8285">
            <v>2028</v>
          </cell>
          <cell r="C8285" t="str">
            <v>unpop_0014</v>
          </cell>
          <cell r="D8285">
            <v>48717790.5</v>
          </cell>
        </row>
        <row r="8286">
          <cell r="A8286" t="str">
            <v>BGD</v>
          </cell>
          <cell r="B8286">
            <v>2028</v>
          </cell>
          <cell r="C8286" t="str">
            <v>unpop_1564</v>
          </cell>
          <cell r="D8286">
            <v>120207386</v>
          </cell>
        </row>
        <row r="8287">
          <cell r="A8287" t="str">
            <v>BGD</v>
          </cell>
          <cell r="B8287">
            <v>2028</v>
          </cell>
          <cell r="C8287" t="str">
            <v>unpop_65up</v>
          </cell>
          <cell r="D8287">
            <v>13089597</v>
          </cell>
        </row>
        <row r="8288">
          <cell r="A8288" t="str">
            <v>BGD</v>
          </cell>
          <cell r="B8288">
            <v>2028</v>
          </cell>
          <cell r="C8288" t="str">
            <v>unpop_total</v>
          </cell>
          <cell r="D8288">
            <v>182014773.5</v>
          </cell>
        </row>
        <row r="8289">
          <cell r="A8289" t="str">
            <v>BGD</v>
          </cell>
          <cell r="B8289">
            <v>2029</v>
          </cell>
          <cell r="C8289" t="str">
            <v>unpop_0014</v>
          </cell>
          <cell r="D8289">
            <v>48797893.5</v>
          </cell>
        </row>
        <row r="8290">
          <cell r="A8290" t="str">
            <v>BGD</v>
          </cell>
          <cell r="B8290">
            <v>2029</v>
          </cell>
          <cell r="C8290" t="str">
            <v>unpop_1564</v>
          </cell>
          <cell r="D8290">
            <v>121697394.5</v>
          </cell>
        </row>
        <row r="8291">
          <cell r="A8291" t="str">
            <v>BGD</v>
          </cell>
          <cell r="B8291">
            <v>2029</v>
          </cell>
          <cell r="C8291" t="str">
            <v>unpop_65up</v>
          </cell>
          <cell r="D8291">
            <v>13569331.5</v>
          </cell>
        </row>
        <row r="8292">
          <cell r="A8292" t="str">
            <v>BGD</v>
          </cell>
          <cell r="B8292">
            <v>2029</v>
          </cell>
          <cell r="C8292" t="str">
            <v>unpop_total</v>
          </cell>
          <cell r="D8292">
            <v>184064619.5</v>
          </cell>
        </row>
        <row r="8293">
          <cell r="A8293" t="str">
            <v>BGD</v>
          </cell>
          <cell r="B8293">
            <v>2030</v>
          </cell>
          <cell r="C8293" t="str">
            <v>unpop_0014</v>
          </cell>
          <cell r="D8293">
            <v>48867854</v>
          </cell>
        </row>
        <row r="8294">
          <cell r="A8294" t="str">
            <v>BGD</v>
          </cell>
          <cell r="B8294">
            <v>2030</v>
          </cell>
          <cell r="C8294" t="str">
            <v>unpop_1564</v>
          </cell>
          <cell r="D8294">
            <v>123142654.5</v>
          </cell>
        </row>
        <row r="8295">
          <cell r="A8295" t="str">
            <v>BGD</v>
          </cell>
          <cell r="B8295">
            <v>2030</v>
          </cell>
          <cell r="C8295" t="str">
            <v>unpop_65up</v>
          </cell>
          <cell r="D8295">
            <v>14061898</v>
          </cell>
        </row>
        <row r="8296">
          <cell r="A8296" t="str">
            <v>BGD</v>
          </cell>
          <cell r="B8296">
            <v>2030</v>
          </cell>
          <cell r="C8296" t="str">
            <v>unpop_total</v>
          </cell>
          <cell r="D8296">
            <v>186072406.5</v>
          </cell>
        </row>
        <row r="8297">
          <cell r="A8297" t="str">
            <v>BTN</v>
          </cell>
          <cell r="B8297">
            <v>2000</v>
          </cell>
          <cell r="C8297" t="str">
            <v>unpop_0014</v>
          </cell>
          <cell r="D8297">
            <v>230364.5</v>
          </cell>
        </row>
        <row r="8298">
          <cell r="A8298" t="str">
            <v>BTN</v>
          </cell>
          <cell r="B8298">
            <v>2000</v>
          </cell>
          <cell r="C8298" t="str">
            <v>unpop_1564</v>
          </cell>
          <cell r="D8298">
            <v>344046.5</v>
          </cell>
        </row>
        <row r="8299">
          <cell r="A8299" t="str">
            <v>BTN</v>
          </cell>
          <cell r="B8299">
            <v>2000</v>
          </cell>
          <cell r="C8299" t="str">
            <v>unpop_65up</v>
          </cell>
          <cell r="D8299">
            <v>22452</v>
          </cell>
        </row>
        <row r="8300">
          <cell r="A8300" t="str">
            <v>BTN</v>
          </cell>
          <cell r="B8300">
            <v>2000</v>
          </cell>
          <cell r="C8300" t="str">
            <v>unpop_total</v>
          </cell>
          <cell r="D8300">
            <v>596863</v>
          </cell>
        </row>
        <row r="8301">
          <cell r="A8301" t="str">
            <v>BTN</v>
          </cell>
          <cell r="B8301">
            <v>2001</v>
          </cell>
          <cell r="C8301" t="str">
            <v>unpop_0014</v>
          </cell>
          <cell r="D8301">
            <v>230003</v>
          </cell>
        </row>
        <row r="8302">
          <cell r="A8302" t="str">
            <v>BTN</v>
          </cell>
          <cell r="B8302">
            <v>2001</v>
          </cell>
          <cell r="C8302" t="str">
            <v>unpop_1564</v>
          </cell>
          <cell r="D8302">
            <v>356598</v>
          </cell>
        </row>
        <row r="8303">
          <cell r="A8303" t="str">
            <v>BTN</v>
          </cell>
          <cell r="B8303">
            <v>2001</v>
          </cell>
          <cell r="C8303" t="str">
            <v>unpop_65up</v>
          </cell>
          <cell r="D8303">
            <v>24193.5</v>
          </cell>
        </row>
        <row r="8304">
          <cell r="A8304" t="str">
            <v>BTN</v>
          </cell>
          <cell r="B8304">
            <v>2001</v>
          </cell>
          <cell r="C8304" t="str">
            <v>unpop_total</v>
          </cell>
          <cell r="D8304">
            <v>610794.5</v>
          </cell>
        </row>
        <row r="8305">
          <cell r="A8305" t="str">
            <v>BTN</v>
          </cell>
          <cell r="B8305">
            <v>2002</v>
          </cell>
          <cell r="C8305" t="str">
            <v>unpop_0014</v>
          </cell>
          <cell r="D8305">
            <v>228695.5</v>
          </cell>
        </row>
        <row r="8306">
          <cell r="A8306" t="str">
            <v>BTN</v>
          </cell>
          <cell r="B8306">
            <v>2002</v>
          </cell>
          <cell r="C8306" t="str">
            <v>unpop_1564</v>
          </cell>
          <cell r="D8306">
            <v>369740</v>
          </cell>
        </row>
        <row r="8307">
          <cell r="A8307" t="str">
            <v>BTN</v>
          </cell>
          <cell r="B8307">
            <v>2002</v>
          </cell>
          <cell r="C8307" t="str">
            <v>unpop_65up</v>
          </cell>
          <cell r="D8307">
            <v>25973</v>
          </cell>
        </row>
        <row r="8308">
          <cell r="A8308" t="str">
            <v>BTN</v>
          </cell>
          <cell r="B8308">
            <v>2002</v>
          </cell>
          <cell r="C8308" t="str">
            <v>unpop_total</v>
          </cell>
          <cell r="D8308">
            <v>624408.5</v>
          </cell>
        </row>
        <row r="8309">
          <cell r="A8309" t="str">
            <v>BTN</v>
          </cell>
          <cell r="B8309">
            <v>2003</v>
          </cell>
          <cell r="C8309" t="str">
            <v>unpop_0014</v>
          </cell>
          <cell r="D8309">
            <v>226449.5</v>
          </cell>
        </row>
        <row r="8310">
          <cell r="A8310" t="str">
            <v>BTN</v>
          </cell>
          <cell r="B8310">
            <v>2003</v>
          </cell>
          <cell r="C8310" t="str">
            <v>unpop_1564</v>
          </cell>
          <cell r="D8310">
            <v>383440.5</v>
          </cell>
        </row>
        <row r="8311">
          <cell r="A8311" t="str">
            <v>BTN</v>
          </cell>
          <cell r="B8311">
            <v>2003</v>
          </cell>
          <cell r="C8311" t="str">
            <v>unpop_65up</v>
          </cell>
          <cell r="D8311">
            <v>27773.5</v>
          </cell>
        </row>
        <row r="8312">
          <cell r="A8312" t="str">
            <v>BTN</v>
          </cell>
          <cell r="B8312">
            <v>2003</v>
          </cell>
          <cell r="C8312" t="str">
            <v>unpop_total</v>
          </cell>
          <cell r="D8312">
            <v>637663.5</v>
          </cell>
        </row>
        <row r="8313">
          <cell r="A8313" t="str">
            <v>BTN</v>
          </cell>
          <cell r="B8313">
            <v>2004</v>
          </cell>
          <cell r="C8313" t="str">
            <v>unpop_0014</v>
          </cell>
          <cell r="D8313">
            <v>223251.5</v>
          </cell>
        </row>
        <row r="8314">
          <cell r="A8314" t="str">
            <v>BTN</v>
          </cell>
          <cell r="B8314">
            <v>2004</v>
          </cell>
          <cell r="C8314" t="str">
            <v>unpop_1564</v>
          </cell>
          <cell r="D8314">
            <v>397726</v>
          </cell>
        </row>
        <row r="8315">
          <cell r="A8315" t="str">
            <v>BTN</v>
          </cell>
          <cell r="B8315">
            <v>2004</v>
          </cell>
          <cell r="C8315" t="str">
            <v>unpop_65up</v>
          </cell>
          <cell r="D8315">
            <v>29567</v>
          </cell>
        </row>
        <row r="8316">
          <cell r="A8316" t="str">
            <v>BTN</v>
          </cell>
          <cell r="B8316">
            <v>2004</v>
          </cell>
          <cell r="C8316" t="str">
            <v>unpop_total</v>
          </cell>
          <cell r="D8316">
            <v>650544.5</v>
          </cell>
        </row>
        <row r="8317">
          <cell r="A8317" t="str">
            <v>BTN</v>
          </cell>
          <cell r="B8317">
            <v>2005</v>
          </cell>
          <cell r="C8317" t="str">
            <v>unpop_0014</v>
          </cell>
          <cell r="D8317">
            <v>219900</v>
          </cell>
        </row>
        <row r="8318">
          <cell r="A8318" t="str">
            <v>BTN</v>
          </cell>
          <cell r="B8318">
            <v>2005</v>
          </cell>
          <cell r="C8318" t="str">
            <v>unpop_1564</v>
          </cell>
          <cell r="D8318">
            <v>410909.5</v>
          </cell>
        </row>
        <row r="8319">
          <cell r="A8319" t="str">
            <v>BTN</v>
          </cell>
          <cell r="B8319">
            <v>2005</v>
          </cell>
          <cell r="C8319" t="str">
            <v>unpop_65up</v>
          </cell>
          <cell r="D8319">
            <v>31056</v>
          </cell>
        </row>
        <row r="8320">
          <cell r="A8320" t="str">
            <v>BTN</v>
          </cell>
          <cell r="B8320">
            <v>2005</v>
          </cell>
          <cell r="C8320" t="str">
            <v>unpop_total</v>
          </cell>
          <cell r="D8320">
            <v>661865.5</v>
          </cell>
        </row>
        <row r="8321">
          <cell r="A8321" t="str">
            <v>BTN</v>
          </cell>
          <cell r="B8321">
            <v>2006</v>
          </cell>
          <cell r="C8321" t="str">
            <v>unpop_0014</v>
          </cell>
          <cell r="D8321">
            <v>217080</v>
          </cell>
        </row>
        <row r="8322">
          <cell r="A8322" t="str">
            <v>BTN</v>
          </cell>
          <cell r="B8322">
            <v>2006</v>
          </cell>
          <cell r="C8322" t="str">
            <v>unpop_1564</v>
          </cell>
          <cell r="D8322">
            <v>421644</v>
          </cell>
        </row>
        <row r="8323">
          <cell r="A8323" t="str">
            <v>BTN</v>
          </cell>
          <cell r="B8323">
            <v>2006</v>
          </cell>
          <cell r="C8323" t="str">
            <v>unpop_65up</v>
          </cell>
          <cell r="D8323">
            <v>32075.5</v>
          </cell>
        </row>
        <row r="8324">
          <cell r="A8324" t="str">
            <v>BTN</v>
          </cell>
          <cell r="B8324">
            <v>2006</v>
          </cell>
          <cell r="C8324" t="str">
            <v>unpop_total</v>
          </cell>
          <cell r="D8324">
            <v>670799.5</v>
          </cell>
        </row>
        <row r="8325">
          <cell r="A8325" t="str">
            <v>BTN</v>
          </cell>
          <cell r="B8325">
            <v>2007</v>
          </cell>
          <cell r="C8325" t="str">
            <v>unpop_0014</v>
          </cell>
          <cell r="D8325">
            <v>214337.5</v>
          </cell>
        </row>
        <row r="8326">
          <cell r="A8326" t="str">
            <v>BTN</v>
          </cell>
          <cell r="B8326">
            <v>2007</v>
          </cell>
          <cell r="C8326" t="str">
            <v>unpop_1564</v>
          </cell>
          <cell r="D8326">
            <v>431366</v>
          </cell>
        </row>
        <row r="8327">
          <cell r="A8327" t="str">
            <v>BTN</v>
          </cell>
          <cell r="B8327">
            <v>2007</v>
          </cell>
          <cell r="C8327" t="str">
            <v>unpop_65up</v>
          </cell>
          <cell r="D8327">
            <v>32937.5</v>
          </cell>
        </row>
        <row r="8328">
          <cell r="A8328" t="str">
            <v>BTN</v>
          </cell>
          <cell r="B8328">
            <v>2007</v>
          </cell>
          <cell r="C8328" t="str">
            <v>unpop_total</v>
          </cell>
          <cell r="D8328">
            <v>678641</v>
          </cell>
        </row>
        <row r="8329">
          <cell r="A8329" t="str">
            <v>BTN</v>
          </cell>
          <cell r="B8329">
            <v>2008</v>
          </cell>
          <cell r="C8329" t="str">
            <v>unpop_0014</v>
          </cell>
          <cell r="D8329">
            <v>211489</v>
          </cell>
        </row>
        <row r="8330">
          <cell r="A8330" t="str">
            <v>BTN</v>
          </cell>
          <cell r="B8330">
            <v>2008</v>
          </cell>
          <cell r="C8330" t="str">
            <v>unpop_1564</v>
          </cell>
          <cell r="D8330">
            <v>441005</v>
          </cell>
        </row>
        <row r="8331">
          <cell r="A8331" t="str">
            <v>BTN</v>
          </cell>
          <cell r="B8331">
            <v>2008</v>
          </cell>
          <cell r="C8331" t="str">
            <v>unpop_65up</v>
          </cell>
          <cell r="D8331">
            <v>33857.5</v>
          </cell>
        </row>
        <row r="8332">
          <cell r="A8332" t="str">
            <v>BTN</v>
          </cell>
          <cell r="B8332">
            <v>2008</v>
          </cell>
          <cell r="C8332" t="str">
            <v>unpop_total</v>
          </cell>
          <cell r="D8332">
            <v>686351.5</v>
          </cell>
        </row>
        <row r="8333">
          <cell r="A8333" t="str">
            <v>BTN</v>
          </cell>
          <cell r="B8333">
            <v>2009</v>
          </cell>
          <cell r="C8333" t="str">
            <v>unpop_0014</v>
          </cell>
          <cell r="D8333">
            <v>208809.5</v>
          </cell>
        </row>
        <row r="8334">
          <cell r="A8334" t="str">
            <v>BTN</v>
          </cell>
          <cell r="B8334">
            <v>2009</v>
          </cell>
          <cell r="C8334" t="str">
            <v>unpop_1564</v>
          </cell>
          <cell r="D8334">
            <v>450335</v>
          </cell>
        </row>
        <row r="8335">
          <cell r="A8335" t="str">
            <v>BTN</v>
          </cell>
          <cell r="B8335">
            <v>2009</v>
          </cell>
          <cell r="C8335" t="str">
            <v>unpop_65up</v>
          </cell>
          <cell r="D8335">
            <v>34843.5</v>
          </cell>
        </row>
        <row r="8336">
          <cell r="A8336" t="str">
            <v>BTN</v>
          </cell>
          <cell r="B8336">
            <v>2009</v>
          </cell>
          <cell r="C8336" t="str">
            <v>unpop_total</v>
          </cell>
          <cell r="D8336">
            <v>693988</v>
          </cell>
        </row>
        <row r="8337">
          <cell r="A8337" t="str">
            <v>BTN</v>
          </cell>
          <cell r="B8337">
            <v>2010</v>
          </cell>
          <cell r="C8337" t="str">
            <v>unpop_0014</v>
          </cell>
          <cell r="D8337">
            <v>206432.5</v>
          </cell>
        </row>
        <row r="8338">
          <cell r="A8338" t="str">
            <v>BTN</v>
          </cell>
          <cell r="B8338">
            <v>2010</v>
          </cell>
          <cell r="C8338" t="str">
            <v>unpop_1564</v>
          </cell>
          <cell r="D8338">
            <v>459312</v>
          </cell>
        </row>
        <row r="8339">
          <cell r="A8339" t="str">
            <v>BTN</v>
          </cell>
          <cell r="B8339">
            <v>2010</v>
          </cell>
          <cell r="C8339" t="str">
            <v>unpop_65up</v>
          </cell>
          <cell r="D8339">
            <v>35887.5</v>
          </cell>
        </row>
        <row r="8340">
          <cell r="A8340" t="str">
            <v>BTN</v>
          </cell>
          <cell r="B8340">
            <v>2010</v>
          </cell>
          <cell r="C8340" t="str">
            <v>unpop_total</v>
          </cell>
          <cell r="D8340">
            <v>701632</v>
          </cell>
        </row>
        <row r="8341">
          <cell r="A8341" t="str">
            <v>BTN</v>
          </cell>
          <cell r="B8341">
            <v>2011</v>
          </cell>
          <cell r="C8341" t="str">
            <v>unpop_0014</v>
          </cell>
          <cell r="D8341">
            <v>204442</v>
          </cell>
        </row>
        <row r="8342">
          <cell r="A8342" t="str">
            <v>BTN</v>
          </cell>
          <cell r="B8342">
            <v>2011</v>
          </cell>
          <cell r="C8342" t="str">
            <v>unpop_1564</v>
          </cell>
          <cell r="D8342">
            <v>467961.5</v>
          </cell>
        </row>
        <row r="8343">
          <cell r="A8343" t="str">
            <v>BTN</v>
          </cell>
          <cell r="B8343">
            <v>2011</v>
          </cell>
          <cell r="C8343" t="str">
            <v>unpop_65up</v>
          </cell>
          <cell r="D8343">
            <v>36973.5</v>
          </cell>
        </row>
        <row r="8344">
          <cell r="A8344" t="str">
            <v>BTN</v>
          </cell>
          <cell r="B8344">
            <v>2011</v>
          </cell>
          <cell r="C8344" t="str">
            <v>unpop_total</v>
          </cell>
          <cell r="D8344">
            <v>709377</v>
          </cell>
        </row>
        <row r="8345">
          <cell r="A8345" t="str">
            <v>BTN</v>
          </cell>
          <cell r="B8345">
            <v>2012</v>
          </cell>
          <cell r="C8345" t="str">
            <v>unpop_0014</v>
          </cell>
          <cell r="D8345">
            <v>202982.5</v>
          </cell>
        </row>
        <row r="8346">
          <cell r="A8346" t="str">
            <v>BTN</v>
          </cell>
          <cell r="B8346">
            <v>2012</v>
          </cell>
          <cell r="C8346" t="str">
            <v>unpop_1564</v>
          </cell>
          <cell r="D8346">
            <v>476208</v>
          </cell>
        </row>
        <row r="8347">
          <cell r="A8347" t="str">
            <v>BTN</v>
          </cell>
          <cell r="B8347">
            <v>2012</v>
          </cell>
          <cell r="C8347" t="str">
            <v>unpop_65up</v>
          </cell>
          <cell r="D8347">
            <v>38089</v>
          </cell>
        </row>
        <row r="8348">
          <cell r="A8348" t="str">
            <v>BTN</v>
          </cell>
          <cell r="B8348">
            <v>2012</v>
          </cell>
          <cell r="C8348" t="str">
            <v>unpop_total</v>
          </cell>
          <cell r="D8348">
            <v>717279.5</v>
          </cell>
        </row>
        <row r="8349">
          <cell r="A8349" t="str">
            <v>BTN</v>
          </cell>
          <cell r="B8349">
            <v>2013</v>
          </cell>
          <cell r="C8349" t="str">
            <v>unpop_0014</v>
          </cell>
          <cell r="D8349">
            <v>201984.5</v>
          </cell>
        </row>
        <row r="8350">
          <cell r="A8350" t="str">
            <v>BTN</v>
          </cell>
          <cell r="B8350">
            <v>2013</v>
          </cell>
          <cell r="C8350" t="str">
            <v>unpop_1564</v>
          </cell>
          <cell r="D8350">
            <v>484044</v>
          </cell>
        </row>
        <row r="8351">
          <cell r="A8351" t="str">
            <v>BTN</v>
          </cell>
          <cell r="B8351">
            <v>2013</v>
          </cell>
          <cell r="C8351" t="str">
            <v>unpop_65up</v>
          </cell>
          <cell r="D8351">
            <v>39244.5</v>
          </cell>
        </row>
        <row r="8352">
          <cell r="A8352" t="str">
            <v>BTN</v>
          </cell>
          <cell r="B8352">
            <v>2013</v>
          </cell>
          <cell r="C8352" t="str">
            <v>unpop_total</v>
          </cell>
          <cell r="D8352">
            <v>725273</v>
          </cell>
        </row>
        <row r="8353">
          <cell r="A8353" t="str">
            <v>BTN</v>
          </cell>
          <cell r="B8353">
            <v>2014</v>
          </cell>
          <cell r="C8353" t="str">
            <v>unpop_0014</v>
          </cell>
          <cell r="D8353">
            <v>201021</v>
          </cell>
        </row>
        <row r="8354">
          <cell r="A8354" t="str">
            <v>BTN</v>
          </cell>
          <cell r="B8354">
            <v>2014</v>
          </cell>
          <cell r="C8354" t="str">
            <v>unpop_1564</v>
          </cell>
          <cell r="D8354">
            <v>491673</v>
          </cell>
        </row>
        <row r="8355">
          <cell r="A8355" t="str">
            <v>BTN</v>
          </cell>
          <cell r="B8355">
            <v>2014</v>
          </cell>
          <cell r="C8355" t="str">
            <v>unpop_65up</v>
          </cell>
          <cell r="D8355">
            <v>40445.5</v>
          </cell>
        </row>
        <row r="8356">
          <cell r="A8356" t="str">
            <v>BTN</v>
          </cell>
          <cell r="B8356">
            <v>2014</v>
          </cell>
          <cell r="C8356" t="str">
            <v>unpop_total</v>
          </cell>
          <cell r="D8356">
            <v>733139.5</v>
          </cell>
        </row>
        <row r="8357">
          <cell r="A8357" t="str">
            <v>BTN</v>
          </cell>
          <cell r="B8357">
            <v>2015</v>
          </cell>
          <cell r="C8357" t="str">
            <v>unpop_0014</v>
          </cell>
          <cell r="D8357">
            <v>199631</v>
          </cell>
        </row>
        <row r="8358">
          <cell r="A8358" t="str">
            <v>BTN</v>
          </cell>
          <cell r="B8358">
            <v>2015</v>
          </cell>
          <cell r="C8358" t="str">
            <v>unpop_1564</v>
          </cell>
          <cell r="D8358">
            <v>499266</v>
          </cell>
        </row>
        <row r="8359">
          <cell r="A8359" t="str">
            <v>BTN</v>
          </cell>
          <cell r="B8359">
            <v>2015</v>
          </cell>
          <cell r="C8359" t="str">
            <v>unpop_65up</v>
          </cell>
          <cell r="D8359">
            <v>41721</v>
          </cell>
        </row>
        <row r="8360">
          <cell r="A8360" t="str">
            <v>BTN</v>
          </cell>
          <cell r="B8360">
            <v>2015</v>
          </cell>
          <cell r="C8360" t="str">
            <v>unpop_total</v>
          </cell>
          <cell r="D8360">
            <v>740618</v>
          </cell>
        </row>
        <row r="8361">
          <cell r="A8361" t="str">
            <v>BTN</v>
          </cell>
          <cell r="B8361">
            <v>2016</v>
          </cell>
          <cell r="C8361" t="str">
            <v>unpop_0014</v>
          </cell>
          <cell r="D8361">
            <v>197909.5</v>
          </cell>
        </row>
        <row r="8362">
          <cell r="A8362" t="str">
            <v>BTN</v>
          </cell>
          <cell r="B8362">
            <v>2016</v>
          </cell>
          <cell r="C8362" t="str">
            <v>unpop_1564</v>
          </cell>
          <cell r="D8362">
            <v>506860.5</v>
          </cell>
        </row>
        <row r="8363">
          <cell r="A8363" t="str">
            <v>BTN</v>
          </cell>
          <cell r="B8363">
            <v>2016</v>
          </cell>
          <cell r="C8363" t="str">
            <v>unpop_65up</v>
          </cell>
          <cell r="D8363">
            <v>43096</v>
          </cell>
        </row>
        <row r="8364">
          <cell r="A8364" t="str">
            <v>BTN</v>
          </cell>
          <cell r="B8364">
            <v>2016</v>
          </cell>
          <cell r="C8364" t="str">
            <v>unpop_total</v>
          </cell>
          <cell r="D8364">
            <v>747866</v>
          </cell>
        </row>
        <row r="8365">
          <cell r="A8365" t="str">
            <v>BTN</v>
          </cell>
          <cell r="B8365">
            <v>2017</v>
          </cell>
          <cell r="C8365" t="str">
            <v>unpop_0014</v>
          </cell>
          <cell r="D8365">
            <v>194764.5</v>
          </cell>
        </row>
        <row r="8366">
          <cell r="A8366" t="str">
            <v>BTN</v>
          </cell>
          <cell r="B8366">
            <v>2017</v>
          </cell>
          <cell r="C8366" t="str">
            <v>unpop_1564</v>
          </cell>
          <cell r="D8366">
            <v>515542</v>
          </cell>
        </row>
        <row r="8367">
          <cell r="A8367" t="str">
            <v>BTN</v>
          </cell>
          <cell r="B8367">
            <v>2017</v>
          </cell>
          <cell r="C8367" t="str">
            <v>unpop_65up</v>
          </cell>
          <cell r="D8367">
            <v>44028</v>
          </cell>
        </row>
        <row r="8368">
          <cell r="A8368" t="str">
            <v>BTN</v>
          </cell>
          <cell r="B8368">
            <v>2017</v>
          </cell>
          <cell r="C8368" t="str">
            <v>unpop_total</v>
          </cell>
          <cell r="D8368">
            <v>754334.5</v>
          </cell>
        </row>
        <row r="8369">
          <cell r="A8369" t="str">
            <v>BTN</v>
          </cell>
          <cell r="B8369">
            <v>2018</v>
          </cell>
          <cell r="C8369" t="str">
            <v>unpop_0014</v>
          </cell>
          <cell r="D8369">
            <v>189957.5</v>
          </cell>
        </row>
        <row r="8370">
          <cell r="A8370" t="str">
            <v>BTN</v>
          </cell>
          <cell r="B8370">
            <v>2018</v>
          </cell>
          <cell r="C8370" t="str">
            <v>unpop_1564</v>
          </cell>
          <cell r="D8370">
            <v>525229</v>
          </cell>
        </row>
        <row r="8371">
          <cell r="A8371" t="str">
            <v>BTN</v>
          </cell>
          <cell r="B8371">
            <v>2018</v>
          </cell>
          <cell r="C8371" t="str">
            <v>unpop_65up</v>
          </cell>
          <cell r="D8371">
            <v>44572.5</v>
          </cell>
        </row>
        <row r="8372">
          <cell r="A8372" t="str">
            <v>BTN</v>
          </cell>
          <cell r="B8372">
            <v>2018</v>
          </cell>
          <cell r="C8372" t="str">
            <v>unpop_total</v>
          </cell>
          <cell r="D8372">
            <v>759759</v>
          </cell>
        </row>
        <row r="8373">
          <cell r="A8373" t="str">
            <v>BTN</v>
          </cell>
          <cell r="B8373">
            <v>2019</v>
          </cell>
          <cell r="C8373" t="str">
            <v>unpop_0014</v>
          </cell>
          <cell r="D8373">
            <v>184808.5</v>
          </cell>
        </row>
        <row r="8374">
          <cell r="A8374" t="str">
            <v>BTN</v>
          </cell>
          <cell r="B8374">
            <v>2019</v>
          </cell>
          <cell r="C8374" t="str">
            <v>unpop_1564</v>
          </cell>
          <cell r="D8374">
            <v>534677</v>
          </cell>
        </row>
        <row r="8375">
          <cell r="A8375" t="str">
            <v>BTN</v>
          </cell>
          <cell r="B8375">
            <v>2019</v>
          </cell>
          <cell r="C8375" t="str">
            <v>unpop_65up</v>
          </cell>
          <cell r="D8375">
            <v>45338.5</v>
          </cell>
        </row>
        <row r="8376">
          <cell r="A8376" t="str">
            <v>BTN</v>
          </cell>
          <cell r="B8376">
            <v>2019</v>
          </cell>
          <cell r="C8376" t="str">
            <v>unpop_total</v>
          </cell>
          <cell r="D8376">
            <v>764824</v>
          </cell>
        </row>
        <row r="8377">
          <cell r="A8377" t="str">
            <v>BTN</v>
          </cell>
          <cell r="B8377">
            <v>2020</v>
          </cell>
          <cell r="C8377" t="str">
            <v>unpop_0014</v>
          </cell>
          <cell r="D8377">
            <v>179977</v>
          </cell>
        </row>
        <row r="8378">
          <cell r="A8378" t="str">
            <v>BTN</v>
          </cell>
          <cell r="B8378">
            <v>2020</v>
          </cell>
          <cell r="C8378" t="str">
            <v>unpop_1564</v>
          </cell>
          <cell r="D8378">
            <v>543690</v>
          </cell>
        </row>
        <row r="8379">
          <cell r="A8379" t="str">
            <v>BTN</v>
          </cell>
          <cell r="B8379">
            <v>2020</v>
          </cell>
          <cell r="C8379" t="str">
            <v>unpop_65up</v>
          </cell>
          <cell r="D8379">
            <v>46339</v>
          </cell>
        </row>
        <row r="8380">
          <cell r="A8380" t="str">
            <v>BTN</v>
          </cell>
          <cell r="B8380">
            <v>2020</v>
          </cell>
          <cell r="C8380" t="str">
            <v>unpop_total</v>
          </cell>
          <cell r="D8380">
            <v>770006</v>
          </cell>
        </row>
        <row r="8381">
          <cell r="A8381" t="str">
            <v>BTN</v>
          </cell>
          <cell r="B8381">
            <v>2021</v>
          </cell>
          <cell r="C8381" t="str">
            <v>unpop_0014</v>
          </cell>
          <cell r="D8381">
            <v>175794.5</v>
          </cell>
        </row>
        <row r="8382">
          <cell r="A8382" t="str">
            <v>BTN</v>
          </cell>
          <cell r="B8382">
            <v>2021</v>
          </cell>
          <cell r="C8382" t="str">
            <v>unpop_1564</v>
          </cell>
          <cell r="D8382">
            <v>552138.5</v>
          </cell>
        </row>
        <row r="8383">
          <cell r="A8383" t="str">
            <v>BTN</v>
          </cell>
          <cell r="B8383">
            <v>2021</v>
          </cell>
          <cell r="C8383" t="str">
            <v>unpop_65up</v>
          </cell>
          <cell r="D8383">
            <v>47508.5</v>
          </cell>
        </row>
        <row r="8384">
          <cell r="A8384" t="str">
            <v>BTN</v>
          </cell>
          <cell r="B8384">
            <v>2021</v>
          </cell>
          <cell r="C8384" t="str">
            <v>unpop_total</v>
          </cell>
          <cell r="D8384">
            <v>775441.5</v>
          </cell>
        </row>
        <row r="8385">
          <cell r="A8385" t="str">
            <v>BTN</v>
          </cell>
          <cell r="B8385">
            <v>2022</v>
          </cell>
          <cell r="C8385" t="str">
            <v>unpop_0014</v>
          </cell>
          <cell r="D8385">
            <v>172105</v>
          </cell>
        </row>
        <row r="8386">
          <cell r="A8386" t="str">
            <v>BTN</v>
          </cell>
          <cell r="B8386">
            <v>2022</v>
          </cell>
          <cell r="C8386" t="str">
            <v>unpop_1564</v>
          </cell>
          <cell r="D8386">
            <v>560035.5</v>
          </cell>
        </row>
        <row r="8387">
          <cell r="A8387" t="str">
            <v>BTN</v>
          </cell>
          <cell r="B8387">
            <v>2022</v>
          </cell>
          <cell r="C8387" t="str">
            <v>unpop_65up</v>
          </cell>
          <cell r="D8387">
            <v>48774</v>
          </cell>
        </row>
        <row r="8388">
          <cell r="A8388" t="str">
            <v>BTN</v>
          </cell>
          <cell r="B8388">
            <v>2022</v>
          </cell>
          <cell r="C8388" t="str">
            <v>unpop_total</v>
          </cell>
          <cell r="D8388">
            <v>780914.5</v>
          </cell>
        </row>
        <row r="8389">
          <cell r="A8389" t="str">
            <v>BTN</v>
          </cell>
          <cell r="B8389">
            <v>2023</v>
          </cell>
          <cell r="C8389" t="str">
            <v>unpop_0014</v>
          </cell>
          <cell r="D8389">
            <v>168770</v>
          </cell>
        </row>
        <row r="8390">
          <cell r="A8390" t="str">
            <v>BTN</v>
          </cell>
          <cell r="B8390">
            <v>2023</v>
          </cell>
          <cell r="C8390" t="str">
            <v>unpop_1564</v>
          </cell>
          <cell r="D8390">
            <v>567532.5</v>
          </cell>
        </row>
        <row r="8391">
          <cell r="A8391" t="str">
            <v>BTN</v>
          </cell>
          <cell r="B8391">
            <v>2023</v>
          </cell>
          <cell r="C8391" t="str">
            <v>unpop_65up</v>
          </cell>
          <cell r="D8391">
            <v>50082.5</v>
          </cell>
        </row>
        <row r="8392">
          <cell r="A8392" t="str">
            <v>BTN</v>
          </cell>
          <cell r="B8392">
            <v>2023</v>
          </cell>
          <cell r="C8392" t="str">
            <v>unpop_total</v>
          </cell>
          <cell r="D8392">
            <v>786385</v>
          </cell>
        </row>
        <row r="8393">
          <cell r="A8393" t="str">
            <v>BTN</v>
          </cell>
          <cell r="B8393">
            <v>2024</v>
          </cell>
          <cell r="C8393" t="str">
            <v>unpop_0014</v>
          </cell>
          <cell r="D8393">
            <v>165503</v>
          </cell>
        </row>
        <row r="8394">
          <cell r="A8394" t="str">
            <v>BTN</v>
          </cell>
          <cell r="B8394">
            <v>2024</v>
          </cell>
          <cell r="C8394" t="str">
            <v>unpop_1564</v>
          </cell>
          <cell r="D8394">
            <v>574618</v>
          </cell>
        </row>
        <row r="8395">
          <cell r="A8395" t="str">
            <v>BTN</v>
          </cell>
          <cell r="B8395">
            <v>2024</v>
          </cell>
          <cell r="C8395" t="str">
            <v>unpop_65up</v>
          </cell>
          <cell r="D8395">
            <v>51403.5</v>
          </cell>
        </row>
        <row r="8396">
          <cell r="A8396" t="str">
            <v>BTN</v>
          </cell>
          <cell r="B8396">
            <v>2024</v>
          </cell>
          <cell r="C8396" t="str">
            <v>unpop_total</v>
          </cell>
          <cell r="D8396">
            <v>791524.5</v>
          </cell>
        </row>
        <row r="8397">
          <cell r="A8397" t="str">
            <v>BTN</v>
          </cell>
          <cell r="B8397">
            <v>2025</v>
          </cell>
          <cell r="C8397" t="str">
            <v>unpop_0014</v>
          </cell>
          <cell r="D8397">
            <v>162213</v>
          </cell>
        </row>
        <row r="8398">
          <cell r="A8398" t="str">
            <v>BTN</v>
          </cell>
          <cell r="B8398">
            <v>2025</v>
          </cell>
          <cell r="C8398" t="str">
            <v>unpop_1564</v>
          </cell>
          <cell r="D8398">
            <v>581670</v>
          </cell>
        </row>
        <row r="8399">
          <cell r="A8399" t="str">
            <v>BTN</v>
          </cell>
          <cell r="B8399">
            <v>2025</v>
          </cell>
          <cell r="C8399" t="str">
            <v>unpop_65up</v>
          </cell>
          <cell r="D8399">
            <v>52798.5</v>
          </cell>
        </row>
        <row r="8400">
          <cell r="A8400" t="str">
            <v>BTN</v>
          </cell>
          <cell r="B8400">
            <v>2025</v>
          </cell>
          <cell r="C8400" t="str">
            <v>unpop_total</v>
          </cell>
          <cell r="D8400">
            <v>796681.5</v>
          </cell>
        </row>
        <row r="8401">
          <cell r="A8401" t="str">
            <v>BTN</v>
          </cell>
          <cell r="B8401">
            <v>2026</v>
          </cell>
          <cell r="C8401" t="str">
            <v>unpop_0014</v>
          </cell>
          <cell r="D8401">
            <v>158934</v>
          </cell>
        </row>
        <row r="8402">
          <cell r="A8402" t="str">
            <v>BTN</v>
          </cell>
          <cell r="B8402">
            <v>2026</v>
          </cell>
          <cell r="C8402" t="str">
            <v>unpop_1564</v>
          </cell>
          <cell r="D8402">
            <v>588972</v>
          </cell>
        </row>
        <row r="8403">
          <cell r="A8403" t="str">
            <v>BTN</v>
          </cell>
          <cell r="B8403">
            <v>2026</v>
          </cell>
          <cell r="C8403" t="str">
            <v>unpop_65up</v>
          </cell>
          <cell r="D8403">
            <v>54308</v>
          </cell>
        </row>
        <row r="8404">
          <cell r="A8404" t="str">
            <v>BTN</v>
          </cell>
          <cell r="B8404">
            <v>2026</v>
          </cell>
          <cell r="C8404" t="str">
            <v>unpop_total</v>
          </cell>
          <cell r="D8404">
            <v>802214</v>
          </cell>
        </row>
        <row r="8405">
          <cell r="A8405" t="str">
            <v>BTN</v>
          </cell>
          <cell r="B8405">
            <v>2027</v>
          </cell>
          <cell r="C8405" t="str">
            <v>unpop_0014</v>
          </cell>
          <cell r="D8405">
            <v>155538.5</v>
          </cell>
        </row>
        <row r="8406">
          <cell r="A8406" t="str">
            <v>BTN</v>
          </cell>
          <cell r="B8406">
            <v>2027</v>
          </cell>
          <cell r="C8406" t="str">
            <v>unpop_1564</v>
          </cell>
          <cell r="D8406">
            <v>595825</v>
          </cell>
        </row>
        <row r="8407">
          <cell r="A8407" t="str">
            <v>BTN</v>
          </cell>
          <cell r="B8407">
            <v>2027</v>
          </cell>
          <cell r="C8407" t="str">
            <v>unpop_65up</v>
          </cell>
          <cell r="D8407">
            <v>55901.5</v>
          </cell>
        </row>
        <row r="8408">
          <cell r="A8408" t="str">
            <v>BTN</v>
          </cell>
          <cell r="B8408">
            <v>2027</v>
          </cell>
          <cell r="C8408" t="str">
            <v>unpop_total</v>
          </cell>
          <cell r="D8408">
            <v>807265</v>
          </cell>
        </row>
        <row r="8409">
          <cell r="A8409" t="str">
            <v>BTN</v>
          </cell>
          <cell r="B8409">
            <v>2028</v>
          </cell>
          <cell r="C8409" t="str">
            <v>unpop_0014</v>
          </cell>
          <cell r="D8409">
            <v>152207</v>
          </cell>
        </row>
        <row r="8410">
          <cell r="A8410" t="str">
            <v>BTN</v>
          </cell>
          <cell r="B8410">
            <v>2028</v>
          </cell>
          <cell r="C8410" t="str">
            <v>unpop_1564</v>
          </cell>
          <cell r="D8410">
            <v>602052</v>
          </cell>
        </row>
        <row r="8411">
          <cell r="A8411" t="str">
            <v>BTN</v>
          </cell>
          <cell r="B8411">
            <v>2028</v>
          </cell>
          <cell r="C8411" t="str">
            <v>unpop_65up</v>
          </cell>
          <cell r="D8411">
            <v>57582.5</v>
          </cell>
        </row>
        <row r="8412">
          <cell r="A8412" t="str">
            <v>BTN</v>
          </cell>
          <cell r="B8412">
            <v>2028</v>
          </cell>
          <cell r="C8412" t="str">
            <v>unpop_total</v>
          </cell>
          <cell r="D8412">
            <v>811841.5</v>
          </cell>
        </row>
        <row r="8413">
          <cell r="A8413" t="str">
            <v>BTN</v>
          </cell>
          <cell r="B8413">
            <v>2029</v>
          </cell>
          <cell r="C8413" t="str">
            <v>unpop_0014</v>
          </cell>
          <cell r="D8413">
            <v>149296.5</v>
          </cell>
        </row>
        <row r="8414">
          <cell r="A8414" t="str">
            <v>BTN</v>
          </cell>
          <cell r="B8414">
            <v>2029</v>
          </cell>
          <cell r="C8414" t="str">
            <v>unpop_1564</v>
          </cell>
          <cell r="D8414">
            <v>607586.5</v>
          </cell>
        </row>
        <row r="8415">
          <cell r="A8415" t="str">
            <v>BTN</v>
          </cell>
          <cell r="B8415">
            <v>2029</v>
          </cell>
          <cell r="C8415" t="str">
            <v>unpop_65up</v>
          </cell>
          <cell r="D8415">
            <v>59388</v>
          </cell>
        </row>
        <row r="8416">
          <cell r="A8416" t="str">
            <v>BTN</v>
          </cell>
          <cell r="B8416">
            <v>2029</v>
          </cell>
          <cell r="C8416" t="str">
            <v>unpop_total</v>
          </cell>
          <cell r="D8416">
            <v>816271</v>
          </cell>
        </row>
        <row r="8417">
          <cell r="A8417" t="str">
            <v>BTN</v>
          </cell>
          <cell r="B8417">
            <v>2030</v>
          </cell>
          <cell r="C8417" t="str">
            <v>unpop_0014</v>
          </cell>
          <cell r="D8417">
            <v>147069.5</v>
          </cell>
        </row>
        <row r="8418">
          <cell r="A8418" t="str">
            <v>BTN</v>
          </cell>
          <cell r="B8418">
            <v>2030</v>
          </cell>
          <cell r="C8418" t="str">
            <v>unpop_1564</v>
          </cell>
          <cell r="D8418">
            <v>612222.5</v>
          </cell>
        </row>
        <row r="8419">
          <cell r="A8419" t="str">
            <v>BTN</v>
          </cell>
          <cell r="B8419">
            <v>2030</v>
          </cell>
          <cell r="C8419" t="str">
            <v>unpop_65up</v>
          </cell>
          <cell r="D8419">
            <v>61402</v>
          </cell>
        </row>
        <row r="8420">
          <cell r="A8420" t="str">
            <v>BTN</v>
          </cell>
          <cell r="B8420">
            <v>2030</v>
          </cell>
          <cell r="C8420" t="str">
            <v>unpop_total</v>
          </cell>
          <cell r="D8420">
            <v>820694</v>
          </cell>
        </row>
        <row r="8421">
          <cell r="A8421" t="str">
            <v>IND</v>
          </cell>
          <cell r="B8421">
            <v>2000</v>
          </cell>
          <cell r="C8421" t="str">
            <v>unpop_0014</v>
          </cell>
          <cell r="D8421">
            <v>376124150</v>
          </cell>
        </row>
        <row r="8422">
          <cell r="A8422" t="str">
            <v>IND</v>
          </cell>
          <cell r="B8422">
            <v>2000</v>
          </cell>
          <cell r="C8422" t="str">
            <v>unpop_1564</v>
          </cell>
          <cell r="D8422">
            <v>635137975.5</v>
          </cell>
        </row>
        <row r="8423">
          <cell r="A8423" t="str">
            <v>IND</v>
          </cell>
          <cell r="B8423">
            <v>2000</v>
          </cell>
          <cell r="C8423" t="str">
            <v>unpop_65up</v>
          </cell>
          <cell r="D8423">
            <v>46660607.5</v>
          </cell>
        </row>
        <row r="8424">
          <cell r="A8424" t="str">
            <v>IND</v>
          </cell>
          <cell r="B8424">
            <v>2000</v>
          </cell>
          <cell r="C8424" t="str">
            <v>unpop_total</v>
          </cell>
          <cell r="D8424">
            <v>1057922733</v>
          </cell>
        </row>
        <row r="8425">
          <cell r="A8425" t="str">
            <v>IND</v>
          </cell>
          <cell r="B8425">
            <v>2001</v>
          </cell>
          <cell r="C8425" t="str">
            <v>unpop_0014</v>
          </cell>
          <cell r="D8425">
            <v>379060195.5</v>
          </cell>
        </row>
        <row r="8426">
          <cell r="A8426" t="str">
            <v>IND</v>
          </cell>
          <cell r="B8426">
            <v>2001</v>
          </cell>
          <cell r="C8426" t="str">
            <v>unpop_1564</v>
          </cell>
          <cell r="D8426">
            <v>650750260</v>
          </cell>
        </row>
        <row r="8427">
          <cell r="A8427" t="str">
            <v>IND</v>
          </cell>
          <cell r="B8427">
            <v>2001</v>
          </cell>
          <cell r="C8427" t="str">
            <v>unpop_65up</v>
          </cell>
          <cell r="D8427">
            <v>48088119.5</v>
          </cell>
        </row>
        <row r="8428">
          <cell r="A8428" t="str">
            <v>IND</v>
          </cell>
          <cell r="B8428">
            <v>2001</v>
          </cell>
          <cell r="C8428" t="str">
            <v>unpop_total</v>
          </cell>
          <cell r="D8428">
            <v>1077898575</v>
          </cell>
        </row>
        <row r="8429">
          <cell r="A8429" t="str">
            <v>IND</v>
          </cell>
          <cell r="B8429">
            <v>2002</v>
          </cell>
          <cell r="C8429" t="str">
            <v>unpop_0014</v>
          </cell>
          <cell r="D8429">
            <v>381748169</v>
          </cell>
        </row>
        <row r="8430">
          <cell r="A8430" t="str">
            <v>IND</v>
          </cell>
          <cell r="B8430">
            <v>2002</v>
          </cell>
          <cell r="C8430" t="str">
            <v>unpop_1564</v>
          </cell>
          <cell r="D8430">
            <v>666281546.5</v>
          </cell>
        </row>
        <row r="8431">
          <cell r="A8431" t="str">
            <v>IND</v>
          </cell>
          <cell r="B8431">
            <v>2002</v>
          </cell>
          <cell r="C8431" t="str">
            <v>unpop_65up</v>
          </cell>
          <cell r="D8431">
            <v>49570665</v>
          </cell>
        </row>
        <row r="8432">
          <cell r="A8432" t="str">
            <v>IND</v>
          </cell>
          <cell r="B8432">
            <v>2002</v>
          </cell>
          <cell r="C8432" t="str">
            <v>unpop_total</v>
          </cell>
          <cell r="D8432">
            <v>1097600380.5</v>
          </cell>
        </row>
        <row r="8433">
          <cell r="A8433" t="str">
            <v>IND</v>
          </cell>
          <cell r="B8433">
            <v>2003</v>
          </cell>
          <cell r="C8433" t="str">
            <v>unpop_0014</v>
          </cell>
          <cell r="D8433">
            <v>384068630</v>
          </cell>
        </row>
        <row r="8434">
          <cell r="A8434" t="str">
            <v>IND</v>
          </cell>
          <cell r="B8434">
            <v>2003</v>
          </cell>
          <cell r="C8434" t="str">
            <v>unpop_1564</v>
          </cell>
          <cell r="D8434">
            <v>681658878.5</v>
          </cell>
        </row>
        <row r="8435">
          <cell r="A8435" t="str">
            <v>IND</v>
          </cell>
          <cell r="B8435">
            <v>2003</v>
          </cell>
          <cell r="C8435" t="str">
            <v>unpop_65up</v>
          </cell>
          <cell r="D8435">
            <v>51075497.5</v>
          </cell>
        </row>
        <row r="8436">
          <cell r="A8436" t="str">
            <v>IND</v>
          </cell>
          <cell r="B8436">
            <v>2003</v>
          </cell>
          <cell r="C8436" t="str">
            <v>unpop_total</v>
          </cell>
          <cell r="D8436">
            <v>1116803006</v>
          </cell>
        </row>
        <row r="8437">
          <cell r="A8437" t="str">
            <v>IND</v>
          </cell>
          <cell r="B8437">
            <v>2004</v>
          </cell>
          <cell r="C8437" t="str">
            <v>unpop_0014</v>
          </cell>
          <cell r="D8437">
            <v>386011104.5</v>
          </cell>
        </row>
        <row r="8438">
          <cell r="A8438" t="str">
            <v>IND</v>
          </cell>
          <cell r="B8438">
            <v>2004</v>
          </cell>
          <cell r="C8438" t="str">
            <v>unpop_1564</v>
          </cell>
          <cell r="D8438">
            <v>697429184</v>
          </cell>
        </row>
        <row r="8439">
          <cell r="A8439" t="str">
            <v>IND</v>
          </cell>
          <cell r="B8439">
            <v>2004</v>
          </cell>
          <cell r="C8439" t="str">
            <v>unpop_65up</v>
          </cell>
          <cell r="D8439">
            <v>52551225</v>
          </cell>
        </row>
        <row r="8440">
          <cell r="A8440" t="str">
            <v>IND</v>
          </cell>
          <cell r="B8440">
            <v>2004</v>
          </cell>
          <cell r="C8440" t="str">
            <v>unpop_total</v>
          </cell>
          <cell r="D8440">
            <v>1135991513.5</v>
          </cell>
        </row>
        <row r="8441">
          <cell r="A8441" t="str">
            <v>IND</v>
          </cell>
          <cell r="B8441">
            <v>2005</v>
          </cell>
          <cell r="C8441" t="str">
            <v>unpop_0014</v>
          </cell>
          <cell r="D8441">
            <v>387531538</v>
          </cell>
        </row>
        <row r="8442">
          <cell r="A8442" t="str">
            <v>IND</v>
          </cell>
          <cell r="B8442">
            <v>2005</v>
          </cell>
          <cell r="C8442" t="str">
            <v>unpop_1564</v>
          </cell>
          <cell r="D8442">
            <v>713167417.5</v>
          </cell>
        </row>
        <row r="8443">
          <cell r="A8443" t="str">
            <v>IND</v>
          </cell>
          <cell r="B8443">
            <v>2005</v>
          </cell>
          <cell r="C8443" t="str">
            <v>unpop_65up</v>
          </cell>
          <cell r="D8443">
            <v>53977366.5</v>
          </cell>
        </row>
        <row r="8444">
          <cell r="A8444" t="str">
            <v>IND</v>
          </cell>
          <cell r="B8444">
            <v>2005</v>
          </cell>
          <cell r="C8444" t="str">
            <v>unpop_total</v>
          </cell>
          <cell r="D8444">
            <v>1154676322</v>
          </cell>
        </row>
        <row r="8445">
          <cell r="A8445" t="str">
            <v>IND</v>
          </cell>
          <cell r="B8445">
            <v>2006</v>
          </cell>
          <cell r="C8445" t="str">
            <v>unpop_0014</v>
          </cell>
          <cell r="D8445">
            <v>388558966.5</v>
          </cell>
        </row>
        <row r="8446">
          <cell r="A8446" t="str">
            <v>IND</v>
          </cell>
          <cell r="B8446">
            <v>2006</v>
          </cell>
          <cell r="C8446" t="str">
            <v>unpop_1564</v>
          </cell>
          <cell r="D8446">
            <v>728937765.5</v>
          </cell>
        </row>
        <row r="8447">
          <cell r="A8447" t="str">
            <v>IND</v>
          </cell>
          <cell r="B8447">
            <v>2006</v>
          </cell>
          <cell r="C8447" t="str">
            <v>unpop_65up</v>
          </cell>
          <cell r="D8447">
            <v>55382157.5</v>
          </cell>
        </row>
        <row r="8448">
          <cell r="A8448" t="str">
            <v>IND</v>
          </cell>
          <cell r="B8448">
            <v>2006</v>
          </cell>
          <cell r="C8448" t="str">
            <v>unpop_total</v>
          </cell>
          <cell r="D8448">
            <v>1172878889.5</v>
          </cell>
        </row>
        <row r="8449">
          <cell r="A8449" t="str">
            <v>IND</v>
          </cell>
          <cell r="B8449">
            <v>2007</v>
          </cell>
          <cell r="C8449" t="str">
            <v>unpop_0014</v>
          </cell>
          <cell r="D8449">
            <v>389140656.5</v>
          </cell>
        </row>
        <row r="8450">
          <cell r="A8450" t="str">
            <v>IND</v>
          </cell>
          <cell r="B8450">
            <v>2007</v>
          </cell>
          <cell r="C8450" t="str">
            <v>unpop_1564</v>
          </cell>
          <cell r="D8450">
            <v>744740077</v>
          </cell>
        </row>
        <row r="8451">
          <cell r="A8451" t="str">
            <v>IND</v>
          </cell>
          <cell r="B8451">
            <v>2007</v>
          </cell>
          <cell r="C8451" t="str">
            <v>unpop_65up</v>
          </cell>
          <cell r="D8451">
            <v>56795287</v>
          </cell>
        </row>
        <row r="8452">
          <cell r="A8452" t="str">
            <v>IND</v>
          </cell>
          <cell r="B8452">
            <v>2007</v>
          </cell>
          <cell r="C8452" t="str">
            <v>unpop_total</v>
          </cell>
          <cell r="D8452">
            <v>1190676020.5</v>
          </cell>
        </row>
        <row r="8453">
          <cell r="A8453" t="str">
            <v>IND</v>
          </cell>
          <cell r="B8453">
            <v>2008</v>
          </cell>
          <cell r="C8453" t="str">
            <v>unpop_0014</v>
          </cell>
          <cell r="D8453">
            <v>389442233.5</v>
          </cell>
        </row>
        <row r="8454">
          <cell r="A8454" t="str">
            <v>IND</v>
          </cell>
          <cell r="B8454">
            <v>2008</v>
          </cell>
          <cell r="C8454" t="str">
            <v>unpop_1564</v>
          </cell>
          <cell r="D8454">
            <v>760241345</v>
          </cell>
        </row>
        <row r="8455">
          <cell r="A8455" t="str">
            <v>IND</v>
          </cell>
          <cell r="B8455">
            <v>2008</v>
          </cell>
          <cell r="C8455" t="str">
            <v>unpop_65up</v>
          </cell>
          <cell r="D8455">
            <v>58247385</v>
          </cell>
        </row>
        <row r="8456">
          <cell r="A8456" t="str">
            <v>IND</v>
          </cell>
          <cell r="B8456">
            <v>2008</v>
          </cell>
          <cell r="C8456" t="str">
            <v>unpop_total</v>
          </cell>
          <cell r="D8456">
            <v>1207930963.5</v>
          </cell>
        </row>
        <row r="8457">
          <cell r="A8457" t="str">
            <v>IND</v>
          </cell>
          <cell r="B8457">
            <v>2009</v>
          </cell>
          <cell r="C8457" t="str">
            <v>unpop_0014</v>
          </cell>
          <cell r="D8457">
            <v>389683642.5</v>
          </cell>
        </row>
        <row r="8458">
          <cell r="A8458" t="str">
            <v>IND</v>
          </cell>
          <cell r="B8458">
            <v>2009</v>
          </cell>
          <cell r="C8458" t="str">
            <v>unpop_1564</v>
          </cell>
          <cell r="D8458">
            <v>776058858.5</v>
          </cell>
        </row>
        <row r="8459">
          <cell r="A8459" t="str">
            <v>IND</v>
          </cell>
          <cell r="B8459">
            <v>2009</v>
          </cell>
          <cell r="C8459" t="str">
            <v>unpop_65up</v>
          </cell>
          <cell r="D8459">
            <v>59782252</v>
          </cell>
        </row>
        <row r="8460">
          <cell r="A8460" t="str">
            <v>IND</v>
          </cell>
          <cell r="B8460">
            <v>2009</v>
          </cell>
          <cell r="C8460" t="str">
            <v>unpop_total</v>
          </cell>
          <cell r="D8460">
            <v>1225524753</v>
          </cell>
        </row>
        <row r="8461">
          <cell r="A8461" t="str">
            <v>IND</v>
          </cell>
          <cell r="B8461">
            <v>2010</v>
          </cell>
          <cell r="C8461" t="str">
            <v>unpop_0014</v>
          </cell>
          <cell r="D8461">
            <v>389736560.5</v>
          </cell>
        </row>
        <row r="8462">
          <cell r="A8462" t="str">
            <v>IND</v>
          </cell>
          <cell r="B8462">
            <v>2010</v>
          </cell>
          <cell r="C8462" t="str">
            <v>unpop_1564</v>
          </cell>
          <cell r="D8462">
            <v>792311453.5</v>
          </cell>
        </row>
        <row r="8463">
          <cell r="A8463" t="str">
            <v>IND</v>
          </cell>
          <cell r="B8463">
            <v>2010</v>
          </cell>
          <cell r="C8463" t="str">
            <v>unpop_65up</v>
          </cell>
          <cell r="D8463">
            <v>61433550</v>
          </cell>
        </row>
        <row r="8464">
          <cell r="A8464" t="str">
            <v>IND</v>
          </cell>
          <cell r="B8464">
            <v>2010</v>
          </cell>
          <cell r="C8464" t="str">
            <v>unpop_total</v>
          </cell>
          <cell r="D8464">
            <v>1243481564</v>
          </cell>
        </row>
        <row r="8465">
          <cell r="A8465" t="str">
            <v>IND</v>
          </cell>
          <cell r="B8465">
            <v>2011</v>
          </cell>
          <cell r="C8465" t="str">
            <v>unpop_0014</v>
          </cell>
          <cell r="D8465">
            <v>389465834.5</v>
          </cell>
        </row>
        <row r="8466">
          <cell r="A8466" t="str">
            <v>IND</v>
          </cell>
          <cell r="B8466">
            <v>2011</v>
          </cell>
          <cell r="C8466" t="str">
            <v>unpop_1564</v>
          </cell>
          <cell r="D8466">
            <v>808541408</v>
          </cell>
        </row>
        <row r="8467">
          <cell r="A8467" t="str">
            <v>IND</v>
          </cell>
          <cell r="B8467">
            <v>2011</v>
          </cell>
          <cell r="C8467" t="str">
            <v>unpop_65up</v>
          </cell>
          <cell r="D8467">
            <v>63217712</v>
          </cell>
        </row>
        <row r="8468">
          <cell r="A8468" t="str">
            <v>IND</v>
          </cell>
          <cell r="B8468">
            <v>2011</v>
          </cell>
          <cell r="C8468" t="str">
            <v>unpop_total</v>
          </cell>
          <cell r="D8468">
            <v>1261224954.5</v>
          </cell>
        </row>
        <row r="8469">
          <cell r="A8469" t="str">
            <v>IND</v>
          </cell>
          <cell r="B8469">
            <v>2012</v>
          </cell>
          <cell r="C8469" t="str">
            <v>unpop_0014</v>
          </cell>
          <cell r="D8469">
            <v>388914981.5</v>
          </cell>
        </row>
        <row r="8470">
          <cell r="A8470" t="str">
            <v>IND</v>
          </cell>
          <cell r="B8470">
            <v>2012</v>
          </cell>
          <cell r="C8470" t="str">
            <v>unpop_1564</v>
          </cell>
          <cell r="D8470">
            <v>824631664</v>
          </cell>
        </row>
        <row r="8471">
          <cell r="A8471" t="str">
            <v>IND</v>
          </cell>
          <cell r="B8471">
            <v>2012</v>
          </cell>
          <cell r="C8471" t="str">
            <v>unpop_65up</v>
          </cell>
          <cell r="D8471">
            <v>65127857</v>
          </cell>
        </row>
        <row r="8472">
          <cell r="A8472" t="str">
            <v>IND</v>
          </cell>
          <cell r="B8472">
            <v>2012</v>
          </cell>
          <cell r="C8472" t="str">
            <v>unpop_total</v>
          </cell>
          <cell r="D8472">
            <v>1278674502.5</v>
          </cell>
        </row>
        <row r="8473">
          <cell r="A8473" t="str">
            <v>IND</v>
          </cell>
          <cell r="B8473">
            <v>2013</v>
          </cell>
          <cell r="C8473" t="str">
            <v>unpop_0014</v>
          </cell>
          <cell r="D8473">
            <v>387976220.5</v>
          </cell>
        </row>
        <row r="8474">
          <cell r="A8474" t="str">
            <v>IND</v>
          </cell>
          <cell r="B8474">
            <v>2013</v>
          </cell>
          <cell r="C8474" t="str">
            <v>unpop_1564</v>
          </cell>
          <cell r="D8474">
            <v>840695270.5</v>
          </cell>
        </row>
        <row r="8475">
          <cell r="A8475" t="str">
            <v>IND</v>
          </cell>
          <cell r="B8475">
            <v>2013</v>
          </cell>
          <cell r="C8475" t="str">
            <v>unpop_65up</v>
          </cell>
          <cell r="D8475">
            <v>67158019.5</v>
          </cell>
        </row>
        <row r="8476">
          <cell r="A8476" t="str">
            <v>IND</v>
          </cell>
          <cell r="B8476">
            <v>2013</v>
          </cell>
          <cell r="C8476" t="str">
            <v>unpop_total</v>
          </cell>
          <cell r="D8476">
            <v>1295829510.5</v>
          </cell>
        </row>
        <row r="8477">
          <cell r="A8477" t="str">
            <v>IND</v>
          </cell>
          <cell r="B8477">
            <v>2014</v>
          </cell>
          <cell r="C8477" t="str">
            <v>unpop_0014</v>
          </cell>
          <cell r="D8477">
            <v>386290188</v>
          </cell>
        </row>
        <row r="8478">
          <cell r="A8478" t="str">
            <v>IND</v>
          </cell>
          <cell r="B8478">
            <v>2014</v>
          </cell>
          <cell r="C8478" t="str">
            <v>unpop_1564</v>
          </cell>
          <cell r="D8478">
            <v>856342424</v>
          </cell>
        </row>
        <row r="8479">
          <cell r="A8479" t="str">
            <v>IND</v>
          </cell>
          <cell r="B8479">
            <v>2014</v>
          </cell>
          <cell r="C8479" t="str">
            <v>unpop_65up</v>
          </cell>
          <cell r="D8479">
            <v>69644579.5</v>
          </cell>
        </row>
        <row r="8480">
          <cell r="A8480" t="str">
            <v>IND</v>
          </cell>
          <cell r="B8480">
            <v>2014</v>
          </cell>
          <cell r="C8480" t="str">
            <v>unpop_total</v>
          </cell>
          <cell r="D8480">
            <v>1312277191.5</v>
          </cell>
        </row>
        <row r="8481">
          <cell r="A8481" t="str">
            <v>IND</v>
          </cell>
          <cell r="B8481">
            <v>2015</v>
          </cell>
          <cell r="C8481" t="str">
            <v>unpop_0014</v>
          </cell>
          <cell r="D8481">
            <v>383971739</v>
          </cell>
        </row>
        <row r="8482">
          <cell r="A8482" t="str">
            <v>IND</v>
          </cell>
          <cell r="B8482">
            <v>2015</v>
          </cell>
          <cell r="C8482" t="str">
            <v>unpop_1564</v>
          </cell>
          <cell r="D8482">
            <v>871420269</v>
          </cell>
        </row>
        <row r="8483">
          <cell r="A8483" t="str">
            <v>IND</v>
          </cell>
          <cell r="B8483">
            <v>2015</v>
          </cell>
          <cell r="C8483" t="str">
            <v>unpop_65up</v>
          </cell>
          <cell r="D8483">
            <v>72632489.5</v>
          </cell>
        </row>
        <row r="8484">
          <cell r="A8484" t="str">
            <v>IND</v>
          </cell>
          <cell r="B8484">
            <v>2015</v>
          </cell>
          <cell r="C8484" t="str">
            <v>unpop_total</v>
          </cell>
          <cell r="D8484">
            <v>1328024497.5</v>
          </cell>
        </row>
        <row r="8485">
          <cell r="A8485" t="str">
            <v>IND</v>
          </cell>
          <cell r="B8485">
            <v>2016</v>
          </cell>
          <cell r="C8485" t="str">
            <v>unpop_0014</v>
          </cell>
          <cell r="D8485">
            <v>381480645.5</v>
          </cell>
        </row>
        <row r="8486">
          <cell r="A8486" t="str">
            <v>IND</v>
          </cell>
          <cell r="B8486">
            <v>2016</v>
          </cell>
          <cell r="C8486" t="str">
            <v>unpop_1564</v>
          </cell>
          <cell r="D8486">
            <v>886641930.5</v>
          </cell>
        </row>
        <row r="8487">
          <cell r="A8487" t="str">
            <v>IND</v>
          </cell>
          <cell r="B8487">
            <v>2016</v>
          </cell>
          <cell r="C8487" t="str">
            <v>unpop_65up</v>
          </cell>
          <cell r="D8487">
            <v>75821720</v>
          </cell>
        </row>
        <row r="8488">
          <cell r="A8488" t="str">
            <v>IND</v>
          </cell>
          <cell r="B8488">
            <v>2016</v>
          </cell>
          <cell r="C8488" t="str">
            <v>unpop_total</v>
          </cell>
          <cell r="D8488">
            <v>1343944296</v>
          </cell>
        </row>
        <row r="8489">
          <cell r="A8489" t="str">
            <v>IND</v>
          </cell>
          <cell r="B8489">
            <v>2017</v>
          </cell>
          <cell r="C8489" t="str">
            <v>unpop_0014</v>
          </cell>
          <cell r="D8489">
            <v>378635655</v>
          </cell>
        </row>
        <row r="8490">
          <cell r="A8490" t="str">
            <v>IND</v>
          </cell>
          <cell r="B8490">
            <v>2017</v>
          </cell>
          <cell r="C8490" t="str">
            <v>unpop_1564</v>
          </cell>
          <cell r="D8490">
            <v>901825708.5</v>
          </cell>
        </row>
        <row r="8491">
          <cell r="A8491" t="str">
            <v>IND</v>
          </cell>
          <cell r="B8491">
            <v>2017</v>
          </cell>
          <cell r="C8491" t="str">
            <v>unpop_65up</v>
          </cell>
          <cell r="D8491">
            <v>79196036.5</v>
          </cell>
        </row>
        <row r="8492">
          <cell r="A8492" t="str">
            <v>IND</v>
          </cell>
          <cell r="B8492">
            <v>2017</v>
          </cell>
          <cell r="C8492" t="str">
            <v>unpop_total</v>
          </cell>
          <cell r="D8492">
            <v>1359657400</v>
          </cell>
        </row>
        <row r="8493">
          <cell r="A8493" t="str">
            <v>IND</v>
          </cell>
          <cell r="B8493">
            <v>2018</v>
          </cell>
          <cell r="C8493" t="str">
            <v>unpop_0014</v>
          </cell>
          <cell r="D8493">
            <v>375663467.5</v>
          </cell>
        </row>
        <row r="8494">
          <cell r="A8494" t="str">
            <v>IND</v>
          </cell>
          <cell r="B8494">
            <v>2018</v>
          </cell>
          <cell r="C8494" t="str">
            <v>unpop_1564</v>
          </cell>
          <cell r="D8494">
            <v>916251300</v>
          </cell>
        </row>
        <row r="8495">
          <cell r="A8495" t="str">
            <v>IND</v>
          </cell>
          <cell r="B8495">
            <v>2018</v>
          </cell>
          <cell r="C8495" t="str">
            <v>unpop_65up</v>
          </cell>
          <cell r="D8495">
            <v>82744296.5</v>
          </cell>
        </row>
        <row r="8496">
          <cell r="A8496" t="str">
            <v>IND</v>
          </cell>
          <cell r="B8496">
            <v>2018</v>
          </cell>
          <cell r="C8496" t="str">
            <v>unpop_total</v>
          </cell>
          <cell r="D8496">
            <v>1374659064</v>
          </cell>
        </row>
        <row r="8497">
          <cell r="A8497" t="str">
            <v>IND</v>
          </cell>
          <cell r="B8497">
            <v>2019</v>
          </cell>
          <cell r="C8497" t="str">
            <v>unpop_0014</v>
          </cell>
          <cell r="D8497">
            <v>372709108.5</v>
          </cell>
        </row>
        <row r="8498">
          <cell r="A8498" t="str">
            <v>IND</v>
          </cell>
          <cell r="B8498">
            <v>2019</v>
          </cell>
          <cell r="C8498" t="str">
            <v>unpop_1564</v>
          </cell>
          <cell r="D8498">
            <v>929875276.5</v>
          </cell>
        </row>
        <row r="8499">
          <cell r="A8499" t="str">
            <v>IND</v>
          </cell>
          <cell r="B8499">
            <v>2019</v>
          </cell>
          <cell r="C8499" t="str">
            <v>unpop_65up</v>
          </cell>
          <cell r="D8499">
            <v>86445927</v>
          </cell>
        </row>
        <row r="8500">
          <cell r="A8500" t="str">
            <v>IND</v>
          </cell>
          <cell r="B8500">
            <v>2019</v>
          </cell>
          <cell r="C8500" t="str">
            <v>unpop_total</v>
          </cell>
          <cell r="D8500">
            <v>1389030312</v>
          </cell>
        </row>
        <row r="8501">
          <cell r="A8501" t="str">
            <v>IND</v>
          </cell>
          <cell r="B8501">
            <v>2020</v>
          </cell>
          <cell r="C8501" t="str">
            <v>unpop_0014</v>
          </cell>
          <cell r="D8501">
            <v>369524878.5</v>
          </cell>
        </row>
        <row r="8502">
          <cell r="A8502" t="str">
            <v>IND</v>
          </cell>
          <cell r="B8502">
            <v>2020</v>
          </cell>
          <cell r="C8502" t="str">
            <v>unpop_1564</v>
          </cell>
          <cell r="D8502">
            <v>943088901</v>
          </cell>
        </row>
        <row r="8503">
          <cell r="A8503" t="str">
            <v>IND</v>
          </cell>
          <cell r="B8503">
            <v>2020</v>
          </cell>
          <cell r="C8503" t="str">
            <v>unpop_65up</v>
          </cell>
          <cell r="D8503">
            <v>90003916</v>
          </cell>
        </row>
        <row r="8504">
          <cell r="A8504" t="str">
            <v>IND</v>
          </cell>
          <cell r="B8504">
            <v>2020</v>
          </cell>
          <cell r="C8504" t="str">
            <v>unpop_total</v>
          </cell>
          <cell r="D8504">
            <v>1402617695.5</v>
          </cell>
        </row>
        <row r="8505">
          <cell r="A8505" t="str">
            <v>IND</v>
          </cell>
          <cell r="B8505">
            <v>2021</v>
          </cell>
          <cell r="C8505" t="str">
            <v>unpop_0014</v>
          </cell>
          <cell r="D8505">
            <v>366351802</v>
          </cell>
        </row>
        <row r="8506">
          <cell r="A8506" t="str">
            <v>IND</v>
          </cell>
          <cell r="B8506">
            <v>2021</v>
          </cell>
          <cell r="C8506" t="str">
            <v>unpop_1564</v>
          </cell>
          <cell r="D8506">
            <v>955281267</v>
          </cell>
        </row>
        <row r="8507">
          <cell r="A8507" t="str">
            <v>IND</v>
          </cell>
          <cell r="B8507">
            <v>2021</v>
          </cell>
          <cell r="C8507" t="str">
            <v>unpop_65up</v>
          </cell>
          <cell r="D8507">
            <v>92570827</v>
          </cell>
        </row>
        <row r="8508">
          <cell r="A8508" t="str">
            <v>IND</v>
          </cell>
          <cell r="B8508">
            <v>2021</v>
          </cell>
          <cell r="C8508" t="str">
            <v>unpop_total</v>
          </cell>
          <cell r="D8508">
            <v>1414203896</v>
          </cell>
        </row>
        <row r="8509">
          <cell r="A8509" t="str">
            <v>IND</v>
          </cell>
          <cell r="B8509">
            <v>2022</v>
          </cell>
          <cell r="C8509" t="str">
            <v>unpop_0014</v>
          </cell>
          <cell r="D8509">
            <v>363307647.5</v>
          </cell>
        </row>
        <row r="8510">
          <cell r="A8510" t="str">
            <v>IND</v>
          </cell>
          <cell r="B8510">
            <v>2022</v>
          </cell>
          <cell r="C8510" t="str">
            <v>unpop_1564</v>
          </cell>
          <cell r="D8510">
            <v>966626467.5</v>
          </cell>
        </row>
        <row r="8511">
          <cell r="A8511" t="str">
            <v>IND</v>
          </cell>
          <cell r="B8511">
            <v>2022</v>
          </cell>
          <cell r="C8511" t="str">
            <v>unpop_65up</v>
          </cell>
          <cell r="D8511">
            <v>95489097.5</v>
          </cell>
        </row>
        <row r="8512">
          <cell r="A8512" t="str">
            <v>IND</v>
          </cell>
          <cell r="B8512">
            <v>2022</v>
          </cell>
          <cell r="C8512" t="str">
            <v>unpop_total</v>
          </cell>
          <cell r="D8512">
            <v>1425423212.5</v>
          </cell>
        </row>
        <row r="8513">
          <cell r="A8513" t="str">
            <v>IND</v>
          </cell>
          <cell r="B8513">
            <v>2023</v>
          </cell>
          <cell r="C8513" t="str">
            <v>unpop_0014</v>
          </cell>
          <cell r="D8513">
            <v>360337993.5</v>
          </cell>
        </row>
        <row r="8514">
          <cell r="A8514" t="str">
            <v>IND</v>
          </cell>
          <cell r="B8514">
            <v>2023</v>
          </cell>
          <cell r="C8514" t="str">
            <v>unpop_1564</v>
          </cell>
          <cell r="D8514">
            <v>978190678.5</v>
          </cell>
        </row>
        <row r="8515">
          <cell r="A8515" t="str">
            <v>IND</v>
          </cell>
          <cell r="B8515">
            <v>2023</v>
          </cell>
          <cell r="C8515" t="str">
            <v>unpop_65up</v>
          </cell>
          <cell r="D8515">
            <v>99540924</v>
          </cell>
        </row>
        <row r="8516">
          <cell r="A8516" t="str">
            <v>IND</v>
          </cell>
          <cell r="B8516">
            <v>2023</v>
          </cell>
          <cell r="C8516" t="str">
            <v>unpop_total</v>
          </cell>
          <cell r="D8516">
            <v>1438069596</v>
          </cell>
        </row>
        <row r="8517">
          <cell r="A8517" t="str">
            <v>IND</v>
          </cell>
          <cell r="B8517">
            <v>2024</v>
          </cell>
          <cell r="C8517" t="str">
            <v>unpop_0014</v>
          </cell>
          <cell r="D8517">
            <v>357277017.5</v>
          </cell>
        </row>
        <row r="8518">
          <cell r="A8518" t="str">
            <v>IND</v>
          </cell>
          <cell r="B8518">
            <v>2024</v>
          </cell>
          <cell r="C8518" t="str">
            <v>unpop_1564</v>
          </cell>
          <cell r="D8518">
            <v>989967398.5</v>
          </cell>
        </row>
        <row r="8519">
          <cell r="A8519" t="str">
            <v>IND</v>
          </cell>
          <cell r="B8519">
            <v>2024</v>
          </cell>
          <cell r="C8519" t="str">
            <v>unpop_65up</v>
          </cell>
          <cell r="D8519">
            <v>103691375</v>
          </cell>
        </row>
        <row r="8520">
          <cell r="A8520" t="str">
            <v>IND</v>
          </cell>
          <cell r="B8520">
            <v>2024</v>
          </cell>
          <cell r="C8520" t="str">
            <v>unpop_total</v>
          </cell>
          <cell r="D8520">
            <v>1450935791</v>
          </cell>
        </row>
        <row r="8521">
          <cell r="A8521" t="str">
            <v>IND</v>
          </cell>
          <cell r="B8521">
            <v>2025</v>
          </cell>
          <cell r="C8521" t="str">
            <v>unpop_0014</v>
          </cell>
          <cell r="D8521">
            <v>354186169</v>
          </cell>
        </row>
        <row r="8522">
          <cell r="A8522" t="str">
            <v>IND</v>
          </cell>
          <cell r="B8522">
            <v>2025</v>
          </cell>
          <cell r="C8522" t="str">
            <v>unpop_1564</v>
          </cell>
          <cell r="D8522">
            <v>1001696269</v>
          </cell>
        </row>
        <row r="8523">
          <cell r="A8523" t="str">
            <v>IND</v>
          </cell>
          <cell r="B8523">
            <v>2025</v>
          </cell>
          <cell r="C8523" t="str">
            <v>unpop_65up</v>
          </cell>
          <cell r="D8523">
            <v>107983086.5</v>
          </cell>
        </row>
        <row r="8524">
          <cell r="A8524" t="str">
            <v>IND</v>
          </cell>
          <cell r="B8524">
            <v>2025</v>
          </cell>
          <cell r="C8524" t="str">
            <v>unpop_total</v>
          </cell>
          <cell r="D8524">
            <v>1463865524.5</v>
          </cell>
        </row>
        <row r="8525">
          <cell r="A8525" t="str">
            <v>IND</v>
          </cell>
          <cell r="B8525">
            <v>2026</v>
          </cell>
          <cell r="C8525" t="str">
            <v>unpop_0014</v>
          </cell>
          <cell r="D8525">
            <v>351215756</v>
          </cell>
        </row>
        <row r="8526">
          <cell r="A8526" t="str">
            <v>IND</v>
          </cell>
          <cell r="B8526">
            <v>2026</v>
          </cell>
          <cell r="C8526" t="str">
            <v>unpop_1564</v>
          </cell>
          <cell r="D8526">
            <v>1013051556</v>
          </cell>
        </row>
        <row r="8527">
          <cell r="A8527" t="str">
            <v>IND</v>
          </cell>
          <cell r="B8527">
            <v>2026</v>
          </cell>
          <cell r="C8527" t="str">
            <v>unpop_65up</v>
          </cell>
          <cell r="D8527">
            <v>112358264.5</v>
          </cell>
        </row>
        <row r="8528">
          <cell r="A8528" t="str">
            <v>IND</v>
          </cell>
          <cell r="B8528">
            <v>2026</v>
          </cell>
          <cell r="C8528" t="str">
            <v>unpop_total</v>
          </cell>
          <cell r="D8528">
            <v>1476625576.5</v>
          </cell>
        </row>
        <row r="8529">
          <cell r="A8529" t="str">
            <v>IND</v>
          </cell>
          <cell r="B8529">
            <v>2027</v>
          </cell>
          <cell r="C8529" t="str">
            <v>unpop_0014</v>
          </cell>
          <cell r="D8529">
            <v>348330147</v>
          </cell>
        </row>
        <row r="8530">
          <cell r="A8530" t="str">
            <v>IND</v>
          </cell>
          <cell r="B8530">
            <v>2027</v>
          </cell>
          <cell r="C8530" t="str">
            <v>unpop_1564</v>
          </cell>
          <cell r="D8530">
            <v>1024027193.5</v>
          </cell>
        </row>
        <row r="8531">
          <cell r="A8531" t="str">
            <v>IND</v>
          </cell>
          <cell r="B8531">
            <v>2027</v>
          </cell>
          <cell r="C8531" t="str">
            <v>unpop_65up</v>
          </cell>
          <cell r="D8531">
            <v>116807333.5</v>
          </cell>
        </row>
        <row r="8532">
          <cell r="A8532" t="str">
            <v>IND</v>
          </cell>
          <cell r="B8532">
            <v>2027</v>
          </cell>
          <cell r="C8532" t="str">
            <v>unpop_total</v>
          </cell>
          <cell r="D8532">
            <v>1489164674</v>
          </cell>
        </row>
        <row r="8533">
          <cell r="A8533" t="str">
            <v>IND</v>
          </cell>
          <cell r="B8533">
            <v>2028</v>
          </cell>
          <cell r="C8533" t="str">
            <v>unpop_0014</v>
          </cell>
          <cell r="D8533">
            <v>345612814</v>
          </cell>
        </row>
        <row r="8534">
          <cell r="A8534" t="str">
            <v>IND</v>
          </cell>
          <cell r="B8534">
            <v>2028</v>
          </cell>
          <cell r="C8534" t="str">
            <v>unpop_1564</v>
          </cell>
          <cell r="D8534">
            <v>1034500316.5</v>
          </cell>
        </row>
        <row r="8535">
          <cell r="A8535" t="str">
            <v>IND</v>
          </cell>
          <cell r="B8535">
            <v>2028</v>
          </cell>
          <cell r="C8535" t="str">
            <v>unpop_65up</v>
          </cell>
          <cell r="D8535">
            <v>121319609</v>
          </cell>
        </row>
        <row r="8536">
          <cell r="A8536" t="str">
            <v>IND</v>
          </cell>
          <cell r="B8536">
            <v>2028</v>
          </cell>
          <cell r="C8536" t="str">
            <v>unpop_total</v>
          </cell>
          <cell r="D8536">
            <v>1501432739.5</v>
          </cell>
        </row>
        <row r="8537">
          <cell r="A8537" t="str">
            <v>IND</v>
          </cell>
          <cell r="B8537">
            <v>2029</v>
          </cell>
          <cell r="C8537" t="str">
            <v>unpop_0014</v>
          </cell>
          <cell r="D8537">
            <v>343400249</v>
          </cell>
        </row>
        <row r="8538">
          <cell r="A8538" t="str">
            <v>IND</v>
          </cell>
          <cell r="B8538">
            <v>2029</v>
          </cell>
          <cell r="C8538" t="str">
            <v>unpop_1564</v>
          </cell>
          <cell r="D8538">
            <v>1044134264</v>
          </cell>
        </row>
        <row r="8539">
          <cell r="A8539" t="str">
            <v>IND</v>
          </cell>
          <cell r="B8539">
            <v>2029</v>
          </cell>
          <cell r="C8539" t="str">
            <v>unpop_65up</v>
          </cell>
          <cell r="D8539">
            <v>125889218</v>
          </cell>
        </row>
        <row r="8540">
          <cell r="A8540" t="str">
            <v>IND</v>
          </cell>
          <cell r="B8540">
            <v>2029</v>
          </cell>
          <cell r="C8540" t="str">
            <v>unpop_total</v>
          </cell>
          <cell r="D8540">
            <v>1513423731</v>
          </cell>
        </row>
        <row r="8541">
          <cell r="A8541" t="str">
            <v>IND</v>
          </cell>
          <cell r="B8541">
            <v>2030</v>
          </cell>
          <cell r="C8541" t="str">
            <v>unpop_0014</v>
          </cell>
          <cell r="D8541">
            <v>341453894.5</v>
          </cell>
        </row>
        <row r="8542">
          <cell r="A8542" t="str">
            <v>IND</v>
          </cell>
          <cell r="B8542">
            <v>2030</v>
          </cell>
          <cell r="C8542" t="str">
            <v>unpop_1564</v>
          </cell>
          <cell r="D8542">
            <v>1053190045</v>
          </cell>
        </row>
        <row r="8543">
          <cell r="A8543" t="str">
            <v>IND</v>
          </cell>
          <cell r="B8543">
            <v>2030</v>
          </cell>
          <cell r="C8543" t="str">
            <v>unpop_65up</v>
          </cell>
          <cell r="D8543">
            <v>130494905</v>
          </cell>
        </row>
        <row r="8544">
          <cell r="A8544" t="str">
            <v>IND</v>
          </cell>
          <cell r="B8544">
            <v>2030</v>
          </cell>
          <cell r="C8544" t="str">
            <v>unpop_total</v>
          </cell>
          <cell r="D8544">
            <v>1525138844.5</v>
          </cell>
        </row>
        <row r="8545">
          <cell r="A8545" t="str">
            <v>LKA</v>
          </cell>
          <cell r="B8545">
            <v>2000</v>
          </cell>
          <cell r="C8545" t="str">
            <v>unpop_0014</v>
          </cell>
          <cell r="D8545">
            <v>5209378.5</v>
          </cell>
        </row>
        <row r="8546">
          <cell r="A8546" t="str">
            <v>LKA</v>
          </cell>
          <cell r="B8546">
            <v>2000</v>
          </cell>
          <cell r="C8546" t="str">
            <v>unpop_1564</v>
          </cell>
          <cell r="D8546">
            <v>12886460</v>
          </cell>
        </row>
        <row r="8547">
          <cell r="A8547" t="str">
            <v>LKA</v>
          </cell>
          <cell r="B8547">
            <v>2000</v>
          </cell>
          <cell r="C8547" t="str">
            <v>unpop_65up</v>
          </cell>
          <cell r="D8547">
            <v>1197215</v>
          </cell>
        </row>
        <row r="8548">
          <cell r="A8548" t="str">
            <v>LKA</v>
          </cell>
          <cell r="B8548">
            <v>2000</v>
          </cell>
          <cell r="C8548" t="str">
            <v>unpop_total</v>
          </cell>
          <cell r="D8548">
            <v>19293053.5</v>
          </cell>
        </row>
        <row r="8549">
          <cell r="A8549" t="str">
            <v>LKA</v>
          </cell>
          <cell r="B8549">
            <v>2001</v>
          </cell>
          <cell r="C8549" t="str">
            <v>unpop_0014</v>
          </cell>
          <cell r="D8549">
            <v>5218782.5</v>
          </cell>
        </row>
        <row r="8550">
          <cell r="A8550" t="str">
            <v>LKA</v>
          </cell>
          <cell r="B8550">
            <v>2001</v>
          </cell>
          <cell r="C8550" t="str">
            <v>unpop_1564</v>
          </cell>
          <cell r="D8550">
            <v>13152853</v>
          </cell>
        </row>
        <row r="8551">
          <cell r="A8551" t="str">
            <v>LKA</v>
          </cell>
          <cell r="B8551">
            <v>2001</v>
          </cell>
          <cell r="C8551" t="str">
            <v>unpop_65up</v>
          </cell>
          <cell r="D8551">
            <v>1228727</v>
          </cell>
        </row>
        <row r="8552">
          <cell r="A8552" t="str">
            <v>LKA</v>
          </cell>
          <cell r="B8552">
            <v>2001</v>
          </cell>
          <cell r="C8552" t="str">
            <v>unpop_total</v>
          </cell>
          <cell r="D8552">
            <v>19600362.5</v>
          </cell>
        </row>
        <row r="8553">
          <cell r="A8553" t="str">
            <v>LKA</v>
          </cell>
          <cell r="B8553">
            <v>2002</v>
          </cell>
          <cell r="C8553" t="str">
            <v>unpop_0014</v>
          </cell>
          <cell r="D8553">
            <v>5214704.5</v>
          </cell>
        </row>
        <row r="8554">
          <cell r="A8554" t="str">
            <v>LKA</v>
          </cell>
          <cell r="B8554">
            <v>2002</v>
          </cell>
          <cell r="C8554" t="str">
            <v>unpop_1564</v>
          </cell>
          <cell r="D8554">
            <v>13333182.5</v>
          </cell>
        </row>
        <row r="8555">
          <cell r="A8555" t="str">
            <v>LKA</v>
          </cell>
          <cell r="B8555">
            <v>2002</v>
          </cell>
          <cell r="C8555" t="str">
            <v>unpop_65up</v>
          </cell>
          <cell r="D8555">
            <v>1257865</v>
          </cell>
        </row>
        <row r="8556">
          <cell r="A8556" t="str">
            <v>LKA</v>
          </cell>
          <cell r="B8556">
            <v>2002</v>
          </cell>
          <cell r="C8556" t="str">
            <v>unpop_total</v>
          </cell>
          <cell r="D8556">
            <v>19805752</v>
          </cell>
        </row>
        <row r="8557">
          <cell r="A8557" t="str">
            <v>LKA</v>
          </cell>
          <cell r="B8557">
            <v>2003</v>
          </cell>
          <cell r="C8557" t="str">
            <v>unpop_0014</v>
          </cell>
          <cell r="D8557">
            <v>5210060</v>
          </cell>
        </row>
        <row r="8558">
          <cell r="A8558" t="str">
            <v>LKA</v>
          </cell>
          <cell r="B8558">
            <v>2003</v>
          </cell>
          <cell r="C8558" t="str">
            <v>unpop_1564</v>
          </cell>
          <cell r="D8558">
            <v>13456484.5</v>
          </cell>
        </row>
        <row r="8559">
          <cell r="A8559" t="str">
            <v>LKA</v>
          </cell>
          <cell r="B8559">
            <v>2003</v>
          </cell>
          <cell r="C8559" t="str">
            <v>unpop_65up</v>
          </cell>
          <cell r="D8559">
            <v>1284977</v>
          </cell>
        </row>
        <row r="8560">
          <cell r="A8560" t="str">
            <v>LKA</v>
          </cell>
          <cell r="B8560">
            <v>2003</v>
          </cell>
          <cell r="C8560" t="str">
            <v>unpop_total</v>
          </cell>
          <cell r="D8560">
            <v>19951521.5</v>
          </cell>
        </row>
        <row r="8561">
          <cell r="A8561" t="str">
            <v>LKA</v>
          </cell>
          <cell r="B8561">
            <v>2004</v>
          </cell>
          <cell r="C8561" t="str">
            <v>unpop_0014</v>
          </cell>
          <cell r="D8561">
            <v>5213689</v>
          </cell>
        </row>
        <row r="8562">
          <cell r="A8562" t="str">
            <v>LKA</v>
          </cell>
          <cell r="B8562">
            <v>2004</v>
          </cell>
          <cell r="C8562" t="str">
            <v>unpop_1564</v>
          </cell>
          <cell r="D8562">
            <v>13562847</v>
          </cell>
        </row>
        <row r="8563">
          <cell r="A8563" t="str">
            <v>LKA</v>
          </cell>
          <cell r="B8563">
            <v>2004</v>
          </cell>
          <cell r="C8563" t="str">
            <v>unpop_65up</v>
          </cell>
          <cell r="D8563">
            <v>1311069</v>
          </cell>
        </row>
        <row r="8564">
          <cell r="A8564" t="str">
            <v>LKA</v>
          </cell>
          <cell r="B8564">
            <v>2004</v>
          </cell>
          <cell r="C8564" t="str">
            <v>unpop_total</v>
          </cell>
          <cell r="D8564">
            <v>20087605</v>
          </cell>
        </row>
        <row r="8565">
          <cell r="A8565" t="str">
            <v>LKA</v>
          </cell>
          <cell r="B8565">
            <v>2005</v>
          </cell>
          <cell r="C8565" t="str">
            <v>unpop_0014</v>
          </cell>
          <cell r="D8565">
            <v>5223446</v>
          </cell>
        </row>
        <row r="8566">
          <cell r="A8566" t="str">
            <v>LKA</v>
          </cell>
          <cell r="B8566">
            <v>2005</v>
          </cell>
          <cell r="C8566" t="str">
            <v>unpop_1564</v>
          </cell>
          <cell r="D8566">
            <v>13654483</v>
          </cell>
        </row>
        <row r="8567">
          <cell r="A8567" t="str">
            <v>LKA</v>
          </cell>
          <cell r="B8567">
            <v>2005</v>
          </cell>
          <cell r="C8567" t="str">
            <v>unpop_65up</v>
          </cell>
          <cell r="D8567">
            <v>1338595.5</v>
          </cell>
        </row>
        <row r="8568">
          <cell r="A8568" t="str">
            <v>LKA</v>
          </cell>
          <cell r="B8568">
            <v>2005</v>
          </cell>
          <cell r="C8568" t="str">
            <v>unpop_total</v>
          </cell>
          <cell r="D8568">
            <v>20216524.5</v>
          </cell>
        </row>
        <row r="8569">
          <cell r="A8569" t="str">
            <v>LKA</v>
          </cell>
          <cell r="B8569">
            <v>2006</v>
          </cell>
          <cell r="C8569" t="str">
            <v>unpop_0014</v>
          </cell>
          <cell r="D8569">
            <v>5239778.5</v>
          </cell>
        </row>
        <row r="8570">
          <cell r="A8570" t="str">
            <v>LKA</v>
          </cell>
          <cell r="B8570">
            <v>2006</v>
          </cell>
          <cell r="C8570" t="str">
            <v>unpop_1564</v>
          </cell>
          <cell r="D8570">
            <v>13741707</v>
          </cell>
        </row>
        <row r="8571">
          <cell r="A8571" t="str">
            <v>LKA</v>
          </cell>
          <cell r="B8571">
            <v>2006</v>
          </cell>
          <cell r="C8571" t="str">
            <v>unpop_65up</v>
          </cell>
          <cell r="D8571">
            <v>1370925.5</v>
          </cell>
        </row>
        <row r="8572">
          <cell r="A8572" t="str">
            <v>LKA</v>
          </cell>
          <cell r="B8572">
            <v>2006</v>
          </cell>
          <cell r="C8572" t="str">
            <v>unpop_total</v>
          </cell>
          <cell r="D8572">
            <v>20352411</v>
          </cell>
        </row>
        <row r="8573">
          <cell r="A8573" t="str">
            <v>LKA</v>
          </cell>
          <cell r="B8573">
            <v>2007</v>
          </cell>
          <cell r="C8573" t="str">
            <v>unpop_0014</v>
          </cell>
          <cell r="D8573">
            <v>5259468.5</v>
          </cell>
        </row>
        <row r="8574">
          <cell r="A8574" t="str">
            <v>LKA</v>
          </cell>
          <cell r="B8574">
            <v>2007</v>
          </cell>
          <cell r="C8574" t="str">
            <v>unpop_1564</v>
          </cell>
          <cell r="D8574">
            <v>13825021.5</v>
          </cell>
        </row>
        <row r="8575">
          <cell r="A8575" t="str">
            <v>LKA</v>
          </cell>
          <cell r="B8575">
            <v>2007</v>
          </cell>
          <cell r="C8575" t="str">
            <v>unpop_65up</v>
          </cell>
          <cell r="D8575">
            <v>1408055</v>
          </cell>
        </row>
        <row r="8576">
          <cell r="A8576" t="str">
            <v>LKA</v>
          </cell>
          <cell r="B8576">
            <v>2007</v>
          </cell>
          <cell r="C8576" t="str">
            <v>unpop_total</v>
          </cell>
          <cell r="D8576">
            <v>20492545</v>
          </cell>
        </row>
        <row r="8577">
          <cell r="A8577" t="str">
            <v>LKA</v>
          </cell>
          <cell r="B8577">
            <v>2008</v>
          </cell>
          <cell r="C8577" t="str">
            <v>unpop_0014</v>
          </cell>
          <cell r="D8577">
            <v>5278483</v>
          </cell>
        </row>
        <row r="8578">
          <cell r="A8578" t="str">
            <v>LKA</v>
          </cell>
          <cell r="B8578">
            <v>2008</v>
          </cell>
          <cell r="C8578" t="str">
            <v>unpop_1564</v>
          </cell>
          <cell r="D8578">
            <v>13900287</v>
          </cell>
        </row>
        <row r="8579">
          <cell r="A8579" t="str">
            <v>LKA</v>
          </cell>
          <cell r="B8579">
            <v>2008</v>
          </cell>
          <cell r="C8579" t="str">
            <v>unpop_65up</v>
          </cell>
          <cell r="D8579">
            <v>1450608</v>
          </cell>
        </row>
        <row r="8580">
          <cell r="A8580" t="str">
            <v>LKA</v>
          </cell>
          <cell r="B8580">
            <v>2008</v>
          </cell>
          <cell r="C8580" t="str">
            <v>unpop_total</v>
          </cell>
          <cell r="D8580">
            <v>20629378</v>
          </cell>
        </row>
        <row r="8581">
          <cell r="A8581" t="str">
            <v>LKA</v>
          </cell>
          <cell r="B8581">
            <v>2009</v>
          </cell>
          <cell r="C8581" t="str">
            <v>unpop_0014</v>
          </cell>
          <cell r="D8581">
            <v>5294622.5</v>
          </cell>
        </row>
        <row r="8582">
          <cell r="A8582" t="str">
            <v>LKA</v>
          </cell>
          <cell r="B8582">
            <v>2009</v>
          </cell>
          <cell r="C8582" t="str">
            <v>unpop_1564</v>
          </cell>
          <cell r="D8582">
            <v>13964262.5</v>
          </cell>
        </row>
        <row r="8583">
          <cell r="A8583" t="str">
            <v>LKA</v>
          </cell>
          <cell r="B8583">
            <v>2009</v>
          </cell>
          <cell r="C8583" t="str">
            <v>unpop_65up</v>
          </cell>
          <cell r="D8583">
            <v>1497550</v>
          </cell>
        </row>
        <row r="8584">
          <cell r="A8584" t="str">
            <v>LKA</v>
          </cell>
          <cell r="B8584">
            <v>2009</v>
          </cell>
          <cell r="C8584" t="str">
            <v>unpop_total</v>
          </cell>
          <cell r="D8584">
            <v>20756435</v>
          </cell>
        </row>
        <row r="8585">
          <cell r="A8585" t="str">
            <v>LKA</v>
          </cell>
          <cell r="B8585">
            <v>2010</v>
          </cell>
          <cell r="C8585" t="str">
            <v>unpop_0014</v>
          </cell>
          <cell r="D8585">
            <v>5307368.5</v>
          </cell>
        </row>
        <row r="8586">
          <cell r="A8586" t="str">
            <v>LKA</v>
          </cell>
          <cell r="B8586">
            <v>2010</v>
          </cell>
          <cell r="C8586" t="str">
            <v>unpop_1564</v>
          </cell>
          <cell r="D8586">
            <v>14020983</v>
          </cell>
        </row>
        <row r="8587">
          <cell r="A8587" t="str">
            <v>LKA</v>
          </cell>
          <cell r="B8587">
            <v>2010</v>
          </cell>
          <cell r="C8587" t="str">
            <v>unpop_65up</v>
          </cell>
          <cell r="D8587">
            <v>1550737.5</v>
          </cell>
        </row>
        <row r="8588">
          <cell r="A8588" t="str">
            <v>LKA</v>
          </cell>
          <cell r="B8588">
            <v>2010</v>
          </cell>
          <cell r="C8588" t="str">
            <v>unpop_total</v>
          </cell>
          <cell r="D8588">
            <v>20879089</v>
          </cell>
        </row>
        <row r="8589">
          <cell r="A8589" t="str">
            <v>LKA</v>
          </cell>
          <cell r="B8589">
            <v>2011</v>
          </cell>
          <cell r="C8589" t="str">
            <v>unpop_0014</v>
          </cell>
          <cell r="D8589">
            <v>5318138.5</v>
          </cell>
        </row>
        <row r="8590">
          <cell r="A8590" t="str">
            <v>LKA</v>
          </cell>
          <cell r="B8590">
            <v>2011</v>
          </cell>
          <cell r="C8590" t="str">
            <v>unpop_1564</v>
          </cell>
          <cell r="D8590">
            <v>14077404.5</v>
          </cell>
        </row>
        <row r="8591">
          <cell r="A8591" t="str">
            <v>LKA</v>
          </cell>
          <cell r="B8591">
            <v>2011</v>
          </cell>
          <cell r="C8591" t="str">
            <v>unpop_65up</v>
          </cell>
          <cell r="D8591">
            <v>1613505</v>
          </cell>
        </row>
        <row r="8592">
          <cell r="A8592" t="str">
            <v>LKA</v>
          </cell>
          <cell r="B8592">
            <v>2011</v>
          </cell>
          <cell r="C8592" t="str">
            <v>unpop_total</v>
          </cell>
          <cell r="D8592">
            <v>21009048</v>
          </cell>
        </row>
        <row r="8593">
          <cell r="A8593" t="str">
            <v>LKA</v>
          </cell>
          <cell r="B8593">
            <v>2012</v>
          </cell>
          <cell r="C8593" t="str">
            <v>unpop_0014</v>
          </cell>
          <cell r="D8593">
            <v>5330135</v>
          </cell>
        </row>
        <row r="8594">
          <cell r="A8594" t="str">
            <v>LKA</v>
          </cell>
          <cell r="B8594">
            <v>2012</v>
          </cell>
          <cell r="C8594" t="str">
            <v>unpop_1564</v>
          </cell>
          <cell r="D8594">
            <v>14152031.5</v>
          </cell>
        </row>
        <row r="8595">
          <cell r="A8595" t="str">
            <v>LKA</v>
          </cell>
          <cell r="B8595">
            <v>2012</v>
          </cell>
          <cell r="C8595" t="str">
            <v>unpop_65up</v>
          </cell>
          <cell r="D8595">
            <v>1687291.5</v>
          </cell>
        </row>
        <row r="8596">
          <cell r="A8596" t="str">
            <v>LKA</v>
          </cell>
          <cell r="B8596">
            <v>2012</v>
          </cell>
          <cell r="C8596" t="str">
            <v>unpop_total</v>
          </cell>
          <cell r="D8596">
            <v>21169458</v>
          </cell>
        </row>
        <row r="8597">
          <cell r="A8597" t="str">
            <v>LKA</v>
          </cell>
          <cell r="B8597">
            <v>2013</v>
          </cell>
          <cell r="C8597" t="str">
            <v>unpop_0014</v>
          </cell>
          <cell r="D8597">
            <v>5345468.5</v>
          </cell>
        </row>
        <row r="8598">
          <cell r="A8598" t="str">
            <v>LKA</v>
          </cell>
          <cell r="B8598">
            <v>2013</v>
          </cell>
          <cell r="C8598" t="str">
            <v>unpop_1564</v>
          </cell>
          <cell r="D8598">
            <v>14242213</v>
          </cell>
        </row>
        <row r="8599">
          <cell r="A8599" t="str">
            <v>LKA</v>
          </cell>
          <cell r="B8599">
            <v>2013</v>
          </cell>
          <cell r="C8599" t="str">
            <v>unpop_65up</v>
          </cell>
          <cell r="D8599">
            <v>1771145.5</v>
          </cell>
        </row>
        <row r="8600">
          <cell r="A8600" t="str">
            <v>LKA</v>
          </cell>
          <cell r="B8600">
            <v>2013</v>
          </cell>
          <cell r="C8600" t="str">
            <v>unpop_total</v>
          </cell>
          <cell r="D8600">
            <v>21358827</v>
          </cell>
        </row>
        <row r="8601">
          <cell r="A8601" t="str">
            <v>LKA</v>
          </cell>
          <cell r="B8601">
            <v>2014</v>
          </cell>
          <cell r="C8601" t="str">
            <v>unpop_0014</v>
          </cell>
          <cell r="D8601">
            <v>5359333</v>
          </cell>
        </row>
        <row r="8602">
          <cell r="A8602" t="str">
            <v>LKA</v>
          </cell>
          <cell r="B8602">
            <v>2014</v>
          </cell>
          <cell r="C8602" t="str">
            <v>unpop_1564</v>
          </cell>
          <cell r="D8602">
            <v>14327354.5</v>
          </cell>
        </row>
        <row r="8603">
          <cell r="A8603" t="str">
            <v>LKA</v>
          </cell>
          <cell r="B8603">
            <v>2014</v>
          </cell>
          <cell r="C8603" t="str">
            <v>unpop_65up</v>
          </cell>
          <cell r="D8603">
            <v>1860768.5</v>
          </cell>
        </row>
        <row r="8604">
          <cell r="A8604" t="str">
            <v>LKA</v>
          </cell>
          <cell r="B8604">
            <v>2014</v>
          </cell>
          <cell r="C8604" t="str">
            <v>unpop_total</v>
          </cell>
          <cell r="D8604">
            <v>21547456</v>
          </cell>
        </row>
        <row r="8605">
          <cell r="A8605" t="str">
            <v>LKA</v>
          </cell>
          <cell r="B8605">
            <v>2015</v>
          </cell>
          <cell r="C8605" t="str">
            <v>unpop_0014</v>
          </cell>
          <cell r="D8605">
            <v>5365756</v>
          </cell>
        </row>
        <row r="8606">
          <cell r="A8606" t="str">
            <v>LKA</v>
          </cell>
          <cell r="B8606">
            <v>2015</v>
          </cell>
          <cell r="C8606" t="str">
            <v>unpop_1564</v>
          </cell>
          <cell r="D8606">
            <v>14410572.5</v>
          </cell>
        </row>
        <row r="8607">
          <cell r="A8607" t="str">
            <v>LKA</v>
          </cell>
          <cell r="B8607">
            <v>2015</v>
          </cell>
          <cell r="C8607" t="str">
            <v>unpop_65up</v>
          </cell>
          <cell r="D8607">
            <v>1953643</v>
          </cell>
        </row>
        <row r="8608">
          <cell r="A8608" t="str">
            <v>LKA</v>
          </cell>
          <cell r="B8608">
            <v>2015</v>
          </cell>
          <cell r="C8608" t="str">
            <v>unpop_total</v>
          </cell>
          <cell r="D8608">
            <v>21729971.5</v>
          </cell>
        </row>
        <row r="8609">
          <cell r="A8609" t="str">
            <v>LKA</v>
          </cell>
          <cell r="B8609">
            <v>2016</v>
          </cell>
          <cell r="C8609" t="str">
            <v>unpop_0014</v>
          </cell>
          <cell r="D8609">
            <v>5363394</v>
          </cell>
        </row>
        <row r="8610">
          <cell r="A8610" t="str">
            <v>LKA</v>
          </cell>
          <cell r="B8610">
            <v>2016</v>
          </cell>
          <cell r="C8610" t="str">
            <v>unpop_1564</v>
          </cell>
          <cell r="D8610">
            <v>14499705.5</v>
          </cell>
        </row>
        <row r="8611">
          <cell r="A8611" t="str">
            <v>LKA</v>
          </cell>
          <cell r="B8611">
            <v>2016</v>
          </cell>
          <cell r="C8611" t="str">
            <v>unpop_65up</v>
          </cell>
          <cell r="D8611">
            <v>2047673</v>
          </cell>
        </row>
        <row r="8612">
          <cell r="A8612" t="str">
            <v>LKA</v>
          </cell>
          <cell r="B8612">
            <v>2016</v>
          </cell>
          <cell r="C8612" t="str">
            <v>unpop_total</v>
          </cell>
          <cell r="D8612">
            <v>21910772.5</v>
          </cell>
        </row>
        <row r="8613">
          <cell r="A8613" t="str">
            <v>LKA</v>
          </cell>
          <cell r="B8613">
            <v>2017</v>
          </cell>
          <cell r="C8613" t="str">
            <v>unpop_0014</v>
          </cell>
          <cell r="D8613">
            <v>5351604</v>
          </cell>
        </row>
        <row r="8614">
          <cell r="A8614" t="str">
            <v>LKA</v>
          </cell>
          <cell r="B8614">
            <v>2017</v>
          </cell>
          <cell r="C8614" t="str">
            <v>unpop_1564</v>
          </cell>
          <cell r="D8614">
            <v>14594823</v>
          </cell>
        </row>
        <row r="8615">
          <cell r="A8615" t="str">
            <v>LKA</v>
          </cell>
          <cell r="B8615">
            <v>2017</v>
          </cell>
          <cell r="C8615" t="str">
            <v>unpop_65up</v>
          </cell>
          <cell r="D8615">
            <v>2141095</v>
          </cell>
        </row>
        <row r="8616">
          <cell r="A8616" t="str">
            <v>LKA</v>
          </cell>
          <cell r="B8616">
            <v>2017</v>
          </cell>
          <cell r="C8616" t="str">
            <v>unpop_total</v>
          </cell>
          <cell r="D8616">
            <v>22087522</v>
          </cell>
        </row>
        <row r="8617">
          <cell r="A8617" t="str">
            <v>LKA</v>
          </cell>
          <cell r="B8617">
            <v>2018</v>
          </cell>
          <cell r="C8617" t="str">
            <v>unpop_0014</v>
          </cell>
          <cell r="D8617">
            <v>5330296</v>
          </cell>
        </row>
        <row r="8618">
          <cell r="A8618" t="str">
            <v>LKA</v>
          </cell>
          <cell r="B8618">
            <v>2018</v>
          </cell>
          <cell r="C8618" t="str">
            <v>unpop_1564</v>
          </cell>
          <cell r="D8618">
            <v>14689505</v>
          </cell>
        </row>
        <row r="8619">
          <cell r="A8619" t="str">
            <v>LKA</v>
          </cell>
          <cell r="B8619">
            <v>2018</v>
          </cell>
          <cell r="C8619" t="str">
            <v>unpop_65up</v>
          </cell>
          <cell r="D8619">
            <v>2233317</v>
          </cell>
        </row>
        <row r="8620">
          <cell r="A8620" t="str">
            <v>LKA</v>
          </cell>
          <cell r="B8620">
            <v>2018</v>
          </cell>
          <cell r="C8620" t="str">
            <v>unpop_total</v>
          </cell>
          <cell r="D8620">
            <v>22253118</v>
          </cell>
        </row>
        <row r="8621">
          <cell r="A8621" t="str">
            <v>LKA</v>
          </cell>
          <cell r="B8621">
            <v>2019</v>
          </cell>
          <cell r="C8621" t="str">
            <v>unpop_0014</v>
          </cell>
          <cell r="D8621">
            <v>5301101</v>
          </cell>
        </row>
        <row r="8622">
          <cell r="A8622" t="str">
            <v>LKA</v>
          </cell>
          <cell r="B8622">
            <v>2019</v>
          </cell>
          <cell r="C8622" t="str">
            <v>unpop_1564</v>
          </cell>
          <cell r="D8622">
            <v>14784252.5</v>
          </cell>
        </row>
        <row r="8623">
          <cell r="A8623" t="str">
            <v>LKA</v>
          </cell>
          <cell r="B8623">
            <v>2019</v>
          </cell>
          <cell r="C8623" t="str">
            <v>unpop_65up</v>
          </cell>
          <cell r="D8623">
            <v>2325198</v>
          </cell>
        </row>
        <row r="8624">
          <cell r="A8624" t="str">
            <v>LKA</v>
          </cell>
          <cell r="B8624">
            <v>2019</v>
          </cell>
          <cell r="C8624" t="str">
            <v>unpop_total</v>
          </cell>
          <cell r="D8624">
            <v>22410551.5</v>
          </cell>
        </row>
        <row r="8625">
          <cell r="A8625" t="str">
            <v>LKA</v>
          </cell>
          <cell r="B8625">
            <v>2020</v>
          </cell>
          <cell r="C8625" t="str">
            <v>unpop_0014</v>
          </cell>
          <cell r="D8625">
            <v>5265351</v>
          </cell>
        </row>
        <row r="8626">
          <cell r="A8626" t="str">
            <v>LKA</v>
          </cell>
          <cell r="B8626">
            <v>2020</v>
          </cell>
          <cell r="C8626" t="str">
            <v>unpop_1564</v>
          </cell>
          <cell r="D8626">
            <v>14878798</v>
          </cell>
        </row>
        <row r="8627">
          <cell r="A8627" t="str">
            <v>LKA</v>
          </cell>
          <cell r="B8627">
            <v>2020</v>
          </cell>
          <cell r="C8627" t="str">
            <v>unpop_65up</v>
          </cell>
          <cell r="D8627">
            <v>2417658</v>
          </cell>
        </row>
        <row r="8628">
          <cell r="A8628" t="str">
            <v>LKA</v>
          </cell>
          <cell r="B8628">
            <v>2020</v>
          </cell>
          <cell r="C8628" t="str">
            <v>unpop_total</v>
          </cell>
          <cell r="D8628">
            <v>22561807</v>
          </cell>
        </row>
        <row r="8629">
          <cell r="A8629" t="str">
            <v>LKA</v>
          </cell>
          <cell r="B8629">
            <v>2021</v>
          </cell>
          <cell r="C8629" t="str">
            <v>unpop_0014</v>
          </cell>
          <cell r="D8629">
            <v>5224716</v>
          </cell>
        </row>
        <row r="8630">
          <cell r="A8630" t="str">
            <v>LKA</v>
          </cell>
          <cell r="B8630">
            <v>2021</v>
          </cell>
          <cell r="C8630" t="str">
            <v>unpop_1564</v>
          </cell>
          <cell r="D8630">
            <v>14968253.5</v>
          </cell>
        </row>
        <row r="8631">
          <cell r="A8631" t="str">
            <v>LKA</v>
          </cell>
          <cell r="B8631">
            <v>2021</v>
          </cell>
          <cell r="C8631" t="str">
            <v>unpop_65up</v>
          </cell>
          <cell r="D8631">
            <v>2507402.5</v>
          </cell>
        </row>
        <row r="8632">
          <cell r="A8632" t="str">
            <v>LKA</v>
          </cell>
          <cell r="B8632">
            <v>2021</v>
          </cell>
          <cell r="C8632" t="str">
            <v>unpop_total</v>
          </cell>
          <cell r="D8632">
            <v>22700372</v>
          </cell>
        </row>
        <row r="8633">
          <cell r="A8633" t="str">
            <v>LKA</v>
          </cell>
          <cell r="B8633">
            <v>2022</v>
          </cell>
          <cell r="C8633" t="str">
            <v>unpop_0014</v>
          </cell>
          <cell r="D8633">
            <v>5181323</v>
          </cell>
        </row>
        <row r="8634">
          <cell r="A8634" t="str">
            <v>LKA</v>
          </cell>
          <cell r="B8634">
            <v>2022</v>
          </cell>
          <cell r="C8634" t="str">
            <v>unpop_1564</v>
          </cell>
          <cell r="D8634">
            <v>15054467</v>
          </cell>
        </row>
        <row r="8635">
          <cell r="A8635" t="str">
            <v>LKA</v>
          </cell>
          <cell r="B8635">
            <v>2022</v>
          </cell>
          <cell r="C8635" t="str">
            <v>unpop_65up</v>
          </cell>
          <cell r="D8635">
            <v>2599175</v>
          </cell>
        </row>
        <row r="8636">
          <cell r="A8636" t="str">
            <v>LKA</v>
          </cell>
          <cell r="B8636">
            <v>2022</v>
          </cell>
          <cell r="C8636" t="str">
            <v>unpop_total</v>
          </cell>
          <cell r="D8636">
            <v>22834965</v>
          </cell>
        </row>
        <row r="8637">
          <cell r="A8637" t="str">
            <v>LKA</v>
          </cell>
          <cell r="B8637">
            <v>2023</v>
          </cell>
          <cell r="C8637" t="str">
            <v>unpop_0014</v>
          </cell>
          <cell r="D8637">
            <v>5136746</v>
          </cell>
        </row>
        <row r="8638">
          <cell r="A8638" t="str">
            <v>LKA</v>
          </cell>
          <cell r="B8638">
            <v>2023</v>
          </cell>
          <cell r="C8638" t="str">
            <v>unpop_1564</v>
          </cell>
          <cell r="D8638">
            <v>15138299.5</v>
          </cell>
        </row>
        <row r="8639">
          <cell r="A8639" t="str">
            <v>LKA</v>
          </cell>
          <cell r="B8639">
            <v>2023</v>
          </cell>
          <cell r="C8639" t="str">
            <v>unpop_65up</v>
          </cell>
          <cell r="D8639">
            <v>2696571.5</v>
          </cell>
        </row>
        <row r="8640">
          <cell r="A8640" t="str">
            <v>LKA</v>
          </cell>
          <cell r="B8640">
            <v>2023</v>
          </cell>
          <cell r="C8640" t="str">
            <v>unpop_total</v>
          </cell>
          <cell r="D8640">
            <v>22971617</v>
          </cell>
        </row>
        <row r="8641">
          <cell r="A8641" t="str">
            <v>LKA</v>
          </cell>
          <cell r="B8641">
            <v>2024</v>
          </cell>
          <cell r="C8641" t="str">
            <v>unpop_0014</v>
          </cell>
          <cell r="D8641">
            <v>5089781.5</v>
          </cell>
        </row>
        <row r="8642">
          <cell r="A8642" t="str">
            <v>LKA</v>
          </cell>
          <cell r="B8642">
            <v>2024</v>
          </cell>
          <cell r="C8642" t="str">
            <v>unpop_1564</v>
          </cell>
          <cell r="D8642">
            <v>15217341.5</v>
          </cell>
        </row>
        <row r="8643">
          <cell r="A8643" t="str">
            <v>LKA</v>
          </cell>
          <cell r="B8643">
            <v>2024</v>
          </cell>
          <cell r="C8643" t="str">
            <v>unpop_65up</v>
          </cell>
          <cell r="D8643">
            <v>2796441.5</v>
          </cell>
        </row>
        <row r="8644">
          <cell r="A8644" t="str">
            <v>LKA</v>
          </cell>
          <cell r="B8644">
            <v>2024</v>
          </cell>
          <cell r="C8644" t="str">
            <v>unpop_total</v>
          </cell>
          <cell r="D8644">
            <v>23103564.5</v>
          </cell>
        </row>
        <row r="8645">
          <cell r="A8645" t="str">
            <v>LKA</v>
          </cell>
          <cell r="B8645">
            <v>2025</v>
          </cell>
          <cell r="C8645" t="str">
            <v>unpop_0014</v>
          </cell>
          <cell r="D8645">
            <v>5040984.5</v>
          </cell>
        </row>
        <row r="8646">
          <cell r="A8646" t="str">
            <v>LKA</v>
          </cell>
          <cell r="B8646">
            <v>2025</v>
          </cell>
          <cell r="C8646" t="str">
            <v>unpop_1564</v>
          </cell>
          <cell r="D8646">
            <v>15290676</v>
          </cell>
        </row>
        <row r="8647">
          <cell r="A8647" t="str">
            <v>LKA</v>
          </cell>
          <cell r="B8647">
            <v>2025</v>
          </cell>
          <cell r="C8647" t="str">
            <v>unpop_65up</v>
          </cell>
          <cell r="D8647">
            <v>2897810</v>
          </cell>
        </row>
        <row r="8648">
          <cell r="A8648" t="str">
            <v>LKA</v>
          </cell>
          <cell r="B8648">
            <v>2025</v>
          </cell>
          <cell r="C8648" t="str">
            <v>unpop_total</v>
          </cell>
          <cell r="D8648">
            <v>23229470.5</v>
          </cell>
        </row>
        <row r="8649">
          <cell r="A8649" t="str">
            <v>LKA</v>
          </cell>
          <cell r="B8649">
            <v>2026</v>
          </cell>
          <cell r="C8649" t="str">
            <v>unpop_0014</v>
          </cell>
          <cell r="D8649">
            <v>4993550</v>
          </cell>
        </row>
        <row r="8650">
          <cell r="A8650" t="str">
            <v>LKA</v>
          </cell>
          <cell r="B8650">
            <v>2026</v>
          </cell>
          <cell r="C8650" t="str">
            <v>unpop_1564</v>
          </cell>
          <cell r="D8650">
            <v>15357163.5</v>
          </cell>
        </row>
        <row r="8651">
          <cell r="A8651" t="str">
            <v>LKA</v>
          </cell>
          <cell r="B8651">
            <v>2026</v>
          </cell>
          <cell r="C8651" t="str">
            <v>unpop_65up</v>
          </cell>
          <cell r="D8651">
            <v>2997601.5</v>
          </cell>
        </row>
        <row r="8652">
          <cell r="A8652" t="str">
            <v>LKA</v>
          </cell>
          <cell r="B8652">
            <v>2026</v>
          </cell>
          <cell r="C8652" t="str">
            <v>unpop_total</v>
          </cell>
          <cell r="D8652">
            <v>23348315</v>
          </cell>
        </row>
        <row r="8653">
          <cell r="A8653" t="str">
            <v>LKA</v>
          </cell>
          <cell r="B8653">
            <v>2027</v>
          </cell>
          <cell r="C8653" t="str">
            <v>unpop_0014</v>
          </cell>
          <cell r="D8653">
            <v>4945735</v>
          </cell>
        </row>
        <row r="8654">
          <cell r="A8654" t="str">
            <v>LKA</v>
          </cell>
          <cell r="B8654">
            <v>2027</v>
          </cell>
          <cell r="C8654" t="str">
            <v>unpop_1564</v>
          </cell>
          <cell r="D8654">
            <v>15421106.5</v>
          </cell>
        </row>
        <row r="8655">
          <cell r="A8655" t="str">
            <v>LKA</v>
          </cell>
          <cell r="B8655">
            <v>2027</v>
          </cell>
          <cell r="C8655" t="str">
            <v>unpop_65up</v>
          </cell>
          <cell r="D8655">
            <v>3094719</v>
          </cell>
        </row>
        <row r="8656">
          <cell r="A8656" t="str">
            <v>LKA</v>
          </cell>
          <cell r="B8656">
            <v>2027</v>
          </cell>
          <cell r="C8656" t="str">
            <v>unpop_total</v>
          </cell>
          <cell r="D8656">
            <v>23461560.5</v>
          </cell>
        </row>
        <row r="8657">
          <cell r="A8657" t="str">
            <v>LKA</v>
          </cell>
          <cell r="B8657">
            <v>2028</v>
          </cell>
          <cell r="C8657" t="str">
            <v>unpop_0014</v>
          </cell>
          <cell r="D8657">
            <v>4895209</v>
          </cell>
        </row>
        <row r="8658">
          <cell r="A8658" t="str">
            <v>LKA</v>
          </cell>
          <cell r="B8658">
            <v>2028</v>
          </cell>
          <cell r="C8658" t="str">
            <v>unpop_1564</v>
          </cell>
          <cell r="D8658">
            <v>15485231</v>
          </cell>
        </row>
        <row r="8659">
          <cell r="A8659" t="str">
            <v>LKA</v>
          </cell>
          <cell r="B8659">
            <v>2028</v>
          </cell>
          <cell r="C8659" t="str">
            <v>unpop_65up</v>
          </cell>
          <cell r="D8659">
            <v>3188734.5</v>
          </cell>
        </row>
        <row r="8660">
          <cell r="A8660" t="str">
            <v>LKA</v>
          </cell>
          <cell r="B8660">
            <v>2028</v>
          </cell>
          <cell r="C8660" t="str">
            <v>unpop_total</v>
          </cell>
          <cell r="D8660">
            <v>23569174.5</v>
          </cell>
        </row>
        <row r="8661">
          <cell r="A8661" t="str">
            <v>LKA</v>
          </cell>
          <cell r="B8661">
            <v>2029</v>
          </cell>
          <cell r="C8661" t="str">
            <v>unpop_0014</v>
          </cell>
          <cell r="D8661">
            <v>4846391.5</v>
          </cell>
        </row>
        <row r="8662">
          <cell r="A8662" t="str">
            <v>LKA</v>
          </cell>
          <cell r="B8662">
            <v>2029</v>
          </cell>
          <cell r="C8662" t="str">
            <v>unpop_1564</v>
          </cell>
          <cell r="D8662">
            <v>15544230</v>
          </cell>
        </row>
        <row r="8663">
          <cell r="A8663" t="str">
            <v>LKA</v>
          </cell>
          <cell r="B8663">
            <v>2029</v>
          </cell>
          <cell r="C8663" t="str">
            <v>unpop_65up</v>
          </cell>
          <cell r="D8663">
            <v>3280015.5</v>
          </cell>
        </row>
        <row r="8664">
          <cell r="A8664" t="str">
            <v>LKA</v>
          </cell>
          <cell r="B8664">
            <v>2029</v>
          </cell>
          <cell r="C8664" t="str">
            <v>unpop_total</v>
          </cell>
          <cell r="D8664">
            <v>23670637</v>
          </cell>
        </row>
        <row r="8665">
          <cell r="A8665" t="str">
            <v>LKA</v>
          </cell>
          <cell r="B8665">
            <v>2030</v>
          </cell>
          <cell r="C8665" t="str">
            <v>unpop_0014</v>
          </cell>
          <cell r="D8665">
            <v>4804294.5</v>
          </cell>
        </row>
        <row r="8666">
          <cell r="A8666" t="str">
            <v>LKA</v>
          </cell>
          <cell r="B8666">
            <v>2030</v>
          </cell>
          <cell r="C8666" t="str">
            <v>unpop_1564</v>
          </cell>
          <cell r="D8666">
            <v>15594421</v>
          </cell>
        </row>
        <row r="8667">
          <cell r="A8667" t="str">
            <v>LKA</v>
          </cell>
          <cell r="B8667">
            <v>2030</v>
          </cell>
          <cell r="C8667" t="str">
            <v>unpop_65up</v>
          </cell>
          <cell r="D8667">
            <v>3369236.5</v>
          </cell>
        </row>
        <row r="8668">
          <cell r="A8668" t="str">
            <v>LKA</v>
          </cell>
          <cell r="B8668">
            <v>2030</v>
          </cell>
          <cell r="C8668" t="str">
            <v>unpop_total</v>
          </cell>
          <cell r="D8668">
            <v>23767952</v>
          </cell>
        </row>
        <row r="8669">
          <cell r="A8669" t="str">
            <v>MDV</v>
          </cell>
          <cell r="B8669">
            <v>2000</v>
          </cell>
          <cell r="C8669" t="str">
            <v>unpop_0014</v>
          </cell>
          <cell r="D8669">
            <v>113360</v>
          </cell>
        </row>
        <row r="8670">
          <cell r="A8670" t="str">
            <v>MDV</v>
          </cell>
          <cell r="B8670">
            <v>2000</v>
          </cell>
          <cell r="C8670" t="str">
            <v>unpop_1564</v>
          </cell>
          <cell r="D8670">
            <v>158052</v>
          </cell>
        </row>
        <row r="8671">
          <cell r="A8671" t="str">
            <v>MDV</v>
          </cell>
          <cell r="B8671">
            <v>2000</v>
          </cell>
          <cell r="C8671" t="str">
            <v>unpop_65up</v>
          </cell>
          <cell r="D8671">
            <v>10606.5</v>
          </cell>
        </row>
        <row r="8672">
          <cell r="A8672" t="str">
            <v>MDV</v>
          </cell>
          <cell r="B8672">
            <v>2000</v>
          </cell>
          <cell r="C8672" t="str">
            <v>unpop_total</v>
          </cell>
          <cell r="D8672">
            <v>282018.5</v>
          </cell>
        </row>
        <row r="8673">
          <cell r="A8673" t="str">
            <v>MDV</v>
          </cell>
          <cell r="B8673">
            <v>2001</v>
          </cell>
          <cell r="C8673" t="str">
            <v>unpop_0014</v>
          </cell>
          <cell r="D8673">
            <v>110864</v>
          </cell>
        </row>
        <row r="8674">
          <cell r="A8674" t="str">
            <v>MDV</v>
          </cell>
          <cell r="B8674">
            <v>2001</v>
          </cell>
          <cell r="C8674" t="str">
            <v>unpop_1564</v>
          </cell>
          <cell r="D8674">
            <v>164646</v>
          </cell>
        </row>
        <row r="8675">
          <cell r="A8675" t="str">
            <v>MDV</v>
          </cell>
          <cell r="B8675">
            <v>2001</v>
          </cell>
          <cell r="C8675" t="str">
            <v>unpop_65up</v>
          </cell>
          <cell r="D8675">
            <v>11257.5</v>
          </cell>
        </row>
        <row r="8676">
          <cell r="A8676" t="str">
            <v>MDV</v>
          </cell>
          <cell r="B8676">
            <v>2001</v>
          </cell>
          <cell r="C8676" t="str">
            <v>unpop_total</v>
          </cell>
          <cell r="D8676">
            <v>286767.5</v>
          </cell>
        </row>
        <row r="8677">
          <cell r="A8677" t="str">
            <v>MDV</v>
          </cell>
          <cell r="B8677">
            <v>2002</v>
          </cell>
          <cell r="C8677" t="str">
            <v>unpop_0014</v>
          </cell>
          <cell r="D8677">
            <v>108291.5</v>
          </cell>
        </row>
        <row r="8678">
          <cell r="A8678" t="str">
            <v>MDV</v>
          </cell>
          <cell r="B8678">
            <v>2002</v>
          </cell>
          <cell r="C8678" t="str">
            <v>unpop_1564</v>
          </cell>
          <cell r="D8678">
            <v>171381.5</v>
          </cell>
        </row>
        <row r="8679">
          <cell r="A8679" t="str">
            <v>MDV</v>
          </cell>
          <cell r="B8679">
            <v>2002</v>
          </cell>
          <cell r="C8679" t="str">
            <v>unpop_65up</v>
          </cell>
          <cell r="D8679">
            <v>11943</v>
          </cell>
        </row>
        <row r="8680">
          <cell r="A8680" t="str">
            <v>MDV</v>
          </cell>
          <cell r="B8680">
            <v>2002</v>
          </cell>
          <cell r="C8680" t="str">
            <v>unpop_total</v>
          </cell>
          <cell r="D8680">
            <v>291616</v>
          </cell>
        </row>
        <row r="8681">
          <cell r="A8681" t="str">
            <v>MDV</v>
          </cell>
          <cell r="B8681">
            <v>2003</v>
          </cell>
          <cell r="C8681" t="str">
            <v>unpop_0014</v>
          </cell>
          <cell r="D8681">
            <v>105683.5</v>
          </cell>
        </row>
        <row r="8682">
          <cell r="A8682" t="str">
            <v>MDV</v>
          </cell>
          <cell r="B8682">
            <v>2003</v>
          </cell>
          <cell r="C8682" t="str">
            <v>unpop_1564</v>
          </cell>
          <cell r="D8682">
            <v>178157</v>
          </cell>
        </row>
        <row r="8683">
          <cell r="A8683" t="str">
            <v>MDV</v>
          </cell>
          <cell r="B8683">
            <v>2003</v>
          </cell>
          <cell r="C8683" t="str">
            <v>unpop_65up</v>
          </cell>
          <cell r="D8683">
            <v>12650.5</v>
          </cell>
        </row>
        <row r="8684">
          <cell r="A8684" t="str">
            <v>MDV</v>
          </cell>
          <cell r="B8684">
            <v>2003</v>
          </cell>
          <cell r="C8684" t="str">
            <v>unpop_total</v>
          </cell>
          <cell r="D8684">
            <v>296491</v>
          </cell>
        </row>
        <row r="8685">
          <cell r="A8685" t="str">
            <v>MDV</v>
          </cell>
          <cell r="B8685">
            <v>2004</v>
          </cell>
          <cell r="C8685" t="str">
            <v>unpop_0014</v>
          </cell>
          <cell r="D8685">
            <v>103007.5</v>
          </cell>
        </row>
        <row r="8686">
          <cell r="A8686" t="str">
            <v>MDV</v>
          </cell>
          <cell r="B8686">
            <v>2004</v>
          </cell>
          <cell r="C8686" t="str">
            <v>unpop_1564</v>
          </cell>
          <cell r="D8686">
            <v>185039.5</v>
          </cell>
        </row>
        <row r="8687">
          <cell r="A8687" t="str">
            <v>MDV</v>
          </cell>
          <cell r="B8687">
            <v>2004</v>
          </cell>
          <cell r="C8687" t="str">
            <v>unpop_65up</v>
          </cell>
          <cell r="D8687">
            <v>13365.5</v>
          </cell>
        </row>
        <row r="8688">
          <cell r="A8688" t="str">
            <v>MDV</v>
          </cell>
          <cell r="B8688">
            <v>2004</v>
          </cell>
          <cell r="C8688" t="str">
            <v>unpop_total</v>
          </cell>
          <cell r="D8688">
            <v>301412.5</v>
          </cell>
        </row>
        <row r="8689">
          <cell r="A8689" t="str">
            <v>MDV</v>
          </cell>
          <cell r="B8689">
            <v>2005</v>
          </cell>
          <cell r="C8689" t="str">
            <v>unpop_0014</v>
          </cell>
          <cell r="D8689">
            <v>100322.5</v>
          </cell>
        </row>
        <row r="8690">
          <cell r="A8690" t="str">
            <v>MDV</v>
          </cell>
          <cell r="B8690">
            <v>2005</v>
          </cell>
          <cell r="C8690" t="str">
            <v>unpop_1564</v>
          </cell>
          <cell r="D8690">
            <v>192029</v>
          </cell>
        </row>
        <row r="8691">
          <cell r="A8691" t="str">
            <v>MDV</v>
          </cell>
          <cell r="B8691">
            <v>2005</v>
          </cell>
          <cell r="C8691" t="str">
            <v>unpop_65up</v>
          </cell>
          <cell r="D8691">
            <v>14077.5</v>
          </cell>
        </row>
        <row r="8692">
          <cell r="A8692" t="str">
            <v>MDV</v>
          </cell>
          <cell r="B8692">
            <v>2005</v>
          </cell>
          <cell r="C8692" t="str">
            <v>unpop_total</v>
          </cell>
          <cell r="D8692">
            <v>306429</v>
          </cell>
        </row>
        <row r="8693">
          <cell r="A8693" t="str">
            <v>MDV</v>
          </cell>
          <cell r="B8693">
            <v>2006</v>
          </cell>
          <cell r="C8693" t="str">
            <v>unpop_0014</v>
          </cell>
          <cell r="D8693">
            <v>97869</v>
          </cell>
        </row>
        <row r="8694">
          <cell r="A8694" t="str">
            <v>MDV</v>
          </cell>
          <cell r="B8694">
            <v>2006</v>
          </cell>
          <cell r="C8694" t="str">
            <v>unpop_1564</v>
          </cell>
          <cell r="D8694">
            <v>201306</v>
          </cell>
        </row>
        <row r="8695">
          <cell r="A8695" t="str">
            <v>MDV</v>
          </cell>
          <cell r="B8695">
            <v>2006</v>
          </cell>
          <cell r="C8695" t="str">
            <v>unpop_65up</v>
          </cell>
          <cell r="D8695">
            <v>14676</v>
          </cell>
        </row>
        <row r="8696">
          <cell r="A8696" t="str">
            <v>MDV</v>
          </cell>
          <cell r="B8696">
            <v>2006</v>
          </cell>
          <cell r="C8696" t="str">
            <v>unpop_total</v>
          </cell>
          <cell r="D8696">
            <v>313851</v>
          </cell>
        </row>
        <row r="8697">
          <cell r="A8697" t="str">
            <v>MDV</v>
          </cell>
          <cell r="B8697">
            <v>2007</v>
          </cell>
          <cell r="C8697" t="str">
            <v>unpop_0014</v>
          </cell>
          <cell r="D8697">
            <v>95765.5</v>
          </cell>
        </row>
        <row r="8698">
          <cell r="A8698" t="str">
            <v>MDV</v>
          </cell>
          <cell r="B8698">
            <v>2007</v>
          </cell>
          <cell r="C8698" t="str">
            <v>unpop_1564</v>
          </cell>
          <cell r="D8698">
            <v>213604</v>
          </cell>
        </row>
        <row r="8699">
          <cell r="A8699" t="str">
            <v>MDV</v>
          </cell>
          <cell r="B8699">
            <v>2007</v>
          </cell>
          <cell r="C8699" t="str">
            <v>unpop_65up</v>
          </cell>
          <cell r="D8699">
            <v>15109.5</v>
          </cell>
        </row>
        <row r="8700">
          <cell r="A8700" t="str">
            <v>MDV</v>
          </cell>
          <cell r="B8700">
            <v>2007</v>
          </cell>
          <cell r="C8700" t="str">
            <v>unpop_total</v>
          </cell>
          <cell r="D8700">
            <v>324479</v>
          </cell>
        </row>
        <row r="8701">
          <cell r="A8701" t="str">
            <v>MDV</v>
          </cell>
          <cell r="B8701">
            <v>2008</v>
          </cell>
          <cell r="C8701" t="str">
            <v>unpop_0014</v>
          </cell>
          <cell r="D8701">
            <v>94069</v>
          </cell>
        </row>
        <row r="8702">
          <cell r="A8702" t="str">
            <v>MDV</v>
          </cell>
          <cell r="B8702">
            <v>2008</v>
          </cell>
          <cell r="C8702" t="str">
            <v>unpop_1564</v>
          </cell>
          <cell r="D8702">
            <v>226642</v>
          </cell>
        </row>
        <row r="8703">
          <cell r="A8703" t="str">
            <v>MDV</v>
          </cell>
          <cell r="B8703">
            <v>2008</v>
          </cell>
          <cell r="C8703" t="str">
            <v>unpop_65up</v>
          </cell>
          <cell r="D8703">
            <v>15459</v>
          </cell>
        </row>
        <row r="8704">
          <cell r="A8704" t="str">
            <v>MDV</v>
          </cell>
          <cell r="B8704">
            <v>2008</v>
          </cell>
          <cell r="C8704" t="str">
            <v>unpop_total</v>
          </cell>
          <cell r="D8704">
            <v>336170</v>
          </cell>
        </row>
        <row r="8705">
          <cell r="A8705" t="str">
            <v>MDV</v>
          </cell>
          <cell r="B8705">
            <v>2009</v>
          </cell>
          <cell r="C8705" t="str">
            <v>unpop_0014</v>
          </cell>
          <cell r="D8705">
            <v>92979.5</v>
          </cell>
        </row>
        <row r="8706">
          <cell r="A8706" t="str">
            <v>MDV</v>
          </cell>
          <cell r="B8706">
            <v>2009</v>
          </cell>
          <cell r="C8706" t="str">
            <v>unpop_1564</v>
          </cell>
          <cell r="D8706">
            <v>239531.5</v>
          </cell>
        </row>
        <row r="8707">
          <cell r="A8707" t="str">
            <v>MDV</v>
          </cell>
          <cell r="B8707">
            <v>2009</v>
          </cell>
          <cell r="C8707" t="str">
            <v>unpop_65up</v>
          </cell>
          <cell r="D8707">
            <v>15764</v>
          </cell>
        </row>
        <row r="8708">
          <cell r="A8708" t="str">
            <v>MDV</v>
          </cell>
          <cell r="B8708">
            <v>2009</v>
          </cell>
          <cell r="C8708" t="str">
            <v>unpop_total</v>
          </cell>
          <cell r="D8708">
            <v>348275</v>
          </cell>
        </row>
        <row r="8709">
          <cell r="A8709" t="str">
            <v>MDV</v>
          </cell>
          <cell r="B8709">
            <v>2010</v>
          </cell>
          <cell r="C8709" t="str">
            <v>unpop_0014</v>
          </cell>
          <cell r="D8709">
            <v>92595</v>
          </cell>
        </row>
        <row r="8710">
          <cell r="A8710" t="str">
            <v>MDV</v>
          </cell>
          <cell r="B8710">
            <v>2010</v>
          </cell>
          <cell r="C8710" t="str">
            <v>unpop_1564</v>
          </cell>
          <cell r="D8710">
            <v>252164</v>
          </cell>
        </row>
        <row r="8711">
          <cell r="A8711" t="str">
            <v>MDV</v>
          </cell>
          <cell r="B8711">
            <v>2010</v>
          </cell>
          <cell r="C8711" t="str">
            <v>unpop_65up</v>
          </cell>
          <cell r="D8711">
            <v>16033</v>
          </cell>
        </row>
        <row r="8712">
          <cell r="A8712" t="str">
            <v>MDV</v>
          </cell>
          <cell r="B8712">
            <v>2010</v>
          </cell>
          <cell r="C8712" t="str">
            <v>unpop_total</v>
          </cell>
          <cell r="D8712">
            <v>360792</v>
          </cell>
        </row>
        <row r="8713">
          <cell r="A8713" t="str">
            <v>MDV</v>
          </cell>
          <cell r="B8713">
            <v>2011</v>
          </cell>
          <cell r="C8713" t="str">
            <v>unpop_0014</v>
          </cell>
          <cell r="D8713">
            <v>92909</v>
          </cell>
        </row>
        <row r="8714">
          <cell r="A8714" t="str">
            <v>MDV</v>
          </cell>
          <cell r="B8714">
            <v>2011</v>
          </cell>
          <cell r="C8714" t="str">
            <v>unpop_1564</v>
          </cell>
          <cell r="D8714">
            <v>264489</v>
          </cell>
        </row>
        <row r="8715">
          <cell r="A8715" t="str">
            <v>MDV</v>
          </cell>
          <cell r="B8715">
            <v>2011</v>
          </cell>
          <cell r="C8715" t="str">
            <v>unpop_65up</v>
          </cell>
          <cell r="D8715">
            <v>16276</v>
          </cell>
        </row>
        <row r="8716">
          <cell r="A8716" t="str">
            <v>MDV</v>
          </cell>
          <cell r="B8716">
            <v>2011</v>
          </cell>
          <cell r="C8716" t="str">
            <v>unpop_total</v>
          </cell>
          <cell r="D8716">
            <v>373674</v>
          </cell>
        </row>
        <row r="8717">
          <cell r="A8717" t="str">
            <v>MDV</v>
          </cell>
          <cell r="B8717">
            <v>2012</v>
          </cell>
          <cell r="C8717" t="str">
            <v>unpop_0014</v>
          </cell>
          <cell r="D8717">
            <v>93898.5</v>
          </cell>
        </row>
        <row r="8718">
          <cell r="A8718" t="str">
            <v>MDV</v>
          </cell>
          <cell r="B8718">
            <v>2012</v>
          </cell>
          <cell r="C8718" t="str">
            <v>unpop_1564</v>
          </cell>
          <cell r="D8718">
            <v>276430</v>
          </cell>
        </row>
        <row r="8719">
          <cell r="A8719" t="str">
            <v>MDV</v>
          </cell>
          <cell r="B8719">
            <v>2012</v>
          </cell>
          <cell r="C8719" t="str">
            <v>unpop_65up</v>
          </cell>
          <cell r="D8719">
            <v>16489.5</v>
          </cell>
        </row>
        <row r="8720">
          <cell r="A8720" t="str">
            <v>MDV</v>
          </cell>
          <cell r="B8720">
            <v>2012</v>
          </cell>
          <cell r="C8720" t="str">
            <v>unpop_total</v>
          </cell>
          <cell r="D8720">
            <v>386818</v>
          </cell>
        </row>
        <row r="8721">
          <cell r="A8721" t="str">
            <v>MDV</v>
          </cell>
          <cell r="B8721">
            <v>2013</v>
          </cell>
          <cell r="C8721" t="str">
            <v>unpop_0014</v>
          </cell>
          <cell r="D8721">
            <v>95422.5</v>
          </cell>
        </row>
        <row r="8722">
          <cell r="A8722" t="str">
            <v>MDV</v>
          </cell>
          <cell r="B8722">
            <v>2013</v>
          </cell>
          <cell r="C8722" t="str">
            <v>unpop_1564</v>
          </cell>
          <cell r="D8722">
            <v>287942</v>
          </cell>
        </row>
        <row r="8723">
          <cell r="A8723" t="str">
            <v>MDV</v>
          </cell>
          <cell r="B8723">
            <v>2013</v>
          </cell>
          <cell r="C8723" t="str">
            <v>unpop_65up</v>
          </cell>
          <cell r="D8723">
            <v>16706</v>
          </cell>
        </row>
        <row r="8724">
          <cell r="A8724" t="str">
            <v>MDV</v>
          </cell>
          <cell r="B8724">
            <v>2013</v>
          </cell>
          <cell r="C8724" t="str">
            <v>unpop_total</v>
          </cell>
          <cell r="D8724">
            <v>400070.5</v>
          </cell>
        </row>
        <row r="8725">
          <cell r="A8725" t="str">
            <v>MDV</v>
          </cell>
          <cell r="B8725">
            <v>2014</v>
          </cell>
          <cell r="C8725" t="str">
            <v>unpop_0014</v>
          </cell>
          <cell r="D8725">
            <v>97319</v>
          </cell>
        </row>
        <row r="8726">
          <cell r="A8726" t="str">
            <v>MDV</v>
          </cell>
          <cell r="B8726">
            <v>2014</v>
          </cell>
          <cell r="C8726" t="str">
            <v>unpop_1564</v>
          </cell>
          <cell r="D8726">
            <v>299348</v>
          </cell>
        </row>
        <row r="8727">
          <cell r="A8727" t="str">
            <v>MDV</v>
          </cell>
          <cell r="B8727">
            <v>2014</v>
          </cell>
          <cell r="C8727" t="str">
            <v>unpop_65up</v>
          </cell>
          <cell r="D8727">
            <v>16950</v>
          </cell>
        </row>
        <row r="8728">
          <cell r="A8728" t="str">
            <v>MDV</v>
          </cell>
          <cell r="B8728">
            <v>2014</v>
          </cell>
          <cell r="C8728" t="str">
            <v>unpop_total</v>
          </cell>
          <cell r="D8728">
            <v>413617</v>
          </cell>
        </row>
        <row r="8729">
          <cell r="A8729" t="str">
            <v>MDV</v>
          </cell>
          <cell r="B8729">
            <v>2015</v>
          </cell>
          <cell r="C8729" t="str">
            <v>unpop_0014</v>
          </cell>
          <cell r="D8729">
            <v>99375.5</v>
          </cell>
        </row>
        <row r="8730">
          <cell r="A8730" t="str">
            <v>MDV</v>
          </cell>
          <cell r="B8730">
            <v>2015</v>
          </cell>
          <cell r="C8730" t="str">
            <v>unpop_1564</v>
          </cell>
          <cell r="D8730">
            <v>311589</v>
          </cell>
        </row>
        <row r="8731">
          <cell r="A8731" t="str">
            <v>MDV</v>
          </cell>
          <cell r="B8731">
            <v>2015</v>
          </cell>
          <cell r="C8731" t="str">
            <v>unpop_65up</v>
          </cell>
          <cell r="D8731">
            <v>17189.5</v>
          </cell>
        </row>
        <row r="8732">
          <cell r="A8732" t="str">
            <v>MDV</v>
          </cell>
          <cell r="B8732">
            <v>2015</v>
          </cell>
          <cell r="C8732" t="str">
            <v>unpop_total</v>
          </cell>
          <cell r="D8732">
            <v>428154</v>
          </cell>
        </row>
        <row r="8733">
          <cell r="A8733" t="str">
            <v>MDV</v>
          </cell>
          <cell r="B8733">
            <v>2016</v>
          </cell>
          <cell r="C8733" t="str">
            <v>unpop_0014</v>
          </cell>
          <cell r="D8733">
            <v>101283</v>
          </cell>
        </row>
        <row r="8734">
          <cell r="A8734" t="str">
            <v>MDV</v>
          </cell>
          <cell r="B8734">
            <v>2016</v>
          </cell>
          <cell r="C8734" t="str">
            <v>unpop_1564</v>
          </cell>
          <cell r="D8734">
            <v>324593.5</v>
          </cell>
        </row>
        <row r="8735">
          <cell r="A8735" t="str">
            <v>MDV</v>
          </cell>
          <cell r="B8735">
            <v>2016</v>
          </cell>
          <cell r="C8735" t="str">
            <v>unpop_65up</v>
          </cell>
          <cell r="D8735">
            <v>17431.5</v>
          </cell>
        </row>
        <row r="8736">
          <cell r="A8736" t="str">
            <v>MDV</v>
          </cell>
          <cell r="B8736">
            <v>2016</v>
          </cell>
          <cell r="C8736" t="str">
            <v>unpop_total</v>
          </cell>
          <cell r="D8736">
            <v>443308</v>
          </cell>
        </row>
        <row r="8737">
          <cell r="A8737" t="str">
            <v>MDV</v>
          </cell>
          <cell r="B8737">
            <v>2017</v>
          </cell>
          <cell r="C8737" t="str">
            <v>unpop_0014</v>
          </cell>
          <cell r="D8737">
            <v>102945</v>
          </cell>
        </row>
        <row r="8738">
          <cell r="A8738" t="str">
            <v>MDV</v>
          </cell>
          <cell r="B8738">
            <v>2017</v>
          </cell>
          <cell r="C8738" t="str">
            <v>unpop_1564</v>
          </cell>
          <cell r="D8738">
            <v>337617</v>
          </cell>
        </row>
        <row r="8739">
          <cell r="A8739" t="str">
            <v>MDV</v>
          </cell>
          <cell r="B8739">
            <v>2017</v>
          </cell>
          <cell r="C8739" t="str">
            <v>unpop_65up</v>
          </cell>
          <cell r="D8739">
            <v>17725</v>
          </cell>
        </row>
        <row r="8740">
          <cell r="A8740" t="str">
            <v>MDV</v>
          </cell>
          <cell r="B8740">
            <v>2017</v>
          </cell>
          <cell r="C8740" t="str">
            <v>unpop_total</v>
          </cell>
          <cell r="D8740">
            <v>458287</v>
          </cell>
        </row>
        <row r="8741">
          <cell r="A8741" t="str">
            <v>MDV</v>
          </cell>
          <cell r="B8741">
            <v>2018</v>
          </cell>
          <cell r="C8741" t="str">
            <v>unpop_0014</v>
          </cell>
          <cell r="D8741">
            <v>104419</v>
          </cell>
        </row>
        <row r="8742">
          <cell r="A8742" t="str">
            <v>MDV</v>
          </cell>
          <cell r="B8742">
            <v>2018</v>
          </cell>
          <cell r="C8742" t="str">
            <v>unpop_1564</v>
          </cell>
          <cell r="D8742">
            <v>350552</v>
          </cell>
        </row>
        <row r="8743">
          <cell r="A8743" t="str">
            <v>MDV</v>
          </cell>
          <cell r="B8743">
            <v>2018</v>
          </cell>
          <cell r="C8743" t="str">
            <v>unpop_65up</v>
          </cell>
          <cell r="D8743">
            <v>18127.5</v>
          </cell>
        </row>
        <row r="8744">
          <cell r="A8744" t="str">
            <v>MDV</v>
          </cell>
          <cell r="B8744">
            <v>2018</v>
          </cell>
          <cell r="C8744" t="str">
            <v>unpop_total</v>
          </cell>
          <cell r="D8744">
            <v>473098.5</v>
          </cell>
        </row>
        <row r="8745">
          <cell r="A8745" t="str">
            <v>MDV</v>
          </cell>
          <cell r="B8745">
            <v>2019</v>
          </cell>
          <cell r="C8745" t="str">
            <v>unpop_0014</v>
          </cell>
          <cell r="D8745">
            <v>105693</v>
          </cell>
        </row>
        <row r="8746">
          <cell r="A8746" t="str">
            <v>MDV</v>
          </cell>
          <cell r="B8746">
            <v>2019</v>
          </cell>
          <cell r="C8746" t="str">
            <v>unpop_1564</v>
          </cell>
          <cell r="D8746">
            <v>363344</v>
          </cell>
        </row>
        <row r="8747">
          <cell r="A8747" t="str">
            <v>MDV</v>
          </cell>
          <cell r="B8747">
            <v>2019</v>
          </cell>
          <cell r="C8747" t="str">
            <v>unpop_65up</v>
          </cell>
          <cell r="D8747">
            <v>18694</v>
          </cell>
        </row>
        <row r="8748">
          <cell r="A8748" t="str">
            <v>MDV</v>
          </cell>
          <cell r="B8748">
            <v>2019</v>
          </cell>
          <cell r="C8748" t="str">
            <v>unpop_total</v>
          </cell>
          <cell r="D8748">
            <v>487731</v>
          </cell>
        </row>
        <row r="8749">
          <cell r="A8749" t="str">
            <v>MDV</v>
          </cell>
          <cell r="B8749">
            <v>2020</v>
          </cell>
          <cell r="C8749" t="str">
            <v>unpop_0014</v>
          </cell>
          <cell r="D8749">
            <v>106666</v>
          </cell>
        </row>
        <row r="8750">
          <cell r="A8750" t="str">
            <v>MDV</v>
          </cell>
          <cell r="B8750">
            <v>2020</v>
          </cell>
          <cell r="C8750" t="str">
            <v>unpop_1564</v>
          </cell>
          <cell r="D8750">
            <v>376022</v>
          </cell>
        </row>
        <row r="8751">
          <cell r="A8751" t="str">
            <v>MDV</v>
          </cell>
          <cell r="B8751">
            <v>2020</v>
          </cell>
          <cell r="C8751" t="str">
            <v>unpop_65up</v>
          </cell>
          <cell r="D8751">
            <v>19430.5</v>
          </cell>
        </row>
        <row r="8752">
          <cell r="A8752" t="str">
            <v>MDV</v>
          </cell>
          <cell r="B8752">
            <v>2020</v>
          </cell>
          <cell r="C8752" t="str">
            <v>unpop_total</v>
          </cell>
          <cell r="D8752">
            <v>502118.5</v>
          </cell>
        </row>
        <row r="8753">
          <cell r="A8753" t="str">
            <v>MDV</v>
          </cell>
          <cell r="B8753">
            <v>2021</v>
          </cell>
          <cell r="C8753" t="str">
            <v>unpop_0014</v>
          </cell>
          <cell r="D8753">
            <v>107192.5</v>
          </cell>
        </row>
        <row r="8754">
          <cell r="A8754" t="str">
            <v>MDV</v>
          </cell>
          <cell r="B8754">
            <v>2021</v>
          </cell>
          <cell r="C8754" t="str">
            <v>unpop_1564</v>
          </cell>
          <cell r="D8754">
            <v>388687</v>
          </cell>
        </row>
        <row r="8755">
          <cell r="A8755" t="str">
            <v>MDV</v>
          </cell>
          <cell r="B8755">
            <v>2021</v>
          </cell>
          <cell r="C8755" t="str">
            <v>unpop_65up</v>
          </cell>
          <cell r="D8755">
            <v>20274</v>
          </cell>
        </row>
        <row r="8756">
          <cell r="A8756" t="str">
            <v>MDV</v>
          </cell>
          <cell r="B8756">
            <v>2021</v>
          </cell>
          <cell r="C8756" t="str">
            <v>unpop_total</v>
          </cell>
          <cell r="D8756">
            <v>516153.5</v>
          </cell>
        </row>
        <row r="8757">
          <cell r="A8757" t="str">
            <v>MDV</v>
          </cell>
          <cell r="B8757">
            <v>2022</v>
          </cell>
          <cell r="C8757" t="str">
            <v>unpop_0014</v>
          </cell>
          <cell r="D8757">
            <v>106825.5</v>
          </cell>
        </row>
        <row r="8758">
          <cell r="A8758" t="str">
            <v>MDV</v>
          </cell>
          <cell r="B8758">
            <v>2022</v>
          </cell>
          <cell r="C8758" t="str">
            <v>unpop_1564</v>
          </cell>
          <cell r="D8758">
            <v>395889</v>
          </cell>
        </row>
        <row r="8759">
          <cell r="A8759" t="str">
            <v>MDV</v>
          </cell>
          <cell r="B8759">
            <v>2022</v>
          </cell>
          <cell r="C8759" t="str">
            <v>unpop_65up</v>
          </cell>
          <cell r="D8759">
            <v>21392</v>
          </cell>
        </row>
        <row r="8760">
          <cell r="A8760" t="str">
            <v>MDV</v>
          </cell>
          <cell r="B8760">
            <v>2022</v>
          </cell>
          <cell r="C8760" t="str">
            <v>unpop_total</v>
          </cell>
          <cell r="D8760">
            <v>524106.5</v>
          </cell>
        </row>
        <row r="8761">
          <cell r="A8761" t="str">
            <v>MDV</v>
          </cell>
          <cell r="B8761">
            <v>2023</v>
          </cell>
          <cell r="C8761" t="str">
            <v>unpop_0014</v>
          </cell>
          <cell r="D8761">
            <v>105456.5</v>
          </cell>
        </row>
        <row r="8762">
          <cell r="A8762" t="str">
            <v>MDV</v>
          </cell>
          <cell r="B8762">
            <v>2023</v>
          </cell>
          <cell r="C8762" t="str">
            <v>unpop_1564</v>
          </cell>
          <cell r="D8762">
            <v>397682.5</v>
          </cell>
        </row>
        <row r="8763">
          <cell r="A8763" t="str">
            <v>MDV</v>
          </cell>
          <cell r="B8763">
            <v>2023</v>
          </cell>
          <cell r="C8763" t="str">
            <v>unpop_65up</v>
          </cell>
          <cell r="D8763">
            <v>22855</v>
          </cell>
        </row>
        <row r="8764">
          <cell r="A8764" t="str">
            <v>MDV</v>
          </cell>
          <cell r="B8764">
            <v>2023</v>
          </cell>
          <cell r="C8764" t="str">
            <v>unpop_total</v>
          </cell>
          <cell r="D8764">
            <v>525994</v>
          </cell>
        </row>
        <row r="8765">
          <cell r="A8765" t="str">
            <v>MDV</v>
          </cell>
          <cell r="B8765">
            <v>2024</v>
          </cell>
          <cell r="C8765" t="str">
            <v>unpop_0014</v>
          </cell>
          <cell r="D8765">
            <v>103406.5</v>
          </cell>
        </row>
        <row r="8766">
          <cell r="A8766" t="str">
            <v>MDV</v>
          </cell>
          <cell r="B8766">
            <v>2024</v>
          </cell>
          <cell r="C8766" t="str">
            <v>unpop_1564</v>
          </cell>
          <cell r="D8766">
            <v>399901.5</v>
          </cell>
        </row>
        <row r="8767">
          <cell r="A8767" t="str">
            <v>MDV</v>
          </cell>
          <cell r="B8767">
            <v>2024</v>
          </cell>
          <cell r="C8767" t="str">
            <v>unpop_65up</v>
          </cell>
          <cell r="D8767">
            <v>24491</v>
          </cell>
        </row>
        <row r="8768">
          <cell r="A8768" t="str">
            <v>MDV</v>
          </cell>
          <cell r="B8768">
            <v>2024</v>
          </cell>
          <cell r="C8768" t="str">
            <v>unpop_total</v>
          </cell>
          <cell r="D8768">
            <v>527799</v>
          </cell>
        </row>
        <row r="8769">
          <cell r="A8769" t="str">
            <v>MDV</v>
          </cell>
          <cell r="B8769">
            <v>2025</v>
          </cell>
          <cell r="C8769" t="str">
            <v>unpop_0014</v>
          </cell>
          <cell r="D8769">
            <v>100832</v>
          </cell>
        </row>
        <row r="8770">
          <cell r="A8770" t="str">
            <v>MDV</v>
          </cell>
          <cell r="B8770">
            <v>2025</v>
          </cell>
          <cell r="C8770" t="str">
            <v>unpop_1564</v>
          </cell>
          <cell r="D8770">
            <v>402581.5</v>
          </cell>
        </row>
        <row r="8771">
          <cell r="A8771" t="str">
            <v>MDV</v>
          </cell>
          <cell r="B8771">
            <v>2025</v>
          </cell>
          <cell r="C8771" t="str">
            <v>unpop_65up</v>
          </cell>
          <cell r="D8771">
            <v>26262.5</v>
          </cell>
        </row>
        <row r="8772">
          <cell r="A8772" t="str">
            <v>MDV</v>
          </cell>
          <cell r="B8772">
            <v>2025</v>
          </cell>
          <cell r="C8772" t="str">
            <v>unpop_total</v>
          </cell>
          <cell r="D8772">
            <v>529676</v>
          </cell>
        </row>
        <row r="8773">
          <cell r="A8773" t="str">
            <v>MDV</v>
          </cell>
          <cell r="B8773">
            <v>2026</v>
          </cell>
          <cell r="C8773" t="str">
            <v>unpop_0014</v>
          </cell>
          <cell r="D8773">
            <v>97937</v>
          </cell>
        </row>
        <row r="8774">
          <cell r="A8774" t="str">
            <v>MDV</v>
          </cell>
          <cell r="B8774">
            <v>2026</v>
          </cell>
          <cell r="C8774" t="str">
            <v>unpop_1564</v>
          </cell>
          <cell r="D8774">
            <v>405456</v>
          </cell>
        </row>
        <row r="8775">
          <cell r="A8775" t="str">
            <v>MDV</v>
          </cell>
          <cell r="B8775">
            <v>2026</v>
          </cell>
          <cell r="C8775" t="str">
            <v>unpop_65up</v>
          </cell>
          <cell r="D8775">
            <v>28124</v>
          </cell>
        </row>
        <row r="8776">
          <cell r="A8776" t="str">
            <v>MDV</v>
          </cell>
          <cell r="B8776">
            <v>2026</v>
          </cell>
          <cell r="C8776" t="str">
            <v>unpop_total</v>
          </cell>
          <cell r="D8776">
            <v>531517</v>
          </cell>
        </row>
        <row r="8777">
          <cell r="A8777" t="str">
            <v>MDV</v>
          </cell>
          <cell r="B8777">
            <v>2027</v>
          </cell>
          <cell r="C8777" t="str">
            <v>unpop_0014</v>
          </cell>
          <cell r="D8777">
            <v>94936.5</v>
          </cell>
        </row>
        <row r="8778">
          <cell r="A8778" t="str">
            <v>MDV</v>
          </cell>
          <cell r="B8778">
            <v>2027</v>
          </cell>
          <cell r="C8778" t="str">
            <v>unpop_1564</v>
          </cell>
          <cell r="D8778">
            <v>408466</v>
          </cell>
        </row>
        <row r="8779">
          <cell r="A8779" t="str">
            <v>MDV</v>
          </cell>
          <cell r="B8779">
            <v>2027</v>
          </cell>
          <cell r="C8779" t="str">
            <v>unpop_65up</v>
          </cell>
          <cell r="D8779">
            <v>30028.5</v>
          </cell>
        </row>
        <row r="8780">
          <cell r="A8780" t="str">
            <v>MDV</v>
          </cell>
          <cell r="B8780">
            <v>2027</v>
          </cell>
          <cell r="C8780" t="str">
            <v>unpop_total</v>
          </cell>
          <cell r="D8780">
            <v>533431</v>
          </cell>
        </row>
        <row r="8781">
          <cell r="A8781" t="str">
            <v>MDV</v>
          </cell>
          <cell r="B8781">
            <v>2028</v>
          </cell>
          <cell r="C8781" t="str">
            <v>unpop_0014</v>
          </cell>
          <cell r="D8781">
            <v>92009</v>
          </cell>
        </row>
        <row r="8782">
          <cell r="A8782" t="str">
            <v>MDV</v>
          </cell>
          <cell r="B8782">
            <v>2028</v>
          </cell>
          <cell r="C8782" t="str">
            <v>unpop_1564</v>
          </cell>
          <cell r="D8782">
            <v>411516.5</v>
          </cell>
        </row>
        <row r="8783">
          <cell r="A8783" t="str">
            <v>MDV</v>
          </cell>
          <cell r="B8783">
            <v>2028</v>
          </cell>
          <cell r="C8783" t="str">
            <v>unpop_65up</v>
          </cell>
          <cell r="D8783">
            <v>31968</v>
          </cell>
        </row>
        <row r="8784">
          <cell r="A8784" t="str">
            <v>MDV</v>
          </cell>
          <cell r="B8784">
            <v>2028</v>
          </cell>
          <cell r="C8784" t="str">
            <v>unpop_total</v>
          </cell>
          <cell r="D8784">
            <v>535493.5</v>
          </cell>
        </row>
        <row r="8785">
          <cell r="A8785" t="str">
            <v>MDV</v>
          </cell>
          <cell r="B8785">
            <v>2029</v>
          </cell>
          <cell r="C8785" t="str">
            <v>unpop_0014</v>
          </cell>
          <cell r="D8785">
            <v>89227.5</v>
          </cell>
        </row>
        <row r="8786">
          <cell r="A8786" t="str">
            <v>MDV</v>
          </cell>
          <cell r="B8786">
            <v>2029</v>
          </cell>
          <cell r="C8786" t="str">
            <v>unpop_1564</v>
          </cell>
          <cell r="D8786">
            <v>414389.5</v>
          </cell>
        </row>
        <row r="8787">
          <cell r="A8787" t="str">
            <v>MDV</v>
          </cell>
          <cell r="B8787">
            <v>2029</v>
          </cell>
          <cell r="C8787" t="str">
            <v>unpop_65up</v>
          </cell>
          <cell r="D8787">
            <v>33953.5</v>
          </cell>
        </row>
        <row r="8788">
          <cell r="A8788" t="str">
            <v>MDV</v>
          </cell>
          <cell r="B8788">
            <v>2029</v>
          </cell>
          <cell r="C8788" t="str">
            <v>unpop_total</v>
          </cell>
          <cell r="D8788">
            <v>537570.5</v>
          </cell>
        </row>
        <row r="8789">
          <cell r="A8789" t="str">
            <v>MDV</v>
          </cell>
          <cell r="B8789">
            <v>2030</v>
          </cell>
          <cell r="C8789" t="str">
            <v>unpop_0014</v>
          </cell>
          <cell r="D8789">
            <v>86612</v>
          </cell>
        </row>
        <row r="8790">
          <cell r="A8790" t="str">
            <v>MDV</v>
          </cell>
          <cell r="B8790">
            <v>2030</v>
          </cell>
          <cell r="C8790" t="str">
            <v>unpop_1564</v>
          </cell>
          <cell r="D8790">
            <v>417043</v>
          </cell>
        </row>
        <row r="8791">
          <cell r="A8791" t="str">
            <v>MDV</v>
          </cell>
          <cell r="B8791">
            <v>2030</v>
          </cell>
          <cell r="C8791" t="str">
            <v>unpop_65up</v>
          </cell>
          <cell r="D8791">
            <v>36012</v>
          </cell>
        </row>
        <row r="8792">
          <cell r="A8792" t="str">
            <v>MDV</v>
          </cell>
          <cell r="B8792">
            <v>2030</v>
          </cell>
          <cell r="C8792" t="str">
            <v>unpop_total</v>
          </cell>
          <cell r="D8792">
            <v>539667</v>
          </cell>
        </row>
        <row r="8793">
          <cell r="A8793" t="str">
            <v>NPL</v>
          </cell>
          <cell r="B8793">
            <v>2000</v>
          </cell>
          <cell r="C8793" t="str">
            <v>unpop_0014</v>
          </cell>
          <cell r="D8793">
            <v>10051613.5</v>
          </cell>
        </row>
        <row r="8794">
          <cell r="A8794" t="str">
            <v>NPL</v>
          </cell>
          <cell r="B8794">
            <v>2000</v>
          </cell>
          <cell r="C8794" t="str">
            <v>unpop_1564</v>
          </cell>
          <cell r="D8794">
            <v>13558268.5</v>
          </cell>
        </row>
        <row r="8795">
          <cell r="A8795" t="str">
            <v>NPL</v>
          </cell>
          <cell r="B8795">
            <v>2000</v>
          </cell>
          <cell r="C8795" t="str">
            <v>unpop_65up</v>
          </cell>
          <cell r="D8795">
            <v>936627</v>
          </cell>
        </row>
        <row r="8796">
          <cell r="A8796" t="str">
            <v>NPL</v>
          </cell>
          <cell r="B8796">
            <v>2000</v>
          </cell>
          <cell r="C8796" t="str">
            <v>unpop_total</v>
          </cell>
          <cell r="D8796">
            <v>24546509</v>
          </cell>
        </row>
        <row r="8797">
          <cell r="A8797" t="str">
            <v>NPL</v>
          </cell>
          <cell r="B8797">
            <v>2001</v>
          </cell>
          <cell r="C8797" t="str">
            <v>unpop_0014</v>
          </cell>
          <cell r="D8797">
            <v>10157129.5</v>
          </cell>
        </row>
        <row r="8798">
          <cell r="A8798" t="str">
            <v>NPL</v>
          </cell>
          <cell r="B8798">
            <v>2001</v>
          </cell>
          <cell r="C8798" t="str">
            <v>unpop_1564</v>
          </cell>
          <cell r="D8798">
            <v>13828027</v>
          </cell>
        </row>
        <row r="8799">
          <cell r="A8799" t="str">
            <v>NPL</v>
          </cell>
          <cell r="B8799">
            <v>2001</v>
          </cell>
          <cell r="C8799" t="str">
            <v>unpop_65up</v>
          </cell>
          <cell r="D8799">
            <v>961591.5</v>
          </cell>
        </row>
        <row r="8800">
          <cell r="A8800" t="str">
            <v>NPL</v>
          </cell>
          <cell r="B8800">
            <v>2001</v>
          </cell>
          <cell r="C8800" t="str">
            <v>unpop_total</v>
          </cell>
          <cell r="D8800">
            <v>24946748</v>
          </cell>
        </row>
        <row r="8801">
          <cell r="A8801" t="str">
            <v>NPL</v>
          </cell>
          <cell r="B8801">
            <v>2002</v>
          </cell>
          <cell r="C8801" t="str">
            <v>unpop_0014</v>
          </cell>
          <cell r="D8801">
            <v>10235883</v>
          </cell>
        </row>
        <row r="8802">
          <cell r="A8802" t="str">
            <v>NPL</v>
          </cell>
          <cell r="B8802">
            <v>2002</v>
          </cell>
          <cell r="C8802" t="str">
            <v>unpop_1564</v>
          </cell>
          <cell r="D8802">
            <v>14103951.5</v>
          </cell>
        </row>
        <row r="8803">
          <cell r="A8803" t="str">
            <v>NPL</v>
          </cell>
          <cell r="B8803">
            <v>2002</v>
          </cell>
          <cell r="C8803" t="str">
            <v>unpop_65up</v>
          </cell>
          <cell r="D8803">
            <v>989146.5</v>
          </cell>
        </row>
        <row r="8804">
          <cell r="A8804" t="str">
            <v>NPL</v>
          </cell>
          <cell r="B8804">
            <v>2002</v>
          </cell>
          <cell r="C8804" t="str">
            <v>unpop_total</v>
          </cell>
          <cell r="D8804">
            <v>25328981</v>
          </cell>
        </row>
        <row r="8805">
          <cell r="A8805" t="str">
            <v>NPL</v>
          </cell>
          <cell r="B8805">
            <v>2003</v>
          </cell>
          <cell r="C8805" t="str">
            <v>unpop_0014</v>
          </cell>
          <cell r="D8805">
            <v>10287375.5</v>
          </cell>
        </row>
        <row r="8806">
          <cell r="A8806" t="str">
            <v>NPL</v>
          </cell>
          <cell r="B8806">
            <v>2003</v>
          </cell>
          <cell r="C8806" t="str">
            <v>unpop_1564</v>
          </cell>
          <cell r="D8806">
            <v>14382275.5</v>
          </cell>
        </row>
        <row r="8807">
          <cell r="A8807" t="str">
            <v>NPL</v>
          </cell>
          <cell r="B8807">
            <v>2003</v>
          </cell>
          <cell r="C8807" t="str">
            <v>unpop_65up</v>
          </cell>
          <cell r="D8807">
            <v>1019107.5</v>
          </cell>
        </row>
        <row r="8808">
          <cell r="A8808" t="str">
            <v>NPL</v>
          </cell>
          <cell r="B8808">
            <v>2003</v>
          </cell>
          <cell r="C8808" t="str">
            <v>unpop_total</v>
          </cell>
          <cell r="D8808">
            <v>25688758.5</v>
          </cell>
        </row>
        <row r="8809">
          <cell r="A8809" t="str">
            <v>NPL</v>
          </cell>
          <cell r="B8809">
            <v>2004</v>
          </cell>
          <cell r="C8809" t="str">
            <v>unpop_0014</v>
          </cell>
          <cell r="D8809">
            <v>10312211</v>
          </cell>
        </row>
        <row r="8810">
          <cell r="A8810" t="str">
            <v>NPL</v>
          </cell>
          <cell r="B8810">
            <v>2004</v>
          </cell>
          <cell r="C8810" t="str">
            <v>unpop_1564</v>
          </cell>
          <cell r="D8810">
            <v>14654852.5</v>
          </cell>
        </row>
        <row r="8811">
          <cell r="A8811" t="str">
            <v>NPL</v>
          </cell>
          <cell r="B8811">
            <v>2004</v>
          </cell>
          <cell r="C8811" t="str">
            <v>unpop_65up</v>
          </cell>
          <cell r="D8811">
            <v>1049592.5</v>
          </cell>
        </row>
        <row r="8812">
          <cell r="A8812" t="str">
            <v>NPL</v>
          </cell>
          <cell r="B8812">
            <v>2004</v>
          </cell>
          <cell r="C8812" t="str">
            <v>unpop_total</v>
          </cell>
          <cell r="D8812">
            <v>26016656</v>
          </cell>
        </row>
        <row r="8813">
          <cell r="A8813" t="str">
            <v>NPL</v>
          </cell>
          <cell r="B8813">
            <v>2005</v>
          </cell>
          <cell r="C8813" t="str">
            <v>unpop_0014</v>
          </cell>
          <cell r="D8813">
            <v>10307054.5</v>
          </cell>
        </row>
        <row r="8814">
          <cell r="A8814" t="str">
            <v>NPL</v>
          </cell>
          <cell r="B8814">
            <v>2005</v>
          </cell>
          <cell r="C8814" t="str">
            <v>unpop_1564</v>
          </cell>
          <cell r="D8814">
            <v>14918321</v>
          </cell>
        </row>
        <row r="8815">
          <cell r="A8815" t="str">
            <v>NPL</v>
          </cell>
          <cell r="B8815">
            <v>2005</v>
          </cell>
          <cell r="C8815" t="str">
            <v>unpop_65up</v>
          </cell>
          <cell r="D8815">
            <v>1084082.5</v>
          </cell>
        </row>
        <row r="8816">
          <cell r="A8816" t="str">
            <v>NPL</v>
          </cell>
          <cell r="B8816">
            <v>2005</v>
          </cell>
          <cell r="C8816" t="str">
            <v>unpop_total</v>
          </cell>
          <cell r="D8816">
            <v>26309458</v>
          </cell>
        </row>
        <row r="8817">
          <cell r="A8817" t="str">
            <v>NPL</v>
          </cell>
          <cell r="B8817">
            <v>2006</v>
          </cell>
          <cell r="C8817" t="str">
            <v>unpop_0014</v>
          </cell>
          <cell r="D8817">
            <v>10269664</v>
          </cell>
        </row>
        <row r="8818">
          <cell r="A8818" t="str">
            <v>NPL</v>
          </cell>
          <cell r="B8818">
            <v>2006</v>
          </cell>
          <cell r="C8818" t="str">
            <v>unpop_1564</v>
          </cell>
          <cell r="D8818">
            <v>15171872.5</v>
          </cell>
        </row>
        <row r="8819">
          <cell r="A8819" t="str">
            <v>NPL</v>
          </cell>
          <cell r="B8819">
            <v>2006</v>
          </cell>
          <cell r="C8819" t="str">
            <v>unpop_65up</v>
          </cell>
          <cell r="D8819">
            <v>1123888</v>
          </cell>
        </row>
        <row r="8820">
          <cell r="A8820" t="str">
            <v>NPL</v>
          </cell>
          <cell r="B8820">
            <v>2006</v>
          </cell>
          <cell r="C8820" t="str">
            <v>unpop_total</v>
          </cell>
          <cell r="D8820">
            <v>26565424.5</v>
          </cell>
        </row>
        <row r="8821">
          <cell r="A8821" t="str">
            <v>NPL</v>
          </cell>
          <cell r="B8821">
            <v>2007</v>
          </cell>
          <cell r="C8821" t="str">
            <v>unpop_0014</v>
          </cell>
          <cell r="D8821">
            <v>10203855.5</v>
          </cell>
        </row>
        <row r="8822">
          <cell r="A8822" t="str">
            <v>NPL</v>
          </cell>
          <cell r="B8822">
            <v>2007</v>
          </cell>
          <cell r="C8822" t="str">
            <v>unpop_1564</v>
          </cell>
          <cell r="D8822">
            <v>15418610.5</v>
          </cell>
        </row>
        <row r="8823">
          <cell r="A8823" t="str">
            <v>NPL</v>
          </cell>
          <cell r="B8823">
            <v>2007</v>
          </cell>
          <cell r="C8823" t="str">
            <v>unpop_65up</v>
          </cell>
          <cell r="D8823">
            <v>1166026</v>
          </cell>
        </row>
        <row r="8824">
          <cell r="A8824" t="str">
            <v>NPL</v>
          </cell>
          <cell r="B8824">
            <v>2007</v>
          </cell>
          <cell r="C8824" t="str">
            <v>unpop_total</v>
          </cell>
          <cell r="D8824">
            <v>26788492</v>
          </cell>
        </row>
        <row r="8825">
          <cell r="A8825" t="str">
            <v>NPL</v>
          </cell>
          <cell r="B8825">
            <v>2008</v>
          </cell>
          <cell r="C8825" t="str">
            <v>unpop_0014</v>
          </cell>
          <cell r="D8825">
            <v>10108181</v>
          </cell>
        </row>
        <row r="8826">
          <cell r="A8826" t="str">
            <v>NPL</v>
          </cell>
          <cell r="B8826">
            <v>2008</v>
          </cell>
          <cell r="C8826" t="str">
            <v>unpop_1564</v>
          </cell>
          <cell r="D8826">
            <v>15672718</v>
          </cell>
        </row>
        <row r="8827">
          <cell r="A8827" t="str">
            <v>NPL</v>
          </cell>
          <cell r="B8827">
            <v>2008</v>
          </cell>
          <cell r="C8827" t="str">
            <v>unpop_65up</v>
          </cell>
          <cell r="D8827">
            <v>1209138</v>
          </cell>
        </row>
        <row r="8828">
          <cell r="A8828" t="str">
            <v>NPL</v>
          </cell>
          <cell r="B8828">
            <v>2008</v>
          </cell>
          <cell r="C8828" t="str">
            <v>unpop_total</v>
          </cell>
          <cell r="D8828">
            <v>26990037</v>
          </cell>
        </row>
        <row r="8829">
          <cell r="A8829" t="str">
            <v>NPL</v>
          </cell>
          <cell r="B8829">
            <v>2009</v>
          </cell>
          <cell r="C8829" t="str">
            <v>unpop_0014</v>
          </cell>
          <cell r="D8829">
            <v>9985059</v>
          </cell>
        </row>
        <row r="8830">
          <cell r="A8830" t="str">
            <v>NPL</v>
          </cell>
          <cell r="B8830">
            <v>2009</v>
          </cell>
          <cell r="C8830" t="str">
            <v>unpop_1564</v>
          </cell>
          <cell r="D8830">
            <v>15936033.5</v>
          </cell>
        </row>
        <row r="8831">
          <cell r="A8831" t="str">
            <v>NPL</v>
          </cell>
          <cell r="B8831">
            <v>2009</v>
          </cell>
          <cell r="C8831" t="str">
            <v>unpop_65up</v>
          </cell>
          <cell r="D8831">
            <v>1251942</v>
          </cell>
        </row>
        <row r="8832">
          <cell r="A8832" t="str">
            <v>NPL</v>
          </cell>
          <cell r="B8832">
            <v>2009</v>
          </cell>
          <cell r="C8832" t="str">
            <v>unpop_total</v>
          </cell>
          <cell r="D8832">
            <v>27173034.5</v>
          </cell>
        </row>
        <row r="8833">
          <cell r="A8833" t="str">
            <v>NPL</v>
          </cell>
          <cell r="B8833">
            <v>2010</v>
          </cell>
          <cell r="C8833" t="str">
            <v>unpop_0014</v>
          </cell>
          <cell r="D8833">
            <v>9843318.5</v>
          </cell>
        </row>
        <row r="8834">
          <cell r="A8834" t="str">
            <v>NPL</v>
          </cell>
          <cell r="B8834">
            <v>2010</v>
          </cell>
          <cell r="C8834" t="str">
            <v>unpop_1564</v>
          </cell>
          <cell r="D8834">
            <v>16205224.5</v>
          </cell>
        </row>
        <row r="8835">
          <cell r="A8835" t="str">
            <v>NPL</v>
          </cell>
          <cell r="B8835">
            <v>2010</v>
          </cell>
          <cell r="C8835" t="str">
            <v>unpop_65up</v>
          </cell>
          <cell r="D8835">
            <v>1293409.5</v>
          </cell>
        </row>
        <row r="8836">
          <cell r="A8836" t="str">
            <v>NPL</v>
          </cell>
          <cell r="B8836">
            <v>2010</v>
          </cell>
          <cell r="C8836" t="str">
            <v>unpop_total</v>
          </cell>
          <cell r="D8836">
            <v>27341952.5</v>
          </cell>
        </row>
        <row r="8837">
          <cell r="A8837" t="str">
            <v>NPL</v>
          </cell>
          <cell r="B8837">
            <v>2011</v>
          </cell>
          <cell r="C8837" t="str">
            <v>unpop_0014</v>
          </cell>
          <cell r="D8837">
            <v>9694497.5</v>
          </cell>
        </row>
        <row r="8838">
          <cell r="A8838" t="str">
            <v>NPL</v>
          </cell>
          <cell r="B8838">
            <v>2011</v>
          </cell>
          <cell r="C8838" t="str">
            <v>unpop_1564</v>
          </cell>
          <cell r="D8838">
            <v>16434939</v>
          </cell>
        </row>
        <row r="8839">
          <cell r="A8839" t="str">
            <v>NPL</v>
          </cell>
          <cell r="B8839">
            <v>2011</v>
          </cell>
          <cell r="C8839" t="str">
            <v>unpop_65up</v>
          </cell>
          <cell r="D8839">
            <v>1335057.5</v>
          </cell>
        </row>
        <row r="8840">
          <cell r="A8840" t="str">
            <v>NPL</v>
          </cell>
          <cell r="B8840">
            <v>2011</v>
          </cell>
          <cell r="C8840" t="str">
            <v>unpop_total</v>
          </cell>
          <cell r="D8840">
            <v>27464494</v>
          </cell>
        </row>
        <row r="8841">
          <cell r="A8841" t="str">
            <v>NPL</v>
          </cell>
          <cell r="B8841">
            <v>2012</v>
          </cell>
          <cell r="C8841" t="str">
            <v>unpop_0014</v>
          </cell>
          <cell r="D8841">
            <v>9556216</v>
          </cell>
        </row>
        <row r="8842">
          <cell r="A8842" t="str">
            <v>NPL</v>
          </cell>
          <cell r="B8842">
            <v>2012</v>
          </cell>
          <cell r="C8842" t="str">
            <v>unpop_1564</v>
          </cell>
          <cell r="D8842">
            <v>16598827.5</v>
          </cell>
        </row>
        <row r="8843">
          <cell r="A8843" t="str">
            <v>NPL</v>
          </cell>
          <cell r="B8843">
            <v>2012</v>
          </cell>
          <cell r="C8843" t="str">
            <v>unpop_65up</v>
          </cell>
          <cell r="D8843">
            <v>1379871.5</v>
          </cell>
        </row>
        <row r="8844">
          <cell r="A8844" t="str">
            <v>NPL</v>
          </cell>
          <cell r="B8844">
            <v>2012</v>
          </cell>
          <cell r="C8844" t="str">
            <v>unpop_total</v>
          </cell>
          <cell r="D8844">
            <v>27534915</v>
          </cell>
        </row>
        <row r="8845">
          <cell r="A8845" t="str">
            <v>NPL</v>
          </cell>
          <cell r="B8845">
            <v>2013</v>
          </cell>
          <cell r="C8845" t="str">
            <v>unpop_0014</v>
          </cell>
          <cell r="D8845">
            <v>9428381</v>
          </cell>
        </row>
        <row r="8846">
          <cell r="A8846" t="str">
            <v>NPL</v>
          </cell>
          <cell r="B8846">
            <v>2013</v>
          </cell>
          <cell r="C8846" t="str">
            <v>unpop_1564</v>
          </cell>
          <cell r="D8846">
            <v>16732523</v>
          </cell>
        </row>
        <row r="8847">
          <cell r="A8847" t="str">
            <v>NPL</v>
          </cell>
          <cell r="B8847">
            <v>2013</v>
          </cell>
          <cell r="C8847" t="str">
            <v>unpop_65up</v>
          </cell>
          <cell r="D8847">
            <v>1429092</v>
          </cell>
        </row>
        <row r="8848">
          <cell r="A8848" t="str">
            <v>NPL</v>
          </cell>
          <cell r="B8848">
            <v>2013</v>
          </cell>
          <cell r="C8848" t="str">
            <v>unpop_total</v>
          </cell>
          <cell r="D8848">
            <v>27589996</v>
          </cell>
        </row>
        <row r="8849">
          <cell r="A8849" t="str">
            <v>NPL</v>
          </cell>
          <cell r="B8849">
            <v>2014</v>
          </cell>
          <cell r="C8849" t="str">
            <v>unpop_0014</v>
          </cell>
          <cell r="D8849">
            <v>9307328</v>
          </cell>
        </row>
        <row r="8850">
          <cell r="A8850" t="str">
            <v>NPL</v>
          </cell>
          <cell r="B8850">
            <v>2014</v>
          </cell>
          <cell r="C8850" t="str">
            <v>unpop_1564</v>
          </cell>
          <cell r="D8850">
            <v>16886461.5</v>
          </cell>
        </row>
        <row r="8851">
          <cell r="A8851" t="str">
            <v>NPL</v>
          </cell>
          <cell r="B8851">
            <v>2014</v>
          </cell>
          <cell r="C8851" t="str">
            <v>unpop_65up</v>
          </cell>
          <cell r="D8851">
            <v>1478580</v>
          </cell>
        </row>
        <row r="8852">
          <cell r="A8852" t="str">
            <v>NPL</v>
          </cell>
          <cell r="B8852">
            <v>2014</v>
          </cell>
          <cell r="C8852" t="str">
            <v>unpop_total</v>
          </cell>
          <cell r="D8852">
            <v>27672369.5</v>
          </cell>
        </row>
        <row r="8853">
          <cell r="A8853" t="str">
            <v>NPL</v>
          </cell>
          <cell r="B8853">
            <v>2015</v>
          </cell>
          <cell r="C8853" t="str">
            <v>unpop_0014</v>
          </cell>
          <cell r="D8853">
            <v>9194606.5</v>
          </cell>
        </row>
        <row r="8854">
          <cell r="A8854" t="str">
            <v>NPL</v>
          </cell>
          <cell r="B8854">
            <v>2015</v>
          </cell>
          <cell r="C8854" t="str">
            <v>unpop_1564</v>
          </cell>
          <cell r="D8854">
            <v>17103563</v>
          </cell>
        </row>
        <row r="8855">
          <cell r="A8855" t="str">
            <v>NPL</v>
          </cell>
          <cell r="B8855">
            <v>2015</v>
          </cell>
          <cell r="C8855" t="str">
            <v>unpop_65up</v>
          </cell>
          <cell r="D8855">
            <v>1525459.5</v>
          </cell>
        </row>
        <row r="8856">
          <cell r="A8856" t="str">
            <v>NPL</v>
          </cell>
          <cell r="B8856">
            <v>2015</v>
          </cell>
          <cell r="C8856" t="str">
            <v>unpop_total</v>
          </cell>
          <cell r="D8856">
            <v>27823629</v>
          </cell>
        </row>
        <row r="8857">
          <cell r="A8857" t="str">
            <v>NPL</v>
          </cell>
          <cell r="B8857">
            <v>2016</v>
          </cell>
          <cell r="C8857" t="str">
            <v>unpop_0014</v>
          </cell>
          <cell r="D8857">
            <v>9086050.5</v>
          </cell>
        </row>
        <row r="8858">
          <cell r="A8858" t="str">
            <v>NPL</v>
          </cell>
          <cell r="B8858">
            <v>2016</v>
          </cell>
          <cell r="C8858" t="str">
            <v>unpop_1564</v>
          </cell>
          <cell r="D8858">
            <v>17296685</v>
          </cell>
        </row>
        <row r="8859">
          <cell r="A8859" t="str">
            <v>NPL</v>
          </cell>
          <cell r="B8859">
            <v>2016</v>
          </cell>
          <cell r="C8859" t="str">
            <v>unpop_65up</v>
          </cell>
          <cell r="D8859">
            <v>1572726.5</v>
          </cell>
        </row>
        <row r="8860">
          <cell r="A8860" t="str">
            <v>NPL</v>
          </cell>
          <cell r="B8860">
            <v>2016</v>
          </cell>
          <cell r="C8860" t="str">
            <v>unpop_total</v>
          </cell>
          <cell r="D8860">
            <v>27955462</v>
          </cell>
        </row>
        <row r="8861">
          <cell r="A8861" t="str">
            <v>NPL</v>
          </cell>
          <cell r="B8861">
            <v>2017</v>
          </cell>
          <cell r="C8861" t="str">
            <v>unpop_0014</v>
          </cell>
          <cell r="D8861">
            <v>8980309</v>
          </cell>
        </row>
        <row r="8862">
          <cell r="A8862" t="str">
            <v>NPL</v>
          </cell>
          <cell r="B8862">
            <v>2017</v>
          </cell>
          <cell r="C8862" t="str">
            <v>unpop_1564</v>
          </cell>
          <cell r="D8862">
            <v>17409806</v>
          </cell>
        </row>
        <row r="8863">
          <cell r="A8863" t="str">
            <v>NPL</v>
          </cell>
          <cell r="B8863">
            <v>2017</v>
          </cell>
          <cell r="C8863" t="str">
            <v>unpop_65up</v>
          </cell>
          <cell r="D8863">
            <v>1621143</v>
          </cell>
        </row>
        <row r="8864">
          <cell r="A8864" t="str">
            <v>NPL</v>
          </cell>
          <cell r="B8864">
            <v>2017</v>
          </cell>
          <cell r="C8864" t="str">
            <v>unpop_total</v>
          </cell>
          <cell r="D8864">
            <v>28011258</v>
          </cell>
        </row>
        <row r="8865">
          <cell r="A8865" t="str">
            <v>NPL</v>
          </cell>
          <cell r="B8865">
            <v>2018</v>
          </cell>
          <cell r="C8865" t="str">
            <v>unpop_0014</v>
          </cell>
          <cell r="D8865">
            <v>8879657.5</v>
          </cell>
        </row>
        <row r="8866">
          <cell r="A8866" t="str">
            <v>NPL</v>
          </cell>
          <cell r="B8866">
            <v>2018</v>
          </cell>
          <cell r="C8866" t="str">
            <v>unpop_1564</v>
          </cell>
          <cell r="D8866">
            <v>17530204.5</v>
          </cell>
        </row>
        <row r="8867">
          <cell r="A8867" t="str">
            <v>NPL</v>
          </cell>
          <cell r="B8867">
            <v>2018</v>
          </cell>
          <cell r="C8867" t="str">
            <v>unpop_65up</v>
          </cell>
          <cell r="D8867">
            <v>1669827</v>
          </cell>
        </row>
        <row r="8868">
          <cell r="A8868" t="str">
            <v>NPL</v>
          </cell>
          <cell r="B8868">
            <v>2018</v>
          </cell>
          <cell r="C8868" t="str">
            <v>unpop_total</v>
          </cell>
          <cell r="D8868">
            <v>28079689</v>
          </cell>
        </row>
        <row r="8869">
          <cell r="A8869" t="str">
            <v>NPL</v>
          </cell>
          <cell r="B8869">
            <v>2019</v>
          </cell>
          <cell r="C8869" t="str">
            <v>unpop_0014</v>
          </cell>
          <cell r="D8869">
            <v>8791282.5</v>
          </cell>
        </row>
        <row r="8870">
          <cell r="A8870" t="str">
            <v>NPL</v>
          </cell>
          <cell r="B8870">
            <v>2019</v>
          </cell>
          <cell r="C8870" t="str">
            <v>unpop_1564</v>
          </cell>
          <cell r="D8870">
            <v>17904241.5</v>
          </cell>
        </row>
        <row r="8871">
          <cell r="A8871" t="str">
            <v>NPL</v>
          </cell>
          <cell r="B8871">
            <v>2019</v>
          </cell>
          <cell r="C8871" t="str">
            <v>unpop_65up</v>
          </cell>
          <cell r="D8871">
            <v>1718539.5</v>
          </cell>
        </row>
        <row r="8872">
          <cell r="A8872" t="str">
            <v>NPL</v>
          </cell>
          <cell r="B8872">
            <v>2019</v>
          </cell>
          <cell r="C8872" t="str">
            <v>unpop_total</v>
          </cell>
          <cell r="D8872">
            <v>28414063.5</v>
          </cell>
        </row>
        <row r="8873">
          <cell r="A8873" t="str">
            <v>NPL</v>
          </cell>
          <cell r="B8873">
            <v>2020</v>
          </cell>
          <cell r="C8873" t="str">
            <v>unpop_0014</v>
          </cell>
          <cell r="D8873">
            <v>8711984</v>
          </cell>
        </row>
        <row r="8874">
          <cell r="A8874" t="str">
            <v>NPL</v>
          </cell>
          <cell r="B8874">
            <v>2020</v>
          </cell>
          <cell r="C8874" t="str">
            <v>unpop_1564</v>
          </cell>
          <cell r="D8874">
            <v>18490953.5</v>
          </cell>
        </row>
        <row r="8875">
          <cell r="A8875" t="str">
            <v>NPL</v>
          </cell>
          <cell r="B8875">
            <v>2020</v>
          </cell>
          <cell r="C8875" t="str">
            <v>unpop_65up</v>
          </cell>
          <cell r="D8875">
            <v>1763637</v>
          </cell>
        </row>
        <row r="8876">
          <cell r="A8876" t="str">
            <v>NPL</v>
          </cell>
          <cell r="B8876">
            <v>2020</v>
          </cell>
          <cell r="C8876" t="str">
            <v>unpop_total</v>
          </cell>
          <cell r="D8876">
            <v>28966574.5</v>
          </cell>
        </row>
        <row r="8877">
          <cell r="A8877" t="str">
            <v>NPL</v>
          </cell>
          <cell r="B8877">
            <v>2021</v>
          </cell>
          <cell r="C8877" t="str">
            <v>unpop_0014</v>
          </cell>
          <cell r="D8877">
            <v>8654134.5</v>
          </cell>
        </row>
        <row r="8878">
          <cell r="A8878" t="str">
            <v>NPL</v>
          </cell>
          <cell r="B8878">
            <v>2021</v>
          </cell>
          <cell r="C8878" t="str">
            <v>unpop_1564</v>
          </cell>
          <cell r="D8878">
            <v>19019696</v>
          </cell>
        </row>
        <row r="8879">
          <cell r="A8879" t="str">
            <v>NPL</v>
          </cell>
          <cell r="B8879">
            <v>2021</v>
          </cell>
          <cell r="C8879" t="str">
            <v>unpop_65up</v>
          </cell>
          <cell r="D8879">
            <v>1801179.5</v>
          </cell>
        </row>
        <row r="8880">
          <cell r="A8880" t="str">
            <v>NPL</v>
          </cell>
          <cell r="B8880">
            <v>2021</v>
          </cell>
          <cell r="C8880" t="str">
            <v>unpop_total</v>
          </cell>
          <cell r="D8880">
            <v>29475010</v>
          </cell>
        </row>
        <row r="8881">
          <cell r="A8881" t="str">
            <v>NPL</v>
          </cell>
          <cell r="B8881">
            <v>2022</v>
          </cell>
          <cell r="C8881" t="str">
            <v>unpop_0014</v>
          </cell>
          <cell r="D8881">
            <v>8598828</v>
          </cell>
        </row>
        <row r="8882">
          <cell r="A8882" t="str">
            <v>NPL</v>
          </cell>
          <cell r="B8882">
            <v>2022</v>
          </cell>
          <cell r="C8882" t="str">
            <v>unpop_1564</v>
          </cell>
          <cell r="D8882">
            <v>19274988</v>
          </cell>
        </row>
        <row r="8883">
          <cell r="A8883" t="str">
            <v>NPL</v>
          </cell>
          <cell r="B8883">
            <v>2022</v>
          </cell>
          <cell r="C8883" t="str">
            <v>unpop_65up</v>
          </cell>
          <cell r="D8883">
            <v>1841620</v>
          </cell>
        </row>
        <row r="8884">
          <cell r="A8884" t="str">
            <v>NPL</v>
          </cell>
          <cell r="B8884">
            <v>2022</v>
          </cell>
          <cell r="C8884" t="str">
            <v>unpop_total</v>
          </cell>
          <cell r="D8884">
            <v>29715436</v>
          </cell>
        </row>
        <row r="8885">
          <cell r="A8885" t="str">
            <v>NPL</v>
          </cell>
          <cell r="B8885">
            <v>2023</v>
          </cell>
          <cell r="C8885" t="str">
            <v>unpop_0014</v>
          </cell>
          <cell r="D8885">
            <v>8526401</v>
          </cell>
        </row>
        <row r="8886">
          <cell r="A8886" t="str">
            <v>NPL</v>
          </cell>
          <cell r="B8886">
            <v>2023</v>
          </cell>
          <cell r="C8886" t="str">
            <v>unpop_1564</v>
          </cell>
          <cell r="D8886">
            <v>19279461.5</v>
          </cell>
        </row>
        <row r="8887">
          <cell r="A8887" t="str">
            <v>NPL</v>
          </cell>
          <cell r="B8887">
            <v>2023</v>
          </cell>
          <cell r="C8887" t="str">
            <v>unpop_65up</v>
          </cell>
          <cell r="D8887">
            <v>1888752</v>
          </cell>
        </row>
        <row r="8888">
          <cell r="A8888" t="str">
            <v>NPL</v>
          </cell>
          <cell r="B8888">
            <v>2023</v>
          </cell>
          <cell r="C8888" t="str">
            <v>unpop_total</v>
          </cell>
          <cell r="D8888">
            <v>29694614.5</v>
          </cell>
        </row>
        <row r="8889">
          <cell r="A8889" t="str">
            <v>NPL</v>
          </cell>
          <cell r="B8889">
            <v>2024</v>
          </cell>
          <cell r="C8889" t="str">
            <v>unpop_0014</v>
          </cell>
          <cell r="D8889">
            <v>8429548.5</v>
          </cell>
        </row>
        <row r="8890">
          <cell r="A8890" t="str">
            <v>NPL</v>
          </cell>
          <cell r="B8890">
            <v>2024</v>
          </cell>
          <cell r="C8890" t="str">
            <v>unpop_1564</v>
          </cell>
          <cell r="D8890">
            <v>19293162</v>
          </cell>
        </row>
        <row r="8891">
          <cell r="A8891" t="str">
            <v>NPL</v>
          </cell>
          <cell r="B8891">
            <v>2024</v>
          </cell>
          <cell r="C8891" t="str">
            <v>unpop_65up</v>
          </cell>
          <cell r="D8891">
            <v>1928344</v>
          </cell>
        </row>
        <row r="8892">
          <cell r="A8892" t="str">
            <v>NPL</v>
          </cell>
          <cell r="B8892">
            <v>2024</v>
          </cell>
          <cell r="C8892" t="str">
            <v>unpop_total</v>
          </cell>
          <cell r="D8892">
            <v>29651054.5</v>
          </cell>
        </row>
        <row r="8893">
          <cell r="A8893" t="str">
            <v>NPL</v>
          </cell>
          <cell r="B8893">
            <v>2025</v>
          </cell>
          <cell r="C8893" t="str">
            <v>unpop_0014</v>
          </cell>
          <cell r="D8893">
            <v>8308466</v>
          </cell>
        </row>
        <row r="8894">
          <cell r="A8894" t="str">
            <v>NPL</v>
          </cell>
          <cell r="B8894">
            <v>2025</v>
          </cell>
          <cell r="C8894" t="str">
            <v>unpop_1564</v>
          </cell>
          <cell r="D8894">
            <v>19347691.5</v>
          </cell>
        </row>
        <row r="8895">
          <cell r="A8895" t="str">
            <v>NPL</v>
          </cell>
          <cell r="B8895">
            <v>2025</v>
          </cell>
          <cell r="C8895" t="str">
            <v>unpop_65up</v>
          </cell>
          <cell r="D8895">
            <v>1961960</v>
          </cell>
        </row>
        <row r="8896">
          <cell r="A8896" t="str">
            <v>NPL</v>
          </cell>
          <cell r="B8896">
            <v>2025</v>
          </cell>
          <cell r="C8896" t="str">
            <v>unpop_total</v>
          </cell>
          <cell r="D8896">
            <v>29618117.5</v>
          </cell>
        </row>
        <row r="8897">
          <cell r="A8897" t="str">
            <v>NPL</v>
          </cell>
          <cell r="B8897">
            <v>2026</v>
          </cell>
          <cell r="C8897" t="str">
            <v>unpop_0014</v>
          </cell>
          <cell r="D8897">
            <v>8197785.5</v>
          </cell>
        </row>
        <row r="8898">
          <cell r="A8898" t="str">
            <v>NPL</v>
          </cell>
          <cell r="B8898">
            <v>2026</v>
          </cell>
          <cell r="C8898" t="str">
            <v>unpop_1564</v>
          </cell>
          <cell r="D8898">
            <v>19433686.5</v>
          </cell>
        </row>
        <row r="8899">
          <cell r="A8899" t="str">
            <v>NPL</v>
          </cell>
          <cell r="B8899">
            <v>2026</v>
          </cell>
          <cell r="C8899" t="str">
            <v>unpop_65up</v>
          </cell>
          <cell r="D8899">
            <v>1997937.5</v>
          </cell>
        </row>
        <row r="8900">
          <cell r="A8900" t="str">
            <v>NPL</v>
          </cell>
          <cell r="B8900">
            <v>2026</v>
          </cell>
          <cell r="C8900" t="str">
            <v>unpop_total</v>
          </cell>
          <cell r="D8900">
            <v>29629409.5</v>
          </cell>
        </row>
        <row r="8901">
          <cell r="A8901" t="str">
            <v>NPL</v>
          </cell>
          <cell r="B8901">
            <v>2027</v>
          </cell>
          <cell r="C8901" t="str">
            <v>unpop_0014</v>
          </cell>
          <cell r="D8901">
            <v>8105296.5</v>
          </cell>
        </row>
        <row r="8902">
          <cell r="A8902" t="str">
            <v>NPL</v>
          </cell>
          <cell r="B8902">
            <v>2027</v>
          </cell>
          <cell r="C8902" t="str">
            <v>unpop_1564</v>
          </cell>
          <cell r="D8902">
            <v>19585284.5</v>
          </cell>
        </row>
        <row r="8903">
          <cell r="A8903" t="str">
            <v>NPL</v>
          </cell>
          <cell r="B8903">
            <v>2027</v>
          </cell>
          <cell r="C8903" t="str">
            <v>unpop_65up</v>
          </cell>
          <cell r="D8903">
            <v>2036581.5</v>
          </cell>
        </row>
        <row r="8904">
          <cell r="A8904" t="str">
            <v>NPL</v>
          </cell>
          <cell r="B8904">
            <v>2027</v>
          </cell>
          <cell r="C8904" t="str">
            <v>unpop_total</v>
          </cell>
          <cell r="D8904">
            <v>29727162.5</v>
          </cell>
        </row>
        <row r="8905">
          <cell r="A8905" t="str">
            <v>NPL</v>
          </cell>
          <cell r="B8905">
            <v>2028</v>
          </cell>
          <cell r="C8905" t="str">
            <v>unpop_0014</v>
          </cell>
          <cell r="D8905">
            <v>8037404</v>
          </cell>
        </row>
        <row r="8906">
          <cell r="A8906" t="str">
            <v>NPL</v>
          </cell>
          <cell r="B8906">
            <v>2028</v>
          </cell>
          <cell r="C8906" t="str">
            <v>unpop_1564</v>
          </cell>
          <cell r="D8906">
            <v>19831257.5</v>
          </cell>
        </row>
        <row r="8907">
          <cell r="A8907" t="str">
            <v>NPL</v>
          </cell>
          <cell r="B8907">
            <v>2028</v>
          </cell>
          <cell r="C8907" t="str">
            <v>unpop_65up</v>
          </cell>
          <cell r="D8907">
            <v>2078923</v>
          </cell>
        </row>
        <row r="8908">
          <cell r="A8908" t="str">
            <v>NPL</v>
          </cell>
          <cell r="B8908">
            <v>2028</v>
          </cell>
          <cell r="C8908" t="str">
            <v>unpop_total</v>
          </cell>
          <cell r="D8908">
            <v>29947584.5</v>
          </cell>
        </row>
        <row r="8909">
          <cell r="A8909" t="str">
            <v>NPL</v>
          </cell>
          <cell r="B8909">
            <v>2029</v>
          </cell>
          <cell r="C8909" t="str">
            <v>unpop_0014</v>
          </cell>
          <cell r="D8909">
            <v>7983523.5</v>
          </cell>
        </row>
        <row r="8910">
          <cell r="A8910" t="str">
            <v>NPL</v>
          </cell>
          <cell r="B8910">
            <v>2029</v>
          </cell>
          <cell r="C8910" t="str">
            <v>unpop_1564</v>
          </cell>
          <cell r="D8910">
            <v>20124706.5</v>
          </cell>
        </row>
        <row r="8911">
          <cell r="A8911" t="str">
            <v>NPL</v>
          </cell>
          <cell r="B8911">
            <v>2029</v>
          </cell>
          <cell r="C8911" t="str">
            <v>unpop_65up</v>
          </cell>
          <cell r="D8911">
            <v>2123882</v>
          </cell>
        </row>
        <row r="8912">
          <cell r="A8912" t="str">
            <v>NPL</v>
          </cell>
          <cell r="B8912">
            <v>2029</v>
          </cell>
          <cell r="C8912" t="str">
            <v>unpop_total</v>
          </cell>
          <cell r="D8912">
            <v>30232112</v>
          </cell>
        </row>
        <row r="8913">
          <cell r="A8913" t="str">
            <v>NPL</v>
          </cell>
          <cell r="B8913">
            <v>2030</v>
          </cell>
          <cell r="C8913" t="str">
            <v>unpop_0014</v>
          </cell>
          <cell r="D8913">
            <v>7927321</v>
          </cell>
        </row>
        <row r="8914">
          <cell r="A8914" t="str">
            <v>NPL</v>
          </cell>
          <cell r="B8914">
            <v>2030</v>
          </cell>
          <cell r="C8914" t="str">
            <v>unpop_1564</v>
          </cell>
          <cell r="D8914">
            <v>20412721.5</v>
          </cell>
        </row>
        <row r="8915">
          <cell r="A8915" t="str">
            <v>NPL</v>
          </cell>
          <cell r="B8915">
            <v>2030</v>
          </cell>
          <cell r="C8915" t="str">
            <v>unpop_65up</v>
          </cell>
          <cell r="D8915">
            <v>2169953</v>
          </cell>
        </row>
        <row r="8916">
          <cell r="A8916" t="str">
            <v>NPL</v>
          </cell>
          <cell r="B8916">
            <v>2030</v>
          </cell>
          <cell r="C8916" t="str">
            <v>unpop_total</v>
          </cell>
          <cell r="D8916">
            <v>30509995.5</v>
          </cell>
        </row>
        <row r="8917">
          <cell r="A8917" t="str">
            <v>PAK</v>
          </cell>
          <cell r="B8917">
            <v>2000</v>
          </cell>
          <cell r="C8917" t="str">
            <v>unpop_0014</v>
          </cell>
          <cell r="D8917">
            <v>67033314</v>
          </cell>
        </row>
        <row r="8918">
          <cell r="A8918" t="str">
            <v>PAK</v>
          </cell>
          <cell r="B8918">
            <v>2000</v>
          </cell>
          <cell r="C8918" t="str">
            <v>unpop_1564</v>
          </cell>
          <cell r="D8918">
            <v>82458583.5</v>
          </cell>
        </row>
        <row r="8919">
          <cell r="A8919" t="str">
            <v>PAK</v>
          </cell>
          <cell r="B8919">
            <v>2000</v>
          </cell>
          <cell r="C8919" t="str">
            <v>unpop_65up</v>
          </cell>
          <cell r="D8919">
            <v>5387229</v>
          </cell>
        </row>
        <row r="8920">
          <cell r="A8920" t="str">
            <v>PAK</v>
          </cell>
          <cell r="B8920">
            <v>2000</v>
          </cell>
          <cell r="C8920" t="str">
            <v>unpop_total</v>
          </cell>
          <cell r="D8920">
            <v>154879126.5</v>
          </cell>
        </row>
        <row r="8921">
          <cell r="A8921" t="str">
            <v>PAK</v>
          </cell>
          <cell r="B8921">
            <v>2001</v>
          </cell>
          <cell r="C8921" t="str">
            <v>unpop_0014</v>
          </cell>
          <cell r="D8921">
            <v>68351238.5</v>
          </cell>
        </row>
        <row r="8922">
          <cell r="A8922" t="str">
            <v>PAK</v>
          </cell>
          <cell r="B8922">
            <v>2001</v>
          </cell>
          <cell r="C8922" t="str">
            <v>unpop_1564</v>
          </cell>
          <cell r="D8922">
            <v>85364540.5</v>
          </cell>
        </row>
        <row r="8923">
          <cell r="A8923" t="str">
            <v>PAK</v>
          </cell>
          <cell r="B8923">
            <v>2001</v>
          </cell>
          <cell r="C8923" t="str">
            <v>unpop_65up</v>
          </cell>
          <cell r="D8923">
            <v>5555128</v>
          </cell>
        </row>
        <row r="8924">
          <cell r="A8924" t="str">
            <v>PAK</v>
          </cell>
          <cell r="B8924">
            <v>2001</v>
          </cell>
          <cell r="C8924" t="str">
            <v>unpop_total</v>
          </cell>
          <cell r="D8924">
            <v>159270907</v>
          </cell>
        </row>
        <row r="8925">
          <cell r="A8925" t="str">
            <v>PAK</v>
          </cell>
          <cell r="B8925">
            <v>2002</v>
          </cell>
          <cell r="C8925" t="str">
            <v>unpop_0014</v>
          </cell>
          <cell r="D8925">
            <v>69532827.5</v>
          </cell>
        </row>
        <row r="8926">
          <cell r="A8926" t="str">
            <v>PAK</v>
          </cell>
          <cell r="B8926">
            <v>2002</v>
          </cell>
          <cell r="C8926" t="str">
            <v>unpop_1564</v>
          </cell>
          <cell r="D8926">
            <v>87969274.5</v>
          </cell>
        </row>
        <row r="8927">
          <cell r="A8927" t="str">
            <v>PAK</v>
          </cell>
          <cell r="B8927">
            <v>2002</v>
          </cell>
          <cell r="C8927" t="str">
            <v>unpop_65up</v>
          </cell>
          <cell r="D8927">
            <v>5720447.5</v>
          </cell>
        </row>
        <row r="8928">
          <cell r="A8928" t="str">
            <v>PAK</v>
          </cell>
          <cell r="B8928">
            <v>2002</v>
          </cell>
          <cell r="C8928" t="str">
            <v>unpop_total</v>
          </cell>
          <cell r="D8928">
            <v>163222549.5</v>
          </cell>
        </row>
        <row r="8929">
          <cell r="A8929" t="str">
            <v>PAK</v>
          </cell>
          <cell r="B8929">
            <v>2003</v>
          </cell>
          <cell r="C8929" t="str">
            <v>unpop_0014</v>
          </cell>
          <cell r="D8929">
            <v>70615983</v>
          </cell>
        </row>
        <row r="8930">
          <cell r="A8930" t="str">
            <v>PAK</v>
          </cell>
          <cell r="B8930">
            <v>2003</v>
          </cell>
          <cell r="C8930" t="str">
            <v>unpop_1564</v>
          </cell>
          <cell r="D8930">
            <v>90604082.5</v>
          </cell>
        </row>
        <row r="8931">
          <cell r="A8931" t="str">
            <v>PAK</v>
          </cell>
          <cell r="B8931">
            <v>2003</v>
          </cell>
          <cell r="C8931" t="str">
            <v>unpop_65up</v>
          </cell>
          <cell r="D8931">
            <v>5890182.5</v>
          </cell>
        </row>
        <row r="8932">
          <cell r="A8932" t="str">
            <v>PAK</v>
          </cell>
          <cell r="B8932">
            <v>2003</v>
          </cell>
          <cell r="C8932" t="str">
            <v>unpop_total</v>
          </cell>
          <cell r="D8932">
            <v>167110248</v>
          </cell>
        </row>
        <row r="8933">
          <cell r="A8933" t="str">
            <v>PAK</v>
          </cell>
          <cell r="B8933">
            <v>2004</v>
          </cell>
          <cell r="C8933" t="str">
            <v>unpop_0014</v>
          </cell>
          <cell r="D8933">
            <v>71617551.5</v>
          </cell>
        </row>
        <row r="8934">
          <cell r="A8934" t="str">
            <v>PAK</v>
          </cell>
          <cell r="B8934">
            <v>2004</v>
          </cell>
          <cell r="C8934" t="str">
            <v>unpop_1564</v>
          </cell>
          <cell r="D8934">
            <v>93596982</v>
          </cell>
        </row>
        <row r="8935">
          <cell r="A8935" t="str">
            <v>PAK</v>
          </cell>
          <cell r="B8935">
            <v>2004</v>
          </cell>
          <cell r="C8935" t="str">
            <v>unpop_65up</v>
          </cell>
          <cell r="D8935">
            <v>6071466.5</v>
          </cell>
        </row>
        <row r="8936">
          <cell r="A8936" t="str">
            <v>PAK</v>
          </cell>
          <cell r="B8936">
            <v>2004</v>
          </cell>
          <cell r="C8936" t="str">
            <v>unpop_total</v>
          </cell>
          <cell r="D8936">
            <v>171286000</v>
          </cell>
        </row>
        <row r="8937">
          <cell r="A8937" t="str">
            <v>PAK</v>
          </cell>
          <cell r="B8937">
            <v>2005</v>
          </cell>
          <cell r="C8937" t="str">
            <v>unpop_0014</v>
          </cell>
          <cell r="D8937">
            <v>72526743.5</v>
          </cell>
        </row>
        <row r="8938">
          <cell r="A8938" t="str">
            <v>PAK</v>
          </cell>
          <cell r="B8938">
            <v>2005</v>
          </cell>
          <cell r="C8938" t="str">
            <v>unpop_1564</v>
          </cell>
          <cell r="D8938">
            <v>96669010.5</v>
          </cell>
        </row>
        <row r="8939">
          <cell r="A8939" t="str">
            <v>PAK</v>
          </cell>
          <cell r="B8939">
            <v>2005</v>
          </cell>
          <cell r="C8939" t="str">
            <v>unpop_65up</v>
          </cell>
          <cell r="D8939">
            <v>6257458.5</v>
          </cell>
        </row>
        <row r="8940">
          <cell r="A8940" t="str">
            <v>PAK</v>
          </cell>
          <cell r="B8940">
            <v>2005</v>
          </cell>
          <cell r="C8940" t="str">
            <v>unpop_total</v>
          </cell>
          <cell r="D8940">
            <v>175453212.5</v>
          </cell>
        </row>
        <row r="8941">
          <cell r="A8941" t="str">
            <v>PAK</v>
          </cell>
          <cell r="B8941">
            <v>2006</v>
          </cell>
          <cell r="C8941" t="str">
            <v>unpop_0014</v>
          </cell>
          <cell r="D8941">
            <v>73463183</v>
          </cell>
        </row>
        <row r="8942">
          <cell r="A8942" t="str">
            <v>PAK</v>
          </cell>
          <cell r="B8942">
            <v>2006</v>
          </cell>
          <cell r="C8942" t="str">
            <v>unpop_1564</v>
          </cell>
          <cell r="D8942">
            <v>99768276</v>
          </cell>
        </row>
        <row r="8943">
          <cell r="A8943" t="str">
            <v>PAK</v>
          </cell>
          <cell r="B8943">
            <v>2006</v>
          </cell>
          <cell r="C8943" t="str">
            <v>unpop_65up</v>
          </cell>
          <cell r="D8943">
            <v>6451231</v>
          </cell>
        </row>
        <row r="8944">
          <cell r="A8944" t="str">
            <v>PAK</v>
          </cell>
          <cell r="B8944">
            <v>2006</v>
          </cell>
          <cell r="C8944" t="str">
            <v>unpop_total</v>
          </cell>
          <cell r="D8944">
            <v>179682690</v>
          </cell>
        </row>
        <row r="8945">
          <cell r="A8945" t="str">
            <v>PAK</v>
          </cell>
          <cell r="B8945">
            <v>2007</v>
          </cell>
          <cell r="C8945" t="str">
            <v>unpop_0014</v>
          </cell>
          <cell r="D8945">
            <v>74538900.5</v>
          </cell>
        </row>
        <row r="8946">
          <cell r="A8946" t="str">
            <v>PAK</v>
          </cell>
          <cell r="B8946">
            <v>2007</v>
          </cell>
          <cell r="C8946" t="str">
            <v>unpop_1564</v>
          </cell>
          <cell r="D8946">
            <v>103290202.5</v>
          </cell>
        </row>
        <row r="8947">
          <cell r="A8947" t="str">
            <v>PAK</v>
          </cell>
          <cell r="B8947">
            <v>2007</v>
          </cell>
          <cell r="C8947" t="str">
            <v>unpop_65up</v>
          </cell>
          <cell r="D8947">
            <v>6664127.5</v>
          </cell>
        </row>
        <row r="8948">
          <cell r="A8948" t="str">
            <v>PAK</v>
          </cell>
          <cell r="B8948">
            <v>2007</v>
          </cell>
          <cell r="C8948" t="str">
            <v>unpop_total</v>
          </cell>
          <cell r="D8948">
            <v>184493230.5</v>
          </cell>
        </row>
        <row r="8949">
          <cell r="A8949" t="str">
            <v>PAK</v>
          </cell>
          <cell r="B8949">
            <v>2008</v>
          </cell>
          <cell r="C8949" t="str">
            <v>unpop_0014</v>
          </cell>
          <cell r="D8949">
            <v>75733993</v>
          </cell>
        </row>
        <row r="8950">
          <cell r="A8950" t="str">
            <v>PAK</v>
          </cell>
          <cell r="B8950">
            <v>2008</v>
          </cell>
          <cell r="C8950" t="str">
            <v>unpop_1564</v>
          </cell>
          <cell r="D8950">
            <v>106876927</v>
          </cell>
        </row>
        <row r="8951">
          <cell r="A8951" t="str">
            <v>PAK</v>
          </cell>
          <cell r="B8951">
            <v>2008</v>
          </cell>
          <cell r="C8951" t="str">
            <v>unpop_65up</v>
          </cell>
          <cell r="D8951">
            <v>6888193</v>
          </cell>
        </row>
        <row r="8952">
          <cell r="A8952" t="str">
            <v>PAK</v>
          </cell>
          <cell r="B8952">
            <v>2008</v>
          </cell>
          <cell r="C8952" t="str">
            <v>unpop_total</v>
          </cell>
          <cell r="D8952">
            <v>189499113</v>
          </cell>
        </row>
        <row r="8953">
          <cell r="A8953" t="str">
            <v>PAK</v>
          </cell>
          <cell r="B8953">
            <v>2009</v>
          </cell>
          <cell r="C8953" t="str">
            <v>unpop_0014</v>
          </cell>
          <cell r="D8953">
            <v>77020429</v>
          </cell>
        </row>
        <row r="8954">
          <cell r="A8954" t="str">
            <v>PAK</v>
          </cell>
          <cell r="B8954">
            <v>2009</v>
          </cell>
          <cell r="C8954" t="str">
            <v>unpop_1564</v>
          </cell>
          <cell r="D8954">
            <v>110238042.5</v>
          </cell>
        </row>
        <row r="8955">
          <cell r="A8955" t="str">
            <v>PAK</v>
          </cell>
          <cell r="B8955">
            <v>2009</v>
          </cell>
          <cell r="C8955" t="str">
            <v>unpop_65up</v>
          </cell>
          <cell r="D8955">
            <v>7118062.5</v>
          </cell>
        </row>
        <row r="8956">
          <cell r="A8956" t="str">
            <v>PAK</v>
          </cell>
          <cell r="B8956">
            <v>2009</v>
          </cell>
          <cell r="C8956" t="str">
            <v>unpop_total</v>
          </cell>
          <cell r="D8956">
            <v>194376534</v>
          </cell>
        </row>
        <row r="8957">
          <cell r="A8957" t="str">
            <v>PAK</v>
          </cell>
          <cell r="B8957">
            <v>2010</v>
          </cell>
          <cell r="C8957" t="str">
            <v>unpop_0014</v>
          </cell>
          <cell r="D8957">
            <v>78381577</v>
          </cell>
        </row>
        <row r="8958">
          <cell r="A8958" t="str">
            <v>PAK</v>
          </cell>
          <cell r="B8958">
            <v>2010</v>
          </cell>
          <cell r="C8958" t="str">
            <v>unpop_1564</v>
          </cell>
          <cell r="D8958">
            <v>113502966.5</v>
          </cell>
        </row>
        <row r="8959">
          <cell r="A8959" t="str">
            <v>PAK</v>
          </cell>
          <cell r="B8959">
            <v>2010</v>
          </cell>
          <cell r="C8959" t="str">
            <v>unpop_65up</v>
          </cell>
          <cell r="D8959">
            <v>7354503.5</v>
          </cell>
        </row>
        <row r="8960">
          <cell r="A8960" t="str">
            <v>PAK</v>
          </cell>
          <cell r="B8960">
            <v>2010</v>
          </cell>
          <cell r="C8960" t="str">
            <v>unpop_total</v>
          </cell>
          <cell r="D8960">
            <v>199239047</v>
          </cell>
        </row>
        <row r="8961">
          <cell r="A8961" t="str">
            <v>PAK</v>
          </cell>
          <cell r="B8961">
            <v>2011</v>
          </cell>
          <cell r="C8961" t="str">
            <v>unpop_0014</v>
          </cell>
          <cell r="D8961">
            <v>79737391</v>
          </cell>
        </row>
        <row r="8962">
          <cell r="A8962" t="str">
            <v>PAK</v>
          </cell>
          <cell r="B8962">
            <v>2011</v>
          </cell>
          <cell r="C8962" t="str">
            <v>unpop_1564</v>
          </cell>
          <cell r="D8962">
            <v>116419645</v>
          </cell>
        </row>
        <row r="8963">
          <cell r="A8963" t="str">
            <v>PAK</v>
          </cell>
          <cell r="B8963">
            <v>2011</v>
          </cell>
          <cell r="C8963" t="str">
            <v>unpop_65up</v>
          </cell>
          <cell r="D8963">
            <v>7589028.5</v>
          </cell>
        </row>
        <row r="8964">
          <cell r="A8964" t="str">
            <v>PAK</v>
          </cell>
          <cell r="B8964">
            <v>2011</v>
          </cell>
          <cell r="C8964" t="str">
            <v>unpop_total</v>
          </cell>
          <cell r="D8964">
            <v>203746064.5</v>
          </cell>
        </row>
        <row r="8965">
          <cell r="A8965" t="str">
            <v>PAK</v>
          </cell>
          <cell r="B8965">
            <v>2012</v>
          </cell>
          <cell r="C8965" t="str">
            <v>unpop_0014</v>
          </cell>
          <cell r="D8965">
            <v>81013806.5</v>
          </cell>
        </row>
        <row r="8966">
          <cell r="A8966" t="str">
            <v>PAK</v>
          </cell>
          <cell r="B8966">
            <v>2012</v>
          </cell>
          <cell r="C8966" t="str">
            <v>unpop_1564</v>
          </cell>
          <cell r="D8966">
            <v>118843602.5</v>
          </cell>
        </row>
        <row r="8967">
          <cell r="A8967" t="str">
            <v>PAK</v>
          </cell>
          <cell r="B8967">
            <v>2012</v>
          </cell>
          <cell r="C8967" t="str">
            <v>unpop_65up</v>
          </cell>
          <cell r="D8967">
            <v>7809715.5</v>
          </cell>
        </row>
        <row r="8968">
          <cell r="A8968" t="str">
            <v>PAK</v>
          </cell>
          <cell r="B8968">
            <v>2012</v>
          </cell>
          <cell r="C8968" t="str">
            <v>unpop_total</v>
          </cell>
          <cell r="D8968">
            <v>207667124.5</v>
          </cell>
        </row>
        <row r="8969">
          <cell r="A8969" t="str">
            <v>PAK</v>
          </cell>
          <cell r="B8969">
            <v>2013</v>
          </cell>
          <cell r="C8969" t="str">
            <v>unpop_0014</v>
          </cell>
          <cell r="D8969">
            <v>82198384.5</v>
          </cell>
        </row>
        <row r="8970">
          <cell r="A8970" t="str">
            <v>PAK</v>
          </cell>
          <cell r="B8970">
            <v>2013</v>
          </cell>
          <cell r="C8970" t="str">
            <v>unpop_1564</v>
          </cell>
          <cell r="D8970">
            <v>120876003.5</v>
          </cell>
        </row>
        <row r="8971">
          <cell r="A8971" t="str">
            <v>PAK</v>
          </cell>
          <cell r="B8971">
            <v>2013</v>
          </cell>
          <cell r="C8971" t="str">
            <v>unpop_65up</v>
          </cell>
          <cell r="D8971">
            <v>7999590.5</v>
          </cell>
        </row>
        <row r="8972">
          <cell r="A8972" t="str">
            <v>PAK</v>
          </cell>
          <cell r="B8972">
            <v>2013</v>
          </cell>
          <cell r="C8972" t="str">
            <v>unpop_total</v>
          </cell>
          <cell r="D8972">
            <v>211073978.5</v>
          </cell>
        </row>
        <row r="8973">
          <cell r="A8973" t="str">
            <v>PAK</v>
          </cell>
          <cell r="B8973">
            <v>2014</v>
          </cell>
          <cell r="C8973" t="str">
            <v>unpop_0014</v>
          </cell>
          <cell r="D8973">
            <v>83271013.5</v>
          </cell>
        </row>
        <row r="8974">
          <cell r="A8974" t="str">
            <v>PAK</v>
          </cell>
          <cell r="B8974">
            <v>2014</v>
          </cell>
          <cell r="C8974" t="str">
            <v>unpop_1564</v>
          </cell>
          <cell r="D8974">
            <v>122840125.5</v>
          </cell>
        </row>
        <row r="8975">
          <cell r="A8975" t="str">
            <v>PAK</v>
          </cell>
          <cell r="B8975">
            <v>2014</v>
          </cell>
          <cell r="C8975" t="str">
            <v>unpop_65up</v>
          </cell>
          <cell r="D8975">
            <v>8153507.5</v>
          </cell>
        </row>
        <row r="8976">
          <cell r="A8976" t="str">
            <v>PAK</v>
          </cell>
          <cell r="B8976">
            <v>2014</v>
          </cell>
          <cell r="C8976" t="str">
            <v>unpop_total</v>
          </cell>
          <cell r="D8976">
            <v>214264646.5</v>
          </cell>
        </row>
        <row r="8977">
          <cell r="A8977" t="str">
            <v>PAK</v>
          </cell>
          <cell r="B8977">
            <v>2015</v>
          </cell>
          <cell r="C8977" t="str">
            <v>unpop_0014</v>
          </cell>
          <cell r="D8977">
            <v>84224579</v>
          </cell>
        </row>
        <row r="8978">
          <cell r="A8978" t="str">
            <v>PAK</v>
          </cell>
          <cell r="B8978">
            <v>2015</v>
          </cell>
          <cell r="C8978" t="str">
            <v>unpop_1564</v>
          </cell>
          <cell r="D8978">
            <v>124763794</v>
          </cell>
        </row>
        <row r="8979">
          <cell r="A8979" t="str">
            <v>PAK</v>
          </cell>
          <cell r="B8979">
            <v>2015</v>
          </cell>
          <cell r="C8979" t="str">
            <v>unpop_65up</v>
          </cell>
          <cell r="D8979">
            <v>8302509.5</v>
          </cell>
        </row>
        <row r="8980">
          <cell r="A8980" t="str">
            <v>PAK</v>
          </cell>
          <cell r="B8980">
            <v>2015</v>
          </cell>
          <cell r="C8980" t="str">
            <v>unpop_total</v>
          </cell>
          <cell r="D8980">
            <v>217290882.5</v>
          </cell>
        </row>
        <row r="8981">
          <cell r="A8981" t="str">
            <v>PAK</v>
          </cell>
          <cell r="B8981">
            <v>2016</v>
          </cell>
          <cell r="C8981" t="str">
            <v>unpop_0014</v>
          </cell>
          <cell r="D8981">
            <v>85083359</v>
          </cell>
        </row>
        <row r="8982">
          <cell r="A8982" t="str">
            <v>PAK</v>
          </cell>
          <cell r="B8982">
            <v>2016</v>
          </cell>
          <cell r="C8982" t="str">
            <v>unpop_1564</v>
          </cell>
          <cell r="D8982">
            <v>126579241.5</v>
          </cell>
        </row>
        <row r="8983">
          <cell r="A8983" t="str">
            <v>PAK</v>
          </cell>
          <cell r="B8983">
            <v>2016</v>
          </cell>
          <cell r="C8983" t="str">
            <v>unpop_65up</v>
          </cell>
          <cell r="D8983">
            <v>8476268</v>
          </cell>
        </row>
        <row r="8984">
          <cell r="A8984" t="str">
            <v>PAK</v>
          </cell>
          <cell r="B8984">
            <v>2016</v>
          </cell>
          <cell r="C8984" t="str">
            <v>unpop_total</v>
          </cell>
          <cell r="D8984">
            <v>220138868.5</v>
          </cell>
        </row>
        <row r="8985">
          <cell r="A8985" t="str">
            <v>PAK</v>
          </cell>
          <cell r="B8985">
            <v>2017</v>
          </cell>
          <cell r="C8985" t="str">
            <v>unpop_0014</v>
          </cell>
          <cell r="D8985">
            <v>85959934.5</v>
          </cell>
        </row>
        <row r="8986">
          <cell r="A8986" t="str">
            <v>PAK</v>
          </cell>
          <cell r="B8986">
            <v>2017</v>
          </cell>
          <cell r="C8986" t="str">
            <v>unpop_1564</v>
          </cell>
          <cell r="D8986">
            <v>128631209</v>
          </cell>
        </row>
        <row r="8987">
          <cell r="A8987" t="str">
            <v>PAK</v>
          </cell>
          <cell r="B8987">
            <v>2017</v>
          </cell>
          <cell r="C8987" t="str">
            <v>unpop_65up</v>
          </cell>
          <cell r="D8987">
            <v>8682824</v>
          </cell>
        </row>
        <row r="8988">
          <cell r="A8988" t="str">
            <v>PAK</v>
          </cell>
          <cell r="B8988">
            <v>2017</v>
          </cell>
          <cell r="C8988" t="str">
            <v>unpop_total</v>
          </cell>
          <cell r="D8988">
            <v>223273967.5</v>
          </cell>
        </row>
        <row r="8989">
          <cell r="A8989" t="str">
            <v>PAK</v>
          </cell>
          <cell r="B8989">
            <v>2018</v>
          </cell>
          <cell r="C8989" t="str">
            <v>unpop_0014</v>
          </cell>
          <cell r="D8989">
            <v>86909037</v>
          </cell>
        </row>
        <row r="8990">
          <cell r="A8990" t="str">
            <v>PAK</v>
          </cell>
          <cell r="B8990">
            <v>2018</v>
          </cell>
          <cell r="C8990" t="str">
            <v>unpop_1564</v>
          </cell>
          <cell r="D8990">
            <v>131095161</v>
          </cell>
        </row>
        <row r="8991">
          <cell r="A8991" t="str">
            <v>PAK</v>
          </cell>
          <cell r="B8991">
            <v>2018</v>
          </cell>
          <cell r="C8991" t="str">
            <v>unpop_65up</v>
          </cell>
          <cell r="D8991">
            <v>8924694.5</v>
          </cell>
        </row>
        <row r="8992">
          <cell r="A8992" t="str">
            <v>PAK</v>
          </cell>
          <cell r="B8992">
            <v>2018</v>
          </cell>
          <cell r="C8992" t="str">
            <v>unpop_total</v>
          </cell>
          <cell r="D8992">
            <v>226928892.5</v>
          </cell>
        </row>
        <row r="8993">
          <cell r="A8993" t="str">
            <v>PAK</v>
          </cell>
          <cell r="B8993">
            <v>2019</v>
          </cell>
          <cell r="C8993" t="str">
            <v>unpop_0014</v>
          </cell>
          <cell r="D8993">
            <v>87908959</v>
          </cell>
        </row>
        <row r="8994">
          <cell r="A8994" t="str">
            <v>PAK</v>
          </cell>
          <cell r="B8994">
            <v>2019</v>
          </cell>
          <cell r="C8994" t="str">
            <v>unpop_1564</v>
          </cell>
          <cell r="D8994">
            <v>133695735.5</v>
          </cell>
        </row>
        <row r="8995">
          <cell r="A8995" t="str">
            <v>PAK</v>
          </cell>
          <cell r="B8995">
            <v>2019</v>
          </cell>
          <cell r="C8995" t="str">
            <v>unpop_65up</v>
          </cell>
          <cell r="D8995">
            <v>9196204</v>
          </cell>
        </row>
        <row r="8996">
          <cell r="A8996" t="str">
            <v>PAK</v>
          </cell>
          <cell r="B8996">
            <v>2019</v>
          </cell>
          <cell r="C8996" t="str">
            <v>unpop_total</v>
          </cell>
          <cell r="D8996">
            <v>230800898.5</v>
          </cell>
        </row>
        <row r="8997">
          <cell r="A8997" t="str">
            <v>PAK</v>
          </cell>
          <cell r="B8997">
            <v>2020</v>
          </cell>
          <cell r="C8997" t="str">
            <v>unpop_0014</v>
          </cell>
          <cell r="D8997">
            <v>88971255</v>
          </cell>
        </row>
        <row r="8998">
          <cell r="A8998" t="str">
            <v>PAK</v>
          </cell>
          <cell r="B8998">
            <v>2020</v>
          </cell>
          <cell r="C8998" t="str">
            <v>unpop_1564</v>
          </cell>
          <cell r="D8998">
            <v>136577175</v>
          </cell>
        </row>
        <row r="8999">
          <cell r="A8999" t="str">
            <v>PAK</v>
          </cell>
          <cell r="B8999">
            <v>2020</v>
          </cell>
          <cell r="C8999" t="str">
            <v>unpop_65up</v>
          </cell>
          <cell r="D8999">
            <v>9453316</v>
          </cell>
        </row>
        <row r="9000">
          <cell r="A9000" t="str">
            <v>PAK</v>
          </cell>
          <cell r="B9000">
            <v>2020</v>
          </cell>
          <cell r="C9000" t="str">
            <v>unpop_total</v>
          </cell>
          <cell r="D9000">
            <v>235001746</v>
          </cell>
        </row>
        <row r="9001">
          <cell r="A9001" t="str">
            <v>PAK</v>
          </cell>
          <cell r="B9001">
            <v>2021</v>
          </cell>
          <cell r="C9001" t="str">
            <v>unpop_0014</v>
          </cell>
          <cell r="D9001">
            <v>90009369</v>
          </cell>
        </row>
        <row r="9002">
          <cell r="A9002" t="str">
            <v>PAK</v>
          </cell>
          <cell r="B9002">
            <v>2021</v>
          </cell>
          <cell r="C9002" t="str">
            <v>unpop_1564</v>
          </cell>
          <cell r="D9002">
            <v>139764374.5</v>
          </cell>
        </row>
        <row r="9003">
          <cell r="A9003" t="str">
            <v>PAK</v>
          </cell>
          <cell r="B9003">
            <v>2021</v>
          </cell>
          <cell r="C9003" t="str">
            <v>unpop_65up</v>
          </cell>
          <cell r="D9003">
            <v>9704057</v>
          </cell>
        </row>
        <row r="9004">
          <cell r="A9004" t="str">
            <v>PAK</v>
          </cell>
          <cell r="B9004">
            <v>2021</v>
          </cell>
          <cell r="C9004" t="str">
            <v>unpop_total</v>
          </cell>
          <cell r="D9004">
            <v>239477800.5</v>
          </cell>
        </row>
        <row r="9005">
          <cell r="A9005" t="str">
            <v>PAK</v>
          </cell>
          <cell r="B9005">
            <v>2022</v>
          </cell>
          <cell r="C9005" t="str">
            <v>unpop_0014</v>
          </cell>
          <cell r="D9005">
            <v>90924189.5</v>
          </cell>
        </row>
        <row r="9006">
          <cell r="A9006" t="str">
            <v>PAK</v>
          </cell>
          <cell r="B9006">
            <v>2022</v>
          </cell>
          <cell r="C9006" t="str">
            <v>unpop_1564</v>
          </cell>
          <cell r="D9006">
            <v>142756293</v>
          </cell>
        </row>
        <row r="9007">
          <cell r="A9007" t="str">
            <v>PAK</v>
          </cell>
          <cell r="B9007">
            <v>2022</v>
          </cell>
          <cell r="C9007" t="str">
            <v>unpop_65up</v>
          </cell>
          <cell r="D9007">
            <v>10020184.5</v>
          </cell>
        </row>
        <row r="9008">
          <cell r="A9008" t="str">
            <v>PAK</v>
          </cell>
          <cell r="B9008">
            <v>2022</v>
          </cell>
          <cell r="C9008" t="str">
            <v>unpop_total</v>
          </cell>
          <cell r="D9008">
            <v>243700667</v>
          </cell>
        </row>
        <row r="9009">
          <cell r="A9009" t="str">
            <v>PAK</v>
          </cell>
          <cell r="B9009">
            <v>2023</v>
          </cell>
          <cell r="C9009" t="str">
            <v>unpop_0014</v>
          </cell>
          <cell r="D9009">
            <v>91670867</v>
          </cell>
        </row>
        <row r="9010">
          <cell r="A9010" t="str">
            <v>PAK</v>
          </cell>
          <cell r="B9010">
            <v>2023</v>
          </cell>
          <cell r="C9010" t="str">
            <v>unpop_1564</v>
          </cell>
          <cell r="D9010">
            <v>145447668</v>
          </cell>
        </row>
        <row r="9011">
          <cell r="A9011" t="str">
            <v>PAK</v>
          </cell>
          <cell r="B9011">
            <v>2023</v>
          </cell>
          <cell r="C9011" t="str">
            <v>unpop_65up</v>
          </cell>
          <cell r="D9011">
            <v>10385960.5</v>
          </cell>
        </row>
        <row r="9012">
          <cell r="A9012" t="str">
            <v>PAK</v>
          </cell>
          <cell r="B9012">
            <v>2023</v>
          </cell>
          <cell r="C9012" t="str">
            <v>unpop_total</v>
          </cell>
          <cell r="D9012">
            <v>247504495.5</v>
          </cell>
        </row>
        <row r="9013">
          <cell r="A9013" t="str">
            <v>PAK</v>
          </cell>
          <cell r="B9013">
            <v>2024</v>
          </cell>
          <cell r="C9013" t="str">
            <v>unpop_0014</v>
          </cell>
          <cell r="D9013">
            <v>92177916.5</v>
          </cell>
        </row>
        <row r="9014">
          <cell r="A9014" t="str">
            <v>PAK</v>
          </cell>
          <cell r="B9014">
            <v>2024</v>
          </cell>
          <cell r="C9014" t="str">
            <v>unpop_1564</v>
          </cell>
          <cell r="D9014">
            <v>148335347</v>
          </cell>
        </row>
        <row r="9015">
          <cell r="A9015" t="str">
            <v>PAK</v>
          </cell>
          <cell r="B9015">
            <v>2024</v>
          </cell>
          <cell r="C9015" t="str">
            <v>unpop_65up</v>
          </cell>
          <cell r="D9015">
            <v>10755900.5</v>
          </cell>
        </row>
        <row r="9016">
          <cell r="A9016" t="str">
            <v>PAK</v>
          </cell>
          <cell r="B9016">
            <v>2024</v>
          </cell>
          <cell r="C9016" t="str">
            <v>unpop_total</v>
          </cell>
          <cell r="D9016">
            <v>251269164</v>
          </cell>
        </row>
        <row r="9017">
          <cell r="A9017" t="str">
            <v>PAK</v>
          </cell>
          <cell r="B9017">
            <v>2025</v>
          </cell>
          <cell r="C9017" t="str">
            <v>unpop_0014</v>
          </cell>
          <cell r="D9017">
            <v>92502034.5</v>
          </cell>
        </row>
        <row r="9018">
          <cell r="A9018" t="str">
            <v>PAK</v>
          </cell>
          <cell r="B9018">
            <v>2025</v>
          </cell>
          <cell r="C9018" t="str">
            <v>unpop_1564</v>
          </cell>
          <cell r="D9018">
            <v>151585194</v>
          </cell>
        </row>
        <row r="9019">
          <cell r="A9019" t="str">
            <v>PAK</v>
          </cell>
          <cell r="B9019">
            <v>2025</v>
          </cell>
          <cell r="C9019" t="str">
            <v>unpop_65up</v>
          </cell>
          <cell r="D9019">
            <v>11132326</v>
          </cell>
        </row>
        <row r="9020">
          <cell r="A9020" t="str">
            <v>PAK</v>
          </cell>
          <cell r="B9020">
            <v>2025</v>
          </cell>
          <cell r="C9020" t="str">
            <v>unpop_total</v>
          </cell>
          <cell r="D9020">
            <v>255219554.5</v>
          </cell>
        </row>
        <row r="9021">
          <cell r="A9021" t="str">
            <v>PAK</v>
          </cell>
          <cell r="B9021">
            <v>2026</v>
          </cell>
          <cell r="C9021" t="str">
            <v>unpop_0014</v>
          </cell>
          <cell r="D9021">
            <v>92798799.5</v>
          </cell>
        </row>
        <row r="9022">
          <cell r="A9022" t="str">
            <v>PAK</v>
          </cell>
          <cell r="B9022">
            <v>2026</v>
          </cell>
          <cell r="C9022" t="str">
            <v>unpop_1564</v>
          </cell>
          <cell r="D9022">
            <v>154978123.5</v>
          </cell>
        </row>
        <row r="9023">
          <cell r="A9023" t="str">
            <v>PAK</v>
          </cell>
          <cell r="B9023">
            <v>2026</v>
          </cell>
          <cell r="C9023" t="str">
            <v>unpop_65up</v>
          </cell>
          <cell r="D9023">
            <v>11522868.5</v>
          </cell>
        </row>
        <row r="9024">
          <cell r="A9024" t="str">
            <v>PAK</v>
          </cell>
          <cell r="B9024">
            <v>2026</v>
          </cell>
          <cell r="C9024" t="str">
            <v>unpop_total</v>
          </cell>
          <cell r="D9024">
            <v>259299791.5</v>
          </cell>
        </row>
        <row r="9025">
          <cell r="A9025" t="str">
            <v>PAK</v>
          </cell>
          <cell r="B9025">
            <v>2027</v>
          </cell>
          <cell r="C9025" t="str">
            <v>unpop_0014</v>
          </cell>
          <cell r="D9025">
            <v>93131353.5</v>
          </cell>
        </row>
        <row r="9026">
          <cell r="A9026" t="str">
            <v>PAK</v>
          </cell>
          <cell r="B9026">
            <v>2027</v>
          </cell>
          <cell r="C9026" t="str">
            <v>unpop_1564</v>
          </cell>
          <cell r="D9026">
            <v>158461337.5</v>
          </cell>
        </row>
        <row r="9027">
          <cell r="A9027" t="str">
            <v>PAK</v>
          </cell>
          <cell r="B9027">
            <v>2027</v>
          </cell>
          <cell r="C9027" t="str">
            <v>unpop_65up</v>
          </cell>
          <cell r="D9027">
            <v>11923135</v>
          </cell>
        </row>
        <row r="9028">
          <cell r="A9028" t="str">
            <v>PAK</v>
          </cell>
          <cell r="B9028">
            <v>2027</v>
          </cell>
          <cell r="C9028" t="str">
            <v>unpop_total</v>
          </cell>
          <cell r="D9028">
            <v>263515826</v>
          </cell>
        </row>
        <row r="9029">
          <cell r="A9029" t="str">
            <v>PAK</v>
          </cell>
          <cell r="B9029">
            <v>2028</v>
          </cell>
          <cell r="C9029" t="str">
            <v>unpop_0014</v>
          </cell>
          <cell r="D9029">
            <v>93534848.5</v>
          </cell>
        </row>
        <row r="9030">
          <cell r="A9030" t="str">
            <v>PAK</v>
          </cell>
          <cell r="B9030">
            <v>2028</v>
          </cell>
          <cell r="C9030" t="str">
            <v>unpop_1564</v>
          </cell>
          <cell r="D9030">
            <v>162017162.5</v>
          </cell>
        </row>
        <row r="9031">
          <cell r="A9031" t="str">
            <v>PAK</v>
          </cell>
          <cell r="B9031">
            <v>2028</v>
          </cell>
          <cell r="C9031" t="str">
            <v>unpop_65up</v>
          </cell>
          <cell r="D9031">
            <v>12329904.5</v>
          </cell>
        </row>
        <row r="9032">
          <cell r="A9032" t="str">
            <v>PAK</v>
          </cell>
          <cell r="B9032">
            <v>2028</v>
          </cell>
          <cell r="C9032" t="str">
            <v>unpop_total</v>
          </cell>
          <cell r="D9032">
            <v>267881915.5</v>
          </cell>
        </row>
        <row r="9033">
          <cell r="A9033" t="str">
            <v>PAK</v>
          </cell>
          <cell r="B9033">
            <v>2029</v>
          </cell>
          <cell r="C9033" t="str">
            <v>unpop_0014</v>
          </cell>
          <cell r="D9033">
            <v>94017674.5</v>
          </cell>
        </row>
        <row r="9034">
          <cell r="A9034" t="str">
            <v>PAK</v>
          </cell>
          <cell r="B9034">
            <v>2029</v>
          </cell>
          <cell r="C9034" t="str">
            <v>unpop_1564</v>
          </cell>
          <cell r="D9034">
            <v>165580839.5</v>
          </cell>
        </row>
        <row r="9035">
          <cell r="A9035" t="str">
            <v>PAK</v>
          </cell>
          <cell r="B9035">
            <v>2029</v>
          </cell>
          <cell r="C9035" t="str">
            <v>unpop_65up</v>
          </cell>
          <cell r="D9035">
            <v>12739005.5</v>
          </cell>
        </row>
        <row r="9036">
          <cell r="A9036" t="str">
            <v>PAK</v>
          </cell>
          <cell r="B9036">
            <v>2029</v>
          </cell>
          <cell r="C9036" t="str">
            <v>unpop_total</v>
          </cell>
          <cell r="D9036">
            <v>272337519.5</v>
          </cell>
        </row>
        <row r="9037">
          <cell r="A9037" t="str">
            <v>PAK</v>
          </cell>
          <cell r="B9037">
            <v>2030</v>
          </cell>
          <cell r="C9037" t="str">
            <v>unpop_0014</v>
          </cell>
          <cell r="D9037">
            <v>94592380.5</v>
          </cell>
        </row>
        <row r="9038">
          <cell r="A9038" t="str">
            <v>PAK</v>
          </cell>
          <cell r="B9038">
            <v>2030</v>
          </cell>
          <cell r="C9038" t="str">
            <v>unpop_1564</v>
          </cell>
          <cell r="D9038">
            <v>169141860</v>
          </cell>
        </row>
        <row r="9039">
          <cell r="A9039" t="str">
            <v>PAK</v>
          </cell>
          <cell r="B9039">
            <v>2030</v>
          </cell>
          <cell r="C9039" t="str">
            <v>unpop_65up</v>
          </cell>
          <cell r="D9039">
            <v>13149014.5</v>
          </cell>
        </row>
        <row r="9040">
          <cell r="A9040" t="str">
            <v>PAK</v>
          </cell>
          <cell r="B9040">
            <v>2030</v>
          </cell>
          <cell r="C9040" t="str">
            <v>unpop_total</v>
          </cell>
          <cell r="D9040">
            <v>276883255</v>
          </cell>
        </row>
      </sheetData>
      <sheetData sheetId="5">
        <row r="1">
          <cell r="A1" t="str">
            <v>country</v>
          </cell>
          <cell r="B1" t="str">
            <v>year</v>
          </cell>
          <cell r="C1" t="str">
            <v>indicator</v>
          </cell>
          <cell r="D1" t="str">
            <v>value</v>
          </cell>
        </row>
        <row r="2">
          <cell r="A2" t="str">
            <v>BGD</v>
          </cell>
          <cell r="B2">
            <v>2016</v>
          </cell>
          <cell r="C2" t="str">
            <v>hspop_total</v>
          </cell>
          <cell r="D2">
            <v>159583216</v>
          </cell>
        </row>
        <row r="3">
          <cell r="A3" t="str">
            <v>BGD</v>
          </cell>
          <cell r="B3">
            <v>2016</v>
          </cell>
          <cell r="C3" t="str">
            <v>hspop_0014</v>
          </cell>
          <cell r="D3">
            <v>51474876</v>
          </cell>
        </row>
        <row r="4">
          <cell r="A4" t="str">
            <v>BGD</v>
          </cell>
          <cell r="B4">
            <v>2016</v>
          </cell>
          <cell r="C4" t="str">
            <v>hspop_1564</v>
          </cell>
          <cell r="D4">
            <v>100209680</v>
          </cell>
        </row>
        <row r="5">
          <cell r="A5" t="str">
            <v>BGD</v>
          </cell>
          <cell r="B5">
            <v>2016</v>
          </cell>
          <cell r="C5" t="str">
            <v>hspop_65up</v>
          </cell>
          <cell r="D5">
            <v>7889021.5</v>
          </cell>
        </row>
        <row r="6">
          <cell r="A6" t="str">
            <v>BGD</v>
          </cell>
          <cell r="B6">
            <v>2016</v>
          </cell>
          <cell r="C6" t="str">
            <v>hslstatus3_1564</v>
          </cell>
          <cell r="D6">
            <v>53258036</v>
          </cell>
        </row>
        <row r="7">
          <cell r="A7" t="str">
            <v>BGD</v>
          </cell>
          <cell r="B7">
            <v>2016</v>
          </cell>
          <cell r="C7" t="str">
            <v>hslstatus2_1564</v>
          </cell>
          <cell r="D7">
            <v>1589361.375</v>
          </cell>
        </row>
        <row r="8">
          <cell r="A8" t="str">
            <v>BGD</v>
          </cell>
          <cell r="B8">
            <v>2016</v>
          </cell>
          <cell r="C8" t="str">
            <v>hslstatus1_1564</v>
          </cell>
          <cell r="D8">
            <v>45362280</v>
          </cell>
        </row>
        <row r="9">
          <cell r="A9" t="str">
            <v>BGD</v>
          </cell>
          <cell r="B9">
            <v>2016</v>
          </cell>
          <cell r="C9" t="str">
            <v>hslstatus12_1564</v>
          </cell>
          <cell r="D9">
            <v>46951640</v>
          </cell>
        </row>
        <row r="10">
          <cell r="A10" t="str">
            <v>BGD</v>
          </cell>
          <cell r="B10">
            <v>2016</v>
          </cell>
          <cell r="C10" t="str">
            <v>hslstatus1_s0_a1</v>
          </cell>
          <cell r="D10">
            <v>1883217.75</v>
          </cell>
        </row>
        <row r="11">
          <cell r="A11" t="str">
            <v>BGD</v>
          </cell>
          <cell r="B11">
            <v>2016</v>
          </cell>
          <cell r="C11" t="str">
            <v>hslstatus1_s0_a2</v>
          </cell>
          <cell r="D11">
            <v>1868653.125</v>
          </cell>
        </row>
        <row r="12">
          <cell r="A12" t="str">
            <v>BGD</v>
          </cell>
          <cell r="B12">
            <v>2016</v>
          </cell>
          <cell r="C12" t="str">
            <v>hslstatus1_s0_a3</v>
          </cell>
          <cell r="D12">
            <v>7627321</v>
          </cell>
        </row>
        <row r="13">
          <cell r="A13" t="str">
            <v>BGD</v>
          </cell>
          <cell r="B13">
            <v>2016</v>
          </cell>
          <cell r="C13" t="str">
            <v>hslstatus1_s0_a4</v>
          </cell>
          <cell r="D13">
            <v>4501824.5</v>
          </cell>
        </row>
        <row r="14">
          <cell r="A14" t="str">
            <v>BGD</v>
          </cell>
          <cell r="B14">
            <v>2016</v>
          </cell>
          <cell r="C14" t="str">
            <v>hslstatus1_s0_a5</v>
          </cell>
          <cell r="D14">
            <v>3333037</v>
          </cell>
        </row>
        <row r="15">
          <cell r="A15" t="str">
            <v>BGD</v>
          </cell>
          <cell r="B15">
            <v>2016</v>
          </cell>
          <cell r="C15" t="str">
            <v>hslstatus1_s0_a6</v>
          </cell>
          <cell r="D15">
            <v>4236092</v>
          </cell>
        </row>
        <row r="16">
          <cell r="A16" t="str">
            <v>BGD</v>
          </cell>
          <cell r="B16">
            <v>2016</v>
          </cell>
          <cell r="C16" t="str">
            <v>hslstatus1_s1_a1</v>
          </cell>
          <cell r="D16">
            <v>13001062</v>
          </cell>
        </row>
        <row r="17">
          <cell r="A17" t="str">
            <v>BGD</v>
          </cell>
          <cell r="B17">
            <v>2016</v>
          </cell>
          <cell r="C17" t="str">
            <v>hslstatus1_s1_a2</v>
          </cell>
          <cell r="D17">
            <v>824516.125</v>
          </cell>
        </row>
        <row r="18">
          <cell r="A18" t="str">
            <v>BGD</v>
          </cell>
          <cell r="B18">
            <v>2016</v>
          </cell>
          <cell r="C18" t="str">
            <v>hslstatus1_s1_a3</v>
          </cell>
          <cell r="D18">
            <v>2058842.75</v>
          </cell>
        </row>
        <row r="19">
          <cell r="A19" t="str">
            <v>BGD</v>
          </cell>
          <cell r="B19">
            <v>2016</v>
          </cell>
          <cell r="C19" t="str">
            <v>hslstatus1_s1_a4</v>
          </cell>
          <cell r="D19">
            <v>212114.1875</v>
          </cell>
        </row>
        <row r="20">
          <cell r="A20" t="str">
            <v>BGD</v>
          </cell>
          <cell r="B20">
            <v>2016</v>
          </cell>
          <cell r="C20" t="str">
            <v>hslstatus1_s1_a5</v>
          </cell>
          <cell r="D20">
            <v>2641654.25</v>
          </cell>
        </row>
        <row r="21">
          <cell r="A21" t="str">
            <v>BGD</v>
          </cell>
          <cell r="B21">
            <v>2016</v>
          </cell>
          <cell r="C21" t="str">
            <v>hslstatus1_s1_a6</v>
          </cell>
          <cell r="D21">
            <v>3173944.25</v>
          </cell>
        </row>
        <row r="22">
          <cell r="A22" t="str">
            <v>BGD</v>
          </cell>
          <cell r="B22">
            <v>2016</v>
          </cell>
          <cell r="C22" t="str">
            <v>hsip_total</v>
          </cell>
          <cell r="D22">
            <v>332.98947143554688</v>
          </cell>
        </row>
        <row r="23">
          <cell r="A23" t="str">
            <v>BGD</v>
          </cell>
          <cell r="B23">
            <v>2016</v>
          </cell>
          <cell r="C23" t="str">
            <v>hsip_s0_a1</v>
          </cell>
          <cell r="D23">
            <v>189.97503662109375</v>
          </cell>
        </row>
        <row r="24">
          <cell r="A24" t="str">
            <v>BGD</v>
          </cell>
          <cell r="B24">
            <v>2016</v>
          </cell>
          <cell r="C24" t="str">
            <v>hsip_s0_a2</v>
          </cell>
          <cell r="D24">
            <v>262.92019653320313</v>
          </cell>
        </row>
        <row r="25">
          <cell r="A25" t="str">
            <v>BGD</v>
          </cell>
          <cell r="B25">
            <v>2016</v>
          </cell>
          <cell r="C25" t="str">
            <v>hsip_s0_a3</v>
          </cell>
          <cell r="D25">
            <v>294.88711547851563</v>
          </cell>
        </row>
        <row r="26">
          <cell r="A26" t="str">
            <v>BGD</v>
          </cell>
          <cell r="B26">
            <v>2016</v>
          </cell>
          <cell r="C26" t="str">
            <v>hsip_s0_a4</v>
          </cell>
          <cell r="D26">
            <v>350.97052001953125</v>
          </cell>
        </row>
        <row r="27">
          <cell r="A27" t="str">
            <v>BGD</v>
          </cell>
          <cell r="B27">
            <v>2016</v>
          </cell>
          <cell r="C27" t="str">
            <v>hsip_s0_a5</v>
          </cell>
          <cell r="D27">
            <v>336.52764892578125</v>
          </cell>
        </row>
        <row r="28">
          <cell r="A28" t="str">
            <v>BGD</v>
          </cell>
          <cell r="B28">
            <v>2016</v>
          </cell>
          <cell r="C28" t="str">
            <v>hsip_s0_a6</v>
          </cell>
          <cell r="D28">
            <v>324.07723999023438</v>
          </cell>
        </row>
        <row r="29">
          <cell r="A29" t="str">
            <v>BGD</v>
          </cell>
          <cell r="B29">
            <v>2016</v>
          </cell>
          <cell r="C29" t="str">
            <v>hsip_s1_a1</v>
          </cell>
          <cell r="D29">
            <v>214.89309692382813</v>
          </cell>
        </row>
        <row r="30">
          <cell r="A30" t="str">
            <v>BGD</v>
          </cell>
          <cell r="B30">
            <v>2016</v>
          </cell>
          <cell r="C30" t="str">
            <v>hsip_s1_a2</v>
          </cell>
          <cell r="D30">
            <v>314.21365356445313</v>
          </cell>
        </row>
        <row r="31">
          <cell r="A31" t="str">
            <v>BGD</v>
          </cell>
          <cell r="B31">
            <v>2016</v>
          </cell>
          <cell r="C31" t="str">
            <v>hsip_s1_a3</v>
          </cell>
          <cell r="D31">
            <v>461.59762573242188</v>
          </cell>
        </row>
        <row r="32">
          <cell r="A32" t="str">
            <v>BGD</v>
          </cell>
          <cell r="B32">
            <v>2016</v>
          </cell>
          <cell r="C32" t="str">
            <v>hsip_s1_a4</v>
          </cell>
          <cell r="D32">
            <v>458.55056762695313</v>
          </cell>
        </row>
        <row r="33">
          <cell r="A33" t="str">
            <v>BGD</v>
          </cell>
          <cell r="B33">
            <v>2016</v>
          </cell>
          <cell r="C33" t="str">
            <v>hsip_s1_a5</v>
          </cell>
          <cell r="D33">
            <v>652.49298095703125</v>
          </cell>
        </row>
        <row r="34">
          <cell r="A34" t="str">
            <v>BGD</v>
          </cell>
          <cell r="B34">
            <v>2016</v>
          </cell>
          <cell r="C34" t="str">
            <v>hsip_s1_a6</v>
          </cell>
          <cell r="D34">
            <v>567.2166748046875</v>
          </cell>
        </row>
        <row r="35">
          <cell r="A35" t="str">
            <v>BGD</v>
          </cell>
          <cell r="B35">
            <v>2022</v>
          </cell>
          <cell r="C35" t="str">
            <v>hspop_total</v>
          </cell>
          <cell r="D35">
            <v>165687184</v>
          </cell>
        </row>
        <row r="36">
          <cell r="A36" t="str">
            <v>BGD</v>
          </cell>
          <cell r="B36">
            <v>2022</v>
          </cell>
          <cell r="C36" t="str">
            <v>hspop_0014</v>
          </cell>
          <cell r="D36">
            <v>46586420</v>
          </cell>
        </row>
        <row r="37">
          <cell r="A37" t="str">
            <v>BGD</v>
          </cell>
          <cell r="B37">
            <v>2022</v>
          </cell>
          <cell r="C37" t="str">
            <v>hspop_1564</v>
          </cell>
          <cell r="D37">
            <v>108849192</v>
          </cell>
        </row>
        <row r="38">
          <cell r="A38" t="str">
            <v>BGD</v>
          </cell>
          <cell r="B38">
            <v>2022</v>
          </cell>
          <cell r="C38" t="str">
            <v>hspop_65up</v>
          </cell>
          <cell r="D38">
            <v>10251569</v>
          </cell>
        </row>
        <row r="39">
          <cell r="A39" t="str">
            <v>BGD</v>
          </cell>
          <cell r="B39">
            <v>2022</v>
          </cell>
          <cell r="C39" t="str">
            <v>hslstatus3_1564</v>
          </cell>
          <cell r="D39">
            <v>56894816</v>
          </cell>
        </row>
        <row r="40">
          <cell r="A40" t="str">
            <v>BGD</v>
          </cell>
          <cell r="B40">
            <v>2022</v>
          </cell>
          <cell r="C40" t="str">
            <v>hslstatus2_1564</v>
          </cell>
          <cell r="D40">
            <v>2431221.5</v>
          </cell>
        </row>
        <row r="41">
          <cell r="A41" t="str">
            <v>BGD</v>
          </cell>
          <cell r="B41">
            <v>2022</v>
          </cell>
          <cell r="C41" t="str">
            <v>hslstatus1_1564</v>
          </cell>
          <cell r="D41">
            <v>49523156</v>
          </cell>
        </row>
        <row r="42">
          <cell r="A42" t="str">
            <v>BGD</v>
          </cell>
          <cell r="B42">
            <v>2022</v>
          </cell>
          <cell r="C42" t="str">
            <v>hslstatus12_1564</v>
          </cell>
          <cell r="D42">
            <v>51954376</v>
          </cell>
        </row>
        <row r="43">
          <cell r="A43" t="str">
            <v>BGD</v>
          </cell>
          <cell r="B43">
            <v>2022</v>
          </cell>
          <cell r="C43" t="str">
            <v>hslstatus1_s0_a1</v>
          </cell>
          <cell r="D43">
            <v>2187952.5</v>
          </cell>
        </row>
        <row r="44">
          <cell r="A44" t="str">
            <v>BGD</v>
          </cell>
          <cell r="B44">
            <v>2022</v>
          </cell>
          <cell r="C44" t="str">
            <v>hslstatus1_s0_a2</v>
          </cell>
          <cell r="D44">
            <v>2498559.25</v>
          </cell>
        </row>
        <row r="45">
          <cell r="A45" t="str">
            <v>BGD</v>
          </cell>
          <cell r="B45">
            <v>2022</v>
          </cell>
          <cell r="C45" t="str">
            <v>hslstatus1_s0_a3</v>
          </cell>
          <cell r="D45">
            <v>7370255</v>
          </cell>
        </row>
        <row r="46">
          <cell r="A46" t="str">
            <v>BGD</v>
          </cell>
          <cell r="B46">
            <v>2022</v>
          </cell>
          <cell r="C46" t="str">
            <v>hslstatus1_s0_a4</v>
          </cell>
          <cell r="D46">
            <v>4110609.5</v>
          </cell>
        </row>
        <row r="47">
          <cell r="A47" t="str">
            <v>BGD</v>
          </cell>
          <cell r="B47">
            <v>2022</v>
          </cell>
          <cell r="C47" t="str">
            <v>hslstatus1_s0_a5</v>
          </cell>
          <cell r="D47">
            <v>2851884.25</v>
          </cell>
        </row>
        <row r="48">
          <cell r="A48" t="str">
            <v>BGD</v>
          </cell>
          <cell r="B48">
            <v>2022</v>
          </cell>
          <cell r="C48" t="str">
            <v>hslstatus1_s0_a6</v>
          </cell>
          <cell r="D48">
            <v>2599663.25</v>
          </cell>
        </row>
        <row r="49">
          <cell r="A49" t="str">
            <v>BGD</v>
          </cell>
          <cell r="B49">
            <v>2022</v>
          </cell>
          <cell r="C49" t="str">
            <v>hslstatus1_s1_a1</v>
          </cell>
          <cell r="D49">
            <v>13844815</v>
          </cell>
        </row>
        <row r="50">
          <cell r="A50" t="str">
            <v>BGD</v>
          </cell>
          <cell r="B50">
            <v>2022</v>
          </cell>
          <cell r="C50" t="str">
            <v>hslstatus1_s1_a2</v>
          </cell>
          <cell r="D50">
            <v>1403765.25</v>
          </cell>
        </row>
        <row r="51">
          <cell r="A51" t="str">
            <v>BGD</v>
          </cell>
          <cell r="B51">
            <v>2022</v>
          </cell>
          <cell r="C51" t="str">
            <v>hslstatus1_s1_a3</v>
          </cell>
          <cell r="D51">
            <v>4519052</v>
          </cell>
        </row>
        <row r="52">
          <cell r="A52" t="str">
            <v>BGD</v>
          </cell>
          <cell r="B52">
            <v>2022</v>
          </cell>
          <cell r="C52" t="str">
            <v>hslstatus1_s1_a4</v>
          </cell>
          <cell r="D52">
            <v>439593.625</v>
          </cell>
        </row>
        <row r="53">
          <cell r="A53" t="str">
            <v>BGD</v>
          </cell>
          <cell r="B53">
            <v>2022</v>
          </cell>
          <cell r="C53" t="str">
            <v>hslstatus1_s1_a5</v>
          </cell>
          <cell r="D53">
            <v>3812945</v>
          </cell>
        </row>
        <row r="54">
          <cell r="A54" t="str">
            <v>BGD</v>
          </cell>
          <cell r="B54">
            <v>2022</v>
          </cell>
          <cell r="C54" t="str">
            <v>hslstatus1_s1_a6</v>
          </cell>
          <cell r="D54">
            <v>3884060</v>
          </cell>
        </row>
        <row r="55">
          <cell r="A55" t="str">
            <v>BGD</v>
          </cell>
          <cell r="B55">
            <v>2022</v>
          </cell>
          <cell r="C55" t="str">
            <v>hsip_total</v>
          </cell>
          <cell r="D55">
            <v>644.16278076171875</v>
          </cell>
        </row>
        <row r="56">
          <cell r="A56" t="str">
            <v>BGD</v>
          </cell>
          <cell r="B56">
            <v>2022</v>
          </cell>
          <cell r="C56" t="str">
            <v>hsip_s0_a1</v>
          </cell>
          <cell r="D56">
            <v>307.55319213867188</v>
          </cell>
        </row>
        <row r="57">
          <cell r="A57" t="str">
            <v>BGD</v>
          </cell>
          <cell r="B57">
            <v>2022</v>
          </cell>
          <cell r="C57" t="str">
            <v>hsip_s0_a2</v>
          </cell>
          <cell r="D57">
            <v>413.12948608398438</v>
          </cell>
        </row>
        <row r="58">
          <cell r="A58" t="str">
            <v>BGD</v>
          </cell>
          <cell r="B58">
            <v>2022</v>
          </cell>
          <cell r="C58" t="str">
            <v>hsip_s0_a3</v>
          </cell>
          <cell r="D58">
            <v>692.45709228515625</v>
          </cell>
        </row>
        <row r="59">
          <cell r="A59" t="str">
            <v>BGD</v>
          </cell>
          <cell r="B59">
            <v>2022</v>
          </cell>
          <cell r="C59" t="str">
            <v>hsip_s0_a4</v>
          </cell>
          <cell r="D59">
            <v>499.87655639648438</v>
          </cell>
        </row>
        <row r="60">
          <cell r="A60" t="str">
            <v>BGD</v>
          </cell>
          <cell r="B60">
            <v>2022</v>
          </cell>
          <cell r="C60" t="str">
            <v>hsip_s0_a5</v>
          </cell>
          <cell r="D60">
            <v>546.15631103515625</v>
          </cell>
        </row>
        <row r="61">
          <cell r="A61" t="str">
            <v>BGD</v>
          </cell>
          <cell r="B61">
            <v>2022</v>
          </cell>
          <cell r="C61" t="str">
            <v>hsip_s0_a6</v>
          </cell>
          <cell r="D61">
            <v>482.7186279296875</v>
          </cell>
        </row>
        <row r="62">
          <cell r="A62" t="str">
            <v>BGD</v>
          </cell>
          <cell r="B62">
            <v>2022</v>
          </cell>
          <cell r="C62" t="str">
            <v>hsip_s1_a1</v>
          </cell>
          <cell r="D62">
            <v>416.44741821289063</v>
          </cell>
        </row>
        <row r="63">
          <cell r="A63" t="str">
            <v>BGD</v>
          </cell>
          <cell r="B63">
            <v>2022</v>
          </cell>
          <cell r="C63" t="str">
            <v>hsip_s1_a2</v>
          </cell>
          <cell r="D63">
            <v>1190.7633056640625</v>
          </cell>
        </row>
        <row r="64">
          <cell r="A64" t="str">
            <v>BGD</v>
          </cell>
          <cell r="B64">
            <v>2022</v>
          </cell>
          <cell r="C64" t="str">
            <v>hsip_s1_a3</v>
          </cell>
          <cell r="D64">
            <v>768.83978271484375</v>
          </cell>
        </row>
        <row r="65">
          <cell r="A65" t="str">
            <v>BGD</v>
          </cell>
          <cell r="B65">
            <v>2022</v>
          </cell>
          <cell r="C65" t="str">
            <v>hsip_s1_a4</v>
          </cell>
          <cell r="D65">
            <v>1250.7032470703125</v>
          </cell>
        </row>
        <row r="66">
          <cell r="A66" t="str">
            <v>BGD</v>
          </cell>
          <cell r="B66">
            <v>2022</v>
          </cell>
          <cell r="C66" t="str">
            <v>hsip_s1_a5</v>
          </cell>
          <cell r="D66">
            <v>1389.0208740234375</v>
          </cell>
        </row>
        <row r="67">
          <cell r="A67" t="str">
            <v>BGD</v>
          </cell>
          <cell r="B67">
            <v>2022</v>
          </cell>
          <cell r="C67" t="str">
            <v>hsip_s1_a6</v>
          </cell>
          <cell r="D67">
            <v>825.07861328125</v>
          </cell>
        </row>
        <row r="68">
          <cell r="A68" t="str">
            <v>BGD</v>
          </cell>
          <cell r="B68">
            <v>2005</v>
          </cell>
          <cell r="C68" t="str">
            <v>lfpop_total</v>
          </cell>
          <cell r="D68">
            <v>137298800</v>
          </cell>
        </row>
        <row r="69">
          <cell r="A69" t="str">
            <v>BGD</v>
          </cell>
          <cell r="B69">
            <v>2005</v>
          </cell>
          <cell r="C69" t="str">
            <v>lfpop_0014</v>
          </cell>
          <cell r="D69">
            <v>52712600</v>
          </cell>
        </row>
        <row r="70">
          <cell r="A70" t="str">
            <v>BGD</v>
          </cell>
          <cell r="B70">
            <v>2005</v>
          </cell>
          <cell r="C70" t="str">
            <v>lfpop_1564</v>
          </cell>
          <cell r="D70">
            <v>79598592</v>
          </cell>
        </row>
        <row r="71">
          <cell r="A71" t="str">
            <v>BGD</v>
          </cell>
          <cell r="B71">
            <v>2005</v>
          </cell>
          <cell r="C71" t="str">
            <v>lfpop_65up</v>
          </cell>
          <cell r="D71">
            <v>4987599</v>
          </cell>
        </row>
        <row r="72">
          <cell r="A72" t="str">
            <v>BGD</v>
          </cell>
          <cell r="B72">
            <v>2005</v>
          </cell>
          <cell r="C72" t="str">
            <v>lflstatus3_1564</v>
          </cell>
          <cell r="D72">
            <v>32117402</v>
          </cell>
        </row>
        <row r="73">
          <cell r="A73" t="str">
            <v>BGD</v>
          </cell>
          <cell r="B73">
            <v>2005</v>
          </cell>
          <cell r="C73" t="str">
            <v>lflstatus2_1564</v>
          </cell>
          <cell r="D73">
            <v>1990338.5</v>
          </cell>
        </row>
        <row r="74">
          <cell r="A74" t="str">
            <v>BGD</v>
          </cell>
          <cell r="B74">
            <v>2005</v>
          </cell>
          <cell r="C74" t="str">
            <v>lflstatus1_1564</v>
          </cell>
          <cell r="D74">
            <v>45490856</v>
          </cell>
        </row>
        <row r="75">
          <cell r="A75" t="str">
            <v>BGD</v>
          </cell>
          <cell r="B75">
            <v>2005</v>
          </cell>
          <cell r="C75" t="str">
            <v>lflstatus12_1564</v>
          </cell>
          <cell r="D75">
            <v>47481196</v>
          </cell>
        </row>
        <row r="76">
          <cell r="A76" t="str">
            <v>BGD</v>
          </cell>
          <cell r="B76">
            <v>2005</v>
          </cell>
          <cell r="C76" t="str">
            <v>lflstatus1_s0_a1</v>
          </cell>
          <cell r="D76">
            <v>6771243</v>
          </cell>
        </row>
        <row r="77">
          <cell r="A77" t="str">
            <v>BGD</v>
          </cell>
          <cell r="B77">
            <v>2005</v>
          </cell>
          <cell r="C77" t="str">
            <v>lflstatus1_s0_a2</v>
          </cell>
          <cell r="D77">
            <v>1433614.25</v>
          </cell>
        </row>
        <row r="78">
          <cell r="A78" t="str">
            <v>BGD</v>
          </cell>
          <cell r="B78">
            <v>2005</v>
          </cell>
          <cell r="C78" t="str">
            <v>lflstatus1_s0_a3</v>
          </cell>
          <cell r="D78">
            <v>4807777</v>
          </cell>
        </row>
        <row r="79">
          <cell r="A79" t="str">
            <v>BGD</v>
          </cell>
          <cell r="B79">
            <v>2005</v>
          </cell>
          <cell r="C79" t="str">
            <v>lflstatus1_s0_a4</v>
          </cell>
          <cell r="D79">
            <v>3894055.25</v>
          </cell>
        </row>
        <row r="80">
          <cell r="A80" t="str">
            <v>BGD</v>
          </cell>
          <cell r="B80">
            <v>2005</v>
          </cell>
          <cell r="C80" t="str">
            <v>lflstatus1_s0_a5</v>
          </cell>
          <cell r="D80">
            <v>402966.96875</v>
          </cell>
        </row>
        <row r="81">
          <cell r="A81" t="str">
            <v>BGD</v>
          </cell>
          <cell r="B81">
            <v>2005</v>
          </cell>
          <cell r="C81" t="str">
            <v>lflstatus1_s0_a6</v>
          </cell>
          <cell r="D81">
            <v>10971090</v>
          </cell>
        </row>
        <row r="82">
          <cell r="A82" t="str">
            <v>BGD</v>
          </cell>
          <cell r="B82">
            <v>2005</v>
          </cell>
          <cell r="C82" t="str">
            <v>lflstatus1_s1_a1</v>
          </cell>
          <cell r="D82">
            <v>14661224</v>
          </cell>
        </row>
        <row r="83">
          <cell r="A83" t="str">
            <v>BGD</v>
          </cell>
          <cell r="B83">
            <v>2005</v>
          </cell>
          <cell r="C83" t="str">
            <v>lflstatus1_s1_a2</v>
          </cell>
          <cell r="D83">
            <v>73724.40625</v>
          </cell>
        </row>
        <row r="84">
          <cell r="A84" t="str">
            <v>BGD</v>
          </cell>
          <cell r="B84">
            <v>2005</v>
          </cell>
          <cell r="C84" t="str">
            <v>lflstatus1_s1_a3</v>
          </cell>
          <cell r="D84">
            <v>387684.03125</v>
          </cell>
        </row>
        <row r="85">
          <cell r="A85" t="str">
            <v>BGD</v>
          </cell>
          <cell r="B85">
            <v>2005</v>
          </cell>
          <cell r="C85" t="str">
            <v>lflstatus1_s1_a4</v>
          </cell>
          <cell r="D85">
            <v>40036.2890625</v>
          </cell>
        </row>
        <row r="86">
          <cell r="A86" t="str">
            <v>BGD</v>
          </cell>
          <cell r="B86">
            <v>2005</v>
          </cell>
          <cell r="C86" t="str">
            <v>lflstatus1_s1_a5</v>
          </cell>
          <cell r="D86">
            <v>327650.90625</v>
          </cell>
        </row>
        <row r="87">
          <cell r="A87" t="str">
            <v>BGD</v>
          </cell>
          <cell r="B87">
            <v>2005</v>
          </cell>
          <cell r="C87" t="str">
            <v>lflstatus1_s1_a6</v>
          </cell>
          <cell r="D87">
            <v>1719789.375</v>
          </cell>
        </row>
        <row r="88">
          <cell r="A88" t="str">
            <v>BGD</v>
          </cell>
          <cell r="B88">
            <v>2005</v>
          </cell>
          <cell r="C88" t="str">
            <v>lfip_total</v>
          </cell>
          <cell r="D88">
            <v>2590.103759765625</v>
          </cell>
        </row>
        <row r="89">
          <cell r="A89" t="str">
            <v>BGD</v>
          </cell>
          <cell r="B89">
            <v>2005</v>
          </cell>
          <cell r="C89" t="str">
            <v>lfip_s0_a1</v>
          </cell>
          <cell r="D89">
            <v>579.94146728515625</v>
          </cell>
        </row>
        <row r="90">
          <cell r="A90" t="str">
            <v>BGD</v>
          </cell>
          <cell r="B90">
            <v>2005</v>
          </cell>
          <cell r="C90" t="str">
            <v>lfip_s0_a2</v>
          </cell>
          <cell r="D90">
            <v>936.97808837890625</v>
          </cell>
        </row>
        <row r="91">
          <cell r="A91" t="str">
            <v>BGD</v>
          </cell>
          <cell r="B91">
            <v>2005</v>
          </cell>
          <cell r="C91" t="str">
            <v>lfip_s0_a3</v>
          </cell>
          <cell r="D91">
            <v>2188.634521484375</v>
          </cell>
        </row>
        <row r="92">
          <cell r="A92" t="str">
            <v>BGD</v>
          </cell>
          <cell r="B92">
            <v>2005</v>
          </cell>
          <cell r="C92" t="str">
            <v>lfip_s0_a4</v>
          </cell>
          <cell r="D92">
            <v>3003.296142578125</v>
          </cell>
        </row>
        <row r="93">
          <cell r="A93" t="str">
            <v>BGD</v>
          </cell>
          <cell r="B93">
            <v>2005</v>
          </cell>
          <cell r="C93" t="str">
            <v>lfip_s0_a5</v>
          </cell>
          <cell r="D93">
            <v>6228.98486328125</v>
          </cell>
        </row>
        <row r="94">
          <cell r="A94" t="str">
            <v>BGD</v>
          </cell>
          <cell r="B94">
            <v>2005</v>
          </cell>
          <cell r="C94" t="str">
            <v>lfip_s0_a6</v>
          </cell>
          <cell r="D94">
            <v>4210.0380859375</v>
          </cell>
        </row>
        <row r="95">
          <cell r="A95" t="str">
            <v>BGD</v>
          </cell>
          <cell r="B95">
            <v>2005</v>
          </cell>
          <cell r="C95" t="str">
            <v>lfip_s1_a1</v>
          </cell>
          <cell r="D95">
            <v>645.69140625</v>
          </cell>
        </row>
        <row r="96">
          <cell r="A96" t="str">
            <v>BGD</v>
          </cell>
          <cell r="B96">
            <v>2005</v>
          </cell>
          <cell r="C96" t="str">
            <v>lfip_s1_a2</v>
          </cell>
          <cell r="D96">
            <v>7775.09375</v>
          </cell>
        </row>
        <row r="97">
          <cell r="A97" t="str">
            <v>BGD</v>
          </cell>
          <cell r="B97">
            <v>2005</v>
          </cell>
          <cell r="C97" t="str">
            <v>lfip_s1_a3</v>
          </cell>
          <cell r="D97">
            <v>6342.44775390625</v>
          </cell>
        </row>
        <row r="98">
          <cell r="A98" t="str">
            <v>BGD</v>
          </cell>
          <cell r="B98">
            <v>2005</v>
          </cell>
          <cell r="C98" t="str">
            <v>lfip_s1_a4</v>
          </cell>
          <cell r="D98">
            <v>8092.86669921875</v>
          </cell>
        </row>
        <row r="99">
          <cell r="A99" t="str">
            <v>BGD</v>
          </cell>
          <cell r="B99">
            <v>2005</v>
          </cell>
          <cell r="C99" t="str">
            <v>lfip_s1_a5</v>
          </cell>
          <cell r="D99">
            <v>11341.1875</v>
          </cell>
        </row>
        <row r="100">
          <cell r="A100" t="str">
            <v>BGD</v>
          </cell>
          <cell r="B100">
            <v>2005</v>
          </cell>
          <cell r="C100" t="str">
            <v>lfip_s1_a6</v>
          </cell>
          <cell r="D100">
            <v>6261.47509765625</v>
          </cell>
        </row>
        <row r="101">
          <cell r="A101" t="str">
            <v>BGD</v>
          </cell>
          <cell r="B101">
            <v>2010</v>
          </cell>
          <cell r="C101" t="str">
            <v>lfpop_total</v>
          </cell>
          <cell r="D101">
            <v>148708832</v>
          </cell>
        </row>
        <row r="102">
          <cell r="A102" t="str">
            <v>BGD</v>
          </cell>
          <cell r="B102">
            <v>2010</v>
          </cell>
          <cell r="C102" t="str">
            <v>lfpop_0014</v>
          </cell>
          <cell r="D102">
            <v>53149724</v>
          </cell>
        </row>
        <row r="103">
          <cell r="A103" t="str">
            <v>BGD</v>
          </cell>
          <cell r="B103">
            <v>2010</v>
          </cell>
          <cell r="C103" t="str">
            <v>lfpop_1564</v>
          </cell>
          <cell r="D103">
            <v>89696592</v>
          </cell>
        </row>
        <row r="104">
          <cell r="A104" t="str">
            <v>BGD</v>
          </cell>
          <cell r="B104">
            <v>2010</v>
          </cell>
          <cell r="C104" t="str">
            <v>lfpop_65up</v>
          </cell>
          <cell r="D104">
            <v>5862520</v>
          </cell>
        </row>
        <row r="105">
          <cell r="A105" t="str">
            <v>BGD</v>
          </cell>
          <cell r="B105">
            <v>2010</v>
          </cell>
          <cell r="C105" t="str">
            <v>lflstatus3_1564</v>
          </cell>
          <cell r="D105">
            <v>36015832</v>
          </cell>
        </row>
        <row r="106">
          <cell r="A106" t="str">
            <v>BGD</v>
          </cell>
          <cell r="B106">
            <v>2010</v>
          </cell>
          <cell r="C106" t="str">
            <v>lflstatus2_1564</v>
          </cell>
          <cell r="D106">
            <v>1552259.875</v>
          </cell>
        </row>
        <row r="107">
          <cell r="A107" t="str">
            <v>BGD</v>
          </cell>
          <cell r="B107">
            <v>2010</v>
          </cell>
          <cell r="C107" t="str">
            <v>lflstatus1_1564</v>
          </cell>
          <cell r="D107">
            <v>52128504</v>
          </cell>
        </row>
        <row r="108">
          <cell r="A108" t="str">
            <v>BGD</v>
          </cell>
          <cell r="B108">
            <v>2010</v>
          </cell>
          <cell r="C108" t="str">
            <v>lflstatus12_1564</v>
          </cell>
          <cell r="D108">
            <v>53680764</v>
          </cell>
        </row>
        <row r="109">
          <cell r="A109" t="str">
            <v>BGD</v>
          </cell>
          <cell r="B109">
            <v>2010</v>
          </cell>
          <cell r="C109" t="str">
            <v>lflstatus1_s0_a1</v>
          </cell>
          <cell r="D109">
            <v>17804160</v>
          </cell>
        </row>
        <row r="110">
          <cell r="A110" t="str">
            <v>BGD</v>
          </cell>
          <cell r="B110">
            <v>2010</v>
          </cell>
          <cell r="C110" t="str">
            <v>lflstatus1_s0_a2</v>
          </cell>
          <cell r="D110">
            <v>2463705.75</v>
          </cell>
        </row>
        <row r="111">
          <cell r="A111" t="str">
            <v>BGD</v>
          </cell>
          <cell r="B111">
            <v>2010</v>
          </cell>
          <cell r="C111" t="str">
            <v>lflstatus1_s0_a3</v>
          </cell>
          <cell r="D111">
            <v>6471444</v>
          </cell>
        </row>
        <row r="112">
          <cell r="A112" t="str">
            <v>BGD</v>
          </cell>
          <cell r="B112">
            <v>2010</v>
          </cell>
          <cell r="C112" t="str">
            <v>lflstatus1_s0_a4</v>
          </cell>
          <cell r="D112">
            <v>3907394</v>
          </cell>
        </row>
        <row r="113">
          <cell r="A113" t="str">
            <v>BGD</v>
          </cell>
          <cell r="B113">
            <v>2010</v>
          </cell>
          <cell r="C113" t="str">
            <v>lflstatus1_s0_a5</v>
          </cell>
          <cell r="D113">
            <v>503015.125</v>
          </cell>
        </row>
        <row r="114">
          <cell r="A114" t="str">
            <v>BGD</v>
          </cell>
          <cell r="B114">
            <v>2010</v>
          </cell>
          <cell r="C114" t="str">
            <v>lflstatus1_s0_a6</v>
          </cell>
          <cell r="D114">
            <v>11716647</v>
          </cell>
        </row>
        <row r="115">
          <cell r="A115" t="str">
            <v>BGD</v>
          </cell>
          <cell r="B115">
            <v>2010</v>
          </cell>
          <cell r="C115" t="str">
            <v>lflstatus1_s1_a1</v>
          </cell>
          <cell r="D115">
            <v>6289160.5</v>
          </cell>
        </row>
        <row r="116">
          <cell r="A116" t="str">
            <v>BGD</v>
          </cell>
          <cell r="B116">
            <v>2010</v>
          </cell>
          <cell r="C116" t="str">
            <v>lflstatus1_s1_a2</v>
          </cell>
          <cell r="D116">
            <v>96820.8671875</v>
          </cell>
        </row>
        <row r="117">
          <cell r="A117" t="str">
            <v>BGD</v>
          </cell>
          <cell r="B117">
            <v>2010</v>
          </cell>
          <cell r="C117" t="str">
            <v>lflstatus1_s1_a3</v>
          </cell>
          <cell r="D117">
            <v>261862</v>
          </cell>
        </row>
        <row r="118">
          <cell r="A118" t="str">
            <v>BGD</v>
          </cell>
          <cell r="B118">
            <v>2010</v>
          </cell>
          <cell r="C118" t="str">
            <v>lflstatus1_s1_a4</v>
          </cell>
          <cell r="D118">
            <v>66086.6640625</v>
          </cell>
        </row>
        <row r="119">
          <cell r="A119" t="str">
            <v>BGD</v>
          </cell>
          <cell r="B119">
            <v>2010</v>
          </cell>
          <cell r="C119" t="str">
            <v>lflstatus1_s1_a5</v>
          </cell>
          <cell r="D119">
            <v>475987.5</v>
          </cell>
        </row>
        <row r="120">
          <cell r="A120" t="str">
            <v>BGD</v>
          </cell>
          <cell r="B120">
            <v>2010</v>
          </cell>
          <cell r="C120" t="str">
            <v>lflstatus1_s1_a6</v>
          </cell>
          <cell r="D120">
            <v>2072219.75</v>
          </cell>
        </row>
        <row r="121">
          <cell r="A121" t="str">
            <v>BGD</v>
          </cell>
          <cell r="B121">
            <v>2010</v>
          </cell>
          <cell r="C121" t="str">
            <v>lfip_total</v>
          </cell>
          <cell r="D121">
            <v>6930.51318359375</v>
          </cell>
        </row>
        <row r="122">
          <cell r="A122" t="str">
            <v>BGD</v>
          </cell>
          <cell r="B122">
            <v>2010</v>
          </cell>
          <cell r="C122" t="str">
            <v>lfip_s0_a1</v>
          </cell>
          <cell r="D122">
            <v>5179.5390625</v>
          </cell>
        </row>
        <row r="123">
          <cell r="A123" t="str">
            <v>BGD</v>
          </cell>
          <cell r="B123">
            <v>2010</v>
          </cell>
          <cell r="C123" t="str">
            <v>lfip_s0_a2</v>
          </cell>
          <cell r="D123">
            <v>5618.01171875</v>
          </cell>
        </row>
        <row r="124">
          <cell r="A124" t="str">
            <v>BGD</v>
          </cell>
          <cell r="B124">
            <v>2010</v>
          </cell>
          <cell r="C124" t="str">
            <v>lfip_s0_a3</v>
          </cell>
          <cell r="D124">
            <v>6756.48046875</v>
          </cell>
        </row>
        <row r="125">
          <cell r="A125" t="str">
            <v>BGD</v>
          </cell>
          <cell r="B125">
            <v>2010</v>
          </cell>
          <cell r="C125" t="str">
            <v>lfip_s0_a4</v>
          </cell>
          <cell r="D125">
            <v>5896.541015625</v>
          </cell>
        </row>
        <row r="126">
          <cell r="A126" t="str">
            <v>BGD</v>
          </cell>
          <cell r="B126">
            <v>2010</v>
          </cell>
          <cell r="C126" t="str">
            <v>lfip_s0_a5</v>
          </cell>
          <cell r="D126">
            <v>10796.4462890625</v>
          </cell>
        </row>
        <row r="127">
          <cell r="A127" t="str">
            <v>BGD</v>
          </cell>
          <cell r="B127">
            <v>2010</v>
          </cell>
          <cell r="C127" t="str">
            <v>lfip_s0_a6</v>
          </cell>
          <cell r="D127">
            <v>7677.32080078125</v>
          </cell>
        </row>
        <row r="128">
          <cell r="A128" t="str">
            <v>BGD</v>
          </cell>
          <cell r="B128">
            <v>2010</v>
          </cell>
          <cell r="C128" t="str">
            <v>lfip_s1_a1</v>
          </cell>
          <cell r="D128">
            <v>6768.7861328125</v>
          </cell>
        </row>
        <row r="129">
          <cell r="A129" t="str">
            <v>BGD</v>
          </cell>
          <cell r="B129">
            <v>2010</v>
          </cell>
          <cell r="C129" t="str">
            <v>lfip_s1_a2</v>
          </cell>
          <cell r="D129">
            <v>14989.1923828125</v>
          </cell>
        </row>
        <row r="130">
          <cell r="A130" t="str">
            <v>BGD</v>
          </cell>
          <cell r="B130">
            <v>2010</v>
          </cell>
          <cell r="C130" t="str">
            <v>lfip_s1_a3</v>
          </cell>
          <cell r="D130">
            <v>10428.169921875</v>
          </cell>
        </row>
        <row r="131">
          <cell r="A131" t="str">
            <v>BGD</v>
          </cell>
          <cell r="B131">
            <v>2010</v>
          </cell>
          <cell r="C131" t="str">
            <v>lfip_s1_a4</v>
          </cell>
          <cell r="D131">
            <v>16210.470703125</v>
          </cell>
        </row>
        <row r="132">
          <cell r="A132" t="str">
            <v>BGD</v>
          </cell>
          <cell r="B132">
            <v>2010</v>
          </cell>
          <cell r="C132" t="str">
            <v>lfip_s1_a5</v>
          </cell>
          <cell r="D132">
            <v>16248.458984375</v>
          </cell>
        </row>
        <row r="133">
          <cell r="A133" t="str">
            <v>BGD</v>
          </cell>
          <cell r="B133">
            <v>2010</v>
          </cell>
          <cell r="C133" t="str">
            <v>lfip_s1_a6</v>
          </cell>
          <cell r="D133">
            <v>10286.9365234375</v>
          </cell>
        </row>
        <row r="134">
          <cell r="A134" t="str">
            <v>BGD</v>
          </cell>
          <cell r="B134">
            <v>2013</v>
          </cell>
          <cell r="C134" t="str">
            <v>lfpop_total</v>
          </cell>
          <cell r="D134">
            <v>154145728</v>
          </cell>
        </row>
        <row r="135">
          <cell r="A135" t="str">
            <v>BGD</v>
          </cell>
          <cell r="B135">
            <v>2013</v>
          </cell>
          <cell r="C135" t="str">
            <v>lfpop_0014</v>
          </cell>
          <cell r="D135">
            <v>47880580</v>
          </cell>
        </row>
        <row r="136">
          <cell r="A136" t="str">
            <v>BGD</v>
          </cell>
          <cell r="B136">
            <v>2013</v>
          </cell>
          <cell r="C136" t="str">
            <v>lfpop_1564</v>
          </cell>
          <cell r="D136">
            <v>97681976</v>
          </cell>
        </row>
        <row r="137">
          <cell r="A137" t="str">
            <v>BGD</v>
          </cell>
          <cell r="B137">
            <v>2013</v>
          </cell>
          <cell r="C137" t="str">
            <v>lfpop_65up</v>
          </cell>
          <cell r="D137">
            <v>8583175</v>
          </cell>
        </row>
        <row r="138">
          <cell r="A138" t="str">
            <v>BGD</v>
          </cell>
          <cell r="B138">
            <v>2013</v>
          </cell>
          <cell r="C138" t="str">
            <v>lflstatus3_1564</v>
          </cell>
          <cell r="D138">
            <v>39904000</v>
          </cell>
        </row>
        <row r="139">
          <cell r="A139" t="str">
            <v>BGD</v>
          </cell>
          <cell r="B139">
            <v>2013</v>
          </cell>
          <cell r="C139" t="str">
            <v>lflstatus2_1564</v>
          </cell>
          <cell r="D139">
            <v>2574756.5</v>
          </cell>
        </row>
        <row r="140">
          <cell r="A140" t="str">
            <v>BGD</v>
          </cell>
          <cell r="B140">
            <v>2013</v>
          </cell>
          <cell r="C140" t="str">
            <v>lflstatus1_1564</v>
          </cell>
          <cell r="D140">
            <v>55203220</v>
          </cell>
        </row>
        <row r="141">
          <cell r="A141" t="str">
            <v>BGD</v>
          </cell>
          <cell r="B141">
            <v>2013</v>
          </cell>
          <cell r="C141" t="str">
            <v>lflstatus12_1564</v>
          </cell>
          <cell r="D141">
            <v>57777976</v>
          </cell>
        </row>
        <row r="142">
          <cell r="A142" t="str">
            <v>BGD</v>
          </cell>
          <cell r="B142">
            <v>2013</v>
          </cell>
          <cell r="C142" t="str">
            <v>lflstatus1_s0_a1</v>
          </cell>
          <cell r="D142">
            <v>4715849</v>
          </cell>
        </row>
        <row r="143">
          <cell r="A143" t="str">
            <v>BGD</v>
          </cell>
          <cell r="B143">
            <v>2013</v>
          </cell>
          <cell r="C143" t="str">
            <v>lflstatus1_s0_a2</v>
          </cell>
          <cell r="D143">
            <v>1948068.375</v>
          </cell>
        </row>
        <row r="144">
          <cell r="A144" t="str">
            <v>BGD</v>
          </cell>
          <cell r="B144">
            <v>2013</v>
          </cell>
          <cell r="C144" t="str">
            <v>lflstatus1_s0_a3</v>
          </cell>
          <cell r="D144">
            <v>9075507</v>
          </cell>
        </row>
        <row r="145">
          <cell r="A145" t="str">
            <v>BGD</v>
          </cell>
          <cell r="B145">
            <v>2013</v>
          </cell>
          <cell r="C145" t="str">
            <v>lflstatus1_s0_a4</v>
          </cell>
          <cell r="D145">
            <v>3699800.75</v>
          </cell>
        </row>
        <row r="146">
          <cell r="A146" t="str">
            <v>BGD</v>
          </cell>
          <cell r="B146">
            <v>2013</v>
          </cell>
          <cell r="C146" t="str">
            <v>lflstatus1_s0_a5</v>
          </cell>
          <cell r="D146">
            <v>670694.4375</v>
          </cell>
        </row>
        <row r="147">
          <cell r="A147" t="str">
            <v>BGD</v>
          </cell>
          <cell r="B147">
            <v>2013</v>
          </cell>
          <cell r="C147" t="str">
            <v>lflstatus1_s0_a6</v>
          </cell>
          <cell r="D147">
            <v>11253571</v>
          </cell>
        </row>
        <row r="148">
          <cell r="A148" t="str">
            <v>BGD</v>
          </cell>
          <cell r="B148">
            <v>2013</v>
          </cell>
          <cell r="C148" t="str">
            <v>lflstatus1_s1_a1</v>
          </cell>
          <cell r="D148">
            <v>19509852</v>
          </cell>
        </row>
        <row r="149">
          <cell r="A149" t="str">
            <v>BGD</v>
          </cell>
          <cell r="B149">
            <v>2013</v>
          </cell>
          <cell r="C149" t="str">
            <v>lflstatus1_s1_a2</v>
          </cell>
          <cell r="D149">
            <v>153833.65625</v>
          </cell>
        </row>
        <row r="150">
          <cell r="A150" t="str">
            <v>BGD</v>
          </cell>
          <cell r="B150">
            <v>2013</v>
          </cell>
          <cell r="C150" t="str">
            <v>lflstatus1_s1_a3</v>
          </cell>
          <cell r="D150">
            <v>452084.65625</v>
          </cell>
        </row>
        <row r="151">
          <cell r="A151" t="str">
            <v>BGD</v>
          </cell>
          <cell r="B151">
            <v>2013</v>
          </cell>
          <cell r="C151" t="str">
            <v>lflstatus1_s1_a4</v>
          </cell>
          <cell r="D151">
            <v>114472.8125</v>
          </cell>
        </row>
        <row r="152">
          <cell r="A152" t="str">
            <v>BGD</v>
          </cell>
          <cell r="B152">
            <v>2013</v>
          </cell>
          <cell r="C152" t="str">
            <v>lflstatus1_s1_a5</v>
          </cell>
          <cell r="D152">
            <v>557313.0625</v>
          </cell>
        </row>
        <row r="153">
          <cell r="A153" t="str">
            <v>BGD</v>
          </cell>
          <cell r="B153">
            <v>2013</v>
          </cell>
          <cell r="C153" t="str">
            <v>lflstatus1_s1_a6</v>
          </cell>
          <cell r="D153">
            <v>3052173.75</v>
          </cell>
        </row>
        <row r="154">
          <cell r="A154" t="str">
            <v>BGD</v>
          </cell>
          <cell r="B154">
            <v>2013</v>
          </cell>
          <cell r="C154" t="str">
            <v>lfip_total</v>
          </cell>
          <cell r="D154">
            <v>11518.634765625</v>
          </cell>
        </row>
        <row r="155">
          <cell r="A155" t="str">
            <v>BGD</v>
          </cell>
          <cell r="B155">
            <v>2013</v>
          </cell>
          <cell r="C155" t="str">
            <v>lfip_s0_a1</v>
          </cell>
          <cell r="D155">
            <v>8345.03125</v>
          </cell>
        </row>
        <row r="156">
          <cell r="A156" t="str">
            <v>BGD</v>
          </cell>
          <cell r="B156">
            <v>2013</v>
          </cell>
          <cell r="C156" t="str">
            <v>lfip_s0_a2</v>
          </cell>
          <cell r="D156">
            <v>9859.828125</v>
          </cell>
        </row>
        <row r="157">
          <cell r="A157" t="str">
            <v>BGD</v>
          </cell>
          <cell r="B157">
            <v>2013</v>
          </cell>
          <cell r="C157" t="str">
            <v>lfip_s0_a3</v>
          </cell>
          <cell r="D157">
            <v>11245.3203125</v>
          </cell>
        </row>
        <row r="158">
          <cell r="A158" t="str">
            <v>BGD</v>
          </cell>
          <cell r="B158">
            <v>2013</v>
          </cell>
          <cell r="C158" t="str">
            <v>lfip_s0_a4</v>
          </cell>
          <cell r="D158">
            <v>11266.203125</v>
          </cell>
        </row>
        <row r="159">
          <cell r="A159" t="str">
            <v>BGD</v>
          </cell>
          <cell r="B159">
            <v>2013</v>
          </cell>
          <cell r="C159" t="str">
            <v>lfip_s0_a5</v>
          </cell>
          <cell r="D159">
            <v>13817.87109375</v>
          </cell>
        </row>
        <row r="160">
          <cell r="A160" t="str">
            <v>BGD</v>
          </cell>
          <cell r="B160">
            <v>2013</v>
          </cell>
          <cell r="C160" t="str">
            <v>lfip_s0_a6</v>
          </cell>
          <cell r="D160">
            <v>10584.3212890625</v>
          </cell>
        </row>
        <row r="161">
          <cell r="A161" t="str">
            <v>BGD</v>
          </cell>
          <cell r="B161">
            <v>2013</v>
          </cell>
          <cell r="C161" t="str">
            <v>lfip_s1_a1</v>
          </cell>
          <cell r="D161">
            <v>9768.025390625</v>
          </cell>
        </row>
        <row r="162">
          <cell r="A162" t="str">
            <v>BGD</v>
          </cell>
          <cell r="B162">
            <v>2013</v>
          </cell>
          <cell r="C162" t="str">
            <v>lfip_s1_a2</v>
          </cell>
          <cell r="D162">
            <v>17830.21484375</v>
          </cell>
        </row>
        <row r="163">
          <cell r="A163" t="str">
            <v>BGD</v>
          </cell>
          <cell r="B163">
            <v>2013</v>
          </cell>
          <cell r="C163" t="str">
            <v>lfip_s1_a3</v>
          </cell>
          <cell r="D163">
            <v>19272.958984375</v>
          </cell>
        </row>
        <row r="164">
          <cell r="A164" t="str">
            <v>BGD</v>
          </cell>
          <cell r="B164">
            <v>2013</v>
          </cell>
          <cell r="C164" t="str">
            <v>lfip_s1_a4</v>
          </cell>
          <cell r="D164">
            <v>35722.515625</v>
          </cell>
        </row>
        <row r="165">
          <cell r="A165" t="str">
            <v>BGD</v>
          </cell>
          <cell r="B165">
            <v>2013</v>
          </cell>
          <cell r="C165" t="str">
            <v>lfip_s1_a5</v>
          </cell>
          <cell r="D165">
            <v>21160.826171875</v>
          </cell>
        </row>
        <row r="166">
          <cell r="A166" t="str">
            <v>BGD</v>
          </cell>
          <cell r="B166">
            <v>2013</v>
          </cell>
          <cell r="C166" t="str">
            <v>lfip_s1_a6</v>
          </cell>
          <cell r="D166">
            <v>16739.12109375</v>
          </cell>
        </row>
        <row r="167">
          <cell r="A167" t="str">
            <v>BGD</v>
          </cell>
          <cell r="B167">
            <v>2015</v>
          </cell>
          <cell r="C167" t="str">
            <v>lfpop_total</v>
          </cell>
          <cell r="D167">
            <v>158482912</v>
          </cell>
        </row>
        <row r="168">
          <cell r="A168" t="str">
            <v>BGD</v>
          </cell>
          <cell r="B168">
            <v>2015</v>
          </cell>
          <cell r="C168" t="str">
            <v>lfpop_0014</v>
          </cell>
          <cell r="D168">
            <v>52350832</v>
          </cell>
        </row>
        <row r="169">
          <cell r="A169" t="str">
            <v>BGD</v>
          </cell>
          <cell r="B169">
            <v>2015</v>
          </cell>
          <cell r="C169" t="str">
            <v>lfpop_1564</v>
          </cell>
          <cell r="D169">
            <v>98675416</v>
          </cell>
        </row>
        <row r="170">
          <cell r="A170" t="str">
            <v>BGD</v>
          </cell>
          <cell r="B170">
            <v>2015</v>
          </cell>
          <cell r="C170" t="str">
            <v>lfpop_65up</v>
          </cell>
          <cell r="D170">
            <v>7456660</v>
          </cell>
        </row>
        <row r="171">
          <cell r="A171" t="str">
            <v>BGD</v>
          </cell>
          <cell r="B171">
            <v>2015</v>
          </cell>
          <cell r="C171" t="str">
            <v>lflstatus3_1564</v>
          </cell>
          <cell r="D171">
            <v>39339372</v>
          </cell>
        </row>
        <row r="172">
          <cell r="A172" t="str">
            <v>BGD</v>
          </cell>
          <cell r="B172">
            <v>2015</v>
          </cell>
          <cell r="C172" t="str">
            <v>lflstatus2_1564</v>
          </cell>
          <cell r="D172">
            <v>2247111.5</v>
          </cell>
        </row>
        <row r="173">
          <cell r="A173" t="str">
            <v>BGD</v>
          </cell>
          <cell r="B173">
            <v>2015</v>
          </cell>
          <cell r="C173" t="str">
            <v>lflstatus1_1564</v>
          </cell>
          <cell r="D173">
            <v>57088936</v>
          </cell>
        </row>
        <row r="174">
          <cell r="A174" t="str">
            <v>BGD</v>
          </cell>
          <cell r="B174">
            <v>2015</v>
          </cell>
          <cell r="C174" t="str">
            <v>lflstatus12_1564</v>
          </cell>
          <cell r="D174">
            <v>59336048</v>
          </cell>
        </row>
        <row r="175">
          <cell r="A175" t="str">
            <v>BGD</v>
          </cell>
          <cell r="B175">
            <v>2015</v>
          </cell>
          <cell r="C175" t="str">
            <v>lflstatus1_s0_a1</v>
          </cell>
          <cell r="D175">
            <v>5736185.5</v>
          </cell>
        </row>
        <row r="176">
          <cell r="A176" t="str">
            <v>BGD</v>
          </cell>
          <cell r="B176">
            <v>2015</v>
          </cell>
          <cell r="C176" t="str">
            <v>lflstatus1_s0_a2</v>
          </cell>
          <cell r="D176">
            <v>3113681.75</v>
          </cell>
        </row>
        <row r="177">
          <cell r="A177" t="str">
            <v>BGD</v>
          </cell>
          <cell r="B177">
            <v>2015</v>
          </cell>
          <cell r="C177" t="str">
            <v>lflstatus1_s0_a3</v>
          </cell>
          <cell r="D177">
            <v>7723750.5</v>
          </cell>
        </row>
        <row r="178">
          <cell r="A178" t="str">
            <v>BGD</v>
          </cell>
          <cell r="B178">
            <v>2015</v>
          </cell>
          <cell r="C178" t="str">
            <v>lflstatus1_s0_a4</v>
          </cell>
          <cell r="D178">
            <v>4540834</v>
          </cell>
        </row>
        <row r="179">
          <cell r="A179" t="str">
            <v>BGD</v>
          </cell>
          <cell r="B179">
            <v>2015</v>
          </cell>
          <cell r="C179" t="str">
            <v>lflstatus1_s0_a5</v>
          </cell>
          <cell r="D179">
            <v>529050.5625</v>
          </cell>
        </row>
        <row r="180">
          <cell r="A180" t="str">
            <v>BGD</v>
          </cell>
          <cell r="B180">
            <v>2015</v>
          </cell>
          <cell r="C180" t="str">
            <v>lflstatus1_s0_a6</v>
          </cell>
          <cell r="D180">
            <v>12250361</v>
          </cell>
        </row>
        <row r="181">
          <cell r="A181" t="str">
            <v>BGD</v>
          </cell>
          <cell r="B181">
            <v>2015</v>
          </cell>
          <cell r="C181" t="str">
            <v>lflstatus1_s1_a1</v>
          </cell>
          <cell r="D181">
            <v>18010506</v>
          </cell>
        </row>
        <row r="182">
          <cell r="A182" t="str">
            <v>BGD</v>
          </cell>
          <cell r="B182">
            <v>2015</v>
          </cell>
          <cell r="C182" t="str">
            <v>lflstatus1_s1_a2</v>
          </cell>
          <cell r="D182">
            <v>148672.6875</v>
          </cell>
        </row>
        <row r="183">
          <cell r="A183" t="str">
            <v>BGD</v>
          </cell>
          <cell r="B183">
            <v>2015</v>
          </cell>
          <cell r="C183" t="str">
            <v>lflstatus1_s1_a3</v>
          </cell>
          <cell r="D183">
            <v>814435.0625</v>
          </cell>
        </row>
        <row r="184">
          <cell r="A184" t="str">
            <v>BGD</v>
          </cell>
          <cell r="B184">
            <v>2015</v>
          </cell>
          <cell r="C184" t="str">
            <v>lflstatus1_s1_a4</v>
          </cell>
          <cell r="D184">
            <v>163647.734375</v>
          </cell>
        </row>
        <row r="185">
          <cell r="A185" t="str">
            <v>BGD</v>
          </cell>
          <cell r="B185">
            <v>2015</v>
          </cell>
          <cell r="C185" t="str">
            <v>lflstatus1_s1_a5</v>
          </cell>
          <cell r="D185">
            <v>580868.5</v>
          </cell>
        </row>
        <row r="186">
          <cell r="A186" t="str">
            <v>BGD</v>
          </cell>
          <cell r="B186">
            <v>2015</v>
          </cell>
          <cell r="C186" t="str">
            <v>lflstatus1_s1_a6</v>
          </cell>
          <cell r="D186">
            <v>3476942.75</v>
          </cell>
        </row>
        <row r="187">
          <cell r="A187" t="str">
            <v>BGD</v>
          </cell>
          <cell r="B187">
            <v>2015</v>
          </cell>
          <cell r="C187" t="str">
            <v>lfip_total</v>
          </cell>
          <cell r="D187">
            <v>12768.0419921875</v>
          </cell>
        </row>
        <row r="188">
          <cell r="A188" t="str">
            <v>BGD</v>
          </cell>
          <cell r="B188">
            <v>2015</v>
          </cell>
          <cell r="C188" t="str">
            <v>lfip_s0_a1</v>
          </cell>
          <cell r="D188">
            <v>9189.9345703125</v>
          </cell>
        </row>
        <row r="189">
          <cell r="A189" t="str">
            <v>BGD</v>
          </cell>
          <cell r="B189">
            <v>2015</v>
          </cell>
          <cell r="C189" t="str">
            <v>lfip_s0_a2</v>
          </cell>
          <cell r="D189">
            <v>11337.0419921875</v>
          </cell>
        </row>
        <row r="190">
          <cell r="A190" t="str">
            <v>BGD</v>
          </cell>
          <cell r="B190">
            <v>2015</v>
          </cell>
          <cell r="C190" t="str">
            <v>lfip_s0_a3</v>
          </cell>
          <cell r="D190">
            <v>11397.3740234375</v>
          </cell>
        </row>
        <row r="191">
          <cell r="A191" t="str">
            <v>BGD</v>
          </cell>
          <cell r="B191">
            <v>2015</v>
          </cell>
          <cell r="C191" t="str">
            <v>lfip_s0_a4</v>
          </cell>
          <cell r="D191">
            <v>11470.9462890625</v>
          </cell>
        </row>
        <row r="192">
          <cell r="A192" t="str">
            <v>BGD</v>
          </cell>
          <cell r="B192">
            <v>2015</v>
          </cell>
          <cell r="C192" t="str">
            <v>lfip_s0_a5</v>
          </cell>
          <cell r="D192">
            <v>16577.59375</v>
          </cell>
        </row>
        <row r="193">
          <cell r="A193" t="str">
            <v>BGD</v>
          </cell>
          <cell r="B193">
            <v>2015</v>
          </cell>
          <cell r="C193" t="str">
            <v>lfip_s0_a6</v>
          </cell>
          <cell r="D193">
            <v>11970.0380859375</v>
          </cell>
        </row>
        <row r="194">
          <cell r="A194" t="str">
            <v>BGD</v>
          </cell>
          <cell r="B194">
            <v>2015</v>
          </cell>
          <cell r="C194" t="str">
            <v>lfip_s1_a1</v>
          </cell>
          <cell r="D194">
            <v>9012.84375</v>
          </cell>
        </row>
        <row r="195">
          <cell r="A195" t="str">
            <v>BGD</v>
          </cell>
          <cell r="B195">
            <v>2015</v>
          </cell>
          <cell r="C195" t="str">
            <v>lfip_s1_a2</v>
          </cell>
          <cell r="D195">
            <v>19310.8359375</v>
          </cell>
        </row>
        <row r="196">
          <cell r="A196" t="str">
            <v>BGD</v>
          </cell>
          <cell r="B196">
            <v>2015</v>
          </cell>
          <cell r="C196" t="str">
            <v>lfip_s1_a3</v>
          </cell>
          <cell r="D196">
            <v>20836.333984375</v>
          </cell>
        </row>
        <row r="197">
          <cell r="A197" t="str">
            <v>BGD</v>
          </cell>
          <cell r="B197">
            <v>2015</v>
          </cell>
          <cell r="C197" t="str">
            <v>lfip_s1_a4</v>
          </cell>
          <cell r="D197">
            <v>31155.748046875</v>
          </cell>
        </row>
        <row r="198">
          <cell r="A198" t="str">
            <v>BGD</v>
          </cell>
          <cell r="B198">
            <v>2015</v>
          </cell>
          <cell r="C198" t="str">
            <v>lfip_s1_a5</v>
          </cell>
          <cell r="D198">
            <v>28502.5546875</v>
          </cell>
        </row>
        <row r="199">
          <cell r="A199" t="str">
            <v>BGD</v>
          </cell>
          <cell r="B199">
            <v>2015</v>
          </cell>
          <cell r="C199" t="str">
            <v>lfip_s1_a6</v>
          </cell>
          <cell r="D199">
            <v>20301.81640625</v>
          </cell>
        </row>
        <row r="200">
          <cell r="A200" t="str">
            <v>BGD</v>
          </cell>
          <cell r="B200">
            <v>2016</v>
          </cell>
          <cell r="C200" t="str">
            <v>lfpop_total</v>
          </cell>
          <cell r="D200">
            <v>161338496</v>
          </cell>
        </row>
        <row r="201">
          <cell r="A201" t="str">
            <v>BGD</v>
          </cell>
          <cell r="B201">
            <v>2016</v>
          </cell>
          <cell r="C201" t="str">
            <v>lfpop_0014</v>
          </cell>
          <cell r="D201">
            <v>52284868</v>
          </cell>
        </row>
        <row r="202">
          <cell r="A202" t="str">
            <v>BGD</v>
          </cell>
          <cell r="B202">
            <v>2016</v>
          </cell>
          <cell r="C202" t="str">
            <v>lfpop_1564</v>
          </cell>
          <cell r="D202">
            <v>101138384</v>
          </cell>
        </row>
        <row r="203">
          <cell r="A203" t="str">
            <v>BGD</v>
          </cell>
          <cell r="B203">
            <v>2016</v>
          </cell>
          <cell r="C203" t="str">
            <v>lfpop_65up</v>
          </cell>
          <cell r="D203">
            <v>7915245</v>
          </cell>
        </row>
        <row r="204">
          <cell r="A204" t="str">
            <v>BGD</v>
          </cell>
          <cell r="B204">
            <v>2016</v>
          </cell>
          <cell r="C204" t="str">
            <v>lflstatus3_1564</v>
          </cell>
          <cell r="D204">
            <v>39820764</v>
          </cell>
        </row>
        <row r="205">
          <cell r="A205" t="str">
            <v>BGD</v>
          </cell>
          <cell r="B205">
            <v>2016</v>
          </cell>
          <cell r="C205" t="str">
            <v>lflstatus2_1564</v>
          </cell>
          <cell r="D205">
            <v>2676684.75</v>
          </cell>
        </row>
        <row r="206">
          <cell r="A206" t="str">
            <v>BGD</v>
          </cell>
          <cell r="B206">
            <v>2016</v>
          </cell>
          <cell r="C206" t="str">
            <v>lflstatus1_1564</v>
          </cell>
          <cell r="D206">
            <v>58640932</v>
          </cell>
        </row>
        <row r="207">
          <cell r="A207" t="str">
            <v>BGD</v>
          </cell>
          <cell r="B207">
            <v>2016</v>
          </cell>
          <cell r="C207" t="str">
            <v>lflstatus12_1564</v>
          </cell>
          <cell r="D207">
            <v>61317620</v>
          </cell>
        </row>
        <row r="208">
          <cell r="A208" t="str">
            <v>BGD</v>
          </cell>
          <cell r="B208">
            <v>2016</v>
          </cell>
          <cell r="C208" t="str">
            <v>lflstatus1_s0_a1</v>
          </cell>
          <cell r="D208">
            <v>5181443.5</v>
          </cell>
        </row>
        <row r="209">
          <cell r="A209" t="str">
            <v>BGD</v>
          </cell>
          <cell r="B209">
            <v>2016</v>
          </cell>
          <cell r="C209" t="str">
            <v>lflstatus1_s0_a2</v>
          </cell>
          <cell r="D209">
            <v>3219448.5</v>
          </cell>
        </row>
        <row r="210">
          <cell r="A210" t="str">
            <v>BGD</v>
          </cell>
          <cell r="B210">
            <v>2016</v>
          </cell>
          <cell r="C210" t="str">
            <v>lflstatus1_s0_a3</v>
          </cell>
          <cell r="D210">
            <v>7823919.5</v>
          </cell>
        </row>
        <row r="211">
          <cell r="A211" t="str">
            <v>BGD</v>
          </cell>
          <cell r="B211">
            <v>2016</v>
          </cell>
          <cell r="C211" t="str">
            <v>lflstatus1_s0_a4</v>
          </cell>
          <cell r="D211">
            <v>5174333</v>
          </cell>
        </row>
        <row r="212">
          <cell r="A212" t="str">
            <v>BGD</v>
          </cell>
          <cell r="B212">
            <v>2016</v>
          </cell>
          <cell r="C212" t="str">
            <v>lflstatus1_s0_a5</v>
          </cell>
          <cell r="D212">
            <v>529451.8125</v>
          </cell>
        </row>
        <row r="213">
          <cell r="A213" t="str">
            <v>BGD</v>
          </cell>
          <cell r="B213">
            <v>2016</v>
          </cell>
          <cell r="C213" t="str">
            <v>lflstatus1_s0_a6</v>
          </cell>
          <cell r="D213">
            <v>13365871</v>
          </cell>
        </row>
        <row r="214">
          <cell r="A214" t="str">
            <v>BGD</v>
          </cell>
          <cell r="B214">
            <v>2016</v>
          </cell>
          <cell r="C214" t="str">
            <v>lflstatus1_s1_a1</v>
          </cell>
          <cell r="D214">
            <v>18029870</v>
          </cell>
        </row>
        <row r="215">
          <cell r="A215" t="str">
            <v>BGD</v>
          </cell>
          <cell r="B215">
            <v>2016</v>
          </cell>
          <cell r="C215" t="str">
            <v>lflstatus1_s1_a2</v>
          </cell>
          <cell r="D215">
            <v>157200.46875</v>
          </cell>
        </row>
        <row r="216">
          <cell r="A216" t="str">
            <v>BGD</v>
          </cell>
          <cell r="B216">
            <v>2016</v>
          </cell>
          <cell r="C216" t="str">
            <v>lflstatus1_s1_a3</v>
          </cell>
          <cell r="D216">
            <v>886027.25</v>
          </cell>
        </row>
        <row r="217">
          <cell r="A217" t="str">
            <v>BGD</v>
          </cell>
          <cell r="B217">
            <v>2016</v>
          </cell>
          <cell r="C217" t="str">
            <v>lflstatus1_s1_a4</v>
          </cell>
          <cell r="D217">
            <v>157658</v>
          </cell>
        </row>
        <row r="218">
          <cell r="A218" t="str">
            <v>BGD</v>
          </cell>
          <cell r="B218">
            <v>2016</v>
          </cell>
          <cell r="C218" t="str">
            <v>lflstatus1_s1_a5</v>
          </cell>
          <cell r="D218">
            <v>589905.8125</v>
          </cell>
        </row>
        <row r="219">
          <cell r="A219" t="str">
            <v>BGD</v>
          </cell>
          <cell r="B219">
            <v>2016</v>
          </cell>
          <cell r="C219" t="str">
            <v>lflstatus1_s1_a6</v>
          </cell>
          <cell r="D219">
            <v>3525804.75</v>
          </cell>
        </row>
        <row r="220">
          <cell r="A220" t="str">
            <v>BGD</v>
          </cell>
          <cell r="B220">
            <v>2016</v>
          </cell>
          <cell r="C220" t="str">
            <v>lfip_total</v>
          </cell>
          <cell r="D220">
            <v>13004.130859375</v>
          </cell>
        </row>
        <row r="221">
          <cell r="A221" t="str">
            <v>BGD</v>
          </cell>
          <cell r="B221">
            <v>2016</v>
          </cell>
          <cell r="C221" t="str">
            <v>lfip_s0_a1</v>
          </cell>
          <cell r="D221">
            <v>8561.2880859375</v>
          </cell>
        </row>
        <row r="222">
          <cell r="A222" t="str">
            <v>BGD</v>
          </cell>
          <cell r="B222">
            <v>2016</v>
          </cell>
          <cell r="C222" t="str">
            <v>lfip_s0_a2</v>
          </cell>
          <cell r="D222">
            <v>9535.8095703125</v>
          </cell>
        </row>
        <row r="223">
          <cell r="A223" t="str">
            <v>BGD</v>
          </cell>
          <cell r="B223">
            <v>2016</v>
          </cell>
          <cell r="C223" t="str">
            <v>lfip_s0_a3</v>
          </cell>
          <cell r="D223">
            <v>10505.9599609375</v>
          </cell>
        </row>
        <row r="224">
          <cell r="A224" t="str">
            <v>BGD</v>
          </cell>
          <cell r="B224">
            <v>2016</v>
          </cell>
          <cell r="C224" t="str">
            <v>lfip_s0_a4</v>
          </cell>
          <cell r="D224">
            <v>11057.2099609375</v>
          </cell>
        </row>
        <row r="225">
          <cell r="A225" t="str">
            <v>BGD</v>
          </cell>
          <cell r="B225">
            <v>2016</v>
          </cell>
          <cell r="C225" t="str">
            <v>lfip_s0_a5</v>
          </cell>
          <cell r="D225">
            <v>13984.748046875</v>
          </cell>
        </row>
        <row r="226">
          <cell r="A226" t="str">
            <v>BGD</v>
          </cell>
          <cell r="B226">
            <v>2016</v>
          </cell>
          <cell r="C226" t="str">
            <v>lfip_s0_a6</v>
          </cell>
          <cell r="D226">
            <v>11544.5576171875</v>
          </cell>
        </row>
        <row r="227">
          <cell r="A227" t="str">
            <v>BGD</v>
          </cell>
          <cell r="B227">
            <v>2016</v>
          </cell>
          <cell r="C227" t="str">
            <v>lfip_s1_a1</v>
          </cell>
          <cell r="D227">
            <v>8315.9443359375</v>
          </cell>
        </row>
        <row r="228">
          <cell r="A228" t="str">
            <v>BGD</v>
          </cell>
          <cell r="B228">
            <v>2016</v>
          </cell>
          <cell r="C228" t="str">
            <v>lfip_s1_a2</v>
          </cell>
          <cell r="D228">
            <v>21146.439453125</v>
          </cell>
        </row>
        <row r="229">
          <cell r="A229" t="str">
            <v>BGD</v>
          </cell>
          <cell r="B229">
            <v>2016</v>
          </cell>
          <cell r="C229" t="str">
            <v>lfip_s1_a3</v>
          </cell>
          <cell r="D229">
            <v>24766.57421875</v>
          </cell>
        </row>
        <row r="230">
          <cell r="A230" t="str">
            <v>BGD</v>
          </cell>
          <cell r="B230">
            <v>2016</v>
          </cell>
          <cell r="C230" t="str">
            <v>lfip_s1_a4</v>
          </cell>
          <cell r="D230">
            <v>30411.08984375</v>
          </cell>
        </row>
        <row r="231">
          <cell r="A231" t="str">
            <v>BGD</v>
          </cell>
          <cell r="B231">
            <v>2016</v>
          </cell>
          <cell r="C231" t="str">
            <v>lfip_s1_a5</v>
          </cell>
          <cell r="D231">
            <v>37605.015625</v>
          </cell>
        </row>
        <row r="232">
          <cell r="A232" t="str">
            <v>BGD</v>
          </cell>
          <cell r="B232">
            <v>2016</v>
          </cell>
          <cell r="C232" t="str">
            <v>lfip_s1_a6</v>
          </cell>
          <cell r="D232">
            <v>25967.31640625</v>
          </cell>
        </row>
        <row r="233">
          <cell r="A233" t="str">
            <v>BGD</v>
          </cell>
          <cell r="B233">
            <v>2022</v>
          </cell>
          <cell r="C233" t="str">
            <v>lfpop_total</v>
          </cell>
          <cell r="D233">
            <v>169777296</v>
          </cell>
        </row>
        <row r="234">
          <cell r="A234" t="str">
            <v>BGD</v>
          </cell>
          <cell r="B234">
            <v>2022</v>
          </cell>
          <cell r="C234" t="str">
            <v>lfpop_0014</v>
          </cell>
          <cell r="D234">
            <v>50448260</v>
          </cell>
        </row>
        <row r="235">
          <cell r="A235" t="str">
            <v>BGD</v>
          </cell>
          <cell r="B235">
            <v>2022</v>
          </cell>
          <cell r="C235" t="str">
            <v>lfpop_1564</v>
          </cell>
          <cell r="D235">
            <v>110707992</v>
          </cell>
        </row>
        <row r="236">
          <cell r="A236" t="str">
            <v>BGD</v>
          </cell>
          <cell r="B236">
            <v>2022</v>
          </cell>
          <cell r="C236" t="str">
            <v>lfpop_65up</v>
          </cell>
          <cell r="D236">
            <v>8621047</v>
          </cell>
        </row>
        <row r="237">
          <cell r="A237" t="str">
            <v>BGD</v>
          </cell>
          <cell r="B237">
            <v>2022</v>
          </cell>
          <cell r="C237" t="str">
            <v>lflstatus3_1564</v>
          </cell>
          <cell r="D237">
            <v>40469172</v>
          </cell>
        </row>
        <row r="238">
          <cell r="A238" t="str">
            <v>BGD</v>
          </cell>
          <cell r="B238">
            <v>2022</v>
          </cell>
          <cell r="C238" t="str">
            <v>lflstatus2_1564</v>
          </cell>
          <cell r="D238">
            <v>2580163.25</v>
          </cell>
        </row>
        <row r="239">
          <cell r="A239" t="str">
            <v>BGD</v>
          </cell>
          <cell r="B239">
            <v>2022</v>
          </cell>
          <cell r="C239" t="str">
            <v>lflstatus1_1564</v>
          </cell>
          <cell r="D239">
            <v>67658656</v>
          </cell>
        </row>
        <row r="240">
          <cell r="A240" t="str">
            <v>BGD</v>
          </cell>
          <cell r="B240">
            <v>2022</v>
          </cell>
          <cell r="C240" t="str">
            <v>lflstatus12_1564</v>
          </cell>
          <cell r="D240">
            <v>70238824</v>
          </cell>
        </row>
        <row r="241">
          <cell r="A241" t="str">
            <v>BGD</v>
          </cell>
          <cell r="B241">
            <v>2022</v>
          </cell>
          <cell r="C241" t="str">
            <v>lflstatus1_s0_a1</v>
          </cell>
          <cell r="D241">
            <v>15270308</v>
          </cell>
        </row>
        <row r="242">
          <cell r="A242" t="str">
            <v>BGD</v>
          </cell>
          <cell r="B242">
            <v>2022</v>
          </cell>
          <cell r="C242" t="str">
            <v>lflstatus1_s0_a2</v>
          </cell>
          <cell r="D242">
            <v>3569066.25</v>
          </cell>
        </row>
        <row r="243">
          <cell r="A243" t="str">
            <v>BGD</v>
          </cell>
          <cell r="B243">
            <v>2022</v>
          </cell>
          <cell r="C243" t="str">
            <v>lflstatus1_s0_a3</v>
          </cell>
          <cell r="D243">
            <v>7046703.5</v>
          </cell>
        </row>
        <row r="244">
          <cell r="A244" t="str">
            <v>BGD</v>
          </cell>
          <cell r="B244">
            <v>2022</v>
          </cell>
          <cell r="C244" t="str">
            <v>lflstatus1_s0_a4</v>
          </cell>
          <cell r="D244">
            <v>5706872</v>
          </cell>
        </row>
        <row r="245">
          <cell r="A245" t="str">
            <v>BGD</v>
          </cell>
          <cell r="B245">
            <v>2022</v>
          </cell>
          <cell r="C245" t="str">
            <v>lflstatus1_s0_a5</v>
          </cell>
          <cell r="D245">
            <v>1025105.9375</v>
          </cell>
        </row>
        <row r="246">
          <cell r="A246" t="str">
            <v>BGD</v>
          </cell>
          <cell r="B246">
            <v>2022</v>
          </cell>
          <cell r="C246" t="str">
            <v>lflstatus1_s0_a6</v>
          </cell>
          <cell r="D246">
            <v>14708270</v>
          </cell>
        </row>
        <row r="247">
          <cell r="A247" t="str">
            <v>BGD</v>
          </cell>
          <cell r="B247">
            <v>2022</v>
          </cell>
          <cell r="C247" t="str">
            <v>lflstatus1_s1_a1</v>
          </cell>
          <cell r="D247">
            <v>11985889</v>
          </cell>
        </row>
        <row r="248">
          <cell r="A248" t="str">
            <v>BGD</v>
          </cell>
          <cell r="B248">
            <v>2022</v>
          </cell>
          <cell r="C248" t="str">
            <v>lflstatus1_s1_a2</v>
          </cell>
          <cell r="D248">
            <v>199215.484375</v>
          </cell>
        </row>
        <row r="249">
          <cell r="A249" t="str">
            <v>BGD</v>
          </cell>
          <cell r="B249">
            <v>2022</v>
          </cell>
          <cell r="C249" t="str">
            <v>lflstatus1_s1_a3</v>
          </cell>
          <cell r="D249">
            <v>825709.4375</v>
          </cell>
        </row>
        <row r="250">
          <cell r="A250" t="str">
            <v>BGD</v>
          </cell>
          <cell r="B250">
            <v>2022</v>
          </cell>
          <cell r="C250" t="str">
            <v>lflstatus1_s1_a4</v>
          </cell>
          <cell r="D250">
            <v>162783.0625</v>
          </cell>
        </row>
        <row r="251">
          <cell r="A251" t="str">
            <v>BGD</v>
          </cell>
          <cell r="B251">
            <v>2022</v>
          </cell>
          <cell r="C251" t="str">
            <v>lflstatus1_s1_a5</v>
          </cell>
          <cell r="D251">
            <v>538811.375</v>
          </cell>
        </row>
        <row r="252">
          <cell r="A252" t="str">
            <v>BGD</v>
          </cell>
          <cell r="B252">
            <v>2022</v>
          </cell>
          <cell r="C252" t="str">
            <v>lflstatus1_s1_a6</v>
          </cell>
          <cell r="D252">
            <v>6619924</v>
          </cell>
        </row>
        <row r="253">
          <cell r="A253" t="str">
            <v>BGD</v>
          </cell>
          <cell r="B253">
            <v>2022</v>
          </cell>
          <cell r="C253" t="str">
            <v>lfip_total</v>
          </cell>
          <cell r="D253">
            <v>13300.8515625</v>
          </cell>
        </row>
        <row r="254">
          <cell r="A254" t="str">
            <v>BGD</v>
          </cell>
          <cell r="B254">
            <v>2022</v>
          </cell>
          <cell r="C254" t="str">
            <v>lfip_s0_a1</v>
          </cell>
          <cell r="D254">
            <v>8822.869140625</v>
          </cell>
        </row>
        <row r="255">
          <cell r="A255" t="str">
            <v>BGD</v>
          </cell>
          <cell r="B255">
            <v>2022</v>
          </cell>
          <cell r="C255" t="str">
            <v>lfip_s0_a2</v>
          </cell>
          <cell r="D255">
            <v>11095.87109375</v>
          </cell>
        </row>
        <row r="256">
          <cell r="A256" t="str">
            <v>BGD</v>
          </cell>
          <cell r="B256">
            <v>2022</v>
          </cell>
          <cell r="C256" t="str">
            <v>lfip_s0_a3</v>
          </cell>
          <cell r="D256">
            <v>12886.826171875</v>
          </cell>
        </row>
        <row r="257">
          <cell r="A257" t="str">
            <v>BGD</v>
          </cell>
          <cell r="B257">
            <v>2022</v>
          </cell>
          <cell r="C257" t="str">
            <v>lfip_s0_a4</v>
          </cell>
          <cell r="D257">
            <v>12555.943359375</v>
          </cell>
        </row>
        <row r="258">
          <cell r="A258" t="str">
            <v>BGD</v>
          </cell>
          <cell r="B258">
            <v>2022</v>
          </cell>
          <cell r="C258" t="str">
            <v>lfip_s0_a5</v>
          </cell>
          <cell r="D258">
            <v>19186.984375</v>
          </cell>
        </row>
        <row r="259">
          <cell r="A259" t="str">
            <v>BGD</v>
          </cell>
          <cell r="B259">
            <v>2022</v>
          </cell>
          <cell r="C259" t="str">
            <v>lfip_s0_a6</v>
          </cell>
          <cell r="D259">
            <v>13327.6181640625</v>
          </cell>
        </row>
        <row r="260">
          <cell r="A260" t="str">
            <v>BGD</v>
          </cell>
          <cell r="B260">
            <v>2022</v>
          </cell>
          <cell r="C260" t="str">
            <v>lfip_s1_a1</v>
          </cell>
          <cell r="D260">
            <v>8612.0810546875</v>
          </cell>
        </row>
        <row r="261">
          <cell r="A261" t="str">
            <v>BGD</v>
          </cell>
          <cell r="B261">
            <v>2022</v>
          </cell>
          <cell r="C261" t="str">
            <v>lfip_s1_a2</v>
          </cell>
          <cell r="D261">
            <v>22824.3984375</v>
          </cell>
        </row>
        <row r="262">
          <cell r="A262" t="str">
            <v>BGD</v>
          </cell>
          <cell r="B262">
            <v>2022</v>
          </cell>
          <cell r="C262" t="str">
            <v>lfip_s1_a3</v>
          </cell>
          <cell r="D262">
            <v>23771.267578125</v>
          </cell>
        </row>
        <row r="263">
          <cell r="A263" t="str">
            <v>BGD</v>
          </cell>
          <cell r="B263">
            <v>2022</v>
          </cell>
          <cell r="C263" t="str">
            <v>lfip_s1_a4</v>
          </cell>
          <cell r="D263">
            <v>26935.943359375</v>
          </cell>
        </row>
        <row r="264">
          <cell r="A264" t="str">
            <v>BGD</v>
          </cell>
          <cell r="B264">
            <v>2022</v>
          </cell>
          <cell r="C264" t="str">
            <v>lfip_s1_a5</v>
          </cell>
          <cell r="D264">
            <v>30716.087890625</v>
          </cell>
        </row>
        <row r="265">
          <cell r="A265" t="str">
            <v>BGD</v>
          </cell>
          <cell r="B265">
            <v>2022</v>
          </cell>
          <cell r="C265" t="str">
            <v>lfip_s1_a6</v>
          </cell>
          <cell r="D265">
            <v>19150.525390625</v>
          </cell>
        </row>
      </sheetData>
      <sheetData sheetId="6"/>
      <sheetData sheetId="7">
        <row r="1">
          <cell r="A1" t="str">
            <v>country</v>
          </cell>
          <cell r="B1" t="str">
            <v>year</v>
          </cell>
          <cell r="C1" t="str">
            <v>exports_inflows</v>
          </cell>
        </row>
        <row r="2">
          <cell r="A2" t="str">
            <v>ARG</v>
          </cell>
          <cell r="B2">
            <v>2001</v>
          </cell>
          <cell r="C2">
            <v>190.1</v>
          </cell>
          <cell r="D2" t="str">
            <v>Jul-25-2024</v>
          </cell>
        </row>
        <row r="3">
          <cell r="A3" t="str">
            <v>ARG</v>
          </cell>
          <cell r="B3">
            <v>2002</v>
          </cell>
          <cell r="C3">
            <v>206.53</v>
          </cell>
        </row>
        <row r="4">
          <cell r="A4" t="str">
            <v>ARG</v>
          </cell>
          <cell r="B4">
            <v>2003</v>
          </cell>
          <cell r="C4">
            <v>273.51999999999902</v>
          </cell>
        </row>
        <row r="5">
          <cell r="A5" t="str">
            <v>ARG</v>
          </cell>
          <cell r="B5">
            <v>2004</v>
          </cell>
          <cell r="C5">
            <v>311.69</v>
          </cell>
        </row>
        <row r="6">
          <cell r="A6" t="str">
            <v>ARG</v>
          </cell>
          <cell r="B6">
            <v>2005</v>
          </cell>
          <cell r="C6">
            <v>432.09</v>
          </cell>
        </row>
        <row r="7">
          <cell r="A7" t="str">
            <v>ARG</v>
          </cell>
          <cell r="B7">
            <v>2006</v>
          </cell>
          <cell r="C7">
            <v>540.63</v>
          </cell>
        </row>
        <row r="8">
          <cell r="A8" t="str">
            <v>ARG</v>
          </cell>
          <cell r="B8">
            <v>2007</v>
          </cell>
          <cell r="C8">
            <v>606.5</v>
          </cell>
        </row>
        <row r="9">
          <cell r="A9" t="str">
            <v>ARG</v>
          </cell>
          <cell r="B9">
            <v>2008</v>
          </cell>
          <cell r="C9">
            <v>705.14</v>
          </cell>
        </row>
        <row r="10">
          <cell r="A10" t="str">
            <v>ARG</v>
          </cell>
          <cell r="B10">
            <v>2009</v>
          </cell>
          <cell r="C10">
            <v>628.54</v>
          </cell>
        </row>
        <row r="11">
          <cell r="A11" t="str">
            <v>ARG</v>
          </cell>
          <cell r="B11">
            <v>2010</v>
          </cell>
          <cell r="C11">
            <v>644.29999999999995</v>
          </cell>
        </row>
        <row r="12">
          <cell r="A12" t="str">
            <v>ARG</v>
          </cell>
          <cell r="B12">
            <v>2011</v>
          </cell>
          <cell r="C12">
            <v>697.38</v>
          </cell>
        </row>
        <row r="13">
          <cell r="A13" t="str">
            <v>ARG</v>
          </cell>
          <cell r="B13">
            <v>2012</v>
          </cell>
          <cell r="C13">
            <v>577.53</v>
          </cell>
        </row>
        <row r="14">
          <cell r="A14" t="str">
            <v>ARG</v>
          </cell>
          <cell r="B14">
            <v>2013</v>
          </cell>
          <cell r="C14">
            <v>535.01</v>
          </cell>
        </row>
        <row r="15">
          <cell r="A15" t="str">
            <v>ARG</v>
          </cell>
          <cell r="B15">
            <v>2014</v>
          </cell>
          <cell r="C15">
            <v>505.34</v>
          </cell>
        </row>
        <row r="16">
          <cell r="A16" t="str">
            <v>ARG</v>
          </cell>
          <cell r="B16">
            <v>2015</v>
          </cell>
          <cell r="C16">
            <v>494.43</v>
          </cell>
        </row>
        <row r="17">
          <cell r="A17" t="str">
            <v>ARG</v>
          </cell>
          <cell r="B17">
            <v>2016</v>
          </cell>
          <cell r="C17">
            <v>391.58</v>
          </cell>
        </row>
        <row r="18">
          <cell r="A18" t="str">
            <v>ARG</v>
          </cell>
          <cell r="B18">
            <v>2017</v>
          </cell>
          <cell r="C18">
            <v>449.50998399999997</v>
          </cell>
        </row>
        <row r="19">
          <cell r="A19" t="str">
            <v>ARG</v>
          </cell>
          <cell r="B19">
            <v>2018</v>
          </cell>
          <cell r="C19">
            <v>507.479984</v>
          </cell>
        </row>
        <row r="20">
          <cell r="A20" t="str">
            <v>ARG</v>
          </cell>
          <cell r="B20">
            <v>2019</v>
          </cell>
          <cell r="C20">
            <v>490.27229</v>
          </cell>
        </row>
        <row r="21">
          <cell r="A21" t="str">
            <v>ARG</v>
          </cell>
          <cell r="B21">
            <v>2020</v>
          </cell>
          <cell r="C21">
            <v>481.20454999999998</v>
          </cell>
        </row>
        <row r="22">
          <cell r="A22" t="str">
            <v>ARG</v>
          </cell>
          <cell r="B22">
            <v>2021</v>
          </cell>
          <cell r="C22">
            <v>478.56218999999999</v>
          </cell>
        </row>
        <row r="23">
          <cell r="A23" t="str">
            <v>ARG</v>
          </cell>
          <cell r="B23">
            <v>2022</v>
          </cell>
          <cell r="C23">
            <v>478.59957000000003</v>
          </cell>
        </row>
        <row r="24">
          <cell r="A24" t="str">
            <v>ARG</v>
          </cell>
          <cell r="B24">
            <v>2023</v>
          </cell>
          <cell r="C24">
            <v>478.59957000000003</v>
          </cell>
        </row>
        <row r="25">
          <cell r="A25" t="str">
            <v>ARG</v>
          </cell>
          <cell r="B25">
            <v>2024</v>
          </cell>
          <cell r="C25">
            <v>478.59957000000003</v>
          </cell>
        </row>
        <row r="26">
          <cell r="A26" t="str">
            <v>ARG</v>
          </cell>
          <cell r="B26">
            <v>2025</v>
          </cell>
          <cell r="C26">
            <v>478.59957000000003</v>
          </cell>
        </row>
        <row r="27">
          <cell r="A27" t="str">
            <v>ARG</v>
          </cell>
          <cell r="B27">
            <v>2026</v>
          </cell>
          <cell r="C27">
            <v>478.59957000000003</v>
          </cell>
        </row>
        <row r="28">
          <cell r="A28" t="str">
            <v>BOL</v>
          </cell>
          <cell r="B28">
            <v>2001</v>
          </cell>
          <cell r="C28">
            <v>107.18</v>
          </cell>
        </row>
        <row r="29">
          <cell r="A29" t="str">
            <v>BOL</v>
          </cell>
          <cell r="B29">
            <v>2002</v>
          </cell>
          <cell r="C29">
            <v>83</v>
          </cell>
        </row>
        <row r="30">
          <cell r="A30" t="str">
            <v>BOL</v>
          </cell>
          <cell r="B30">
            <v>2003</v>
          </cell>
          <cell r="C30">
            <v>126.666413296793</v>
          </cell>
        </row>
        <row r="31">
          <cell r="A31" t="str">
            <v>BOL</v>
          </cell>
          <cell r="B31">
            <v>2004</v>
          </cell>
          <cell r="C31">
            <v>178.30866851646499</v>
          </cell>
        </row>
        <row r="32">
          <cell r="A32" t="str">
            <v>BOL</v>
          </cell>
          <cell r="B32">
            <v>2005</v>
          </cell>
          <cell r="C32">
            <v>303.53805669911401</v>
          </cell>
        </row>
        <row r="33">
          <cell r="A33" t="str">
            <v>BOL</v>
          </cell>
          <cell r="B33">
            <v>2006</v>
          </cell>
          <cell r="C33">
            <v>569.48207071599995</v>
          </cell>
        </row>
        <row r="34">
          <cell r="A34" t="str">
            <v>BOL</v>
          </cell>
          <cell r="B34">
            <v>2007</v>
          </cell>
          <cell r="C34">
            <v>1020.4745817028</v>
          </cell>
        </row>
        <row r="35">
          <cell r="A35" t="str">
            <v>BOL</v>
          </cell>
          <cell r="B35">
            <v>2008</v>
          </cell>
          <cell r="C35">
            <v>1097.225258533</v>
          </cell>
        </row>
        <row r="36">
          <cell r="A36" t="str">
            <v>BOL</v>
          </cell>
          <cell r="B36">
            <v>2009</v>
          </cell>
          <cell r="C36">
            <v>1022.98</v>
          </cell>
        </row>
        <row r="37">
          <cell r="A37" t="str">
            <v>BOL</v>
          </cell>
          <cell r="B37">
            <v>2010</v>
          </cell>
          <cell r="C37">
            <v>939.33027383071806</v>
          </cell>
        </row>
        <row r="38">
          <cell r="A38" t="str">
            <v>BOL</v>
          </cell>
          <cell r="B38">
            <v>2011</v>
          </cell>
          <cell r="C38">
            <v>1012.30816107748</v>
          </cell>
        </row>
        <row r="39">
          <cell r="A39" t="str">
            <v>BOL</v>
          </cell>
          <cell r="B39">
            <v>2012</v>
          </cell>
          <cell r="C39">
            <v>1094.3413611757101</v>
          </cell>
        </row>
        <row r="40">
          <cell r="A40" t="str">
            <v>BOL</v>
          </cell>
          <cell r="B40">
            <v>2013</v>
          </cell>
          <cell r="C40">
            <v>1181.8295548696699</v>
          </cell>
        </row>
        <row r="41">
          <cell r="A41" t="str">
            <v>BOL</v>
          </cell>
          <cell r="B41">
            <v>2014</v>
          </cell>
          <cell r="C41">
            <v>1163.5531859421401</v>
          </cell>
        </row>
        <row r="42">
          <cell r="A42" t="str">
            <v>BOL</v>
          </cell>
          <cell r="B42">
            <v>2015</v>
          </cell>
          <cell r="C42">
            <v>1178.41819577568</v>
          </cell>
        </row>
        <row r="43">
          <cell r="A43" t="str">
            <v>BOL</v>
          </cell>
          <cell r="B43">
            <v>2016</v>
          </cell>
          <cell r="C43">
            <v>1233.0380125261599</v>
          </cell>
        </row>
        <row r="44">
          <cell r="A44" t="str">
            <v>BOL</v>
          </cell>
          <cell r="B44">
            <v>2017</v>
          </cell>
          <cell r="C44">
            <v>1392.2657124567399</v>
          </cell>
        </row>
        <row r="45">
          <cell r="A45" t="str">
            <v>BOL</v>
          </cell>
          <cell r="B45">
            <v>2018</v>
          </cell>
          <cell r="C45">
            <v>1370.0571968386</v>
          </cell>
        </row>
        <row r="46">
          <cell r="A46" t="str">
            <v>BOL</v>
          </cell>
          <cell r="B46">
            <v>2019</v>
          </cell>
          <cell r="C46">
            <v>1318.21718579497</v>
          </cell>
        </row>
        <row r="47">
          <cell r="A47" t="str">
            <v>BOL</v>
          </cell>
          <cell r="B47">
            <v>2020</v>
          </cell>
          <cell r="C47">
            <v>1115.66204880652</v>
          </cell>
        </row>
        <row r="48">
          <cell r="A48" t="str">
            <v>BOL</v>
          </cell>
          <cell r="B48">
            <v>2021</v>
          </cell>
          <cell r="C48">
            <v>1398.70619950543</v>
          </cell>
        </row>
        <row r="49">
          <cell r="A49" t="str">
            <v>BOL</v>
          </cell>
          <cell r="B49">
            <v>2022</v>
          </cell>
          <cell r="C49">
            <v>1437.0136881158701</v>
          </cell>
        </row>
        <row r="50">
          <cell r="A50" t="str">
            <v>BOL</v>
          </cell>
          <cell r="B50">
            <v>2023</v>
          </cell>
          <cell r="C50">
            <v>1504.71677</v>
          </cell>
        </row>
        <row r="51">
          <cell r="A51" t="str">
            <v>BOL</v>
          </cell>
          <cell r="B51">
            <v>2024</v>
          </cell>
          <cell r="C51">
            <v>1578.6708100000001</v>
          </cell>
        </row>
        <row r="52">
          <cell r="A52" t="str">
            <v>BOL</v>
          </cell>
          <cell r="B52">
            <v>2025</v>
          </cell>
          <cell r="C52">
            <v>1675.29313</v>
          </cell>
        </row>
        <row r="53">
          <cell r="A53" t="str">
            <v>BOL</v>
          </cell>
          <cell r="B53">
            <v>2026</v>
          </cell>
          <cell r="C53">
            <v>1675.29313</v>
          </cell>
        </row>
        <row r="54">
          <cell r="A54" t="str">
            <v>BRA</v>
          </cell>
          <cell r="B54">
            <v>2001</v>
          </cell>
          <cell r="C54">
            <v>1178.4839999999999</v>
          </cell>
        </row>
        <row r="55">
          <cell r="A55" t="str">
            <v>BRA</v>
          </cell>
          <cell r="B55">
            <v>2002</v>
          </cell>
          <cell r="C55">
            <v>1710.9760000000001</v>
          </cell>
        </row>
        <row r="56">
          <cell r="A56" t="str">
            <v>BRA</v>
          </cell>
          <cell r="B56">
            <v>2003</v>
          </cell>
          <cell r="C56">
            <v>2018.075</v>
          </cell>
        </row>
        <row r="57">
          <cell r="A57" t="str">
            <v>BRA</v>
          </cell>
          <cell r="B57">
            <v>2004</v>
          </cell>
          <cell r="C57">
            <v>2458.7489999999898</v>
          </cell>
        </row>
        <row r="58">
          <cell r="A58" t="str">
            <v>BRA</v>
          </cell>
          <cell r="B58">
            <v>2005</v>
          </cell>
          <cell r="C58">
            <v>2479.8669999999902</v>
          </cell>
        </row>
        <row r="59">
          <cell r="A59" t="str">
            <v>BRA</v>
          </cell>
          <cell r="B59">
            <v>2006</v>
          </cell>
          <cell r="C59">
            <v>2889.8359999999998</v>
          </cell>
        </row>
        <row r="60">
          <cell r="A60" t="str">
            <v>BRA</v>
          </cell>
          <cell r="B60">
            <v>2007</v>
          </cell>
          <cell r="C60">
            <v>2808.7820000000002</v>
          </cell>
        </row>
        <row r="61">
          <cell r="A61" t="str">
            <v>BRA</v>
          </cell>
          <cell r="B61">
            <v>2008</v>
          </cell>
          <cell r="C61">
            <v>2912.5919999999901</v>
          </cell>
        </row>
        <row r="62">
          <cell r="A62" t="str">
            <v>BRA</v>
          </cell>
          <cell r="B62">
            <v>2009</v>
          </cell>
          <cell r="C62">
            <v>2223.7804000000001</v>
          </cell>
        </row>
        <row r="63">
          <cell r="A63" t="str">
            <v>BRA</v>
          </cell>
          <cell r="B63">
            <v>2010</v>
          </cell>
          <cell r="C63">
            <v>2518.0121205999999</v>
          </cell>
        </row>
        <row r="64">
          <cell r="A64" t="str">
            <v>BRA</v>
          </cell>
          <cell r="B64">
            <v>2011</v>
          </cell>
          <cell r="C64">
            <v>2549.9249329300001</v>
          </cell>
        </row>
        <row r="65">
          <cell r="A65" t="str">
            <v>BRA</v>
          </cell>
          <cell r="B65">
            <v>2012</v>
          </cell>
          <cell r="C65">
            <v>2191.0485504600001</v>
          </cell>
        </row>
        <row r="66">
          <cell r="A66" t="str">
            <v>BRA</v>
          </cell>
          <cell r="B66">
            <v>2013</v>
          </cell>
          <cell r="C66">
            <v>2124.4626749599902</v>
          </cell>
        </row>
        <row r="67">
          <cell r="A67" t="str">
            <v>BRA</v>
          </cell>
          <cell r="B67">
            <v>2014</v>
          </cell>
          <cell r="C67">
            <v>2127.7449458808101</v>
          </cell>
        </row>
        <row r="68">
          <cell r="A68" t="str">
            <v>BRA</v>
          </cell>
          <cell r="B68">
            <v>2015</v>
          </cell>
          <cell r="C68">
            <v>2459.3751370936702</v>
          </cell>
        </row>
        <row r="69">
          <cell r="A69" t="str">
            <v>BRA</v>
          </cell>
          <cell r="B69">
            <v>2016</v>
          </cell>
          <cell r="C69">
            <v>2365.0667003712201</v>
          </cell>
        </row>
        <row r="70">
          <cell r="A70" t="str">
            <v>BRA</v>
          </cell>
          <cell r="B70">
            <v>2017</v>
          </cell>
          <cell r="C70">
            <v>2300.37090382313</v>
          </cell>
        </row>
        <row r="71">
          <cell r="A71" t="str">
            <v>BRA</v>
          </cell>
          <cell r="B71">
            <v>2018</v>
          </cell>
          <cell r="C71">
            <v>2565.2486014723299</v>
          </cell>
        </row>
        <row r="72">
          <cell r="A72" t="str">
            <v>BRA</v>
          </cell>
          <cell r="B72">
            <v>2019</v>
          </cell>
          <cell r="C72">
            <v>2880.57973347696</v>
          </cell>
        </row>
        <row r="73">
          <cell r="A73" t="str">
            <v>BRA</v>
          </cell>
          <cell r="B73">
            <v>2020</v>
          </cell>
          <cell r="C73">
            <v>3311.8747698543002</v>
          </cell>
        </row>
        <row r="74">
          <cell r="A74" t="str">
            <v>BRA</v>
          </cell>
          <cell r="B74">
            <v>2021</v>
          </cell>
          <cell r="C74">
            <v>3845.3134179463909</v>
          </cell>
        </row>
        <row r="75">
          <cell r="A75" t="str">
            <v>BRA</v>
          </cell>
          <cell r="B75">
            <v>2022</v>
          </cell>
          <cell r="C75">
            <v>4711.6767217710103</v>
          </cell>
        </row>
        <row r="76">
          <cell r="A76" t="str">
            <v>BRA</v>
          </cell>
          <cell r="B76">
            <v>2023</v>
          </cell>
          <cell r="C76">
            <v>3994.6721595930799</v>
          </cell>
        </row>
        <row r="77">
          <cell r="A77" t="str">
            <v>BRA</v>
          </cell>
          <cell r="B77">
            <v>2024</v>
          </cell>
          <cell r="C77">
            <v>4165.6773109328396</v>
          </cell>
        </row>
        <row r="78">
          <cell r="A78" t="str">
            <v>BRA</v>
          </cell>
          <cell r="B78">
            <v>2025</v>
          </cell>
          <cell r="C78">
            <v>4385.3910629759903</v>
          </cell>
        </row>
        <row r="79">
          <cell r="A79" t="str">
            <v>BRA</v>
          </cell>
          <cell r="B79">
            <v>2026</v>
          </cell>
          <cell r="C79">
            <v>4574.3363657460995</v>
          </cell>
        </row>
        <row r="80">
          <cell r="A80" t="str">
            <v>CHL</v>
          </cell>
          <cell r="B80">
            <v>2001</v>
          </cell>
          <cell r="C80">
            <v>11.8</v>
          </cell>
        </row>
        <row r="81">
          <cell r="A81" t="str">
            <v>CHL</v>
          </cell>
          <cell r="B81">
            <v>2002</v>
          </cell>
          <cell r="C81">
            <v>11.8</v>
          </cell>
        </row>
        <row r="82">
          <cell r="A82" t="str">
            <v>CHL</v>
          </cell>
          <cell r="B82">
            <v>2003</v>
          </cell>
          <cell r="C82">
            <v>11.8</v>
          </cell>
        </row>
        <row r="83">
          <cell r="A83" t="str">
            <v>CHL</v>
          </cell>
          <cell r="B83">
            <v>2004</v>
          </cell>
          <cell r="C83">
            <v>11.6</v>
          </cell>
        </row>
        <row r="84">
          <cell r="A84" t="str">
            <v>CHL</v>
          </cell>
          <cell r="B84">
            <v>2005</v>
          </cell>
          <cell r="C84">
            <v>13</v>
          </cell>
        </row>
        <row r="85">
          <cell r="A85" t="str">
            <v>CHL</v>
          </cell>
          <cell r="B85">
            <v>2006</v>
          </cell>
          <cell r="C85">
            <v>2.5</v>
          </cell>
        </row>
        <row r="86">
          <cell r="A86" t="str">
            <v>CHL</v>
          </cell>
          <cell r="B86">
            <v>2007</v>
          </cell>
          <cell r="C86">
            <v>2.5</v>
          </cell>
        </row>
        <row r="87">
          <cell r="A87" t="str">
            <v>CHL</v>
          </cell>
          <cell r="B87">
            <v>2008</v>
          </cell>
          <cell r="C87">
            <v>2.5</v>
          </cell>
        </row>
        <row r="88">
          <cell r="A88" t="str">
            <v>CHL</v>
          </cell>
          <cell r="B88">
            <v>2009</v>
          </cell>
          <cell r="C88">
            <v>4.4000000000000012</v>
          </cell>
        </row>
        <row r="89">
          <cell r="A89" t="str">
            <v>CHL</v>
          </cell>
          <cell r="B89">
            <v>2010</v>
          </cell>
          <cell r="C89">
            <v>307.38375289999999</v>
          </cell>
        </row>
        <row r="90">
          <cell r="A90" t="str">
            <v>CHL</v>
          </cell>
          <cell r="B90">
            <v>2011</v>
          </cell>
          <cell r="C90">
            <v>315.97031557999998</v>
          </cell>
        </row>
        <row r="91">
          <cell r="A91" t="str">
            <v>CHL</v>
          </cell>
          <cell r="B91">
            <v>2012</v>
          </cell>
          <cell r="C91">
            <v>305.87660094</v>
          </cell>
        </row>
        <row r="92">
          <cell r="A92" t="str">
            <v>CHL</v>
          </cell>
          <cell r="B92">
            <v>2013</v>
          </cell>
          <cell r="C92">
            <v>302.23810172999998</v>
          </cell>
        </row>
        <row r="93">
          <cell r="A93" t="str">
            <v>CHL</v>
          </cell>
          <cell r="B93">
            <v>2014</v>
          </cell>
          <cell r="C93">
            <v>288.02630687999999</v>
          </cell>
        </row>
        <row r="94">
          <cell r="A94" t="str">
            <v>CHL</v>
          </cell>
          <cell r="B94">
            <v>2015</v>
          </cell>
          <cell r="C94">
            <v>274.70925690000001</v>
          </cell>
        </row>
        <row r="95">
          <cell r="A95" t="str">
            <v>CHL</v>
          </cell>
          <cell r="B95">
            <v>2016</v>
          </cell>
          <cell r="C95">
            <v>312.88089969999999</v>
          </cell>
        </row>
        <row r="96">
          <cell r="A96" t="str">
            <v>CHL</v>
          </cell>
          <cell r="B96">
            <v>2017</v>
          </cell>
          <cell r="C96">
            <v>407.56860992999998</v>
          </cell>
        </row>
        <row r="97">
          <cell r="A97" t="str">
            <v>CHL</v>
          </cell>
          <cell r="B97">
            <v>2018</v>
          </cell>
          <cell r="C97">
            <v>462.62703255999998</v>
          </cell>
        </row>
        <row r="98">
          <cell r="A98" t="str">
            <v>CHL</v>
          </cell>
          <cell r="B98">
            <v>2019</v>
          </cell>
          <cell r="C98">
            <v>445</v>
          </cell>
        </row>
        <row r="99">
          <cell r="A99" t="str">
            <v>CHL</v>
          </cell>
          <cell r="B99">
            <v>2020</v>
          </cell>
          <cell r="C99">
            <v>361</v>
          </cell>
        </row>
        <row r="100">
          <cell r="A100" t="str">
            <v>CHL</v>
          </cell>
          <cell r="B100">
            <v>2021</v>
          </cell>
          <cell r="C100">
            <v>346</v>
          </cell>
        </row>
        <row r="101">
          <cell r="A101" t="str">
            <v>CHL</v>
          </cell>
          <cell r="B101">
            <v>2022</v>
          </cell>
          <cell r="C101">
            <v>451</v>
          </cell>
        </row>
        <row r="102">
          <cell r="A102" t="str">
            <v>CHL</v>
          </cell>
          <cell r="B102">
            <v>2023</v>
          </cell>
          <cell r="C102">
            <v>354.45094999999998</v>
          </cell>
        </row>
        <row r="103">
          <cell r="A103" t="str">
            <v>CHL</v>
          </cell>
          <cell r="B103">
            <v>2024</v>
          </cell>
          <cell r="C103">
            <v>354.45094999999998</v>
          </cell>
        </row>
        <row r="104">
          <cell r="A104" t="str">
            <v>CHL</v>
          </cell>
          <cell r="B104">
            <v>2025</v>
          </cell>
          <cell r="C104">
            <v>354.45094999999998</v>
          </cell>
        </row>
        <row r="105">
          <cell r="A105" t="str">
            <v>CHL</v>
          </cell>
          <cell r="B105">
            <v>2026</v>
          </cell>
          <cell r="C105">
            <v>354.45094999999998</v>
          </cell>
        </row>
        <row r="106">
          <cell r="A106" t="str">
            <v>COL</v>
          </cell>
          <cell r="B106">
            <v>2001</v>
          </cell>
          <cell r="C106">
            <v>2021.39</v>
          </cell>
        </row>
        <row r="107">
          <cell r="A107" t="str">
            <v>COL</v>
          </cell>
          <cell r="B107">
            <v>2002</v>
          </cell>
          <cell r="C107">
            <v>2453.71</v>
          </cell>
        </row>
        <row r="108">
          <cell r="A108" t="str">
            <v>COL</v>
          </cell>
          <cell r="B108">
            <v>2003</v>
          </cell>
          <cell r="C108">
            <v>3060.1</v>
          </cell>
        </row>
        <row r="109">
          <cell r="A109" t="str">
            <v>COL</v>
          </cell>
          <cell r="B109">
            <v>2004</v>
          </cell>
          <cell r="C109">
            <v>3169.9</v>
          </cell>
        </row>
        <row r="110">
          <cell r="A110" t="str">
            <v>COL</v>
          </cell>
          <cell r="B110">
            <v>2005</v>
          </cell>
          <cell r="C110">
            <v>3313.72</v>
          </cell>
        </row>
        <row r="111">
          <cell r="A111" t="str">
            <v>COL</v>
          </cell>
          <cell r="B111">
            <v>2006</v>
          </cell>
          <cell r="C111">
            <v>3860.94</v>
          </cell>
        </row>
        <row r="112">
          <cell r="A112" t="str">
            <v>COL</v>
          </cell>
          <cell r="B112">
            <v>2007</v>
          </cell>
          <cell r="C112">
            <v>4429.74</v>
          </cell>
        </row>
        <row r="113">
          <cell r="A113" t="str">
            <v>COL</v>
          </cell>
          <cell r="B113">
            <v>2008</v>
          </cell>
          <cell r="C113">
            <v>4784.91</v>
          </cell>
        </row>
        <row r="114">
          <cell r="A114" t="str">
            <v>COL</v>
          </cell>
          <cell r="B114">
            <v>2009</v>
          </cell>
          <cell r="C114">
            <v>4090.28</v>
          </cell>
        </row>
        <row r="115">
          <cell r="A115" t="str">
            <v>COL</v>
          </cell>
          <cell r="B115">
            <v>2010</v>
          </cell>
          <cell r="C115">
            <v>3996.3490000000002</v>
          </cell>
        </row>
        <row r="116">
          <cell r="A116" t="str">
            <v>COL</v>
          </cell>
          <cell r="B116">
            <v>2011</v>
          </cell>
          <cell r="C116">
            <v>4064.096</v>
          </cell>
        </row>
        <row r="117">
          <cell r="A117" t="str">
            <v>COL</v>
          </cell>
          <cell r="B117">
            <v>2012</v>
          </cell>
          <cell r="C117">
            <v>3969.6590000000001</v>
          </cell>
        </row>
        <row r="118">
          <cell r="A118" t="str">
            <v>COL</v>
          </cell>
          <cell r="B118">
            <v>2013</v>
          </cell>
          <cell r="C118">
            <v>4401.0439999999999</v>
          </cell>
        </row>
        <row r="119">
          <cell r="A119" t="str">
            <v>COL</v>
          </cell>
          <cell r="B119">
            <v>2014</v>
          </cell>
          <cell r="C119">
            <v>4093.2069999999999</v>
          </cell>
        </row>
        <row r="120">
          <cell r="A120" t="str">
            <v>COL</v>
          </cell>
          <cell r="B120">
            <v>2015</v>
          </cell>
          <cell r="C120">
            <v>4957.3850000000002</v>
          </cell>
        </row>
        <row r="121">
          <cell r="A121" t="str">
            <v>COL</v>
          </cell>
          <cell r="B121">
            <v>2016</v>
          </cell>
          <cell r="C121">
            <v>5147.473</v>
          </cell>
        </row>
        <row r="122">
          <cell r="A122" t="str">
            <v>COL</v>
          </cell>
          <cell r="B122">
            <v>2017</v>
          </cell>
          <cell r="C122">
            <v>5783.7269999999999</v>
          </cell>
        </row>
        <row r="123">
          <cell r="A123" t="str">
            <v>COL</v>
          </cell>
          <cell r="B123">
            <v>2018</v>
          </cell>
          <cell r="C123">
            <v>6636.201</v>
          </cell>
        </row>
        <row r="124">
          <cell r="A124" t="str">
            <v>COL</v>
          </cell>
          <cell r="B124">
            <v>2019</v>
          </cell>
          <cell r="C124">
            <v>7086.5320000000002</v>
          </cell>
        </row>
        <row r="125">
          <cell r="A125" t="str">
            <v>COL</v>
          </cell>
          <cell r="B125">
            <v>2020</v>
          </cell>
          <cell r="C125">
            <v>6908.8459999999995</v>
          </cell>
        </row>
        <row r="126">
          <cell r="A126" t="str">
            <v>COL</v>
          </cell>
          <cell r="B126">
            <v>2021</v>
          </cell>
          <cell r="C126">
            <v>8597.2459999999901</v>
          </cell>
        </row>
        <row r="127">
          <cell r="A127" t="str">
            <v>COL</v>
          </cell>
          <cell r="B127">
            <v>2022</v>
          </cell>
          <cell r="C127">
            <v>9428.8125060000002</v>
          </cell>
        </row>
        <row r="128">
          <cell r="A128" t="str">
            <v>COL</v>
          </cell>
          <cell r="B128">
            <v>2023</v>
          </cell>
          <cell r="C128">
            <v>10091.07317</v>
          </cell>
        </row>
        <row r="129">
          <cell r="A129" t="str">
            <v>COL</v>
          </cell>
          <cell r="B129">
            <v>2024</v>
          </cell>
          <cell r="C129">
            <v>10112.770490000001</v>
          </cell>
        </row>
        <row r="130">
          <cell r="A130" t="str">
            <v>COL</v>
          </cell>
          <cell r="B130">
            <v>2025</v>
          </cell>
          <cell r="C130">
            <v>10137.63931</v>
          </cell>
        </row>
        <row r="131">
          <cell r="A131" t="str">
            <v>COL</v>
          </cell>
          <cell r="B131">
            <v>2026</v>
          </cell>
          <cell r="C131">
            <v>10165.78494</v>
          </cell>
        </row>
        <row r="132">
          <cell r="A132" t="str">
            <v>CRI</v>
          </cell>
          <cell r="B132">
            <v>2001</v>
          </cell>
          <cell r="C132">
            <v>183.97395309999999</v>
          </cell>
        </row>
        <row r="133">
          <cell r="A133" t="str">
            <v>CRI</v>
          </cell>
          <cell r="B133">
            <v>2002</v>
          </cell>
          <cell r="C133">
            <v>234.25526840000001</v>
          </cell>
        </row>
        <row r="134">
          <cell r="A134" t="str">
            <v>CRI</v>
          </cell>
          <cell r="B134">
            <v>2003</v>
          </cell>
          <cell r="C134">
            <v>305.97103199999998</v>
          </cell>
        </row>
        <row r="135">
          <cell r="A135" t="str">
            <v>CRI</v>
          </cell>
          <cell r="B135">
            <v>2004</v>
          </cell>
          <cell r="C135">
            <v>302.22235210000002</v>
          </cell>
        </row>
        <row r="136">
          <cell r="A136" t="str">
            <v>CRI</v>
          </cell>
          <cell r="B136">
            <v>2005</v>
          </cell>
          <cell r="C136">
            <v>399.75340999999997</v>
          </cell>
        </row>
        <row r="137">
          <cell r="A137" t="str">
            <v>CRI</v>
          </cell>
          <cell r="B137">
            <v>2006</v>
          </cell>
          <cell r="C137">
            <v>489.82929089999999</v>
          </cell>
        </row>
        <row r="138">
          <cell r="A138" t="str">
            <v>CRI</v>
          </cell>
          <cell r="B138">
            <v>2007</v>
          </cell>
          <cell r="C138">
            <v>595.63208750000001</v>
          </cell>
        </row>
        <row r="139">
          <cell r="A139" t="str">
            <v>CRI</v>
          </cell>
          <cell r="B139">
            <v>2008</v>
          </cell>
          <cell r="C139">
            <v>583.87980500000003</v>
          </cell>
        </row>
        <row r="140">
          <cell r="A140" t="str">
            <v>CRI</v>
          </cell>
          <cell r="B140">
            <v>2009</v>
          </cell>
          <cell r="C140">
            <v>488.55787329999998</v>
          </cell>
        </row>
        <row r="141">
          <cell r="A141" t="str">
            <v>CRI</v>
          </cell>
          <cell r="B141">
            <v>2010</v>
          </cell>
          <cell r="C141">
            <v>505.46578599999998</v>
          </cell>
        </row>
        <row r="142">
          <cell r="A142" t="str">
            <v>CRI</v>
          </cell>
          <cell r="B142">
            <v>2011</v>
          </cell>
          <cell r="C142">
            <v>487.04867330000002</v>
          </cell>
        </row>
        <row r="143">
          <cell r="A143" t="str">
            <v>CRI</v>
          </cell>
          <cell r="B143">
            <v>2012</v>
          </cell>
          <cell r="C143">
            <v>526.78774510000005</v>
          </cell>
        </row>
        <row r="144">
          <cell r="A144" t="str">
            <v>CRI</v>
          </cell>
          <cell r="B144">
            <v>2013</v>
          </cell>
          <cell r="C144">
            <v>561.06689370000015</v>
          </cell>
        </row>
        <row r="145">
          <cell r="A145" t="str">
            <v>CRI</v>
          </cell>
          <cell r="B145">
            <v>2014</v>
          </cell>
          <cell r="C145">
            <v>558.50538440000003</v>
          </cell>
        </row>
        <row r="146">
          <cell r="A146" t="str">
            <v>CRI</v>
          </cell>
          <cell r="B146">
            <v>2015</v>
          </cell>
          <cell r="C146">
            <v>517.50450760000001</v>
          </cell>
        </row>
        <row r="147">
          <cell r="A147" t="str">
            <v>CRI</v>
          </cell>
          <cell r="B147">
            <v>2016</v>
          </cell>
          <cell r="C147">
            <v>514.79577310000002</v>
          </cell>
        </row>
        <row r="148">
          <cell r="A148" t="str">
            <v>CRI</v>
          </cell>
          <cell r="B148">
            <v>2017</v>
          </cell>
          <cell r="C148">
            <v>527.16086229999905</v>
          </cell>
        </row>
        <row r="149">
          <cell r="A149" t="str">
            <v>CRI</v>
          </cell>
          <cell r="B149">
            <v>2018</v>
          </cell>
          <cell r="C149">
            <v>499.03832130000001</v>
          </cell>
        </row>
        <row r="150">
          <cell r="A150" t="str">
            <v>CRI</v>
          </cell>
          <cell r="B150">
            <v>2019</v>
          </cell>
          <cell r="C150">
            <v>518.7852398</v>
          </cell>
        </row>
        <row r="151">
          <cell r="A151" t="str">
            <v>CRI</v>
          </cell>
          <cell r="B151">
            <v>2020</v>
          </cell>
          <cell r="C151">
            <v>495.26073159999999</v>
          </cell>
        </row>
        <row r="152">
          <cell r="A152" t="str">
            <v>CRI</v>
          </cell>
          <cell r="B152">
            <v>2021</v>
          </cell>
          <cell r="C152">
            <v>558.81444390000001</v>
          </cell>
        </row>
        <row r="153">
          <cell r="A153" t="str">
            <v>CRI</v>
          </cell>
          <cell r="B153">
            <v>2022</v>
          </cell>
          <cell r="C153">
            <v>575.28676134</v>
          </cell>
        </row>
        <row r="154">
          <cell r="A154" t="str">
            <v>CRI</v>
          </cell>
          <cell r="B154">
            <v>2023</v>
          </cell>
          <cell r="C154">
            <v>611.57398392428536</v>
          </cell>
        </row>
        <row r="155">
          <cell r="A155" t="str">
            <v>CRI</v>
          </cell>
          <cell r="B155">
            <v>2024</v>
          </cell>
          <cell r="C155">
            <v>626.59777669718881</v>
          </cell>
        </row>
        <row r="156">
          <cell r="A156" t="str">
            <v>CRI</v>
          </cell>
          <cell r="B156">
            <v>2025</v>
          </cell>
          <cell r="C156">
            <v>671.37993183018011</v>
          </cell>
        </row>
        <row r="157">
          <cell r="A157" t="str">
            <v>CRI</v>
          </cell>
          <cell r="B157">
            <v>2026</v>
          </cell>
          <cell r="C157">
            <v>718.14651190533823</v>
          </cell>
        </row>
        <row r="158">
          <cell r="A158" t="str">
            <v>DOM</v>
          </cell>
          <cell r="B158">
            <v>2001</v>
          </cell>
          <cell r="C158">
            <v>1984</v>
          </cell>
        </row>
        <row r="159">
          <cell r="A159" t="str">
            <v>DOM</v>
          </cell>
          <cell r="B159">
            <v>2002</v>
          </cell>
          <cell r="C159">
            <v>2195</v>
          </cell>
        </row>
        <row r="160">
          <cell r="A160" t="str">
            <v>DOM</v>
          </cell>
          <cell r="B160">
            <v>2003</v>
          </cell>
          <cell r="C160">
            <v>2325</v>
          </cell>
        </row>
        <row r="161">
          <cell r="A161" t="str">
            <v>DOM</v>
          </cell>
          <cell r="B161">
            <v>2004</v>
          </cell>
          <cell r="C161">
            <v>2501</v>
          </cell>
        </row>
        <row r="162">
          <cell r="A162" t="str">
            <v>DOM</v>
          </cell>
          <cell r="B162">
            <v>2005</v>
          </cell>
          <cell r="C162">
            <v>2719.2</v>
          </cell>
        </row>
        <row r="163">
          <cell r="A163" t="str">
            <v>DOM</v>
          </cell>
          <cell r="B163">
            <v>2006</v>
          </cell>
          <cell r="C163">
            <v>3053.8</v>
          </cell>
        </row>
        <row r="164">
          <cell r="A164" t="str">
            <v>DOM</v>
          </cell>
          <cell r="B164">
            <v>2007</v>
          </cell>
          <cell r="C164">
            <v>3397</v>
          </cell>
        </row>
        <row r="165">
          <cell r="A165" t="str">
            <v>DOM</v>
          </cell>
          <cell r="B165">
            <v>2008</v>
          </cell>
          <cell r="C165">
            <v>3605.5</v>
          </cell>
        </row>
        <row r="166">
          <cell r="A166" t="str">
            <v>DOM</v>
          </cell>
          <cell r="B166">
            <v>2009</v>
          </cell>
          <cell r="C166">
            <v>3414.7</v>
          </cell>
        </row>
        <row r="167">
          <cell r="A167" t="str">
            <v>DOM</v>
          </cell>
          <cell r="B167">
            <v>2010</v>
          </cell>
          <cell r="C167">
            <v>3682.9</v>
          </cell>
        </row>
        <row r="168">
          <cell r="A168" t="str">
            <v>DOM</v>
          </cell>
          <cell r="B168">
            <v>2011</v>
          </cell>
          <cell r="C168">
            <v>4008.3</v>
          </cell>
        </row>
        <row r="169">
          <cell r="A169" t="str">
            <v>DOM</v>
          </cell>
          <cell r="B169">
            <v>2012</v>
          </cell>
          <cell r="C169">
            <v>4045.4000000000051</v>
          </cell>
        </row>
        <row r="170">
          <cell r="A170" t="str">
            <v>DOM</v>
          </cell>
          <cell r="B170">
            <v>2013</v>
          </cell>
          <cell r="C170">
            <v>4262.3000000000056</v>
          </cell>
        </row>
        <row r="171">
          <cell r="A171" t="str">
            <v>DOM</v>
          </cell>
          <cell r="B171">
            <v>2014</v>
          </cell>
          <cell r="C171">
            <v>4571.2</v>
          </cell>
        </row>
        <row r="172">
          <cell r="A172" t="str">
            <v>DOM</v>
          </cell>
          <cell r="B172">
            <v>2015</v>
          </cell>
          <cell r="C172">
            <v>4960.6000000000022</v>
          </cell>
        </row>
        <row r="173">
          <cell r="A173" t="str">
            <v>DOM</v>
          </cell>
          <cell r="B173">
            <v>2016</v>
          </cell>
          <cell r="C173">
            <v>5260.8</v>
          </cell>
        </row>
        <row r="174">
          <cell r="A174" t="str">
            <v>DOM</v>
          </cell>
          <cell r="B174">
            <v>2017</v>
          </cell>
          <cell r="C174">
            <v>5911.8000000000047</v>
          </cell>
        </row>
        <row r="175">
          <cell r="A175" t="str">
            <v>DOM</v>
          </cell>
          <cell r="B175">
            <v>2018</v>
          </cell>
          <cell r="C175">
            <v>6494.1999999999962</v>
          </cell>
        </row>
        <row r="176">
          <cell r="A176" t="str">
            <v>DOM</v>
          </cell>
          <cell r="B176">
            <v>2019</v>
          </cell>
          <cell r="C176">
            <v>7087.1000000000058</v>
          </cell>
        </row>
        <row r="177">
          <cell r="A177" t="str">
            <v>DOM</v>
          </cell>
          <cell r="B177">
            <v>2020</v>
          </cell>
          <cell r="C177">
            <v>8219.1999999999989</v>
          </cell>
        </row>
        <row r="178">
          <cell r="A178" t="str">
            <v>DOM</v>
          </cell>
          <cell r="B178">
            <v>2021</v>
          </cell>
          <cell r="C178">
            <v>10402.5</v>
          </cell>
        </row>
        <row r="179">
          <cell r="A179" t="str">
            <v>DOM</v>
          </cell>
          <cell r="B179">
            <v>2022</v>
          </cell>
          <cell r="C179">
            <v>9856.5000000000055</v>
          </cell>
        </row>
        <row r="180">
          <cell r="A180" t="str">
            <v>DOM</v>
          </cell>
          <cell r="B180">
            <v>2023</v>
          </cell>
          <cell r="C180">
            <v>10157</v>
          </cell>
        </row>
        <row r="181">
          <cell r="A181" t="str">
            <v>DOM</v>
          </cell>
          <cell r="B181">
            <v>2024</v>
          </cell>
          <cell r="C181">
            <v>10441.396000000001</v>
          </cell>
        </row>
        <row r="182">
          <cell r="A182" t="str">
            <v>DOM</v>
          </cell>
          <cell r="B182">
            <v>2025</v>
          </cell>
          <cell r="C182">
            <v>10733.755090000001</v>
          </cell>
        </row>
        <row r="183">
          <cell r="A183" t="str">
            <v>DOM</v>
          </cell>
          <cell r="B183">
            <v>2026</v>
          </cell>
          <cell r="C183">
            <v>11034.300230000001</v>
          </cell>
        </row>
        <row r="184">
          <cell r="A184" t="str">
            <v>ECU</v>
          </cell>
          <cell r="B184">
            <v>2001</v>
          </cell>
          <cell r="C184">
            <v>1414.6310000000001</v>
          </cell>
        </row>
        <row r="185">
          <cell r="A185" t="str">
            <v>ECU</v>
          </cell>
          <cell r="B185">
            <v>2002</v>
          </cell>
          <cell r="C185">
            <v>1431.365</v>
          </cell>
        </row>
        <row r="186">
          <cell r="A186" t="str">
            <v>ECU</v>
          </cell>
          <cell r="B186">
            <v>2003</v>
          </cell>
          <cell r="C186">
            <v>1628.277</v>
          </cell>
        </row>
        <row r="187">
          <cell r="A187" t="str">
            <v>ECU</v>
          </cell>
          <cell r="B187">
            <v>2004</v>
          </cell>
          <cell r="C187">
            <v>1832.1869999999999</v>
          </cell>
        </row>
        <row r="188">
          <cell r="A188" t="str">
            <v>ECU</v>
          </cell>
          <cell r="B188">
            <v>2005</v>
          </cell>
          <cell r="C188">
            <v>2452.9119999999898</v>
          </cell>
        </row>
        <row r="189">
          <cell r="A189" t="str">
            <v>ECU</v>
          </cell>
          <cell r="B189">
            <v>2006</v>
          </cell>
          <cell r="C189">
            <v>2926.7020000000002</v>
          </cell>
        </row>
        <row r="190">
          <cell r="A190" t="str">
            <v>ECU</v>
          </cell>
          <cell r="B190">
            <v>2007</v>
          </cell>
          <cell r="C190">
            <v>3333.52</v>
          </cell>
        </row>
        <row r="191">
          <cell r="A191" t="str">
            <v>ECU</v>
          </cell>
          <cell r="B191">
            <v>2008</v>
          </cell>
          <cell r="C191">
            <v>3082.6320000000001</v>
          </cell>
        </row>
        <row r="192">
          <cell r="A192" t="str">
            <v>ECU</v>
          </cell>
          <cell r="B192">
            <v>2009</v>
          </cell>
          <cell r="C192">
            <v>2734.7860000000001</v>
          </cell>
        </row>
        <row r="193">
          <cell r="A193" t="str">
            <v>ECU</v>
          </cell>
          <cell r="B193">
            <v>2010</v>
          </cell>
          <cell r="C193">
            <v>2590.8510000000001</v>
          </cell>
        </row>
        <row r="194">
          <cell r="A194" t="str">
            <v>ECU</v>
          </cell>
          <cell r="B194">
            <v>2011</v>
          </cell>
          <cell r="C194">
            <v>2670.8139999999999</v>
          </cell>
        </row>
        <row r="195">
          <cell r="A195" t="str">
            <v>ECU</v>
          </cell>
          <cell r="B195">
            <v>2012</v>
          </cell>
          <cell r="C195">
            <v>2465.9050000000002</v>
          </cell>
        </row>
        <row r="196">
          <cell r="A196" t="str">
            <v>ECU</v>
          </cell>
          <cell r="B196">
            <v>2013</v>
          </cell>
          <cell r="C196">
            <v>2448.9119999999898</v>
          </cell>
        </row>
        <row r="197">
          <cell r="A197" t="str">
            <v>ECU</v>
          </cell>
          <cell r="B197">
            <v>2014</v>
          </cell>
          <cell r="C197">
            <v>2461.9079999999999</v>
          </cell>
        </row>
        <row r="198">
          <cell r="A198" t="str">
            <v>ECU</v>
          </cell>
          <cell r="B198">
            <v>2015</v>
          </cell>
          <cell r="C198">
            <v>2375.9459999999999</v>
          </cell>
        </row>
        <row r="199">
          <cell r="A199" t="str">
            <v>ECU</v>
          </cell>
          <cell r="B199">
            <v>2016</v>
          </cell>
          <cell r="C199">
            <v>2601.9650000000001</v>
          </cell>
        </row>
        <row r="200">
          <cell r="A200" t="str">
            <v>ECU</v>
          </cell>
          <cell r="B200">
            <v>2017</v>
          </cell>
          <cell r="C200">
            <v>2840.1779999999999</v>
          </cell>
        </row>
        <row r="201">
          <cell r="A201" t="str">
            <v>ECU</v>
          </cell>
          <cell r="B201">
            <v>2018</v>
          </cell>
          <cell r="C201">
            <v>3030.576</v>
          </cell>
        </row>
        <row r="202">
          <cell r="A202" t="str">
            <v>ECU</v>
          </cell>
          <cell r="B202">
            <v>2019</v>
          </cell>
          <cell r="C202">
            <v>3234.6489999999999</v>
          </cell>
        </row>
        <row r="203">
          <cell r="A203" t="str">
            <v>ECU</v>
          </cell>
          <cell r="B203">
            <v>2020</v>
          </cell>
          <cell r="C203">
            <v>3337.7939999999999</v>
          </cell>
        </row>
        <row r="204">
          <cell r="A204" t="str">
            <v>ECU</v>
          </cell>
          <cell r="B204">
            <v>2021</v>
          </cell>
          <cell r="C204">
            <v>4362.3850000000002</v>
          </cell>
        </row>
        <row r="205">
          <cell r="A205" t="str">
            <v>ECU</v>
          </cell>
          <cell r="B205">
            <v>2022</v>
          </cell>
          <cell r="C205">
            <v>4743.5300000000007</v>
          </cell>
        </row>
        <row r="206">
          <cell r="A206" t="str">
            <v>ECU</v>
          </cell>
          <cell r="B206">
            <v>2023</v>
          </cell>
          <cell r="C206">
            <v>5586.378019615775</v>
          </cell>
        </row>
        <row r="207">
          <cell r="A207" t="str">
            <v>ECU</v>
          </cell>
          <cell r="B207">
            <v>2024</v>
          </cell>
          <cell r="C207">
            <v>5888.0044660450303</v>
          </cell>
        </row>
        <row r="208">
          <cell r="A208" t="str">
            <v>ECU</v>
          </cell>
          <cell r="B208">
            <v>2025</v>
          </cell>
          <cell r="C208">
            <v>6056.300042741479</v>
          </cell>
        </row>
        <row r="209">
          <cell r="A209" t="str">
            <v>ECU</v>
          </cell>
          <cell r="B209">
            <v>2026</v>
          </cell>
          <cell r="C209">
            <v>6229.2605258817221</v>
          </cell>
        </row>
        <row r="210">
          <cell r="A210" t="str">
            <v>GTM</v>
          </cell>
          <cell r="B210">
            <v>2001</v>
          </cell>
          <cell r="C210">
            <v>633.75360000000001</v>
          </cell>
        </row>
        <row r="211">
          <cell r="A211" t="str">
            <v>GTM</v>
          </cell>
          <cell r="B211">
            <v>2002</v>
          </cell>
          <cell r="C211">
            <v>1600.192</v>
          </cell>
        </row>
        <row r="212">
          <cell r="A212" t="str">
            <v>GTM</v>
          </cell>
          <cell r="B212">
            <v>2003</v>
          </cell>
          <cell r="C212">
            <v>2146.96</v>
          </cell>
        </row>
        <row r="213">
          <cell r="A213" t="str">
            <v>GTM</v>
          </cell>
          <cell r="B213">
            <v>2004</v>
          </cell>
          <cell r="C213">
            <v>2627.5</v>
          </cell>
        </row>
        <row r="214">
          <cell r="A214" t="str">
            <v>GTM</v>
          </cell>
          <cell r="B214">
            <v>2005</v>
          </cell>
          <cell r="C214">
            <v>3066.6</v>
          </cell>
        </row>
        <row r="215">
          <cell r="A215" t="str">
            <v>GTM</v>
          </cell>
          <cell r="B215">
            <v>2006</v>
          </cell>
          <cell r="C215">
            <v>3700.1</v>
          </cell>
        </row>
        <row r="216">
          <cell r="A216" t="str">
            <v>GTM</v>
          </cell>
          <cell r="B216">
            <v>2007</v>
          </cell>
          <cell r="C216">
            <v>4236.2</v>
          </cell>
        </row>
        <row r="217">
          <cell r="A217" t="str">
            <v>GTM</v>
          </cell>
          <cell r="B217">
            <v>2008</v>
          </cell>
          <cell r="C217">
            <v>4371.6818999999796</v>
          </cell>
        </row>
        <row r="218">
          <cell r="A218" t="str">
            <v>GTM</v>
          </cell>
          <cell r="B218">
            <v>2009</v>
          </cell>
          <cell r="C218">
            <v>3912.2867999999999</v>
          </cell>
        </row>
        <row r="219">
          <cell r="A219" t="str">
            <v>GTM</v>
          </cell>
          <cell r="B219">
            <v>2010</v>
          </cell>
          <cell r="C219">
            <v>4126.7840999999999</v>
          </cell>
        </row>
        <row r="220">
          <cell r="A220" t="str">
            <v>GTM</v>
          </cell>
          <cell r="B220">
            <v>2011</v>
          </cell>
          <cell r="C220">
            <v>4378.0319</v>
          </cell>
        </row>
        <row r="221">
          <cell r="A221" t="str">
            <v>GTM</v>
          </cell>
          <cell r="B221">
            <v>2012</v>
          </cell>
          <cell r="C221">
            <v>4782.7286999999797</v>
          </cell>
        </row>
        <row r="222">
          <cell r="A222" t="str">
            <v>GTM</v>
          </cell>
          <cell r="B222">
            <v>2013</v>
          </cell>
          <cell r="C222">
            <v>5105.1890000000003</v>
          </cell>
        </row>
        <row r="223">
          <cell r="A223" t="str">
            <v>GTM</v>
          </cell>
          <cell r="B223">
            <v>2014</v>
          </cell>
          <cell r="C223">
            <v>5544.0977000000003</v>
          </cell>
        </row>
        <row r="224">
          <cell r="A224" t="str">
            <v>GTM</v>
          </cell>
          <cell r="B224">
            <v>2015</v>
          </cell>
          <cell r="C224">
            <v>6284.9777999999997</v>
          </cell>
        </row>
        <row r="225">
          <cell r="A225" t="str">
            <v>GTM</v>
          </cell>
          <cell r="B225">
            <v>2016</v>
          </cell>
          <cell r="C225">
            <v>7159.9675999999999</v>
          </cell>
        </row>
        <row r="226">
          <cell r="A226" t="str">
            <v>GTM</v>
          </cell>
          <cell r="B226">
            <v>2017</v>
          </cell>
          <cell r="C226">
            <v>8305.8960000000006</v>
          </cell>
        </row>
        <row r="227">
          <cell r="A227" t="str">
            <v>GTM</v>
          </cell>
          <cell r="B227">
            <v>2018</v>
          </cell>
          <cell r="C227">
            <v>9330.0748299999996</v>
          </cell>
        </row>
        <row r="228">
          <cell r="A228" t="str">
            <v>GTM</v>
          </cell>
          <cell r="B228">
            <v>2019</v>
          </cell>
          <cell r="C228">
            <v>10550.995010000001</v>
          </cell>
        </row>
        <row r="229">
          <cell r="A229" t="str">
            <v>GTM</v>
          </cell>
          <cell r="B229">
            <v>2020</v>
          </cell>
          <cell r="C229">
            <v>11304.89832</v>
          </cell>
        </row>
        <row r="230">
          <cell r="A230" t="str">
            <v>GTM</v>
          </cell>
          <cell r="B230">
            <v>2021</v>
          </cell>
          <cell r="C230">
            <v>15280.077022426</v>
          </cell>
        </row>
        <row r="231">
          <cell r="A231" t="str">
            <v>GTM</v>
          </cell>
          <cell r="B231">
            <v>2022</v>
          </cell>
          <cell r="C231">
            <v>18015.210809440301</v>
          </cell>
        </row>
        <row r="232">
          <cell r="A232" t="str">
            <v>GTM</v>
          </cell>
          <cell r="B232">
            <v>2023</v>
          </cell>
          <cell r="C232">
            <v>19780.701468765448</v>
          </cell>
        </row>
        <row r="233">
          <cell r="A233" t="str">
            <v>GTM</v>
          </cell>
          <cell r="B233">
            <v>2024</v>
          </cell>
          <cell r="C233">
            <v>21165.350571579031</v>
          </cell>
        </row>
        <row r="234">
          <cell r="A234" t="str">
            <v>GTM</v>
          </cell>
          <cell r="B234">
            <v>2025</v>
          </cell>
          <cell r="C234">
            <v>22646.925111589571</v>
          </cell>
        </row>
        <row r="235">
          <cell r="A235" t="str">
            <v>GTM</v>
          </cell>
          <cell r="B235">
            <v>2026</v>
          </cell>
          <cell r="C235">
            <v>24232.209869400838</v>
          </cell>
        </row>
        <row r="236">
          <cell r="A236" t="str">
            <v>HND</v>
          </cell>
          <cell r="B236">
            <v>2001</v>
          </cell>
          <cell r="C236">
            <v>574</v>
          </cell>
        </row>
        <row r="237">
          <cell r="A237" t="str">
            <v>HND</v>
          </cell>
          <cell r="B237">
            <v>2002</v>
          </cell>
          <cell r="C237">
            <v>765.3</v>
          </cell>
        </row>
        <row r="238">
          <cell r="A238" t="str">
            <v>HND</v>
          </cell>
          <cell r="B238">
            <v>2003</v>
          </cell>
          <cell r="C238">
            <v>842.3</v>
          </cell>
        </row>
        <row r="239">
          <cell r="A239" t="str">
            <v>HND</v>
          </cell>
          <cell r="B239">
            <v>2004</v>
          </cell>
          <cell r="C239">
            <v>1138</v>
          </cell>
        </row>
        <row r="240">
          <cell r="A240" t="str">
            <v>HND</v>
          </cell>
          <cell r="B240">
            <v>2005</v>
          </cell>
          <cell r="C240">
            <v>1775.8</v>
          </cell>
        </row>
        <row r="241">
          <cell r="A241" t="str">
            <v>HND</v>
          </cell>
          <cell r="B241">
            <v>2006</v>
          </cell>
          <cell r="C241">
            <v>2328.6</v>
          </cell>
        </row>
        <row r="242">
          <cell r="A242" t="str">
            <v>HND</v>
          </cell>
          <cell r="B242">
            <v>2007</v>
          </cell>
          <cell r="C242">
            <v>2580.6999999999998</v>
          </cell>
        </row>
        <row r="243">
          <cell r="A243" t="str">
            <v>HND</v>
          </cell>
          <cell r="B243">
            <v>2008</v>
          </cell>
          <cell r="C243">
            <v>2807.5</v>
          </cell>
        </row>
        <row r="244">
          <cell r="A244" t="str">
            <v>HND</v>
          </cell>
          <cell r="B244">
            <v>2009</v>
          </cell>
          <cell r="C244">
            <v>2467.9</v>
          </cell>
        </row>
        <row r="245">
          <cell r="A245" t="str">
            <v>HND</v>
          </cell>
          <cell r="B245">
            <v>2010</v>
          </cell>
          <cell r="C245">
            <v>2609.1999999999998</v>
          </cell>
        </row>
        <row r="246">
          <cell r="A246" t="str">
            <v>HND</v>
          </cell>
          <cell r="B246">
            <v>2011</v>
          </cell>
          <cell r="C246">
            <v>2797.6</v>
          </cell>
        </row>
        <row r="247">
          <cell r="A247" t="str">
            <v>HND</v>
          </cell>
          <cell r="B247">
            <v>2012</v>
          </cell>
          <cell r="C247">
            <v>2891.8</v>
          </cell>
        </row>
        <row r="248">
          <cell r="A248" t="str">
            <v>HND</v>
          </cell>
          <cell r="B248">
            <v>2013</v>
          </cell>
          <cell r="C248">
            <v>3082.7</v>
          </cell>
        </row>
        <row r="249">
          <cell r="A249" t="str">
            <v>HND</v>
          </cell>
          <cell r="B249">
            <v>2014</v>
          </cell>
          <cell r="C249">
            <v>3353.2</v>
          </cell>
        </row>
        <row r="250">
          <cell r="A250" t="str">
            <v>HND</v>
          </cell>
          <cell r="B250">
            <v>2015</v>
          </cell>
          <cell r="C250">
            <v>3649.8</v>
          </cell>
        </row>
        <row r="251">
          <cell r="A251" t="str">
            <v>HND</v>
          </cell>
          <cell r="B251">
            <v>2016</v>
          </cell>
          <cell r="C251">
            <v>3847.3</v>
          </cell>
        </row>
        <row r="252">
          <cell r="A252" t="str">
            <v>HND</v>
          </cell>
          <cell r="B252">
            <v>2017</v>
          </cell>
          <cell r="C252">
            <v>4305.3</v>
          </cell>
        </row>
        <row r="253">
          <cell r="A253" t="str">
            <v>HND</v>
          </cell>
          <cell r="B253">
            <v>2018</v>
          </cell>
          <cell r="C253">
            <v>4759.8999999999996</v>
          </cell>
        </row>
        <row r="254">
          <cell r="A254" t="str">
            <v>HND</v>
          </cell>
          <cell r="B254">
            <v>2019</v>
          </cell>
          <cell r="C254">
            <v>5384.5</v>
          </cell>
        </row>
        <row r="255">
          <cell r="A255" t="str">
            <v>HND</v>
          </cell>
          <cell r="B255">
            <v>2020</v>
          </cell>
          <cell r="C255">
            <v>5573.1000000000013</v>
          </cell>
        </row>
        <row r="256">
          <cell r="A256" t="str">
            <v>HND</v>
          </cell>
          <cell r="B256">
            <v>2021</v>
          </cell>
          <cell r="C256">
            <v>7184.4</v>
          </cell>
        </row>
        <row r="257">
          <cell r="A257" t="str">
            <v>HND</v>
          </cell>
          <cell r="B257">
            <v>2022</v>
          </cell>
          <cell r="C257">
            <v>8464.9</v>
          </cell>
        </row>
        <row r="258">
          <cell r="A258" t="str">
            <v>HND</v>
          </cell>
          <cell r="B258">
            <v>2023</v>
          </cell>
          <cell r="C258">
            <v>8794.710575000332</v>
          </cell>
        </row>
        <row r="259">
          <cell r="A259" t="str">
            <v>HND</v>
          </cell>
          <cell r="B259">
            <v>2024</v>
          </cell>
          <cell r="C259">
            <v>10050.86539227086</v>
          </cell>
        </row>
        <row r="260">
          <cell r="A260" t="str">
            <v>HND</v>
          </cell>
          <cell r="B260">
            <v>2025</v>
          </cell>
          <cell r="C260">
            <v>10450.12463937316</v>
          </cell>
        </row>
        <row r="261">
          <cell r="A261" t="str">
            <v>HND</v>
          </cell>
          <cell r="B261">
            <v>2026</v>
          </cell>
          <cell r="C261">
            <v>10867.73086316491</v>
          </cell>
        </row>
        <row r="262">
          <cell r="A262" t="str">
            <v>MEX</v>
          </cell>
          <cell r="B262">
            <v>2001</v>
          </cell>
          <cell r="C262">
            <v>8895.2638999999999</v>
          </cell>
        </row>
        <row r="263">
          <cell r="A263" t="str">
            <v>MEX</v>
          </cell>
          <cell r="B263">
            <v>2002</v>
          </cell>
          <cell r="C263">
            <v>9814.4480999999996</v>
          </cell>
        </row>
        <row r="264">
          <cell r="A264" t="str">
            <v>MEX</v>
          </cell>
          <cell r="B264">
            <v>2003</v>
          </cell>
          <cell r="C264">
            <v>15138.6865</v>
          </cell>
        </row>
        <row r="265">
          <cell r="A265" t="str">
            <v>MEX</v>
          </cell>
          <cell r="B265">
            <v>2004</v>
          </cell>
          <cell r="C265">
            <v>18331.747800000001</v>
          </cell>
        </row>
        <row r="266">
          <cell r="A266" t="str">
            <v>MEX</v>
          </cell>
          <cell r="B266">
            <v>2005</v>
          </cell>
          <cell r="C266">
            <v>21688.271000000001</v>
          </cell>
        </row>
        <row r="267">
          <cell r="A267" t="str">
            <v>MEX</v>
          </cell>
          <cell r="B267">
            <v>2006</v>
          </cell>
          <cell r="C267">
            <v>25566.834999999999</v>
          </cell>
        </row>
        <row r="268">
          <cell r="A268" t="str">
            <v>MEX</v>
          </cell>
          <cell r="B268">
            <v>2007</v>
          </cell>
          <cell r="C268">
            <v>26695.936000000002</v>
          </cell>
        </row>
        <row r="269">
          <cell r="A269" t="str">
            <v>MEX</v>
          </cell>
          <cell r="B269">
            <v>2008</v>
          </cell>
          <cell r="C269">
            <v>26185.216199999999</v>
          </cell>
        </row>
        <row r="270">
          <cell r="A270" t="str">
            <v>MEX</v>
          </cell>
          <cell r="B270">
            <v>2009</v>
          </cell>
          <cell r="C270">
            <v>22123.7258</v>
          </cell>
        </row>
        <row r="271">
          <cell r="A271" t="str">
            <v>MEX</v>
          </cell>
          <cell r="B271">
            <v>2010</v>
          </cell>
          <cell r="C271">
            <v>21991.339400000001</v>
          </cell>
        </row>
        <row r="272">
          <cell r="A272" t="str">
            <v>MEX</v>
          </cell>
          <cell r="B272">
            <v>2011</v>
          </cell>
          <cell r="C272">
            <v>23547.3459</v>
          </cell>
        </row>
        <row r="273">
          <cell r="A273" t="str">
            <v>MEX</v>
          </cell>
          <cell r="B273">
            <v>2012</v>
          </cell>
          <cell r="C273">
            <v>23286.272199999999</v>
          </cell>
        </row>
        <row r="274">
          <cell r="A274" t="str">
            <v>MEX</v>
          </cell>
          <cell r="B274">
            <v>2013</v>
          </cell>
          <cell r="C274">
            <v>23090.037499999999</v>
          </cell>
        </row>
        <row r="275">
          <cell r="A275" t="str">
            <v>MEX</v>
          </cell>
          <cell r="B275">
            <v>2014</v>
          </cell>
          <cell r="C275">
            <v>24401.8462</v>
          </cell>
        </row>
        <row r="276">
          <cell r="A276" t="str">
            <v>MEX</v>
          </cell>
          <cell r="B276">
            <v>2015</v>
          </cell>
          <cell r="C276">
            <v>25376.508000000002</v>
          </cell>
        </row>
        <row r="277">
          <cell r="A277" t="str">
            <v>MEX</v>
          </cell>
          <cell r="B277">
            <v>2016</v>
          </cell>
          <cell r="C277">
            <v>27631.143800000002</v>
          </cell>
        </row>
        <row r="278">
          <cell r="A278" t="str">
            <v>MEX</v>
          </cell>
          <cell r="B278">
            <v>2017</v>
          </cell>
          <cell r="C278">
            <v>30942.914199999999</v>
          </cell>
        </row>
        <row r="279">
          <cell r="A279" t="str">
            <v>MEX</v>
          </cell>
          <cell r="B279">
            <v>2018</v>
          </cell>
          <cell r="C279">
            <v>34435.116499999996</v>
          </cell>
        </row>
        <row r="280">
          <cell r="A280" t="str">
            <v>MEX</v>
          </cell>
          <cell r="B280">
            <v>2019</v>
          </cell>
          <cell r="C280">
            <v>37250.485800000002</v>
          </cell>
        </row>
        <row r="281">
          <cell r="A281" t="str">
            <v>MEX</v>
          </cell>
          <cell r="B281">
            <v>2020</v>
          </cell>
          <cell r="C281">
            <v>41703.933199999999</v>
          </cell>
        </row>
        <row r="282">
          <cell r="A282" t="str">
            <v>MEX</v>
          </cell>
          <cell r="B282">
            <v>2021</v>
          </cell>
          <cell r="C282">
            <v>52522.5982</v>
          </cell>
        </row>
        <row r="283">
          <cell r="A283" t="str">
            <v>MEX</v>
          </cell>
          <cell r="B283">
            <v>2022</v>
          </cell>
          <cell r="C283">
            <v>58867.828200000004</v>
          </cell>
        </row>
        <row r="284">
          <cell r="A284" t="str">
            <v>MEX</v>
          </cell>
          <cell r="B284">
            <v>2023</v>
          </cell>
          <cell r="C284">
            <v>63312.606599999999</v>
          </cell>
        </row>
        <row r="285">
          <cell r="A285" t="str">
            <v>MEX</v>
          </cell>
          <cell r="B285">
            <v>2024</v>
          </cell>
          <cell r="C285">
            <v>61000</v>
          </cell>
        </row>
        <row r="286">
          <cell r="A286" t="str">
            <v>MEX</v>
          </cell>
          <cell r="B286">
            <v>2025</v>
          </cell>
          <cell r="C286">
            <v>57000</v>
          </cell>
        </row>
        <row r="287">
          <cell r="A287" t="str">
            <v>MEX</v>
          </cell>
          <cell r="B287">
            <v>2026</v>
          </cell>
          <cell r="C287">
            <v>54000</v>
          </cell>
        </row>
        <row r="288">
          <cell r="A288" t="str">
            <v>NIC</v>
          </cell>
          <cell r="B288">
            <v>2001</v>
          </cell>
          <cell r="C288">
            <v>335.7</v>
          </cell>
        </row>
        <row r="289">
          <cell r="A289" t="str">
            <v>NIC</v>
          </cell>
          <cell r="B289">
            <v>2002</v>
          </cell>
          <cell r="C289">
            <v>376.5</v>
          </cell>
        </row>
        <row r="290">
          <cell r="A290" t="str">
            <v>NIC</v>
          </cell>
          <cell r="B290">
            <v>2003</v>
          </cell>
          <cell r="C290">
            <v>438.8</v>
          </cell>
        </row>
        <row r="291">
          <cell r="A291" t="str">
            <v>NIC</v>
          </cell>
          <cell r="B291">
            <v>2004</v>
          </cell>
          <cell r="C291">
            <v>518.79999999999905</v>
          </cell>
        </row>
        <row r="292">
          <cell r="A292" t="str">
            <v>NIC</v>
          </cell>
          <cell r="B292">
            <v>2005</v>
          </cell>
          <cell r="C292">
            <v>615.70000000000005</v>
          </cell>
        </row>
        <row r="293">
          <cell r="A293" t="str">
            <v>NIC</v>
          </cell>
          <cell r="B293">
            <v>2006</v>
          </cell>
          <cell r="C293">
            <v>697.5</v>
          </cell>
        </row>
        <row r="294">
          <cell r="A294" t="str">
            <v>NIC</v>
          </cell>
          <cell r="B294">
            <v>2007</v>
          </cell>
          <cell r="C294">
            <v>739.6</v>
          </cell>
        </row>
        <row r="295">
          <cell r="A295" t="str">
            <v>NIC</v>
          </cell>
          <cell r="B295">
            <v>2008</v>
          </cell>
          <cell r="C295">
            <v>818.1</v>
          </cell>
        </row>
        <row r="296">
          <cell r="A296" t="str">
            <v>NIC</v>
          </cell>
          <cell r="B296">
            <v>2009</v>
          </cell>
          <cell r="C296">
            <v>768.4</v>
          </cell>
        </row>
        <row r="297">
          <cell r="A297" t="str">
            <v>NIC</v>
          </cell>
          <cell r="B297">
            <v>2010</v>
          </cell>
          <cell r="C297">
            <v>822.8</v>
          </cell>
        </row>
        <row r="298">
          <cell r="A298" t="str">
            <v>NIC</v>
          </cell>
          <cell r="B298">
            <v>2011</v>
          </cell>
          <cell r="C298">
            <v>911.6</v>
          </cell>
        </row>
        <row r="299">
          <cell r="A299" t="str">
            <v>NIC</v>
          </cell>
          <cell r="B299">
            <v>2012</v>
          </cell>
          <cell r="C299">
            <v>1014.2</v>
          </cell>
        </row>
        <row r="300">
          <cell r="A300" t="str">
            <v>NIC</v>
          </cell>
          <cell r="B300">
            <v>2013</v>
          </cell>
          <cell r="C300">
            <v>1077.7</v>
          </cell>
        </row>
        <row r="301">
          <cell r="A301" t="str">
            <v>NIC</v>
          </cell>
          <cell r="B301">
            <v>2014</v>
          </cell>
          <cell r="C301">
            <v>1135.8</v>
          </cell>
        </row>
        <row r="302">
          <cell r="A302" t="str">
            <v>NIC</v>
          </cell>
          <cell r="B302">
            <v>2015</v>
          </cell>
          <cell r="C302">
            <v>1193.4000000000001</v>
          </cell>
        </row>
        <row r="303">
          <cell r="A303" t="str">
            <v>NIC</v>
          </cell>
          <cell r="B303">
            <v>2016</v>
          </cell>
          <cell r="C303">
            <v>1264.0999999999999</v>
          </cell>
        </row>
        <row r="304">
          <cell r="A304" t="str">
            <v>NIC</v>
          </cell>
          <cell r="B304">
            <v>2017</v>
          </cell>
          <cell r="C304">
            <v>1390.8</v>
          </cell>
        </row>
        <row r="305">
          <cell r="A305" t="str">
            <v>NIC</v>
          </cell>
          <cell r="B305">
            <v>2018</v>
          </cell>
          <cell r="C305">
            <v>1501.2</v>
          </cell>
        </row>
        <row r="306">
          <cell r="A306" t="str">
            <v>NIC</v>
          </cell>
          <cell r="B306">
            <v>2019</v>
          </cell>
          <cell r="C306">
            <v>1682.4</v>
          </cell>
        </row>
        <row r="307">
          <cell r="A307" t="str">
            <v>NIC</v>
          </cell>
          <cell r="B307">
            <v>2020</v>
          </cell>
          <cell r="C307">
            <v>1851.4</v>
          </cell>
        </row>
        <row r="308">
          <cell r="A308" t="str">
            <v>NIC</v>
          </cell>
          <cell r="B308">
            <v>2021</v>
          </cell>
          <cell r="C308">
            <v>2146.9</v>
          </cell>
        </row>
        <row r="309">
          <cell r="A309" t="str">
            <v>NIC</v>
          </cell>
          <cell r="B309">
            <v>2022</v>
          </cell>
          <cell r="C309">
            <v>3224.900000000001</v>
          </cell>
        </row>
        <row r="310">
          <cell r="A310" t="str">
            <v>NIC</v>
          </cell>
          <cell r="B310">
            <v>2023</v>
          </cell>
          <cell r="C310">
            <v>4652.4996994700014</v>
          </cell>
        </row>
        <row r="311">
          <cell r="A311" t="str">
            <v>NIC</v>
          </cell>
          <cell r="B311">
            <v>2024</v>
          </cell>
          <cell r="C311">
            <v>5000.0028112729051</v>
          </cell>
        </row>
        <row r="312">
          <cell r="A312" t="str">
            <v>NIC</v>
          </cell>
          <cell r="B312">
            <v>2025</v>
          </cell>
          <cell r="C312">
            <v>5250.0009518354263</v>
          </cell>
        </row>
        <row r="313">
          <cell r="A313" t="str">
            <v>NIC</v>
          </cell>
          <cell r="B313">
            <v>2026</v>
          </cell>
          <cell r="C313">
            <v>5384.0544761395931</v>
          </cell>
        </row>
        <row r="314">
          <cell r="A314" t="str">
            <v>PAN</v>
          </cell>
          <cell r="B314">
            <v>2001</v>
          </cell>
          <cell r="C314">
            <v>73.099999999999994</v>
          </cell>
        </row>
        <row r="315">
          <cell r="A315" t="str">
            <v>PAN</v>
          </cell>
          <cell r="B315">
            <v>2002</v>
          </cell>
          <cell r="C315">
            <v>84.6</v>
          </cell>
        </row>
        <row r="316">
          <cell r="A316" t="str">
            <v>PAN</v>
          </cell>
          <cell r="B316">
            <v>2003</v>
          </cell>
          <cell r="C316">
            <v>94.1</v>
          </cell>
        </row>
        <row r="317">
          <cell r="A317" t="str">
            <v>PAN</v>
          </cell>
          <cell r="B317">
            <v>2004</v>
          </cell>
          <cell r="C317">
            <v>105</v>
          </cell>
        </row>
        <row r="318">
          <cell r="A318" t="str">
            <v>PAN</v>
          </cell>
          <cell r="B318">
            <v>2005</v>
          </cell>
          <cell r="C318">
            <v>124.4</v>
          </cell>
        </row>
        <row r="319">
          <cell r="A319" t="str">
            <v>PAN</v>
          </cell>
          <cell r="B319">
            <v>2006</v>
          </cell>
          <cell r="C319">
            <v>292.7</v>
          </cell>
        </row>
        <row r="320">
          <cell r="A320" t="str">
            <v>PAN</v>
          </cell>
          <cell r="B320">
            <v>2007</v>
          </cell>
          <cell r="C320">
            <v>339.6</v>
          </cell>
        </row>
        <row r="321">
          <cell r="A321" t="str">
            <v>PAN</v>
          </cell>
          <cell r="B321">
            <v>2008</v>
          </cell>
          <cell r="C321">
            <v>366.5</v>
          </cell>
        </row>
        <row r="322">
          <cell r="A322" t="str">
            <v>PAN</v>
          </cell>
          <cell r="B322">
            <v>2009</v>
          </cell>
          <cell r="C322">
            <v>327.60000000000002</v>
          </cell>
        </row>
        <row r="323">
          <cell r="A323" t="str">
            <v>PAN</v>
          </cell>
          <cell r="B323">
            <v>2010</v>
          </cell>
          <cell r="C323">
            <v>400</v>
          </cell>
        </row>
        <row r="324">
          <cell r="A324" t="str">
            <v>PAN</v>
          </cell>
          <cell r="B324">
            <v>2011</v>
          </cell>
          <cell r="C324">
            <v>344.5</v>
          </cell>
        </row>
        <row r="325">
          <cell r="A325" t="str">
            <v>PAN</v>
          </cell>
          <cell r="B325">
            <v>2012</v>
          </cell>
          <cell r="C325">
            <v>381.1</v>
          </cell>
        </row>
        <row r="326">
          <cell r="A326" t="str">
            <v>PAN</v>
          </cell>
          <cell r="B326">
            <v>2013</v>
          </cell>
          <cell r="C326">
            <v>424</v>
          </cell>
        </row>
        <row r="327">
          <cell r="A327" t="str">
            <v>PAN</v>
          </cell>
          <cell r="B327">
            <v>2014</v>
          </cell>
          <cell r="C327">
            <v>651.9</v>
          </cell>
        </row>
        <row r="328">
          <cell r="A328" t="str">
            <v>PAN</v>
          </cell>
          <cell r="B328">
            <v>2015</v>
          </cell>
          <cell r="C328">
            <v>472.7</v>
          </cell>
        </row>
        <row r="329">
          <cell r="A329" t="str">
            <v>PAN</v>
          </cell>
          <cell r="B329">
            <v>2016</v>
          </cell>
          <cell r="C329">
            <v>426.1</v>
          </cell>
        </row>
        <row r="330">
          <cell r="A330" t="str">
            <v>PAN</v>
          </cell>
          <cell r="B330">
            <v>2017</v>
          </cell>
          <cell r="C330">
            <v>443.7</v>
          </cell>
        </row>
        <row r="331">
          <cell r="A331" t="str">
            <v>PAN</v>
          </cell>
          <cell r="B331">
            <v>2018</v>
          </cell>
          <cell r="C331">
            <v>456.8</v>
          </cell>
        </row>
        <row r="332">
          <cell r="A332" t="str">
            <v>PAN</v>
          </cell>
          <cell r="B332">
            <v>2019</v>
          </cell>
          <cell r="C332">
            <v>493.2</v>
          </cell>
        </row>
        <row r="333">
          <cell r="A333" t="str">
            <v>PAN</v>
          </cell>
          <cell r="B333">
            <v>2020</v>
          </cell>
          <cell r="C333">
            <v>398.3</v>
          </cell>
        </row>
        <row r="334">
          <cell r="A334" t="str">
            <v>PAN</v>
          </cell>
          <cell r="B334">
            <v>2021</v>
          </cell>
          <cell r="C334">
            <v>511.72484961999999</v>
          </cell>
        </row>
        <row r="335">
          <cell r="A335" t="str">
            <v>PAN</v>
          </cell>
          <cell r="B335">
            <v>2022</v>
          </cell>
          <cell r="C335">
            <v>469.54050517000002</v>
          </cell>
        </row>
        <row r="336">
          <cell r="A336" t="str">
            <v>PAN</v>
          </cell>
          <cell r="B336">
            <v>2023</v>
          </cell>
          <cell r="C336">
            <v>600</v>
          </cell>
        </row>
        <row r="337">
          <cell r="A337" t="str">
            <v>PAN</v>
          </cell>
          <cell r="B337">
            <v>2024</v>
          </cell>
          <cell r="C337">
            <v>754.13931000000002</v>
          </cell>
        </row>
        <row r="338">
          <cell r="A338" t="str">
            <v>PAN</v>
          </cell>
          <cell r="B338">
            <v>2025</v>
          </cell>
          <cell r="C338">
            <v>779.79552000000001</v>
          </cell>
        </row>
        <row r="339">
          <cell r="A339" t="str">
            <v>PAN</v>
          </cell>
          <cell r="B339">
            <v>2026</v>
          </cell>
          <cell r="C339">
            <v>779.79552000000001</v>
          </cell>
        </row>
        <row r="340">
          <cell r="A340" t="str">
            <v>PER</v>
          </cell>
          <cell r="B340">
            <v>2001</v>
          </cell>
          <cell r="C340">
            <v>1047.0007034800001</v>
          </cell>
        </row>
        <row r="341">
          <cell r="A341" t="str">
            <v>PER</v>
          </cell>
          <cell r="B341">
            <v>2002</v>
          </cell>
          <cell r="C341">
            <v>1037.72093958</v>
          </cell>
        </row>
        <row r="342">
          <cell r="A342" t="str">
            <v>PER</v>
          </cell>
          <cell r="B342">
            <v>2003</v>
          </cell>
          <cell r="C342">
            <v>1230.8499033099999</v>
          </cell>
        </row>
        <row r="343">
          <cell r="A343" t="str">
            <v>PER</v>
          </cell>
          <cell r="B343">
            <v>2004</v>
          </cell>
          <cell r="C343">
            <v>1457.3516259800001</v>
          </cell>
        </row>
        <row r="344">
          <cell r="A344" t="str">
            <v>PER</v>
          </cell>
          <cell r="B344">
            <v>2005</v>
          </cell>
          <cell r="C344">
            <v>1710.74579281</v>
          </cell>
        </row>
        <row r="345">
          <cell r="A345" t="str">
            <v>PER</v>
          </cell>
          <cell r="B345">
            <v>2006</v>
          </cell>
          <cell r="C345">
            <v>2160.9048286799898</v>
          </cell>
        </row>
        <row r="346">
          <cell r="A346" t="str">
            <v>PER</v>
          </cell>
          <cell r="B346">
            <v>2007</v>
          </cell>
          <cell r="C346">
            <v>2577.5883482300001</v>
          </cell>
        </row>
        <row r="347">
          <cell r="A347" t="str">
            <v>PER</v>
          </cell>
          <cell r="B347">
            <v>2008</v>
          </cell>
          <cell r="C347">
            <v>3035.64226168</v>
          </cell>
        </row>
        <row r="348">
          <cell r="A348" t="str">
            <v>PER</v>
          </cell>
          <cell r="B348">
            <v>2009</v>
          </cell>
          <cell r="C348">
            <v>2905.1144498100002</v>
          </cell>
        </row>
        <row r="349">
          <cell r="A349" t="str">
            <v>PER</v>
          </cell>
          <cell r="B349">
            <v>2010</v>
          </cell>
          <cell r="C349">
            <v>3097.8068285300001</v>
          </cell>
        </row>
        <row r="350">
          <cell r="A350" t="str">
            <v>PER</v>
          </cell>
          <cell r="B350">
            <v>2011</v>
          </cell>
          <cell r="C350">
            <v>3124.87576248</v>
          </cell>
        </row>
        <row r="351">
          <cell r="A351" t="str">
            <v>PER</v>
          </cell>
          <cell r="B351">
            <v>2012</v>
          </cell>
          <cell r="C351">
            <v>4414.0232179188179</v>
          </cell>
        </row>
        <row r="352">
          <cell r="A352" t="str">
            <v>PER</v>
          </cell>
          <cell r="B352">
            <v>2013</v>
          </cell>
          <cell r="C352">
            <v>4545.6495133819071</v>
          </cell>
        </row>
        <row r="353">
          <cell r="A353" t="str">
            <v>PER</v>
          </cell>
          <cell r="B353">
            <v>2014</v>
          </cell>
          <cell r="C353">
            <v>5500.4993814110358</v>
          </cell>
        </row>
        <row r="354">
          <cell r="A354" t="str">
            <v>PER</v>
          </cell>
          <cell r="B354">
            <v>2015</v>
          </cell>
          <cell r="C354">
            <v>4481.4204936136821</v>
          </cell>
        </row>
        <row r="355">
          <cell r="A355" t="str">
            <v>PER</v>
          </cell>
          <cell r="B355">
            <v>2016</v>
          </cell>
          <cell r="C355">
            <v>5223.6373062617731</v>
          </cell>
        </row>
        <row r="356">
          <cell r="A356" t="str">
            <v>PER</v>
          </cell>
          <cell r="B356">
            <v>2017</v>
          </cell>
          <cell r="C356">
            <v>5646.531146772616</v>
          </cell>
        </row>
        <row r="357">
          <cell r="A357" t="str">
            <v>PER</v>
          </cell>
          <cell r="B357">
            <v>2018</v>
          </cell>
          <cell r="C357">
            <v>5464.7746962171896</v>
          </cell>
        </row>
        <row r="358">
          <cell r="A358" t="str">
            <v>PER</v>
          </cell>
          <cell r="B358">
            <v>2019</v>
          </cell>
          <cell r="C358">
            <v>5796.1048842937007</v>
          </cell>
        </row>
        <row r="359">
          <cell r="A359" t="str">
            <v>PER</v>
          </cell>
          <cell r="B359">
            <v>2020</v>
          </cell>
          <cell r="C359">
            <v>5374.4777530822084</v>
          </cell>
        </row>
        <row r="360">
          <cell r="A360" t="str">
            <v>PER</v>
          </cell>
          <cell r="B360">
            <v>2021</v>
          </cell>
          <cell r="C360">
            <v>5969.8150737619681</v>
          </cell>
        </row>
        <row r="361">
          <cell r="A361" t="str">
            <v>PER</v>
          </cell>
          <cell r="B361">
            <v>2022</v>
          </cell>
          <cell r="C361">
            <v>5896.0359896312193</v>
          </cell>
        </row>
        <row r="362">
          <cell r="A362" t="str">
            <v>PER</v>
          </cell>
          <cell r="B362">
            <v>2023</v>
          </cell>
          <cell r="C362">
            <v>6689.5556722975089</v>
          </cell>
        </row>
        <row r="363">
          <cell r="A363" t="str">
            <v>PER</v>
          </cell>
          <cell r="B363">
            <v>2024</v>
          </cell>
          <cell r="C363">
            <v>6574.3122866268204</v>
          </cell>
        </row>
        <row r="364">
          <cell r="A364" t="str">
            <v>PER</v>
          </cell>
          <cell r="B364">
            <v>2025</v>
          </cell>
          <cell r="C364">
            <v>7003.7395203363449</v>
          </cell>
        </row>
        <row r="365">
          <cell r="A365" t="str">
            <v>PER</v>
          </cell>
          <cell r="B365">
            <v>2026</v>
          </cell>
          <cell r="C365">
            <v>7449.1562418645544</v>
          </cell>
        </row>
        <row r="366">
          <cell r="A366" t="str">
            <v>PRY</v>
          </cell>
          <cell r="B366">
            <v>2001</v>
          </cell>
          <cell r="C366">
            <v>140</v>
          </cell>
        </row>
        <row r="367">
          <cell r="A367" t="str">
            <v>PRY</v>
          </cell>
          <cell r="B367">
            <v>2002</v>
          </cell>
          <cell r="C367">
            <v>98.7</v>
          </cell>
        </row>
        <row r="368">
          <cell r="A368" t="str">
            <v>PRY</v>
          </cell>
          <cell r="B368">
            <v>2003</v>
          </cell>
          <cell r="C368">
            <v>25.405358549999999</v>
          </cell>
        </row>
        <row r="369">
          <cell r="A369" t="str">
            <v>PRY</v>
          </cell>
          <cell r="B369">
            <v>2004</v>
          </cell>
          <cell r="C369">
            <v>67.740461780000004</v>
          </cell>
        </row>
        <row r="370">
          <cell r="A370" t="str">
            <v>PRY</v>
          </cell>
          <cell r="B370">
            <v>2005</v>
          </cell>
          <cell r="C370">
            <v>80.953486909999995</v>
          </cell>
        </row>
        <row r="371">
          <cell r="A371" t="str">
            <v>PRY</v>
          </cell>
          <cell r="B371">
            <v>2006</v>
          </cell>
          <cell r="C371">
            <v>100.5752737</v>
          </cell>
        </row>
        <row r="372">
          <cell r="A372" t="str">
            <v>PRY</v>
          </cell>
          <cell r="B372">
            <v>2007</v>
          </cell>
          <cell r="C372">
            <v>198.11597162999999</v>
          </cell>
        </row>
        <row r="373">
          <cell r="A373" t="str">
            <v>PRY</v>
          </cell>
          <cell r="B373">
            <v>2008</v>
          </cell>
          <cell r="C373">
            <v>202.28933215999999</v>
          </cell>
        </row>
        <row r="374">
          <cell r="A374" t="str">
            <v>PRY</v>
          </cell>
          <cell r="B374">
            <v>2009</v>
          </cell>
          <cell r="C374">
            <v>200.99899644000001</v>
          </cell>
        </row>
        <row r="375">
          <cell r="A375" t="str">
            <v>PRY</v>
          </cell>
          <cell r="B375">
            <v>2010</v>
          </cell>
          <cell r="C375">
            <v>273.57471552999999</v>
          </cell>
        </row>
        <row r="376">
          <cell r="A376" t="str">
            <v>PRY</v>
          </cell>
          <cell r="B376">
            <v>2011</v>
          </cell>
          <cell r="C376">
            <v>450.55444447000002</v>
          </cell>
        </row>
        <row r="377">
          <cell r="A377" t="str">
            <v>PRY</v>
          </cell>
          <cell r="B377">
            <v>2012</v>
          </cell>
          <cell r="C377">
            <v>528.47288070000002</v>
          </cell>
        </row>
        <row r="378">
          <cell r="A378" t="str">
            <v>PRY</v>
          </cell>
          <cell r="B378">
            <v>2013</v>
          </cell>
          <cell r="C378">
            <v>519.35553571000003</v>
          </cell>
        </row>
        <row r="379">
          <cell r="A379" t="str">
            <v>PRY</v>
          </cell>
          <cell r="B379">
            <v>2014</v>
          </cell>
          <cell r="C379">
            <v>422.17069418</v>
          </cell>
        </row>
        <row r="380">
          <cell r="A380" t="str">
            <v>PRY</v>
          </cell>
          <cell r="B380">
            <v>2015</v>
          </cell>
          <cell r="C380">
            <v>461.42052927999998</v>
          </cell>
        </row>
        <row r="381">
          <cell r="A381" t="str">
            <v>PRY</v>
          </cell>
          <cell r="B381">
            <v>2016</v>
          </cell>
          <cell r="C381">
            <v>547.37887481999906</v>
          </cell>
        </row>
        <row r="382">
          <cell r="A382" t="str">
            <v>PRY</v>
          </cell>
          <cell r="B382">
            <v>2017</v>
          </cell>
          <cell r="C382">
            <v>586.72760154000002</v>
          </cell>
        </row>
        <row r="383">
          <cell r="A383" t="str">
            <v>PRY</v>
          </cell>
          <cell r="B383">
            <v>2018</v>
          </cell>
          <cell r="C383">
            <v>569.05875553999999</v>
          </cell>
        </row>
        <row r="384">
          <cell r="A384" t="str">
            <v>PRY</v>
          </cell>
          <cell r="B384">
            <v>2019</v>
          </cell>
          <cell r="C384">
            <v>554.99189379999905</v>
          </cell>
        </row>
        <row r="385">
          <cell r="A385" t="str">
            <v>PRY</v>
          </cell>
          <cell r="B385">
            <v>2020</v>
          </cell>
          <cell r="C385">
            <v>486.42915742000002</v>
          </cell>
        </row>
        <row r="386">
          <cell r="A386" t="str">
            <v>PRY</v>
          </cell>
          <cell r="B386">
            <v>2021</v>
          </cell>
          <cell r="C386">
            <v>487.82003851000002</v>
          </cell>
        </row>
        <row r="387">
          <cell r="A387" t="str">
            <v>PRY</v>
          </cell>
          <cell r="B387">
            <v>2022</v>
          </cell>
          <cell r="C387">
            <v>493.572</v>
          </cell>
        </row>
        <row r="388">
          <cell r="A388" t="str">
            <v>PRY</v>
          </cell>
          <cell r="B388">
            <v>2023</v>
          </cell>
          <cell r="C388">
            <v>621.4323772682485</v>
          </cell>
        </row>
        <row r="389">
          <cell r="A389" t="str">
            <v>PRY</v>
          </cell>
          <cell r="B389">
            <v>2024</v>
          </cell>
          <cell r="C389">
            <v>542.87149517191426</v>
          </cell>
        </row>
        <row r="390">
          <cell r="A390" t="str">
            <v>PRY</v>
          </cell>
          <cell r="B390">
            <v>2025</v>
          </cell>
          <cell r="C390">
            <v>570.40535152620055</v>
          </cell>
        </row>
        <row r="391">
          <cell r="A391" t="str">
            <v>PRY</v>
          </cell>
          <cell r="B391">
            <v>2026</v>
          </cell>
          <cell r="C391">
            <v>598.92445145655381</v>
          </cell>
        </row>
        <row r="392">
          <cell r="A392" t="str">
            <v>SLV</v>
          </cell>
          <cell r="B392">
            <v>2001</v>
          </cell>
          <cell r="C392">
            <v>1910.5</v>
          </cell>
        </row>
        <row r="393">
          <cell r="A393" t="str">
            <v>SLV</v>
          </cell>
          <cell r="B393">
            <v>2002</v>
          </cell>
          <cell r="C393">
            <v>1935.2</v>
          </cell>
        </row>
        <row r="394">
          <cell r="A394" t="str">
            <v>SLV</v>
          </cell>
          <cell r="B394">
            <v>2003</v>
          </cell>
          <cell r="C394">
            <v>2105.3000000000002</v>
          </cell>
        </row>
        <row r="395">
          <cell r="A395" t="str">
            <v>SLV</v>
          </cell>
          <cell r="B395">
            <v>2004</v>
          </cell>
          <cell r="C395">
            <v>2547.6</v>
          </cell>
        </row>
        <row r="396">
          <cell r="A396" t="str">
            <v>SLV</v>
          </cell>
          <cell r="B396">
            <v>2005</v>
          </cell>
          <cell r="C396">
            <v>3017.1</v>
          </cell>
        </row>
        <row r="397">
          <cell r="A397" t="str">
            <v>SLV</v>
          </cell>
          <cell r="B397">
            <v>2006</v>
          </cell>
          <cell r="C397">
            <v>3471.1</v>
          </cell>
        </row>
        <row r="398">
          <cell r="A398" t="str">
            <v>SLV</v>
          </cell>
          <cell r="B398">
            <v>2007</v>
          </cell>
          <cell r="C398">
            <v>3695.3</v>
          </cell>
        </row>
        <row r="399">
          <cell r="A399" t="str">
            <v>SLV</v>
          </cell>
          <cell r="B399">
            <v>2008</v>
          </cell>
          <cell r="C399">
            <v>3742.1</v>
          </cell>
        </row>
        <row r="400">
          <cell r="A400" t="str">
            <v>SLV</v>
          </cell>
          <cell r="B400">
            <v>2009</v>
          </cell>
          <cell r="C400">
            <v>3387.2</v>
          </cell>
        </row>
        <row r="401">
          <cell r="A401" t="str">
            <v>SLV</v>
          </cell>
          <cell r="B401">
            <v>2010</v>
          </cell>
          <cell r="C401">
            <v>3455.4</v>
          </cell>
        </row>
        <row r="402">
          <cell r="A402" t="str">
            <v>SLV</v>
          </cell>
          <cell r="B402">
            <v>2011</v>
          </cell>
          <cell r="C402">
            <v>3627.7</v>
          </cell>
        </row>
        <row r="403">
          <cell r="A403" t="str">
            <v>SLV</v>
          </cell>
          <cell r="B403">
            <v>2012</v>
          </cell>
          <cell r="C403">
            <v>3886.8</v>
          </cell>
        </row>
        <row r="404">
          <cell r="A404" t="str">
            <v>SLV</v>
          </cell>
          <cell r="B404">
            <v>2013</v>
          </cell>
          <cell r="C404">
            <v>3944.2</v>
          </cell>
        </row>
        <row r="405">
          <cell r="A405" t="str">
            <v>SLV</v>
          </cell>
          <cell r="B405">
            <v>2014</v>
          </cell>
          <cell r="C405">
            <v>4139.2</v>
          </cell>
        </row>
        <row r="406">
          <cell r="A406" t="str">
            <v>SLV</v>
          </cell>
          <cell r="B406">
            <v>2015</v>
          </cell>
          <cell r="C406">
            <v>4256.5</v>
          </cell>
        </row>
        <row r="407">
          <cell r="A407" t="str">
            <v>SLV</v>
          </cell>
          <cell r="B407">
            <v>2016</v>
          </cell>
          <cell r="C407">
            <v>4544.1000000000013</v>
          </cell>
        </row>
        <row r="408">
          <cell r="A408" t="str">
            <v>SLV</v>
          </cell>
          <cell r="B408">
            <v>2017</v>
          </cell>
          <cell r="C408">
            <v>4985.5276290000002</v>
          </cell>
        </row>
        <row r="409">
          <cell r="A409" t="str">
            <v>SLV</v>
          </cell>
          <cell r="B409">
            <v>2018</v>
          </cell>
          <cell r="C409">
            <v>5394.643838</v>
          </cell>
        </row>
        <row r="410">
          <cell r="A410" t="str">
            <v>SLV</v>
          </cell>
          <cell r="B410">
            <v>2019</v>
          </cell>
          <cell r="C410">
            <v>5656.2661250000001</v>
          </cell>
        </row>
        <row r="411">
          <cell r="A411" t="str">
            <v>SLV</v>
          </cell>
          <cell r="B411">
            <v>2020</v>
          </cell>
          <cell r="C411">
            <v>5929.94</v>
          </cell>
        </row>
        <row r="412">
          <cell r="A412" t="str">
            <v>SLV</v>
          </cell>
          <cell r="B412">
            <v>2021</v>
          </cell>
          <cell r="C412">
            <v>7578.5</v>
          </cell>
        </row>
        <row r="413">
          <cell r="A413" t="str">
            <v>SLV</v>
          </cell>
          <cell r="B413">
            <v>2022</v>
          </cell>
          <cell r="C413">
            <v>7818.53</v>
          </cell>
        </row>
        <row r="414">
          <cell r="A414" t="str">
            <v>SLV</v>
          </cell>
          <cell r="B414">
            <v>2023</v>
          </cell>
          <cell r="C414">
            <v>8099.9973415474196</v>
          </cell>
        </row>
        <row r="415">
          <cell r="A415" t="str">
            <v>SLV</v>
          </cell>
          <cell r="B415">
            <v>2024</v>
          </cell>
          <cell r="C415">
            <v>8391.5949241975759</v>
          </cell>
        </row>
        <row r="416">
          <cell r="A416" t="str">
            <v>SLV</v>
          </cell>
          <cell r="B416">
            <v>2025</v>
          </cell>
          <cell r="C416">
            <v>8676.9105899702499</v>
          </cell>
        </row>
        <row r="417">
          <cell r="A417" t="str">
            <v>SLV</v>
          </cell>
          <cell r="B417">
            <v>2026</v>
          </cell>
          <cell r="C417">
            <v>8957.7013568808743</v>
          </cell>
        </row>
        <row r="418">
          <cell r="A418" t="str">
            <v>URY</v>
          </cell>
          <cell r="B418">
            <v>2001</v>
          </cell>
          <cell r="C418">
            <v>6.0000000000000001E-3</v>
          </cell>
        </row>
        <row r="419">
          <cell r="A419" t="str">
            <v>URY</v>
          </cell>
          <cell r="B419">
            <v>2002</v>
          </cell>
          <cell r="C419">
            <v>36.052999999999997</v>
          </cell>
        </row>
        <row r="420">
          <cell r="A420" t="str">
            <v>URY</v>
          </cell>
          <cell r="B420">
            <v>2003</v>
          </cell>
          <cell r="C420">
            <v>61.753300000000003</v>
          </cell>
        </row>
        <row r="421">
          <cell r="A421" t="str">
            <v>URY</v>
          </cell>
          <cell r="B421">
            <v>2004</v>
          </cell>
          <cell r="C421">
            <v>69.896199999999794</v>
          </cell>
        </row>
        <row r="422">
          <cell r="A422" t="str">
            <v>URY</v>
          </cell>
          <cell r="B422">
            <v>2005</v>
          </cell>
          <cell r="C422">
            <v>76.740399999999994</v>
          </cell>
        </row>
        <row r="423">
          <cell r="A423" t="str">
            <v>URY</v>
          </cell>
          <cell r="B423">
            <v>2006</v>
          </cell>
          <cell r="C423">
            <v>88.934600000000003</v>
          </cell>
        </row>
        <row r="424">
          <cell r="A424" t="str">
            <v>URY</v>
          </cell>
          <cell r="B424">
            <v>2007</v>
          </cell>
          <cell r="C424">
            <v>96.475999999999999</v>
          </cell>
        </row>
        <row r="425">
          <cell r="A425" t="str">
            <v>URY</v>
          </cell>
          <cell r="B425">
            <v>2008</v>
          </cell>
          <cell r="C425">
            <v>107.91200000000001</v>
          </cell>
        </row>
        <row r="426">
          <cell r="A426" t="str">
            <v>URY</v>
          </cell>
          <cell r="B426">
            <v>2009</v>
          </cell>
          <cell r="C426">
            <v>101.07299999999999</v>
          </cell>
        </row>
        <row r="427">
          <cell r="A427" t="str">
            <v>URY</v>
          </cell>
          <cell r="B427">
            <v>2010</v>
          </cell>
          <cell r="C427">
            <v>124.89100000000001</v>
          </cell>
        </row>
        <row r="428">
          <cell r="A428" t="str">
            <v>URY</v>
          </cell>
          <cell r="B428">
            <v>2011</v>
          </cell>
          <cell r="C428">
            <v>128.8366</v>
          </cell>
        </row>
        <row r="429">
          <cell r="A429" t="str">
            <v>URY</v>
          </cell>
          <cell r="B429">
            <v>2012</v>
          </cell>
          <cell r="C429">
            <v>91.602186209999999</v>
          </cell>
        </row>
        <row r="430">
          <cell r="A430" t="str">
            <v>URY</v>
          </cell>
          <cell r="B430">
            <v>2013</v>
          </cell>
          <cell r="C430">
            <v>98.848478420000021</v>
          </cell>
        </row>
        <row r="431">
          <cell r="A431" t="str">
            <v>URY</v>
          </cell>
          <cell r="B431">
            <v>2014</v>
          </cell>
          <cell r="C431">
            <v>97.830785210000002</v>
          </cell>
        </row>
        <row r="432">
          <cell r="A432" t="str">
            <v>URY</v>
          </cell>
          <cell r="B432">
            <v>2015</v>
          </cell>
          <cell r="C432">
            <v>90.267058230000004</v>
          </cell>
        </row>
        <row r="433">
          <cell r="A433" t="str">
            <v>URY</v>
          </cell>
          <cell r="B433">
            <v>2016</v>
          </cell>
          <cell r="C433">
            <v>90.443153010000003</v>
          </cell>
        </row>
        <row r="434">
          <cell r="A434" t="str">
            <v>URY</v>
          </cell>
          <cell r="B434">
            <v>2017</v>
          </cell>
          <cell r="C434">
            <v>106.48198259</v>
          </cell>
        </row>
        <row r="435">
          <cell r="A435" t="str">
            <v>URY</v>
          </cell>
          <cell r="B435">
            <v>2018</v>
          </cell>
          <cell r="C435">
            <v>110.93170393</v>
          </cell>
        </row>
        <row r="436">
          <cell r="A436" t="str">
            <v>URY</v>
          </cell>
          <cell r="B436">
            <v>2019</v>
          </cell>
          <cell r="C436">
            <v>109.11234209</v>
          </cell>
        </row>
        <row r="437">
          <cell r="A437" t="str">
            <v>URY</v>
          </cell>
          <cell r="B437">
            <v>2020</v>
          </cell>
          <cell r="C437">
            <v>107.5571254</v>
          </cell>
        </row>
        <row r="438">
          <cell r="A438" t="str">
            <v>URY</v>
          </cell>
          <cell r="B438">
            <v>2021</v>
          </cell>
          <cell r="C438">
            <v>122.17314928</v>
          </cell>
        </row>
        <row r="439">
          <cell r="A439" t="str">
            <v>URY</v>
          </cell>
          <cell r="B439">
            <v>2022</v>
          </cell>
          <cell r="C439">
            <v>121.130455304164</v>
          </cell>
        </row>
        <row r="440">
          <cell r="A440" t="str">
            <v>URY</v>
          </cell>
          <cell r="B440">
            <v>2023</v>
          </cell>
          <cell r="C440">
            <v>74.018617077164464</v>
          </cell>
        </row>
        <row r="441">
          <cell r="A441" t="str">
            <v>URY</v>
          </cell>
          <cell r="B441">
            <v>2024</v>
          </cell>
          <cell r="C441">
            <v>75.815592275629854</v>
          </cell>
        </row>
        <row r="442">
          <cell r="A442" t="str">
            <v>URY</v>
          </cell>
          <cell r="B442">
            <v>2025</v>
          </cell>
          <cell r="C442">
            <v>77.065837335397106</v>
          </cell>
        </row>
        <row r="443">
          <cell r="A443" t="str">
            <v>URY</v>
          </cell>
          <cell r="B443">
            <v>2026</v>
          </cell>
          <cell r="C443">
            <v>78.383498614410385</v>
          </cell>
        </row>
      </sheetData>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mailto:%20lac_stats@worldbank.org?subject=[SIMULATIONS%20-%20CONTACT]:%20"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mailto:sar_stats@worldbank.org?subject=[SIMULATION]%20CHANGE%20IN%20GDP%20REQUIRED"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1.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7" Type="http://schemas.openxmlformats.org/officeDocument/2006/relationships/ctrlProp" Target="../ctrlProps/ctrlProp13.xml"/><Relationship Id="rId2" Type="http://schemas.openxmlformats.org/officeDocument/2006/relationships/hyperlink" Target="mailto:lac_stats@worldbank.org?subject=[SIMULATION]%20CHANGE%20IN%20PUBLIC%20TRANSFERS%20REQUIRED" TargetMode="External"/><Relationship Id="rId1" Type="http://schemas.openxmlformats.org/officeDocument/2006/relationships/hyperlink" Target="mailto:lac_stats@worldbank.org?subject=[SIMULATION]%20CHANGE%20IN%20REMITTANCES%20REQUIRED" TargetMode="External"/><Relationship Id="rId6" Type="http://schemas.openxmlformats.org/officeDocument/2006/relationships/ctrlProp" Target="../ctrlProps/ctrlProp12.xml"/><Relationship Id="rId5" Type="http://schemas.openxmlformats.org/officeDocument/2006/relationships/vmlDrawing" Target="../drawings/vmlDrawing6.vml"/><Relationship Id="rId4"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7" Type="http://schemas.openxmlformats.org/officeDocument/2006/relationships/image" Target="../media/image4.emf"/><Relationship Id="rId2" Type="http://schemas.openxmlformats.org/officeDocument/2006/relationships/hyperlink" Target="mailto:lac_stats@worldbank.org?subject=[SIMULATIONS%20-%20CONTACT]:%20" TargetMode="External"/><Relationship Id="rId1" Type="http://schemas.openxmlformats.org/officeDocument/2006/relationships/hyperlink" Target="mailto:csilveirabraga@worldbank.org?subject=[SIMULATIONS%20-%20CONTACT]:%20" TargetMode="External"/><Relationship Id="rId6" Type="http://schemas.openxmlformats.org/officeDocument/2006/relationships/control" Target="../activeX/activeX1.xml"/><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D3C92-E406-4F80-8718-E7274E670103}">
  <sheetPr codeName="Sheet7">
    <tabColor theme="8" tint="0.79998168889431442"/>
  </sheetPr>
  <dimension ref="A1:E50"/>
  <sheetViews>
    <sheetView zoomScale="80" zoomScaleNormal="80" workbookViewId="0">
      <selection activeCell="D31" sqref="D31"/>
    </sheetView>
  </sheetViews>
  <sheetFormatPr defaultColWidth="0" defaultRowHeight="14.25" zeroHeight="1" x14ac:dyDescent="0.2"/>
  <cols>
    <col min="1" max="1" width="2.85546875" style="83" customWidth="1"/>
    <col min="2" max="2" width="20.85546875" style="83" bestFit="1" customWidth="1"/>
    <col min="3" max="3" width="32" style="83" bestFit="1" customWidth="1"/>
    <col min="4" max="4" width="138.5703125" style="83" bestFit="1" customWidth="1"/>
    <col min="5" max="5" width="8.5703125" style="83" customWidth="1"/>
    <col min="6" max="16384" width="9.140625" style="83" hidden="1"/>
  </cols>
  <sheetData>
    <row r="1" spans="1:5" x14ac:dyDescent="0.2">
      <c r="A1" s="303"/>
      <c r="B1" s="99"/>
      <c r="C1" s="99"/>
      <c r="D1" s="99"/>
      <c r="E1" s="303"/>
    </row>
    <row r="2" spans="1:5" ht="20.25" x14ac:dyDescent="0.3">
      <c r="A2" s="303"/>
      <c r="B2" s="458" t="s">
        <v>0</v>
      </c>
      <c r="C2" s="458"/>
      <c r="D2" s="458"/>
      <c r="E2" s="303"/>
    </row>
    <row r="3" spans="1:5" x14ac:dyDescent="0.2">
      <c r="A3" s="303"/>
      <c r="B3" s="459" t="s">
        <v>1</v>
      </c>
      <c r="C3" s="459"/>
      <c r="D3" s="459"/>
      <c r="E3" s="303"/>
    </row>
    <row r="4" spans="1:5" x14ac:dyDescent="0.2">
      <c r="A4" s="303"/>
      <c r="B4" s="459"/>
      <c r="C4" s="459"/>
      <c r="D4" s="459"/>
      <c r="E4" s="303"/>
    </row>
    <row r="5" spans="1:5" ht="15" x14ac:dyDescent="0.25">
      <c r="A5" s="303"/>
      <c r="B5" s="460" t="s">
        <v>2</v>
      </c>
      <c r="C5" s="460"/>
      <c r="D5" s="116" t="s">
        <v>3</v>
      </c>
      <c r="E5" s="303"/>
    </row>
    <row r="6" spans="1:5" ht="15" x14ac:dyDescent="0.25">
      <c r="A6" s="303"/>
      <c r="B6" s="457" t="s">
        <v>4</v>
      </c>
      <c r="C6" s="457"/>
      <c r="D6" s="457"/>
      <c r="E6" s="303"/>
    </row>
    <row r="7" spans="1:5" x14ac:dyDescent="0.2">
      <c r="A7" s="303"/>
      <c r="B7" s="455" t="s">
        <v>5</v>
      </c>
      <c r="C7" s="455"/>
      <c r="D7" s="111" t="s">
        <v>6</v>
      </c>
      <c r="E7" s="303"/>
    </row>
    <row r="8" spans="1:5" x14ac:dyDescent="0.2">
      <c r="A8" s="303"/>
      <c r="B8" s="455" t="s">
        <v>7</v>
      </c>
      <c r="C8" s="455"/>
      <c r="D8" s="111" t="s">
        <v>8</v>
      </c>
      <c r="E8" s="303"/>
    </row>
    <row r="9" spans="1:5" x14ac:dyDescent="0.2">
      <c r="A9" s="303"/>
      <c r="B9" s="455" t="s">
        <v>9</v>
      </c>
      <c r="C9" s="455"/>
      <c r="D9" s="111" t="s">
        <v>10</v>
      </c>
      <c r="E9" s="303"/>
    </row>
    <row r="10" spans="1:5" x14ac:dyDescent="0.2">
      <c r="A10" s="303"/>
      <c r="B10" s="461" t="s">
        <v>11</v>
      </c>
      <c r="C10" s="461"/>
      <c r="D10" s="111" t="s">
        <v>12</v>
      </c>
      <c r="E10" s="303"/>
    </row>
    <row r="11" spans="1:5" x14ac:dyDescent="0.2">
      <c r="A11" s="303"/>
      <c r="B11" s="461" t="s">
        <v>13</v>
      </c>
      <c r="C11" s="461"/>
      <c r="D11" s="111" t="s">
        <v>14</v>
      </c>
      <c r="E11" s="303"/>
    </row>
    <row r="12" spans="1:5" ht="15" x14ac:dyDescent="0.25">
      <c r="A12" s="303"/>
      <c r="B12" s="457" t="s">
        <v>15</v>
      </c>
      <c r="C12" s="457"/>
      <c r="D12" s="457"/>
      <c r="E12" s="303"/>
    </row>
    <row r="13" spans="1:5" x14ac:dyDescent="0.2">
      <c r="A13" s="303"/>
      <c r="B13" s="456" t="s">
        <v>16</v>
      </c>
      <c r="C13" s="456"/>
      <c r="D13" s="112" t="s">
        <v>10</v>
      </c>
      <c r="E13" s="303"/>
    </row>
    <row r="14" spans="1:5" x14ac:dyDescent="0.2">
      <c r="A14" s="303"/>
      <c r="B14" s="456" t="s">
        <v>17</v>
      </c>
      <c r="C14" s="456"/>
      <c r="D14" s="112" t="s">
        <v>18</v>
      </c>
      <c r="E14" s="303"/>
    </row>
    <row r="15" spans="1:5" x14ac:dyDescent="0.2">
      <c r="A15" s="303"/>
      <c r="B15" s="456" t="s">
        <v>19</v>
      </c>
      <c r="C15" s="456"/>
      <c r="D15" s="112" t="s">
        <v>20</v>
      </c>
      <c r="E15" s="303"/>
    </row>
    <row r="16" spans="1:5" x14ac:dyDescent="0.2">
      <c r="A16" s="303"/>
      <c r="B16" s="456" t="s">
        <v>21</v>
      </c>
      <c r="C16" s="456"/>
      <c r="D16" s="112" t="s">
        <v>22</v>
      </c>
      <c r="E16" s="303"/>
    </row>
    <row r="17" spans="1:5" x14ac:dyDescent="0.2">
      <c r="A17" s="303"/>
      <c r="B17" s="456" t="s">
        <v>23</v>
      </c>
      <c r="C17" s="456"/>
      <c r="D17" s="112" t="s">
        <v>24</v>
      </c>
      <c r="E17" s="303"/>
    </row>
    <row r="18" spans="1:5" ht="25.5" x14ac:dyDescent="0.2">
      <c r="A18" s="303"/>
      <c r="B18" s="456" t="s">
        <v>25</v>
      </c>
      <c r="C18" s="456"/>
      <c r="D18" s="112" t="s">
        <v>26</v>
      </c>
      <c r="E18" s="303"/>
    </row>
    <row r="19" spans="1:5" x14ac:dyDescent="0.2">
      <c r="A19" s="303"/>
      <c r="B19" s="456" t="s">
        <v>27</v>
      </c>
      <c r="C19" s="456"/>
      <c r="D19" s="112" t="s">
        <v>28</v>
      </c>
      <c r="E19" s="303"/>
    </row>
    <row r="20" spans="1:5" x14ac:dyDescent="0.2">
      <c r="A20" s="303"/>
      <c r="B20" s="456" t="s">
        <v>29</v>
      </c>
      <c r="C20" s="456"/>
      <c r="D20" s="112" t="s">
        <v>30</v>
      </c>
      <c r="E20" s="303"/>
    </row>
    <row r="21" spans="1:5" x14ac:dyDescent="0.2">
      <c r="A21" s="303"/>
      <c r="B21" s="456" t="s">
        <v>31</v>
      </c>
      <c r="C21" s="456"/>
      <c r="D21" s="112" t="s">
        <v>32</v>
      </c>
      <c r="E21" s="303"/>
    </row>
    <row r="22" spans="1:5" x14ac:dyDescent="0.2">
      <c r="A22" s="303"/>
      <c r="B22" s="456" t="s">
        <v>33</v>
      </c>
      <c r="C22" s="456"/>
      <c r="D22" s="112" t="s">
        <v>34</v>
      </c>
      <c r="E22" s="303"/>
    </row>
    <row r="23" spans="1:5" x14ac:dyDescent="0.2">
      <c r="A23" s="303"/>
      <c r="B23" s="456" t="s">
        <v>35</v>
      </c>
      <c r="C23" s="456"/>
      <c r="D23" s="113" t="s">
        <v>36</v>
      </c>
      <c r="E23" s="303"/>
    </row>
    <row r="24" spans="1:5" ht="25.5" x14ac:dyDescent="0.2">
      <c r="A24" s="303"/>
      <c r="B24" s="456"/>
      <c r="C24" s="456"/>
      <c r="D24" s="113" t="s">
        <v>37</v>
      </c>
      <c r="E24" s="303"/>
    </row>
    <row r="25" spans="1:5" ht="25.5" x14ac:dyDescent="0.2">
      <c r="A25" s="303"/>
      <c r="B25" s="456"/>
      <c r="C25" s="456"/>
      <c r="D25" s="113" t="s">
        <v>38</v>
      </c>
      <c r="E25" s="303"/>
    </row>
    <row r="26" spans="1:5" x14ac:dyDescent="0.2">
      <c r="A26" s="303"/>
      <c r="B26" s="456" t="s">
        <v>39</v>
      </c>
      <c r="C26" s="456"/>
      <c r="D26" s="111" t="s">
        <v>40</v>
      </c>
      <c r="E26" s="303"/>
    </row>
    <row r="27" spans="1:5" x14ac:dyDescent="0.2">
      <c r="A27" s="303"/>
      <c r="B27" s="456" t="s">
        <v>41</v>
      </c>
      <c r="C27" s="456"/>
      <c r="D27" s="111" t="s">
        <v>42</v>
      </c>
      <c r="E27" s="303"/>
    </row>
    <row r="28" spans="1:5" x14ac:dyDescent="0.2">
      <c r="A28" s="303"/>
      <c r="B28" s="456" t="s">
        <v>43</v>
      </c>
      <c r="C28" s="456"/>
      <c r="D28" s="111" t="s">
        <v>44</v>
      </c>
      <c r="E28" s="303"/>
    </row>
    <row r="29" spans="1:5" x14ac:dyDescent="0.2">
      <c r="A29" s="303"/>
      <c r="B29" s="456" t="s">
        <v>45</v>
      </c>
      <c r="C29" s="456"/>
      <c r="D29" s="111" t="s">
        <v>46</v>
      </c>
      <c r="E29" s="303"/>
    </row>
    <row r="30" spans="1:5" x14ac:dyDescent="0.2">
      <c r="A30" s="303"/>
      <c r="B30" s="456" t="s">
        <v>47</v>
      </c>
      <c r="C30" s="456"/>
      <c r="D30" s="111" t="s">
        <v>46</v>
      </c>
      <c r="E30" s="303"/>
    </row>
    <row r="31" spans="1:5" x14ac:dyDescent="0.2">
      <c r="A31" s="303"/>
      <c r="B31" s="456" t="s">
        <v>48</v>
      </c>
      <c r="C31" s="456"/>
      <c r="D31" s="111" t="s">
        <v>49</v>
      </c>
      <c r="E31" s="303"/>
    </row>
    <row r="32" spans="1:5" ht="15" x14ac:dyDescent="0.25">
      <c r="A32" s="303"/>
      <c r="B32" s="457" t="s">
        <v>50</v>
      </c>
      <c r="C32" s="457"/>
      <c r="D32" s="457"/>
      <c r="E32" s="303"/>
    </row>
    <row r="33" spans="1:5" x14ac:dyDescent="0.2">
      <c r="A33" s="303"/>
      <c r="B33" s="456" t="s">
        <v>51</v>
      </c>
      <c r="C33" s="456"/>
      <c r="D33" s="114" t="s">
        <v>52</v>
      </c>
      <c r="E33" s="303"/>
    </row>
    <row r="34" spans="1:5" ht="25.5" x14ac:dyDescent="0.2">
      <c r="A34" s="303"/>
      <c r="B34" s="456" t="s">
        <v>53</v>
      </c>
      <c r="C34" s="456"/>
      <c r="D34" s="111" t="s">
        <v>54</v>
      </c>
      <c r="E34" s="303"/>
    </row>
    <row r="35" spans="1:5" x14ac:dyDescent="0.2">
      <c r="A35" s="303"/>
      <c r="B35" s="456" t="s">
        <v>55</v>
      </c>
      <c r="C35" s="456"/>
      <c r="D35" s="114" t="s">
        <v>56</v>
      </c>
      <c r="E35" s="303"/>
    </row>
    <row r="36" spans="1:5" ht="15" x14ac:dyDescent="0.25">
      <c r="A36" s="303"/>
      <c r="B36" s="457" t="s">
        <v>57</v>
      </c>
      <c r="C36" s="457"/>
      <c r="D36" s="457"/>
      <c r="E36" s="303"/>
    </row>
    <row r="37" spans="1:5" x14ac:dyDescent="0.2">
      <c r="A37" s="303"/>
      <c r="B37" s="456" t="s">
        <v>58</v>
      </c>
      <c r="C37" s="114" t="s">
        <v>59</v>
      </c>
      <c r="D37" s="111" t="s">
        <v>60</v>
      </c>
      <c r="E37" s="303"/>
    </row>
    <row r="38" spans="1:5" x14ac:dyDescent="0.2">
      <c r="A38" s="303"/>
      <c r="B38" s="456"/>
      <c r="C38" s="114" t="s">
        <v>61</v>
      </c>
      <c r="D38" s="111" t="s">
        <v>62</v>
      </c>
      <c r="E38" s="303"/>
    </row>
    <row r="39" spans="1:5" x14ac:dyDescent="0.2">
      <c r="A39" s="303"/>
      <c r="B39" s="456"/>
      <c r="C39" s="114" t="s">
        <v>63</v>
      </c>
      <c r="D39" s="111" t="s">
        <v>64</v>
      </c>
      <c r="E39" s="303"/>
    </row>
    <row r="40" spans="1:5" ht="25.5" x14ac:dyDescent="0.2">
      <c r="A40" s="303"/>
      <c r="B40" s="456" t="s">
        <v>65</v>
      </c>
      <c r="C40" s="115" t="s">
        <v>66</v>
      </c>
      <c r="D40" s="111" t="s">
        <v>67</v>
      </c>
      <c r="E40" s="303"/>
    </row>
    <row r="41" spans="1:5" x14ac:dyDescent="0.2">
      <c r="A41" s="303"/>
      <c r="B41" s="456"/>
      <c r="C41" s="115" t="s">
        <v>68</v>
      </c>
      <c r="D41" s="111" t="s">
        <v>69</v>
      </c>
      <c r="E41" s="303"/>
    </row>
    <row r="42" spans="1:5" x14ac:dyDescent="0.2">
      <c r="A42" s="303"/>
      <c r="B42" s="456"/>
      <c r="C42" s="115" t="s">
        <v>70</v>
      </c>
      <c r="D42" s="111" t="s">
        <v>71</v>
      </c>
      <c r="E42" s="303"/>
    </row>
    <row r="43" spans="1:5" x14ac:dyDescent="0.2">
      <c r="A43" s="303"/>
      <c r="B43" s="456"/>
      <c r="C43" s="111" t="s">
        <v>72</v>
      </c>
      <c r="D43" s="111" t="s">
        <v>73</v>
      </c>
      <c r="E43" s="303"/>
    </row>
    <row r="44" spans="1:5" ht="15" x14ac:dyDescent="0.25">
      <c r="A44" s="303"/>
      <c r="B44" s="457" t="s">
        <v>74</v>
      </c>
      <c r="C44" s="457"/>
      <c r="D44" s="457"/>
      <c r="E44" s="303"/>
    </row>
    <row r="45" spans="1:5" x14ac:dyDescent="0.2">
      <c r="A45" s="303"/>
      <c r="B45" s="455" t="s">
        <v>75</v>
      </c>
      <c r="C45" s="455"/>
      <c r="D45" s="114" t="s">
        <v>76</v>
      </c>
      <c r="E45" s="303"/>
    </row>
    <row r="46" spans="1:5" x14ac:dyDescent="0.2">
      <c r="A46" s="303"/>
      <c r="B46" s="455" t="s">
        <v>77</v>
      </c>
      <c r="C46" s="455"/>
      <c r="D46" s="114" t="s">
        <v>78</v>
      </c>
      <c r="E46" s="303"/>
    </row>
    <row r="47" spans="1:5" x14ac:dyDescent="0.2">
      <c r="A47" s="303"/>
      <c r="B47" s="455" t="s">
        <v>79</v>
      </c>
      <c r="C47" s="455"/>
      <c r="D47" s="114" t="s">
        <v>80</v>
      </c>
      <c r="E47" s="303"/>
    </row>
    <row r="48" spans="1:5" ht="15" x14ac:dyDescent="0.25">
      <c r="A48" s="303"/>
      <c r="B48" s="457" t="s">
        <v>74</v>
      </c>
      <c r="C48" s="457"/>
      <c r="D48" s="457"/>
      <c r="E48" s="303"/>
    </row>
    <row r="49" spans="1:5" x14ac:dyDescent="0.2">
      <c r="A49" s="303"/>
      <c r="B49" s="455" t="s">
        <v>81</v>
      </c>
      <c r="C49" s="455"/>
      <c r="D49" s="114" t="s">
        <v>82</v>
      </c>
      <c r="E49" s="303"/>
    </row>
    <row r="50" spans="1:5" x14ac:dyDescent="0.2">
      <c r="A50" s="303"/>
      <c r="B50" s="99"/>
      <c r="C50" s="99"/>
      <c r="D50" s="99"/>
      <c r="E50" s="303"/>
    </row>
  </sheetData>
  <sheetProtection algorithmName="SHA-512" hashValue="1uIHnh3lVK+8Q7hnLArJIGPeFhqUQz6/3Jbou3qf7hsuR6C2dhT0nKAH6yEgAF9E6b1zGKEvuHNsTVyPQ3iNwg==" saltValue="ZtrImjPEJSk+KLcWFN3cGg==" spinCount="100000" sheet="1" objects="1" scenarios="1"/>
  <mergeCells count="40">
    <mergeCell ref="B23:C25"/>
    <mergeCell ref="B5:C5"/>
    <mergeCell ref="B49:C49"/>
    <mergeCell ref="B17:C17"/>
    <mergeCell ref="B18:C18"/>
    <mergeCell ref="B19:C19"/>
    <mergeCell ref="B20:C20"/>
    <mergeCell ref="B21:C21"/>
    <mergeCell ref="B22:C22"/>
    <mergeCell ref="B46:C46"/>
    <mergeCell ref="B47:C47"/>
    <mergeCell ref="B10:C10"/>
    <mergeCell ref="B11:C11"/>
    <mergeCell ref="B44:D44"/>
    <mergeCell ref="B48:D48"/>
    <mergeCell ref="B27:C27"/>
    <mergeCell ref="B2:D2"/>
    <mergeCell ref="B37:B39"/>
    <mergeCell ref="B40:B43"/>
    <mergeCell ref="B7:C7"/>
    <mergeCell ref="B8:C8"/>
    <mergeCell ref="B9:C9"/>
    <mergeCell ref="B26:C26"/>
    <mergeCell ref="B3:D4"/>
    <mergeCell ref="B6:D6"/>
    <mergeCell ref="B12:D12"/>
    <mergeCell ref="B36:D36"/>
    <mergeCell ref="B13:C13"/>
    <mergeCell ref="B14:C14"/>
    <mergeCell ref="B15:C15"/>
    <mergeCell ref="B16:C16"/>
    <mergeCell ref="B33:C33"/>
    <mergeCell ref="B45:C45"/>
    <mergeCell ref="B29:C29"/>
    <mergeCell ref="B28:C28"/>
    <mergeCell ref="B30:C30"/>
    <mergeCell ref="B31:C31"/>
    <mergeCell ref="B34:C34"/>
    <mergeCell ref="B35:C35"/>
    <mergeCell ref="B32:D3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EF4C3-7F60-4E5E-A305-B73B2C458CE3}">
  <sheetPr codeName="Sheet8">
    <tabColor theme="8" tint="0.79998168889431442"/>
  </sheetPr>
  <dimension ref="A1:AN70"/>
  <sheetViews>
    <sheetView workbookViewId="0">
      <selection activeCell="E4" sqref="E4"/>
    </sheetView>
  </sheetViews>
  <sheetFormatPr defaultColWidth="0" defaultRowHeight="14.25" x14ac:dyDescent="0.2"/>
  <cols>
    <col min="1" max="1" width="2.85546875" style="66" customWidth="1"/>
    <col min="2" max="3" width="15.7109375" style="66" customWidth="1"/>
    <col min="4" max="4" width="28.5703125" style="66" customWidth="1"/>
    <col min="5" max="5" width="18" style="66" bestFit="1" customWidth="1"/>
    <col min="6" max="7" width="15.7109375" style="66" customWidth="1"/>
    <col min="8" max="8" width="9.140625" style="66" customWidth="1"/>
    <col min="9" max="13" width="9.140625" style="66" hidden="1" customWidth="1"/>
    <col min="14" max="14" width="28.42578125" style="66" hidden="1" customWidth="1"/>
    <col min="15" max="23" width="9.140625" style="117" hidden="1" customWidth="1"/>
    <col min="24" max="38" width="0" style="117" hidden="1" customWidth="1"/>
    <col min="39" max="40" width="0" style="66" hidden="1" customWidth="1"/>
    <col min="41" max="16384" width="9.140625" style="66" hidden="1"/>
  </cols>
  <sheetData>
    <row r="1" spans="1:28" x14ac:dyDescent="0.2">
      <c r="A1" s="99"/>
      <c r="B1" s="99"/>
      <c r="C1" s="99"/>
      <c r="D1" s="99"/>
      <c r="E1" s="99"/>
      <c r="F1" s="99"/>
      <c r="G1" s="99"/>
      <c r="H1" s="99"/>
    </row>
    <row r="2" spans="1:28" ht="16.5" x14ac:dyDescent="0.25">
      <c r="A2" s="99"/>
      <c r="B2" s="99"/>
      <c r="C2" s="298"/>
      <c r="D2" s="462" t="s">
        <v>83</v>
      </c>
      <c r="E2" s="462"/>
      <c r="F2" s="125"/>
      <c r="G2" s="99"/>
      <c r="H2" s="99"/>
      <c r="AA2" s="117" t="s">
        <v>84</v>
      </c>
      <c r="AB2" s="65" t="s">
        <v>85</v>
      </c>
    </row>
    <row r="3" spans="1:28" ht="15" x14ac:dyDescent="0.25">
      <c r="A3" s="99"/>
      <c r="B3" s="99"/>
      <c r="C3" s="298"/>
      <c r="D3" s="186" t="s">
        <v>489</v>
      </c>
      <c r="E3" s="184" t="s">
        <v>488</v>
      </c>
      <c r="F3" s="300"/>
      <c r="G3" s="99"/>
      <c r="H3" s="99"/>
      <c r="AB3" s="65"/>
    </row>
    <row r="4" spans="1:28" ht="15" x14ac:dyDescent="0.25">
      <c r="A4" s="99"/>
      <c r="B4" s="99"/>
      <c r="C4" s="298"/>
      <c r="D4" s="186" t="s">
        <v>87</v>
      </c>
      <c r="E4" s="185">
        <v>2022</v>
      </c>
      <c r="F4" s="301"/>
      <c r="G4" s="99"/>
      <c r="H4" s="99"/>
      <c r="AB4" s="65"/>
    </row>
    <row r="5" spans="1:28" x14ac:dyDescent="0.2">
      <c r="A5" s="99"/>
      <c r="B5" s="99"/>
      <c r="C5" s="99"/>
      <c r="D5" s="299" t="s">
        <v>88</v>
      </c>
      <c r="E5" s="99"/>
      <c r="F5" s="99"/>
      <c r="G5" s="99"/>
      <c r="H5" s="99"/>
      <c r="AB5" s="65"/>
    </row>
    <row r="6" spans="1:28" x14ac:dyDescent="0.2">
      <c r="A6" s="99"/>
      <c r="B6" s="99"/>
      <c r="C6" s="99"/>
      <c r="D6" s="99"/>
      <c r="E6" s="99"/>
      <c r="F6" s="99"/>
      <c r="G6" s="99"/>
      <c r="H6" s="99"/>
      <c r="AB6" s="65"/>
    </row>
    <row r="7" spans="1:28" ht="15" x14ac:dyDescent="0.25">
      <c r="A7" s="99"/>
      <c r="B7" s="118"/>
      <c r="C7" s="118"/>
      <c r="D7" s="464" t="s">
        <v>89</v>
      </c>
      <c r="E7" s="464"/>
      <c r="F7" s="126"/>
      <c r="G7" s="118"/>
      <c r="H7" s="99"/>
      <c r="AB7" s="65"/>
    </row>
    <row r="8" spans="1:28" ht="15" customHeight="1" x14ac:dyDescent="0.2">
      <c r="A8" s="99"/>
      <c r="B8" s="124"/>
      <c r="C8" s="124"/>
      <c r="D8" s="469" t="s">
        <v>615</v>
      </c>
      <c r="E8" s="469"/>
      <c r="F8" s="127"/>
      <c r="G8" s="124"/>
      <c r="H8" s="99"/>
      <c r="AB8" s="65"/>
    </row>
    <row r="9" spans="1:28" ht="15" customHeight="1" x14ac:dyDescent="0.2">
      <c r="A9" s="99"/>
      <c r="B9" s="124"/>
      <c r="C9" s="124"/>
      <c r="D9" s="470" t="s">
        <v>91</v>
      </c>
      <c r="E9" s="470"/>
      <c r="F9" s="127"/>
      <c r="G9" s="124"/>
      <c r="H9" s="99"/>
      <c r="AB9" s="65"/>
    </row>
    <row r="10" spans="1:28" ht="15" customHeight="1" x14ac:dyDescent="0.2">
      <c r="A10" s="99"/>
      <c r="B10" s="124"/>
      <c r="C10" s="124"/>
      <c r="D10" s="471" t="str">
        <f>+" + Elasticities"</f>
        <v xml:space="preserve"> + Elasticities</v>
      </c>
      <c r="E10" s="471"/>
      <c r="F10" s="127"/>
      <c r="G10" s="124"/>
      <c r="H10" s="99"/>
      <c r="AB10" s="65"/>
    </row>
    <row r="11" spans="1:28" ht="15" customHeight="1" x14ac:dyDescent="0.2">
      <c r="A11" s="99"/>
      <c r="B11" s="124"/>
      <c r="C11" s="124"/>
      <c r="D11" s="471" t="str">
        <f>+" + Growth Rates"</f>
        <v xml:space="preserve"> + Growth Rates</v>
      </c>
      <c r="E11" s="471"/>
      <c r="F11" s="127"/>
      <c r="G11" s="124"/>
      <c r="H11" s="99"/>
      <c r="AB11" s="65"/>
    </row>
    <row r="12" spans="1:28" x14ac:dyDescent="0.2">
      <c r="A12" s="99"/>
      <c r="B12" s="124"/>
      <c r="C12" s="124"/>
      <c r="D12" s="465" t="s">
        <v>92</v>
      </c>
      <c r="E12" s="465"/>
      <c r="F12" s="127"/>
      <c r="G12" s="124"/>
      <c r="H12" s="99"/>
      <c r="AB12" s="65"/>
    </row>
    <row r="13" spans="1:28" ht="17.25" customHeight="1" x14ac:dyDescent="0.2">
      <c r="A13" s="99"/>
      <c r="B13" s="124"/>
      <c r="C13" s="124"/>
      <c r="D13" s="466" t="s">
        <v>93</v>
      </c>
      <c r="E13" s="466"/>
      <c r="F13" s="127"/>
      <c r="G13" s="124"/>
      <c r="H13" s="99"/>
      <c r="AB13" s="65"/>
    </row>
    <row r="14" spans="1:28" ht="17.25" customHeight="1" x14ac:dyDescent="0.2">
      <c r="A14" s="99"/>
      <c r="B14" s="124"/>
      <c r="C14" s="124"/>
      <c r="D14" s="420"/>
      <c r="E14" s="420"/>
      <c r="F14" s="127"/>
      <c r="G14" s="124"/>
      <c r="H14" s="99"/>
      <c r="AB14" s="65"/>
    </row>
    <row r="15" spans="1:28" ht="17.25" customHeight="1" x14ac:dyDescent="0.2">
      <c r="A15" s="99"/>
      <c r="B15" s="124"/>
      <c r="C15" s="124"/>
      <c r="D15" s="467" t="s">
        <v>94</v>
      </c>
      <c r="E15" s="467"/>
      <c r="F15" s="127"/>
      <c r="G15" s="124"/>
      <c r="H15" s="99"/>
      <c r="AB15" s="65"/>
    </row>
    <row r="16" spans="1:28" ht="17.25" customHeight="1" x14ac:dyDescent="0.2">
      <c r="A16" s="99"/>
      <c r="B16" s="302"/>
      <c r="C16" s="302"/>
      <c r="D16" s="302"/>
      <c r="E16" s="302"/>
      <c r="F16" s="302"/>
      <c r="G16" s="302"/>
      <c r="H16" s="99"/>
      <c r="AB16" s="65"/>
    </row>
    <row r="17" spans="1:28" ht="11.25" customHeight="1" x14ac:dyDescent="0.2">
      <c r="A17" s="99"/>
      <c r="B17" s="468" t="s">
        <v>95</v>
      </c>
      <c r="C17" s="468"/>
      <c r="D17" s="468"/>
      <c r="E17" s="468"/>
      <c r="F17" s="468"/>
      <c r="G17" s="468"/>
      <c r="H17" s="99"/>
      <c r="AB17" s="65"/>
    </row>
    <row r="18" spans="1:28" ht="11.25" customHeight="1" x14ac:dyDescent="0.2">
      <c r="A18" s="99"/>
      <c r="B18" s="468"/>
      <c r="C18" s="468"/>
      <c r="D18" s="468"/>
      <c r="E18" s="468"/>
      <c r="F18" s="468"/>
      <c r="G18" s="468"/>
      <c r="H18" s="99"/>
      <c r="AB18" s="65"/>
    </row>
    <row r="19" spans="1:28" x14ac:dyDescent="0.2">
      <c r="A19" s="99"/>
      <c r="B19" s="463" t="s">
        <v>96</v>
      </c>
      <c r="C19" s="463"/>
      <c r="D19" s="463"/>
      <c r="E19" s="463"/>
      <c r="F19" s="463"/>
      <c r="G19" s="463"/>
      <c r="H19" s="99"/>
      <c r="AB19" s="65"/>
    </row>
    <row r="20" spans="1:28" x14ac:dyDescent="0.2">
      <c r="A20" s="99"/>
      <c r="B20" s="463"/>
      <c r="C20" s="463"/>
      <c r="D20" s="463"/>
      <c r="E20" s="463"/>
      <c r="F20" s="463"/>
      <c r="G20" s="463"/>
      <c r="H20" s="99"/>
      <c r="AB20" s="65"/>
    </row>
    <row r="21" spans="1:28" ht="17.25" customHeight="1" x14ac:dyDescent="0.2">
      <c r="A21" s="99"/>
      <c r="B21" s="302"/>
      <c r="C21" s="302"/>
      <c r="D21" s="302"/>
      <c r="E21" s="302"/>
      <c r="F21" s="302"/>
      <c r="G21" s="302"/>
      <c r="H21" s="99"/>
      <c r="AB21" s="65"/>
    </row>
    <row r="22" spans="1:28" ht="17.25" customHeight="1" x14ac:dyDescent="0.25">
      <c r="A22" s="99"/>
      <c r="B22" s="464" t="s">
        <v>97</v>
      </c>
      <c r="C22" s="464"/>
      <c r="D22" s="464"/>
      <c r="E22" s="464"/>
      <c r="F22" s="464"/>
      <c r="G22" s="464"/>
      <c r="H22" s="99"/>
      <c r="AB22" s="65"/>
    </row>
    <row r="23" spans="1:28" x14ac:dyDescent="0.2">
      <c r="A23" s="99"/>
      <c r="B23" s="302"/>
      <c r="C23" s="302"/>
      <c r="D23" s="302"/>
      <c r="E23" s="302"/>
      <c r="F23" s="302"/>
      <c r="G23" s="302"/>
      <c r="H23" s="99"/>
      <c r="AB23" s="65"/>
    </row>
    <row r="24" spans="1:28" x14ac:dyDescent="0.2">
      <c r="A24" s="99"/>
      <c r="B24" s="302"/>
      <c r="C24" s="302"/>
      <c r="D24" s="302"/>
      <c r="E24" s="302"/>
      <c r="F24" s="302"/>
      <c r="G24" s="302"/>
      <c r="H24" s="99"/>
      <c r="AB24" s="65"/>
    </row>
    <row r="25" spans="1:28" x14ac:dyDescent="0.2">
      <c r="A25" s="99"/>
      <c r="B25" s="302"/>
      <c r="C25" s="302"/>
      <c r="D25" s="302"/>
      <c r="E25" s="302"/>
      <c r="F25" s="302"/>
      <c r="G25" s="302"/>
      <c r="H25" s="99"/>
      <c r="AB25" s="65"/>
    </row>
    <row r="26" spans="1:28" x14ac:dyDescent="0.2">
      <c r="A26" s="99"/>
      <c r="B26" s="302"/>
      <c r="C26" s="302"/>
      <c r="D26" s="302"/>
      <c r="E26" s="302"/>
      <c r="F26" s="302"/>
      <c r="G26" s="302"/>
      <c r="H26" s="99"/>
      <c r="AB26" s="65"/>
    </row>
    <row r="27" spans="1:28" x14ac:dyDescent="0.2">
      <c r="A27" s="99"/>
      <c r="B27" s="302"/>
      <c r="C27" s="302"/>
      <c r="D27" s="302"/>
      <c r="E27" s="302"/>
      <c r="F27" s="302"/>
      <c r="G27" s="302"/>
      <c r="H27" s="99"/>
      <c r="AB27" s="65"/>
    </row>
    <row r="28" spans="1:28" x14ac:dyDescent="0.2">
      <c r="A28" s="99"/>
      <c r="B28" s="302"/>
      <c r="C28" s="302"/>
      <c r="D28" s="302"/>
      <c r="E28" s="302"/>
      <c r="F28" s="302"/>
      <c r="G28" s="302"/>
      <c r="H28" s="99"/>
      <c r="AB28" s="65"/>
    </row>
    <row r="29" spans="1:28" x14ac:dyDescent="0.2">
      <c r="A29" s="99"/>
      <c r="B29" s="302"/>
      <c r="C29" s="302"/>
      <c r="D29" s="302"/>
      <c r="E29" s="302"/>
      <c r="F29" s="302"/>
      <c r="G29" s="302"/>
      <c r="H29" s="99"/>
      <c r="AB29" s="65"/>
    </row>
    <row r="30" spans="1:28" x14ac:dyDescent="0.2">
      <c r="A30" s="99"/>
      <c r="B30" s="302"/>
      <c r="C30" s="302"/>
      <c r="D30" s="302"/>
      <c r="E30" s="302"/>
      <c r="F30" s="302"/>
      <c r="G30" s="302"/>
      <c r="H30" s="99"/>
      <c r="AB30" s="65"/>
    </row>
    <row r="31" spans="1:28" x14ac:dyDescent="0.2">
      <c r="A31" s="99"/>
      <c r="B31" s="302"/>
      <c r="C31" s="302"/>
      <c r="D31" s="302"/>
      <c r="E31" s="302"/>
      <c r="F31" s="302"/>
      <c r="G31" s="302"/>
      <c r="H31" s="99"/>
      <c r="AB31" s="65"/>
    </row>
    <row r="32" spans="1:28" x14ac:dyDescent="0.2">
      <c r="A32" s="99"/>
      <c r="B32" s="302"/>
      <c r="C32" s="302"/>
      <c r="D32" s="302"/>
      <c r="E32" s="302"/>
      <c r="F32" s="302"/>
      <c r="G32" s="302"/>
      <c r="H32" s="99"/>
      <c r="AB32" s="65"/>
    </row>
    <row r="33" spans="1:28" x14ac:dyDescent="0.2">
      <c r="A33" s="99"/>
      <c r="B33" s="302"/>
      <c r="C33" s="302"/>
      <c r="D33" s="302"/>
      <c r="E33" s="302"/>
      <c r="F33" s="302"/>
      <c r="G33" s="302"/>
      <c r="H33" s="99"/>
      <c r="AB33" s="65"/>
    </row>
    <row r="34" spans="1:28" x14ac:dyDescent="0.2">
      <c r="A34" s="99"/>
      <c r="B34" s="302"/>
      <c r="C34" s="302"/>
      <c r="D34" s="302"/>
      <c r="E34" s="302"/>
      <c r="F34" s="302"/>
      <c r="G34" s="302"/>
      <c r="H34" s="99"/>
      <c r="AB34" s="65"/>
    </row>
    <row r="35" spans="1:28" x14ac:dyDescent="0.2">
      <c r="A35" s="99"/>
      <c r="B35" s="302"/>
      <c r="C35" s="302"/>
      <c r="D35" s="302"/>
      <c r="E35" s="302"/>
      <c r="F35" s="302"/>
      <c r="G35" s="302"/>
      <c r="H35" s="99"/>
      <c r="AB35" s="65"/>
    </row>
    <row r="36" spans="1:28" x14ac:dyDescent="0.2">
      <c r="A36" s="99"/>
      <c r="B36" s="302"/>
      <c r="C36" s="302"/>
      <c r="D36" s="302"/>
      <c r="E36" s="302"/>
      <c r="F36" s="302"/>
      <c r="G36" s="302"/>
      <c r="H36" s="99"/>
      <c r="AB36" s="65"/>
    </row>
    <row r="37" spans="1:28" x14ac:dyDescent="0.2">
      <c r="A37" s="99"/>
      <c r="B37" s="302"/>
      <c r="C37" s="302"/>
      <c r="D37" s="302"/>
      <c r="E37" s="302"/>
      <c r="F37" s="302"/>
      <c r="G37" s="302"/>
      <c r="H37" s="99"/>
      <c r="AB37" s="65"/>
    </row>
    <row r="38" spans="1:28" x14ac:dyDescent="0.2">
      <c r="A38" s="99"/>
      <c r="B38" s="302"/>
      <c r="C38" s="302"/>
      <c r="D38" s="302"/>
      <c r="E38" s="302"/>
      <c r="F38" s="302"/>
      <c r="G38" s="302"/>
      <c r="H38" s="99"/>
      <c r="AB38" s="65"/>
    </row>
    <row r="39" spans="1:28" x14ac:dyDescent="0.2">
      <c r="A39" s="99"/>
      <c r="B39" s="302"/>
      <c r="C39" s="302"/>
      <c r="D39" s="302"/>
      <c r="E39" s="302"/>
      <c r="F39" s="302"/>
      <c r="G39" s="302"/>
      <c r="H39" s="99"/>
      <c r="AB39" s="65"/>
    </row>
    <row r="40" spans="1:28" x14ac:dyDescent="0.2">
      <c r="A40" s="99"/>
      <c r="B40" s="302"/>
      <c r="C40" s="302"/>
      <c r="D40" s="302"/>
      <c r="E40" s="302"/>
      <c r="F40" s="302"/>
      <c r="G40" s="302"/>
      <c r="H40" s="99"/>
      <c r="AB40" s="65"/>
    </row>
    <row r="41" spans="1:28" x14ac:dyDescent="0.2">
      <c r="A41" s="99"/>
      <c r="B41" s="302"/>
      <c r="C41" s="302"/>
      <c r="D41" s="302"/>
      <c r="E41" s="302"/>
      <c r="F41" s="302"/>
      <c r="G41" s="302"/>
      <c r="H41" s="99"/>
      <c r="AB41" s="65"/>
    </row>
    <row r="42" spans="1:28" x14ac:dyDescent="0.2">
      <c r="A42" s="99"/>
      <c r="B42" s="302"/>
      <c r="C42" s="302"/>
      <c r="D42" s="302"/>
      <c r="E42" s="302"/>
      <c r="F42" s="302"/>
      <c r="G42" s="302"/>
      <c r="H42" s="99"/>
      <c r="AB42" s="65"/>
    </row>
    <row r="43" spans="1:28" x14ac:dyDescent="0.2">
      <c r="A43" s="99"/>
      <c r="B43" s="302"/>
      <c r="C43" s="302"/>
      <c r="D43" s="302"/>
      <c r="E43" s="302"/>
      <c r="F43" s="302"/>
      <c r="G43" s="302"/>
      <c r="H43" s="99"/>
      <c r="AB43" s="65"/>
    </row>
    <row r="44" spans="1:28" x14ac:dyDescent="0.2">
      <c r="A44" s="99"/>
      <c r="B44" s="99"/>
      <c r="C44" s="99"/>
      <c r="D44" s="99"/>
      <c r="E44" s="99"/>
      <c r="F44" s="99"/>
      <c r="G44" s="99"/>
      <c r="H44" s="99"/>
      <c r="AB44" s="65"/>
    </row>
    <row r="45" spans="1:28" ht="15" x14ac:dyDescent="0.25">
      <c r="A45" s="99"/>
      <c r="B45" s="464" t="s">
        <v>98</v>
      </c>
      <c r="C45" s="464"/>
      <c r="D45" s="464"/>
      <c r="E45" s="464"/>
      <c r="F45" s="464"/>
      <c r="G45" s="464"/>
      <c r="H45" s="99"/>
      <c r="AB45" s="65"/>
    </row>
    <row r="46" spans="1:28" ht="30" customHeight="1" x14ac:dyDescent="0.2">
      <c r="A46" s="99"/>
      <c r="B46" s="463" t="s">
        <v>99</v>
      </c>
      <c r="C46" s="463"/>
      <c r="D46" s="463"/>
      <c r="E46" s="463"/>
      <c r="F46" s="463"/>
      <c r="G46" s="463"/>
      <c r="H46" s="99"/>
      <c r="AB46" s="65"/>
    </row>
    <row r="47" spans="1:28" x14ac:dyDescent="0.2">
      <c r="A47" s="99"/>
      <c r="B47" s="99"/>
      <c r="C47" s="99"/>
      <c r="D47" s="99"/>
      <c r="E47" s="99"/>
      <c r="F47" s="99"/>
      <c r="G47" s="99"/>
      <c r="H47" s="99"/>
      <c r="AB47" s="65"/>
    </row>
    <row r="48" spans="1:28" ht="15" x14ac:dyDescent="0.25">
      <c r="A48" s="118"/>
      <c r="B48" s="472" t="s">
        <v>100</v>
      </c>
      <c r="C48" s="472"/>
      <c r="D48" s="472"/>
      <c r="E48" s="472"/>
      <c r="F48" s="472"/>
      <c r="G48" s="472"/>
      <c r="H48" s="118"/>
      <c r="AB48" s="65"/>
    </row>
    <row r="49" spans="1:28" ht="45" customHeight="1" x14ac:dyDescent="0.2">
      <c r="A49" s="119"/>
      <c r="B49" s="473" t="s">
        <v>101</v>
      </c>
      <c r="C49" s="473"/>
      <c r="D49" s="473"/>
      <c r="E49" s="473"/>
      <c r="F49" s="473"/>
      <c r="G49" s="473"/>
      <c r="H49" s="120"/>
      <c r="AB49" s="65"/>
    </row>
    <row r="50" spans="1:28" ht="15" customHeight="1" x14ac:dyDescent="0.2">
      <c r="A50" s="121"/>
      <c r="B50" s="473" t="s">
        <v>102</v>
      </c>
      <c r="C50" s="473"/>
      <c r="D50" s="473"/>
      <c r="E50" s="473"/>
      <c r="F50" s="473"/>
      <c r="G50" s="473"/>
      <c r="H50" s="99"/>
      <c r="AB50" s="65"/>
    </row>
    <row r="51" spans="1:28" ht="15" x14ac:dyDescent="0.25">
      <c r="A51" s="118"/>
      <c r="B51" s="472" t="s">
        <v>103</v>
      </c>
      <c r="C51" s="472"/>
      <c r="D51" s="472"/>
      <c r="E51" s="472"/>
      <c r="F51" s="472"/>
      <c r="G51" s="472"/>
      <c r="H51" s="118"/>
      <c r="AB51" s="65"/>
    </row>
    <row r="52" spans="1:28" ht="15" x14ac:dyDescent="0.25">
      <c r="A52" s="118"/>
      <c r="B52" s="472" t="s">
        <v>104</v>
      </c>
      <c r="C52" s="472"/>
      <c r="D52" s="472"/>
      <c r="E52" s="472"/>
      <c r="F52" s="472"/>
      <c r="G52" s="472"/>
      <c r="H52" s="118"/>
      <c r="AB52" s="65"/>
    </row>
    <row r="53" spans="1:28" ht="75" customHeight="1" x14ac:dyDescent="0.2">
      <c r="A53" s="119"/>
      <c r="B53" s="473" t="s">
        <v>105</v>
      </c>
      <c r="C53" s="473"/>
      <c r="D53" s="473"/>
      <c r="E53" s="473"/>
      <c r="F53" s="473"/>
      <c r="G53" s="473"/>
      <c r="H53" s="120"/>
      <c r="AB53" s="65"/>
    </row>
    <row r="54" spans="1:28" ht="15" customHeight="1" x14ac:dyDescent="0.2">
      <c r="A54" s="121"/>
      <c r="B54" s="473" t="s">
        <v>106</v>
      </c>
      <c r="C54" s="473"/>
      <c r="D54" s="473"/>
      <c r="E54" s="473"/>
      <c r="F54" s="473"/>
      <c r="G54" s="473"/>
      <c r="H54" s="99"/>
      <c r="AB54" s="65"/>
    </row>
    <row r="55" spans="1:28" ht="15" x14ac:dyDescent="0.25">
      <c r="A55" s="118"/>
      <c r="B55" s="472" t="s">
        <v>107</v>
      </c>
      <c r="C55" s="472"/>
      <c r="D55" s="472"/>
      <c r="E55" s="472"/>
      <c r="F55" s="472"/>
      <c r="G55" s="472"/>
      <c r="H55" s="118"/>
      <c r="AB55" s="65"/>
    </row>
    <row r="56" spans="1:28" ht="75" customHeight="1" x14ac:dyDescent="0.2">
      <c r="A56" s="119"/>
      <c r="B56" s="473" t="s">
        <v>108</v>
      </c>
      <c r="C56" s="473"/>
      <c r="D56" s="473"/>
      <c r="E56" s="473"/>
      <c r="F56" s="473"/>
      <c r="G56" s="473"/>
      <c r="H56" s="120"/>
      <c r="AB56" s="65"/>
    </row>
    <row r="57" spans="1:28" ht="15" customHeight="1" x14ac:dyDescent="0.2">
      <c r="A57" s="121"/>
      <c r="B57" s="473" t="s">
        <v>109</v>
      </c>
      <c r="C57" s="473"/>
      <c r="D57" s="473"/>
      <c r="E57" s="473"/>
      <c r="F57" s="473"/>
      <c r="G57" s="473"/>
      <c r="H57" s="99"/>
      <c r="AB57" s="65"/>
    </row>
    <row r="58" spans="1:28" ht="15" x14ac:dyDescent="0.25">
      <c r="A58" s="118"/>
      <c r="B58" s="472" t="s">
        <v>110</v>
      </c>
      <c r="C58" s="472"/>
      <c r="D58" s="472"/>
      <c r="E58" s="472"/>
      <c r="F58" s="472"/>
      <c r="G58" s="472"/>
      <c r="H58" s="118"/>
      <c r="AB58" s="65"/>
    </row>
    <row r="59" spans="1:28" ht="90" customHeight="1" x14ac:dyDescent="0.2">
      <c r="A59" s="119"/>
      <c r="B59" s="473" t="s">
        <v>111</v>
      </c>
      <c r="C59" s="473"/>
      <c r="D59" s="473"/>
      <c r="E59" s="473"/>
      <c r="F59" s="473"/>
      <c r="G59" s="473"/>
      <c r="H59" s="120"/>
      <c r="AB59" s="65"/>
    </row>
    <row r="60" spans="1:28" ht="15" customHeight="1" x14ac:dyDescent="0.2">
      <c r="A60" s="121"/>
      <c r="B60" s="473" t="s">
        <v>112</v>
      </c>
      <c r="C60" s="473"/>
      <c r="D60" s="473"/>
      <c r="E60" s="473"/>
      <c r="F60" s="473"/>
      <c r="G60" s="473"/>
      <c r="H60" s="99"/>
      <c r="AB60" s="65"/>
    </row>
    <row r="61" spans="1:28" ht="15" x14ac:dyDescent="0.25">
      <c r="A61" s="118"/>
      <c r="B61" s="472" t="s">
        <v>113</v>
      </c>
      <c r="C61" s="472"/>
      <c r="D61" s="472"/>
      <c r="E61" s="472"/>
      <c r="F61" s="472"/>
      <c r="G61" s="472"/>
      <c r="H61" s="118"/>
      <c r="AB61" s="65"/>
    </row>
    <row r="62" spans="1:28" ht="45" customHeight="1" x14ac:dyDescent="0.2">
      <c r="A62" s="119"/>
      <c r="B62" s="473" t="s">
        <v>114</v>
      </c>
      <c r="C62" s="473"/>
      <c r="D62" s="473"/>
      <c r="E62" s="473"/>
      <c r="F62" s="473"/>
      <c r="G62" s="473"/>
      <c r="H62" s="120"/>
      <c r="AB62" s="65"/>
    </row>
    <row r="63" spans="1:28" ht="15" customHeight="1" x14ac:dyDescent="0.2">
      <c r="A63" s="121"/>
      <c r="B63" s="473" t="s">
        <v>115</v>
      </c>
      <c r="C63" s="473"/>
      <c r="D63" s="473"/>
      <c r="E63" s="473"/>
      <c r="F63" s="473"/>
      <c r="G63" s="473"/>
      <c r="H63" s="99"/>
    </row>
    <row r="64" spans="1:28" ht="15" x14ac:dyDescent="0.25">
      <c r="A64" s="118"/>
      <c r="B64" s="472" t="s">
        <v>116</v>
      </c>
      <c r="C64" s="472"/>
      <c r="D64" s="472"/>
      <c r="E64" s="472"/>
      <c r="F64" s="472"/>
      <c r="G64" s="472"/>
      <c r="H64" s="118"/>
    </row>
    <row r="65" spans="1:8" ht="105" customHeight="1" x14ac:dyDescent="0.2">
      <c r="A65" s="119"/>
      <c r="B65" s="473" t="s">
        <v>117</v>
      </c>
      <c r="C65" s="473"/>
      <c r="D65" s="473"/>
      <c r="E65" s="473"/>
      <c r="F65" s="473"/>
      <c r="G65" s="473"/>
      <c r="H65" s="120"/>
    </row>
    <row r="66" spans="1:8" ht="30" customHeight="1" x14ac:dyDescent="0.2">
      <c r="A66" s="122"/>
      <c r="B66" s="473" t="s">
        <v>118</v>
      </c>
      <c r="C66" s="473"/>
      <c r="D66" s="473"/>
      <c r="E66" s="473"/>
      <c r="F66" s="473"/>
      <c r="G66" s="473"/>
      <c r="H66" s="123"/>
    </row>
    <row r="67" spans="1:8" ht="15" x14ac:dyDescent="0.25">
      <c r="A67" s="118"/>
      <c r="B67" s="472" t="s">
        <v>119</v>
      </c>
      <c r="C67" s="472"/>
      <c r="D67" s="472"/>
      <c r="E67" s="472"/>
      <c r="F67" s="472"/>
      <c r="G67" s="472"/>
      <c r="H67" s="118"/>
    </row>
    <row r="68" spans="1:8" ht="60" customHeight="1" x14ac:dyDescent="0.2">
      <c r="A68" s="119"/>
      <c r="B68" s="473" t="s">
        <v>120</v>
      </c>
      <c r="C68" s="473"/>
      <c r="D68" s="473"/>
      <c r="E68" s="473"/>
      <c r="F68" s="473"/>
      <c r="G68" s="473"/>
      <c r="H68" s="120"/>
    </row>
    <row r="69" spans="1:8" ht="15" customHeight="1" x14ac:dyDescent="0.2">
      <c r="A69" s="119"/>
      <c r="B69" s="473" t="s">
        <v>121</v>
      </c>
      <c r="C69" s="473"/>
      <c r="D69" s="473"/>
      <c r="E69" s="473"/>
      <c r="F69" s="473"/>
      <c r="G69" s="473"/>
      <c r="H69" s="120"/>
    </row>
    <row r="70" spans="1:8" x14ac:dyDescent="0.2">
      <c r="A70" s="121"/>
      <c r="B70" s="474"/>
      <c r="C70" s="474"/>
      <c r="D70" s="474"/>
      <c r="E70" s="474"/>
      <c r="F70" s="474"/>
      <c r="G70" s="474"/>
      <c r="H70" s="99"/>
    </row>
  </sheetData>
  <mergeCells count="37">
    <mergeCell ref="B68:G68"/>
    <mergeCell ref="B70:G70"/>
    <mergeCell ref="B66:G66"/>
    <mergeCell ref="B63:G63"/>
    <mergeCell ref="B60:G60"/>
    <mergeCell ref="B69:G69"/>
    <mergeCell ref="B64:G64"/>
    <mergeCell ref="B67:G67"/>
    <mergeCell ref="B65:G65"/>
    <mergeCell ref="B59:G59"/>
    <mergeCell ref="B62:G62"/>
    <mergeCell ref="B57:G57"/>
    <mergeCell ref="B54:G54"/>
    <mergeCell ref="B50:G50"/>
    <mergeCell ref="B61:G61"/>
    <mergeCell ref="B48:G48"/>
    <mergeCell ref="B51:G51"/>
    <mergeCell ref="B52:G52"/>
    <mergeCell ref="B55:G55"/>
    <mergeCell ref="B58:G58"/>
    <mergeCell ref="B49:G49"/>
    <mergeCell ref="B53:G53"/>
    <mergeCell ref="B56:G56"/>
    <mergeCell ref="D2:E2"/>
    <mergeCell ref="B46:G46"/>
    <mergeCell ref="B45:G45"/>
    <mergeCell ref="B19:G20"/>
    <mergeCell ref="B22:G22"/>
    <mergeCell ref="D12:E12"/>
    <mergeCell ref="D13:E13"/>
    <mergeCell ref="D15:E15"/>
    <mergeCell ref="B17:G18"/>
    <mergeCell ref="D7:E7"/>
    <mergeCell ref="D8:E8"/>
    <mergeCell ref="D9:E9"/>
    <mergeCell ref="D10:E10"/>
    <mergeCell ref="D11:E11"/>
  </mergeCells>
  <conditionalFormatting sqref="E4:F4">
    <cfRule type="expression" dxfId="32" priority="47">
      <formula>$W$20="Base Year"</formula>
    </cfRule>
  </conditionalFormatting>
  <conditionalFormatting sqref="E4:F4">
    <cfRule type="expression" dxfId="31" priority="53">
      <formula>$W$20=$E$4</formula>
    </cfRule>
  </conditionalFormatting>
  <hyperlinks>
    <hyperlink ref="D8" location="'1. GDP (2)'!A1" display="1. GDP " xr:uid="{D426441B-6327-4DCB-ABED-BD3915F69330}"/>
    <hyperlink ref="D9" location="'2.1 LABOR MARKET STRUCTURE (2)'!A1" display="2.1 LABOR MARKET STRUCTURE " xr:uid="{16F44519-A814-46A5-BEC4-AC7327064950}"/>
    <hyperlink ref="D10" location="'ELASTICITY (2)'!A1" display="'ELASTICITY (2)'!A1" xr:uid="{9C575F3D-B72B-45C6-A537-2569279B960E}"/>
    <hyperlink ref="D11" location="'GROWTH RATES (2)'!A1" display="'GROWTH RATES (2)'!A1" xr:uid="{6125C037-3155-412F-8C7D-3C98B0A259BB}"/>
    <hyperlink ref="D12" location="'2.2 LABOR INCOME &amp; PRODUCTI (2)'!A1" display="2.2 LABOR MARKET INCOME" xr:uid="{DA448524-10AB-401D-8B62-55A30825373D}"/>
    <hyperlink ref="D13" location="'3. NON-LABOR INCOME (2)'!A1" display="3. NON-LABOR INCOME" xr:uid="{381D5C33-810F-46AB-9466-ACF817DAE791}"/>
    <hyperlink ref="D15" location="'4. SUMMARY AND SUBMISSION'!A1" display="4. SUMMARY AND SUBMISSION" xr:uid="{1F230632-D48A-4720-89D2-EA1BFF639D1C}"/>
    <hyperlink ref="B17:G18" r:id="rId1" display="CONTACT THE REGIONAL STATS TEAM" xr:uid="{6DB56775-8B82-4551-8FF4-09392C8A2873}"/>
    <hyperlink ref="D8:E8" location="'1. GDP'!A1" display="1. GDP " xr:uid="{E8209260-D475-4EB1-B956-D72F397C1820}"/>
    <hyperlink ref="D9:E9" location="'2.1 LABOR STRUCTURE'!A1" display="2.1 LABOR MARKET STRUCTURE " xr:uid="{8D9961EC-C95C-41B3-AD36-66BFA8A7F2C4}"/>
    <hyperlink ref="D10:E10" location="ELASTICITY!A1" display="ELASTICITY!A1" xr:uid="{25358679-E510-4A0B-9470-A2DBDBBEF7B9}"/>
    <hyperlink ref="D11:E11" location="'GROWTH RATES'!A1" display="'GROWTH RATES'!A1" xr:uid="{EDCC7D44-D842-4D46-8056-00D595AC54B4}"/>
    <hyperlink ref="D12:E12" location="'2.2 LABOR INCOME &amp; PRODUCTIVITY'!A1" display="2.2 LABOR INCOME &amp; PRODUCTIVITY" xr:uid="{60014704-2CAC-45D0-ABB3-07AEA6C77606}"/>
    <hyperlink ref="D13:E13" location="'3. NON-LABOR INCOME'!A1" display="3. NON-LABOR INCOME" xr:uid="{542EC915-6FAE-4905-B482-AB15FEB7EE29}"/>
    <hyperlink ref="D15:E15" location="'4. SUMMARY AND SUBMISSION'!A1" display="4. SUMMARY AND SUBMISSION" xr:uid="{527745AD-189D-4AC5-8B95-A8F542F40FA5}"/>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B135E-5F16-4286-9F97-C77574F4D687}">
  <sheetPr codeName="Sheet10">
    <tabColor theme="2" tint="-9.9978637043366805E-2"/>
  </sheetPr>
  <dimension ref="A1:AL67"/>
  <sheetViews>
    <sheetView workbookViewId="0">
      <selection activeCell="P28" sqref="P28"/>
    </sheetView>
  </sheetViews>
  <sheetFormatPr defaultColWidth="0" defaultRowHeight="0" customHeight="1" zeroHeight="1" x14ac:dyDescent="0.2"/>
  <cols>
    <col min="1" max="1" width="11.42578125" style="70" customWidth="1"/>
    <col min="2" max="2" width="2.85546875" style="70" customWidth="1"/>
    <col min="3" max="6" width="11.140625" style="70" customWidth="1"/>
    <col min="7" max="7" width="9.140625" style="66" customWidth="1"/>
    <col min="8" max="8" width="26" style="66" bestFit="1" customWidth="1"/>
    <col min="9" max="9" width="11.140625" style="66" customWidth="1"/>
    <col min="10" max="10" width="12.28515625" style="66" customWidth="1"/>
    <col min="11" max="20" width="11.140625" style="66" customWidth="1"/>
    <col min="21" max="21" width="11.140625" style="66" bestFit="1" customWidth="1"/>
    <col min="22" max="22" width="13.42578125" style="66" bestFit="1" customWidth="1"/>
    <col min="23" max="29" width="11.140625" style="66" bestFit="1" customWidth="1"/>
    <col min="30" max="30" width="8.5703125" style="99" customWidth="1"/>
    <col min="31" max="35" width="13.5703125" style="99" hidden="1" customWidth="1"/>
    <col min="36" max="36" width="9.140625" style="99" hidden="1" customWidth="1"/>
    <col min="37" max="38" width="12.140625" style="66" hidden="1" customWidth="1"/>
    <col min="39" max="16384" width="0" style="66" hidden="1"/>
  </cols>
  <sheetData>
    <row r="1" spans="1:37" s="99" customFormat="1" ht="14.25" x14ac:dyDescent="0.2">
      <c r="A1" s="121"/>
      <c r="B1" s="121"/>
      <c r="C1" s="121"/>
      <c r="D1" s="121"/>
      <c r="E1" s="121"/>
      <c r="F1" s="121"/>
    </row>
    <row r="2" spans="1:37" ht="18" x14ac:dyDescent="0.25">
      <c r="A2" s="38"/>
      <c r="B2" s="121"/>
      <c r="C2" s="480" t="s">
        <v>611</v>
      </c>
      <c r="D2" s="480"/>
      <c r="E2" s="480"/>
      <c r="F2" s="480"/>
      <c r="G2" s="31"/>
      <c r="H2" s="476" t="s">
        <v>599</v>
      </c>
      <c r="I2" s="476"/>
      <c r="J2" s="476"/>
      <c r="K2" s="476"/>
      <c r="L2" s="476"/>
      <c r="M2" s="476"/>
      <c r="N2" s="476"/>
      <c r="O2" s="476"/>
      <c r="P2" s="476"/>
      <c r="Q2" s="476"/>
      <c r="R2" s="476"/>
      <c r="S2" s="476"/>
      <c r="T2" s="476"/>
      <c r="U2" s="476"/>
      <c r="V2" s="476"/>
      <c r="W2" s="476"/>
      <c r="X2" s="476"/>
      <c r="Y2" s="476"/>
      <c r="Z2" s="476"/>
      <c r="AA2" s="476"/>
      <c r="AB2" s="476"/>
      <c r="AC2" s="476"/>
      <c r="AD2" s="100"/>
      <c r="AE2" s="100"/>
      <c r="AF2" s="100"/>
      <c r="AG2" s="100"/>
      <c r="AH2" s="100"/>
      <c r="AI2" s="100"/>
      <c r="AK2" s="31"/>
    </row>
    <row r="3" spans="1:37" ht="14.25" x14ac:dyDescent="0.2">
      <c r="A3" s="38"/>
      <c r="B3" s="121"/>
      <c r="C3" s="99"/>
      <c r="D3" s="99"/>
      <c r="E3" s="99"/>
      <c r="F3" s="99"/>
      <c r="G3" s="99"/>
      <c r="H3" s="99"/>
      <c r="I3" s="99"/>
      <c r="J3" s="99"/>
      <c r="K3" s="99"/>
      <c r="L3" s="99"/>
      <c r="M3" s="99"/>
      <c r="N3" s="99"/>
      <c r="O3" s="99"/>
      <c r="P3" s="99"/>
      <c r="Q3" s="99"/>
      <c r="R3" s="99"/>
      <c r="S3" s="99"/>
      <c r="T3" s="99"/>
      <c r="U3" s="99"/>
      <c r="V3" s="99"/>
      <c r="W3" s="99"/>
      <c r="X3" s="99"/>
      <c r="Y3" s="99"/>
      <c r="Z3" s="99"/>
      <c r="AA3" s="99"/>
      <c r="AB3" s="99"/>
      <c r="AC3" s="99"/>
      <c r="AK3" s="31"/>
    </row>
    <row r="4" spans="1:37" ht="15" x14ac:dyDescent="0.25">
      <c r="A4" s="38"/>
      <c r="B4" s="121"/>
      <c r="C4" s="99"/>
      <c r="D4" s="99"/>
      <c r="E4" s="99"/>
      <c r="F4" s="99"/>
      <c r="G4" s="99"/>
      <c r="H4" s="477" t="s">
        <v>613</v>
      </c>
      <c r="I4" s="477"/>
      <c r="J4" s="477"/>
      <c r="K4" s="477"/>
      <c r="L4" s="477"/>
      <c r="M4" s="477"/>
      <c r="N4" s="477"/>
      <c r="O4" s="477"/>
      <c r="P4" s="477"/>
      <c r="Q4" s="477"/>
      <c r="R4" s="477"/>
      <c r="S4" s="477"/>
      <c r="T4" s="477"/>
      <c r="U4" s="477"/>
      <c r="V4" s="477"/>
      <c r="W4" s="477"/>
      <c r="X4" s="477"/>
      <c r="Y4" s="477"/>
      <c r="Z4" s="477"/>
      <c r="AA4" s="477"/>
      <c r="AB4" s="477"/>
      <c r="AC4" s="477"/>
      <c r="AD4" s="101"/>
      <c r="AE4" s="101"/>
      <c r="AF4" s="101"/>
      <c r="AG4" s="101"/>
      <c r="AH4" s="101"/>
      <c r="AI4" s="101"/>
      <c r="AK4" s="31"/>
    </row>
    <row r="5" spans="1:37" ht="14.25" x14ac:dyDescent="0.2">
      <c r="A5" s="94"/>
      <c r="B5" s="304"/>
      <c r="C5" s="481" t="s">
        <v>612</v>
      </c>
      <c r="D5" s="481"/>
      <c r="E5" s="481"/>
      <c r="F5" s="482"/>
      <c r="G5" s="99"/>
      <c r="H5" s="306"/>
      <c r="I5" s="306"/>
      <c r="J5" s="306"/>
      <c r="K5" s="306"/>
      <c r="L5" s="306"/>
      <c r="M5" s="306"/>
      <c r="N5" s="306"/>
      <c r="O5" s="306"/>
      <c r="P5" s="306"/>
      <c r="Q5" s="306"/>
      <c r="R5" s="306"/>
      <c r="S5" s="306"/>
      <c r="T5" s="306"/>
      <c r="U5" s="306"/>
      <c r="V5" s="306"/>
      <c r="W5" s="306"/>
      <c r="X5" s="306"/>
      <c r="Y5" s="306"/>
      <c r="Z5" s="306"/>
      <c r="AA5" s="306"/>
      <c r="AB5" s="306"/>
      <c r="AC5" s="306"/>
      <c r="AK5" s="31"/>
    </row>
    <row r="6" spans="1:37" ht="14.45" customHeight="1" x14ac:dyDescent="0.2">
      <c r="A6" s="94"/>
      <c r="B6" s="304"/>
      <c r="C6" s="481"/>
      <c r="D6" s="481"/>
      <c r="E6" s="481"/>
      <c r="F6" s="482"/>
      <c r="G6" s="99"/>
      <c r="H6" s="141"/>
      <c r="I6" s="141"/>
      <c r="J6" s="141"/>
      <c r="K6" s="141"/>
      <c r="L6" s="141"/>
      <c r="M6" s="141"/>
      <c r="N6" s="141"/>
      <c r="O6" s="141"/>
      <c r="P6" s="141"/>
      <c r="Q6" s="141"/>
      <c r="R6" s="141"/>
      <c r="S6" s="141"/>
      <c r="T6" s="142"/>
      <c r="U6" s="478" t="s">
        <v>122</v>
      </c>
      <c r="V6" s="478"/>
      <c r="W6" s="478"/>
      <c r="X6" s="478"/>
      <c r="Y6" s="478"/>
      <c r="Z6" s="418"/>
      <c r="AA6" s="479" t="s">
        <v>7</v>
      </c>
      <c r="AB6" s="479"/>
      <c r="AC6" s="479"/>
      <c r="AD6" s="102"/>
      <c r="AE6" s="102"/>
      <c r="AG6" s="103"/>
      <c r="AH6" s="103"/>
      <c r="AI6" s="103"/>
      <c r="AK6" s="31"/>
    </row>
    <row r="7" spans="1:37" ht="15" customHeight="1" x14ac:dyDescent="0.2">
      <c r="A7" s="94"/>
      <c r="B7" s="304"/>
      <c r="C7" s="481"/>
      <c r="D7" s="481"/>
      <c r="E7" s="481"/>
      <c r="F7" s="482"/>
      <c r="G7" s="99"/>
      <c r="H7" s="143"/>
      <c r="I7" s="143">
        <v>2006</v>
      </c>
      <c r="J7" s="143">
        <v>2007</v>
      </c>
      <c r="K7" s="143">
        <v>2008</v>
      </c>
      <c r="L7" s="143">
        <v>2009</v>
      </c>
      <c r="M7" s="143">
        <v>2010</v>
      </c>
      <c r="N7" s="143">
        <v>2011</v>
      </c>
      <c r="O7" s="143">
        <v>2012</v>
      </c>
      <c r="P7" s="143">
        <v>2013</v>
      </c>
      <c r="Q7" s="143">
        <v>2014</v>
      </c>
      <c r="R7" s="143">
        <v>2015</v>
      </c>
      <c r="S7" s="143">
        <v>2016</v>
      </c>
      <c r="T7" s="143">
        <v>2017</v>
      </c>
      <c r="U7" s="143">
        <v>2018</v>
      </c>
      <c r="V7" s="144">
        <v>2019</v>
      </c>
      <c r="W7" s="144">
        <v>2020</v>
      </c>
      <c r="X7" s="144">
        <v>2021</v>
      </c>
      <c r="Y7" s="144">
        <v>2022</v>
      </c>
      <c r="Z7" s="144">
        <v>2023</v>
      </c>
      <c r="AA7" s="144">
        <v>2024</v>
      </c>
      <c r="AB7" s="144">
        <v>2025</v>
      </c>
      <c r="AC7" s="144">
        <v>2026</v>
      </c>
    </row>
    <row r="8" spans="1:37" ht="14.45" customHeight="1" x14ac:dyDescent="0.25">
      <c r="A8" s="95" t="s">
        <v>583</v>
      </c>
      <c r="B8" s="305"/>
      <c r="C8" s="481"/>
      <c r="D8" s="481"/>
      <c r="E8" s="481"/>
      <c r="F8" s="482"/>
      <c r="G8" s="99"/>
      <c r="H8" s="428" t="s">
        <v>124</v>
      </c>
      <c r="I8" s="429" t="e" cm="1">
        <f t="array" ref="I8">_xlfn.XLOOKUP(1, ('0. GUIDELINES'!$E$3='[1]input-mpo'!$A:$A) * (I$7='[1]input-mpo'!$B:$B) * ($A8='[1]input-mpo'!$C:$C), '[1]input-mpo'!$D:$D)</f>
        <v>#N/A</v>
      </c>
      <c r="J8" s="429" cm="1">
        <f t="array" ref="J8">_xlfn.XLOOKUP(1, ('0. GUIDELINES'!$E$3='[1]input-mpo'!$A:$A) * (J$7='[1]input-mpo'!$B:$B) * ($A8='[1]input-mpo'!$C:$C), '[1]input-mpo'!$D:$D)</f>
        <v>12132113</v>
      </c>
      <c r="K8" s="429" cm="1">
        <f t="array" ref="K8">_xlfn.XLOOKUP(1, ('0. GUIDELINES'!$E$3='[1]input-mpo'!$A:$A) * (K$7='[1]input-mpo'!$B:$B) * ($A8='[1]input-mpo'!$C:$C), '[1]input-mpo'!$D:$D)</f>
        <v>12861713</v>
      </c>
      <c r="L8" s="429" cm="1">
        <f t="array" ref="L8">_xlfn.XLOOKUP(1, ('0. GUIDELINES'!$E$3='[1]input-mpo'!$A:$A) * (L$7='[1]input-mpo'!$B:$B) * ($A8='[1]input-mpo'!$C:$C), '[1]input-mpo'!$D:$D)</f>
        <v>13510602</v>
      </c>
      <c r="M8" s="429" cm="1">
        <f t="array" ref="M8">_xlfn.XLOOKUP(1, ('0. GUIDELINES'!$E$3='[1]input-mpo'!$A:$A) * (M$7='[1]input-mpo'!$B:$B) * ($A8='[1]input-mpo'!$C:$C), '[1]input-mpo'!$D:$D)</f>
        <v>14263386</v>
      </c>
      <c r="N8" s="429" cm="1">
        <f t="array" ref="N8">_xlfn.XLOOKUP(1, ('0. GUIDELINES'!$E$3='[1]input-mpo'!$A:$A) * (N$7='[1]input-mpo'!$B:$B) * ($A8='[1]input-mpo'!$C:$C), '[1]input-mpo'!$D:$D)</f>
        <v>15185426</v>
      </c>
      <c r="O8" s="429" cm="1">
        <f t="array" ref="O8">_xlfn.XLOOKUP(1, ('0. GUIDELINES'!$E$3='[1]input-mpo'!$A:$A) * (O$7='[1]input-mpo'!$B:$B) * ($A8='[1]input-mpo'!$C:$C), '[1]input-mpo'!$D:$D)</f>
        <v>16175734</v>
      </c>
      <c r="P8" s="429" cm="1">
        <f t="array" ref="P8">_xlfn.XLOOKUP(1, ('0. GUIDELINES'!$E$3='[1]input-mpo'!$A:$A) * (P$7='[1]input-mpo'!$B:$B) * ($A8='[1]input-mpo'!$C:$C), '[1]input-mpo'!$D:$D)</f>
        <v>17148478</v>
      </c>
      <c r="Q8" s="429" cm="1">
        <f t="array" ref="Q8">_xlfn.XLOOKUP(1, ('0. GUIDELINES'!$E$3='[1]input-mpo'!$A:$A) * (Q$7='[1]input-mpo'!$B:$B) * ($A8='[1]input-mpo'!$C:$C), '[1]input-mpo'!$D:$D)</f>
        <v>18187862</v>
      </c>
      <c r="R8" s="429" cm="1">
        <f t="array" ref="R8">_xlfn.XLOOKUP(1, ('0. GUIDELINES'!$E$3='[1]input-mpo'!$A:$A) * (R$7='[1]input-mpo'!$B:$B) * ($A8='[1]input-mpo'!$C:$C), '[1]input-mpo'!$D:$D)</f>
        <v>19379648</v>
      </c>
      <c r="S8" s="429" cm="1">
        <f t="array" ref="S8">_xlfn.XLOOKUP(1, ('0. GUIDELINES'!$E$3='[1]input-mpo'!$A:$A) * (S$7='[1]input-mpo'!$B:$B) * ($A8='[1]input-mpo'!$C:$C), '[1]input-mpo'!$D:$D)</f>
        <v>20758214</v>
      </c>
      <c r="T8" s="429" cm="1">
        <f t="array" ref="T8">_xlfn.XLOOKUP(1, ('0. GUIDELINES'!$E$3='[1]input-mpo'!$A:$A) * (T$7='[1]input-mpo'!$B:$B) * ($A8='[1]input-mpo'!$C:$C), '[1]input-mpo'!$D:$D)</f>
        <v>22126230</v>
      </c>
      <c r="U8" s="429" cm="1">
        <f t="array" ref="U8">_xlfn.XLOOKUP(1, ('0. GUIDELINES'!$E$3='[1]input-mpo'!$A:$A) * (U$7='[1]input-mpo'!$B:$B) * ($A8='[1]input-mpo'!$C:$C), '[1]input-mpo'!$D:$D)</f>
        <v>23745740</v>
      </c>
      <c r="V8" s="429" cm="1">
        <f t="array" ref="V8">_xlfn.XLOOKUP(1, ('0. GUIDELINES'!$E$3='[1]input-mpo'!$A:$A) * (V$7='[1]input-mpo'!$B:$B) * ($A8='[1]input-mpo'!$C:$C), '[1]input-mpo'!$D:$D)</f>
        <v>25617356</v>
      </c>
      <c r="W8" s="429" cm="1">
        <f t="array" ref="W8">_xlfn.XLOOKUP(1, ('0. GUIDELINES'!$E$3='[1]input-mpo'!$A:$A) * (W$7='[1]input-mpo'!$B:$B) * ($A8='[1]input-mpo'!$C:$C), '[1]input-mpo'!$D:$D)</f>
        <v>26500650</v>
      </c>
      <c r="X8" s="429" cm="1">
        <f t="array" ref="X8">_xlfn.XLOOKUP(1, ('0. GUIDELINES'!$E$3='[1]input-mpo'!$A:$A) * (X$7='[1]input-mpo'!$B:$B) * ($A8='[1]input-mpo'!$C:$C), '[1]input-mpo'!$D:$D)</f>
        <v>28339444</v>
      </c>
      <c r="Y8" s="429" cm="1">
        <f t="array" ref="Y8">_xlfn.XLOOKUP(1, ('0. GUIDELINES'!$E$3='[1]input-mpo'!$A:$A) * (Y$7='[1]input-mpo'!$B:$B) * ($A8='[1]input-mpo'!$C:$C), '[1]input-mpo'!$D:$D)</f>
        <v>30351496</v>
      </c>
      <c r="Z8" s="430" cm="1">
        <f t="array" ref="Z8">_xlfn.XLOOKUP(1, ('0. GUIDELINES'!$E$3='[1]input-mpo'!$A:$A) * (Z$7='[1]input-mpo'!$B:$B) * ($A8='[1]input-mpo'!$C:$C), '[1]input-mpo'!$D:$D)</f>
        <v>32104328</v>
      </c>
      <c r="AA8" s="430" cm="1">
        <f t="array" ref="AA8">_xlfn.XLOOKUP(1, ('0. GUIDELINES'!$E$3='[1]input-mpo'!$A:$A) * (AA$7='[1]input-mpo'!$B:$B) * ($A8='[1]input-mpo'!$C:$C), '[1]input-mpo'!$D:$D)</f>
        <v>33915984</v>
      </c>
      <c r="AB8" s="430" cm="1">
        <f t="array" ref="AB8">_xlfn.XLOOKUP(1, ('0. GUIDELINES'!$E$3='[1]input-mpo'!$A:$A) * (AB$7='[1]input-mpo'!$B:$B) * ($A8='[1]input-mpo'!$C:$C), '[1]input-mpo'!$D:$D)</f>
        <v>35843096</v>
      </c>
      <c r="AC8" s="430" cm="1">
        <f t="array" ref="AC8">_xlfn.XLOOKUP(1, ('0. GUIDELINES'!$E$3='[1]input-mpo'!$A:$A) * (AC$7='[1]input-mpo'!$B:$B) * ($A8='[1]input-mpo'!$C:$C), '[1]input-mpo'!$D:$D)</f>
        <v>37965692</v>
      </c>
    </row>
    <row r="9" spans="1:37" ht="14.45" customHeight="1" x14ac:dyDescent="0.25">
      <c r="A9" s="95" t="s">
        <v>584</v>
      </c>
      <c r="B9" s="305"/>
      <c r="C9" s="481"/>
      <c r="D9" s="481"/>
      <c r="E9" s="481"/>
      <c r="F9" s="482"/>
      <c r="G9" s="99"/>
      <c r="H9" s="425" t="s">
        <v>29</v>
      </c>
      <c r="I9" s="426" t="e" cm="1">
        <f t="array" ref="I9">_xlfn.XLOOKUP(1, ('0. GUIDELINES'!$E$3='[1]input-mpo'!$A:$A) * (I$7='[1]input-mpo'!$B:$B) * ($A9='[1]input-mpo'!$C:$C), '[1]input-mpo'!$D:$D)</f>
        <v>#N/A</v>
      </c>
      <c r="J9" s="426" cm="1">
        <f t="array" ref="J9">_xlfn.XLOOKUP(1, ('0. GUIDELINES'!$E$3='[1]input-mpo'!$A:$A) * (J$7='[1]input-mpo'!$B:$B) * ($A9='[1]input-mpo'!$C:$C), '[1]input-mpo'!$D:$D)</f>
        <v>2174364.75</v>
      </c>
      <c r="K9" s="426" cm="1">
        <f t="array" ref="K9">_xlfn.XLOOKUP(1, ('0. GUIDELINES'!$E$3='[1]input-mpo'!$A:$A) * (K$7='[1]input-mpo'!$B:$B) * ($A9='[1]input-mpo'!$C:$C), '[1]input-mpo'!$D:$D)</f>
        <v>2272078</v>
      </c>
      <c r="L9" s="426" cm="1">
        <f t="array" ref="L9">_xlfn.XLOOKUP(1, ('0. GUIDELINES'!$E$3='[1]input-mpo'!$A:$A) * (L$7='[1]input-mpo'!$B:$B) * ($A9='[1]input-mpo'!$C:$C), '[1]input-mpo'!$D:$D)</f>
        <v>2350830.25</v>
      </c>
      <c r="M9" s="426" cm="1">
        <f t="array" ref="M9">_xlfn.XLOOKUP(1, ('0. GUIDELINES'!$E$3='[1]input-mpo'!$A:$A) * (M$7='[1]input-mpo'!$B:$B) * ($A9='[1]input-mpo'!$C:$C), '[1]input-mpo'!$D:$D)</f>
        <v>2495452</v>
      </c>
      <c r="N9" s="426" cm="1">
        <f t="array" ref="N9">_xlfn.XLOOKUP(1, ('0. GUIDELINES'!$E$3='[1]input-mpo'!$A:$A) * (N$7='[1]input-mpo'!$B:$B) * ($A9='[1]input-mpo'!$C:$C), '[1]input-mpo'!$D:$D)</f>
        <v>2606658.5</v>
      </c>
      <c r="O9" s="426" cm="1">
        <f t="array" ref="O9">_xlfn.XLOOKUP(1, ('0. GUIDELINES'!$E$3='[1]input-mpo'!$A:$A) * (O$7='[1]input-mpo'!$B:$B) * ($A9='[1]input-mpo'!$C:$C), '[1]input-mpo'!$D:$D)</f>
        <v>2685230.25</v>
      </c>
      <c r="P9" s="426" cm="1">
        <f t="array" ref="P9">_xlfn.XLOOKUP(1, ('0. GUIDELINES'!$E$3='[1]input-mpo'!$A:$A) * (P$7='[1]input-mpo'!$B:$B) * ($A9='[1]input-mpo'!$C:$C), '[1]input-mpo'!$D:$D)</f>
        <v>2751418.25</v>
      </c>
      <c r="Q9" s="426" cm="1">
        <f t="array" ref="Q9">_xlfn.XLOOKUP(1, ('0. GUIDELINES'!$E$3='[1]input-mpo'!$A:$A) * (Q$7='[1]input-mpo'!$B:$B) * ($A9='[1]input-mpo'!$C:$C), '[1]input-mpo'!$D:$D)</f>
        <v>2871706.5</v>
      </c>
      <c r="R9" s="426" cm="1">
        <f t="array" ref="R9">_xlfn.XLOOKUP(1, ('0. GUIDELINES'!$E$3='[1]input-mpo'!$A:$A) * (R$7='[1]input-mpo'!$B:$B) * ($A9='[1]input-mpo'!$C:$C), '[1]input-mpo'!$D:$D)</f>
        <v>2967288</v>
      </c>
      <c r="S9" s="426" cm="1">
        <f t="array" ref="S9">_xlfn.XLOOKUP(1, ('0. GUIDELINES'!$E$3='[1]input-mpo'!$A:$A) * (S$7='[1]input-mpo'!$B:$B) * ($A9='[1]input-mpo'!$C:$C), '[1]input-mpo'!$D:$D)</f>
        <v>2795050</v>
      </c>
      <c r="T9" s="426" cm="1">
        <f t="array" ref="T9">_xlfn.XLOOKUP(1, ('0. GUIDELINES'!$E$3='[1]input-mpo'!$A:$A) * (T$7='[1]input-mpo'!$B:$B) * ($A9='[1]input-mpo'!$C:$C), '[1]input-mpo'!$D:$D)</f>
        <v>2884380</v>
      </c>
      <c r="U9" s="426" cm="1">
        <f t="array" ref="U9">_xlfn.XLOOKUP(1, ('0. GUIDELINES'!$E$3='[1]input-mpo'!$A:$A) * (U$7='[1]input-mpo'!$B:$B) * ($A9='[1]input-mpo'!$C:$C), '[1]input-mpo'!$D:$D)</f>
        <v>2986618</v>
      </c>
      <c r="V9" s="426" cm="1">
        <f t="array" ref="V9">_xlfn.XLOOKUP(1, ('0. GUIDELINES'!$E$3='[1]input-mpo'!$A:$A) * (V$7='[1]input-mpo'!$B:$B) * ($A9='[1]input-mpo'!$C:$C), '[1]input-mpo'!$D:$D)</f>
        <v>3083999</v>
      </c>
      <c r="W9" s="426" cm="1">
        <f t="array" ref="W9">_xlfn.XLOOKUP(1, ('0. GUIDELINES'!$E$3='[1]input-mpo'!$A:$A) * (W$7='[1]input-mpo'!$B:$B) * ($A9='[1]input-mpo'!$C:$C), '[1]input-mpo'!$D:$D)</f>
        <v>3189501</v>
      </c>
      <c r="X9" s="426" cm="1">
        <f t="array" ref="X9">_xlfn.XLOOKUP(1, ('0. GUIDELINES'!$E$3='[1]input-mpo'!$A:$A) * (X$7='[1]input-mpo'!$B:$B) * ($A9='[1]input-mpo'!$C:$C), '[1]input-mpo'!$D:$D)</f>
        <v>3290753</v>
      </c>
      <c r="Y9" s="426" cm="1">
        <f t="array" ref="Y9">_xlfn.XLOOKUP(1, ('0. GUIDELINES'!$E$3='[1]input-mpo'!$A:$A) * (Y$7='[1]input-mpo'!$B:$B) * ($A9='[1]input-mpo'!$C:$C), '[1]input-mpo'!$D:$D)</f>
        <v>3391252</v>
      </c>
      <c r="Z9" s="427" cm="1">
        <f t="array" ref="Z9">_xlfn.XLOOKUP(1, ('0. GUIDELINES'!$E$3='[1]input-mpo'!$A:$A) * (Z$7='[1]input-mpo'!$B:$B) * ($A9='[1]input-mpo'!$C:$C), '[1]input-mpo'!$D:$D)</f>
        <v>3505586</v>
      </c>
      <c r="AA9" s="427" cm="1">
        <f t="array" ref="AA9">_xlfn.XLOOKUP(1, ('0. GUIDELINES'!$E$3='[1]input-mpo'!$A:$A) * (AA$7='[1]input-mpo'!$B:$B) * ($A9='[1]input-mpo'!$C:$C), '[1]input-mpo'!$D:$D)</f>
        <v>3614259.25</v>
      </c>
      <c r="AB9" s="427" cm="1">
        <f t="array" ref="AB9">_xlfn.XLOOKUP(1, ('0. GUIDELINES'!$E$3='[1]input-mpo'!$A:$A) * (AB$7='[1]input-mpo'!$B:$B) * ($A9='[1]input-mpo'!$C:$C), '[1]input-mpo'!$D:$D)</f>
        <v>3726301.25</v>
      </c>
      <c r="AC9" s="427" cm="1">
        <f t="array" ref="AC9">_xlfn.XLOOKUP(1, ('0. GUIDELINES'!$E$3='[1]input-mpo'!$A:$A) * (AC$7='[1]input-mpo'!$B:$B) * ($A9='[1]input-mpo'!$C:$C), '[1]input-mpo'!$D:$D)</f>
        <v>3845542.75</v>
      </c>
    </row>
    <row r="10" spans="1:37" ht="14.45" customHeight="1" x14ac:dyDescent="0.25">
      <c r="A10" s="95" t="s">
        <v>585</v>
      </c>
      <c r="B10" s="305"/>
      <c r="C10" s="99"/>
      <c r="D10" s="99"/>
      <c r="E10" s="99"/>
      <c r="F10" s="99"/>
      <c r="G10" s="99"/>
      <c r="H10" s="425" t="s">
        <v>31</v>
      </c>
      <c r="I10" s="426" t="e" cm="1">
        <f t="array" ref="I10">_xlfn.XLOOKUP(1, ('0. GUIDELINES'!$E$3='[1]input-mpo'!$A:$A) * (I$7='[1]input-mpo'!$B:$B) * ($A10='[1]input-mpo'!$C:$C), '[1]input-mpo'!$D:$D)</f>
        <v>#N/A</v>
      </c>
      <c r="J10" s="426" cm="1">
        <f t="array" ref="J10">_xlfn.XLOOKUP(1, ('0. GUIDELINES'!$E$3='[1]input-mpo'!$A:$A) * (J$7='[1]input-mpo'!$B:$B) * ($A10='[1]input-mpo'!$C:$C), '[1]input-mpo'!$D:$D)</f>
        <v>2968767.25</v>
      </c>
      <c r="K10" s="426" cm="1">
        <f t="array" ref="K10">_xlfn.XLOOKUP(1, ('0. GUIDELINES'!$E$3='[1]input-mpo'!$A:$A) * (K$7='[1]input-mpo'!$B:$B) * ($A10='[1]input-mpo'!$C:$C), '[1]input-mpo'!$D:$D)</f>
        <v>3177576.5</v>
      </c>
      <c r="L10" s="426" cm="1">
        <f t="array" ref="L10">_xlfn.XLOOKUP(1, ('0. GUIDELINES'!$E$3='[1]input-mpo'!$A:$A) * (L$7='[1]input-mpo'!$B:$B) * ($A10='[1]input-mpo'!$C:$C), '[1]input-mpo'!$D:$D)</f>
        <v>3397247.75</v>
      </c>
      <c r="M10" s="426" cm="1">
        <f t="array" ref="M10">_xlfn.XLOOKUP(1, ('0. GUIDELINES'!$E$3='[1]input-mpo'!$A:$A) * (M$7='[1]input-mpo'!$B:$B) * ($A10='[1]input-mpo'!$C:$C), '[1]input-mpo'!$D:$D)</f>
        <v>3636149.25</v>
      </c>
      <c r="N10" s="426" cm="1">
        <f t="array" ref="N10">_xlfn.XLOOKUP(1, ('0. GUIDELINES'!$E$3='[1]input-mpo'!$A:$A) * (N$7='[1]input-mpo'!$B:$B) * ($A10='[1]input-mpo'!$C:$C), '[1]input-mpo'!$D:$D)</f>
        <v>3964098.25</v>
      </c>
      <c r="O10" s="426" cm="1">
        <f t="array" ref="O10">_xlfn.XLOOKUP(1, ('0. GUIDELINES'!$E$3='[1]input-mpo'!$A:$A) * (O$7='[1]input-mpo'!$B:$B) * ($A10='[1]input-mpo'!$C:$C), '[1]input-mpo'!$D:$D)</f>
        <v>4338134.5</v>
      </c>
      <c r="P10" s="426" cm="1">
        <f t="array" ref="P10">_xlfn.XLOOKUP(1, ('0. GUIDELINES'!$E$3='[1]input-mpo'!$A:$A) * (P$7='[1]input-mpo'!$B:$B) * ($A10='[1]input-mpo'!$C:$C), '[1]input-mpo'!$D:$D)</f>
        <v>4756303</v>
      </c>
      <c r="Q10" s="426" cm="1">
        <f t="array" ref="Q10">_xlfn.XLOOKUP(1, ('0. GUIDELINES'!$E$3='[1]input-mpo'!$A:$A) * (Q$7='[1]input-mpo'!$B:$B) * ($A10='[1]input-mpo'!$C:$C), '[1]input-mpo'!$D:$D)</f>
        <v>5144418</v>
      </c>
      <c r="R10" s="426" cm="1">
        <f t="array" ref="R10">_xlfn.XLOOKUP(1, ('0. GUIDELINES'!$E$3='[1]input-mpo'!$A:$A) * (R$7='[1]input-mpo'!$B:$B) * ($A10='[1]input-mpo'!$C:$C), '[1]input-mpo'!$D:$D)</f>
        <v>5641724</v>
      </c>
      <c r="S10" s="426" cm="1">
        <f t="array" ref="S10">_xlfn.XLOOKUP(1, ('0. GUIDELINES'!$E$3='[1]input-mpo'!$A:$A) * (S$7='[1]input-mpo'!$B:$B) * ($A10='[1]input-mpo'!$C:$C), '[1]input-mpo'!$D:$D)</f>
        <v>6449400</v>
      </c>
      <c r="T10" s="426" cm="1">
        <f t="array" ref="T10">_xlfn.XLOOKUP(1, ('0. GUIDELINES'!$E$3='[1]input-mpo'!$A:$A) * (T$7='[1]input-mpo'!$B:$B) * ($A10='[1]input-mpo'!$C:$C), '[1]input-mpo'!$D:$D)</f>
        <v>6982905</v>
      </c>
      <c r="U10" s="426" cm="1">
        <f t="array" ref="U10">_xlfn.XLOOKUP(1, ('0. GUIDELINES'!$E$3='[1]input-mpo'!$A:$A) * (U$7='[1]input-mpo'!$B:$B) * ($A10='[1]input-mpo'!$C:$C), '[1]input-mpo'!$D:$D)</f>
        <v>7694869</v>
      </c>
      <c r="V10" s="426" cm="1">
        <f t="array" ref="V10">_xlfn.XLOOKUP(1, ('0. GUIDELINES'!$E$3='[1]input-mpo'!$A:$A) * (V$7='[1]input-mpo'!$B:$B) * ($A10='[1]input-mpo'!$C:$C), '[1]input-mpo'!$D:$D)</f>
        <v>8590038</v>
      </c>
      <c r="W10" s="426" cm="1">
        <f t="array" ref="W10">_xlfn.XLOOKUP(1, ('0. GUIDELINES'!$E$3='[1]input-mpo'!$A:$A) * (W$7='[1]input-mpo'!$B:$B) * ($A10='[1]input-mpo'!$C:$C), '[1]input-mpo'!$D:$D)</f>
        <v>8900232</v>
      </c>
      <c r="X10" s="426" cm="1">
        <f t="array" ref="X10">_xlfn.XLOOKUP(1, ('0. GUIDELINES'!$E$3='[1]input-mpo'!$A:$A) * (X$7='[1]input-mpo'!$B:$B) * ($A10='[1]input-mpo'!$C:$C), '[1]input-mpo'!$D:$D)</f>
        <v>9815808</v>
      </c>
      <c r="Y10" s="426" cm="1">
        <f t="array" ref="Y10">_xlfn.XLOOKUP(1, ('0. GUIDELINES'!$E$3='[1]input-mpo'!$A:$A) * (Y$7='[1]input-mpo'!$B:$B) * ($A10='[1]input-mpo'!$C:$C), '[1]input-mpo'!$D:$D)</f>
        <v>10783223</v>
      </c>
      <c r="Z10" s="427" cm="1">
        <f t="array" ref="Z10">_xlfn.XLOOKUP(1, ('0. GUIDELINES'!$E$3='[1]input-mpo'!$A:$A) * (Z$7='[1]input-mpo'!$B:$B) * ($A10='[1]input-mpo'!$C:$C), '[1]input-mpo'!$D:$D)</f>
        <v>11685491</v>
      </c>
      <c r="AA10" s="427" cm="1">
        <f t="array" ref="AA10">_xlfn.XLOOKUP(1, ('0. GUIDELINES'!$E$3='[1]input-mpo'!$A:$A) * (AA$7='[1]input-mpo'!$B:$B) * ($A10='[1]input-mpo'!$C:$C), '[1]input-mpo'!$D:$D)</f>
        <v>12456733</v>
      </c>
      <c r="AB10" s="427" cm="1">
        <f t="array" ref="AB10">_xlfn.XLOOKUP(1, ('0. GUIDELINES'!$E$3='[1]input-mpo'!$A:$A) * (AB$7='[1]input-mpo'!$B:$B) * ($A10='[1]input-mpo'!$C:$C), '[1]input-mpo'!$D:$D)</f>
        <v>13353618</v>
      </c>
      <c r="AC10" s="427" cm="1">
        <f t="array" ref="AC10">_xlfn.XLOOKUP(1, ('0. GUIDELINES'!$E$3='[1]input-mpo'!$A:$A) * (AC$7='[1]input-mpo'!$B:$B) * ($A10='[1]input-mpo'!$C:$C), '[1]input-mpo'!$D:$D)</f>
        <v>14261664</v>
      </c>
    </row>
    <row r="11" spans="1:37" ht="14.45" customHeight="1" x14ac:dyDescent="0.25">
      <c r="A11" s="95" t="s">
        <v>586</v>
      </c>
      <c r="B11" s="305"/>
      <c r="C11" s="99"/>
      <c r="D11" s="99"/>
      <c r="E11" s="99"/>
      <c r="F11" s="99"/>
      <c r="G11" s="99"/>
      <c r="H11" s="425" t="s">
        <v>33</v>
      </c>
      <c r="I11" s="426" t="e" cm="1">
        <f t="array" ref="I11">_xlfn.XLOOKUP(1, ('0. GUIDELINES'!$E$3='[1]input-mpo'!$A:$A) * (I$7='[1]input-mpo'!$B:$B) * ($A11='[1]input-mpo'!$C:$C), '[1]input-mpo'!$D:$D)</f>
        <v>#N/A</v>
      </c>
      <c r="J11" s="426" cm="1">
        <f t="array" ref="J11">_xlfn.XLOOKUP(1, ('0. GUIDELINES'!$E$3='[1]input-mpo'!$A:$A) * (J$7='[1]input-mpo'!$B:$B) * ($A11='[1]input-mpo'!$C:$C), '[1]input-mpo'!$D:$D)</f>
        <v>6347065</v>
      </c>
      <c r="K11" s="426" cm="1">
        <f t="array" ref="K11">_xlfn.XLOOKUP(1, ('0. GUIDELINES'!$E$3='[1]input-mpo'!$A:$A) * (K$7='[1]input-mpo'!$B:$B) * ($A11='[1]input-mpo'!$C:$C), '[1]input-mpo'!$D:$D)</f>
        <v>6712807.5</v>
      </c>
      <c r="L11" s="426" cm="1">
        <f t="array" ref="L11">_xlfn.XLOOKUP(1, ('0. GUIDELINES'!$E$3='[1]input-mpo'!$A:$A) * (L$7='[1]input-mpo'!$B:$B) * ($A11='[1]input-mpo'!$C:$C), '[1]input-mpo'!$D:$D)</f>
        <v>7053816</v>
      </c>
      <c r="M11" s="426" cm="1">
        <f t="array" ref="M11">_xlfn.XLOOKUP(1, ('0. GUIDELINES'!$E$3='[1]input-mpo'!$A:$A) * (M$7='[1]input-mpo'!$B:$B) * ($A11='[1]input-mpo'!$C:$C), '[1]input-mpo'!$D:$D)</f>
        <v>7443809.5</v>
      </c>
      <c r="N11" s="426" cm="1">
        <f t="array" ref="N11">_xlfn.XLOOKUP(1, ('0. GUIDELINES'!$E$3='[1]input-mpo'!$A:$A) * (N$7='[1]input-mpo'!$B:$B) * ($A11='[1]input-mpo'!$C:$C), '[1]input-mpo'!$D:$D)</f>
        <v>7906563</v>
      </c>
      <c r="O11" s="426" cm="1">
        <f t="array" ref="O11">_xlfn.XLOOKUP(1, ('0. GUIDELINES'!$E$3='[1]input-mpo'!$A:$A) * (O$7='[1]input-mpo'!$B:$B) * ($A11='[1]input-mpo'!$C:$C), '[1]input-mpo'!$D:$D)</f>
        <v>8426503</v>
      </c>
      <c r="P11" s="426" cm="1">
        <f t="array" ref="P11">_xlfn.XLOOKUP(1, ('0. GUIDELINES'!$E$3='[1]input-mpo'!$A:$A) * (P$7='[1]input-mpo'!$B:$B) * ($A11='[1]input-mpo'!$C:$C), '[1]input-mpo'!$D:$D)</f>
        <v>8891154</v>
      </c>
      <c r="Q11" s="426" cm="1">
        <f t="array" ref="Q11">_xlfn.XLOOKUP(1, ('0. GUIDELINES'!$E$3='[1]input-mpo'!$A:$A) * (Q$7='[1]input-mpo'!$B:$B) * ($A11='[1]input-mpo'!$C:$C), '[1]input-mpo'!$D:$D)</f>
        <v>9391224</v>
      </c>
      <c r="R11" s="426" cm="1">
        <f t="array" ref="R11">_xlfn.XLOOKUP(1, ('0. GUIDELINES'!$E$3='[1]input-mpo'!$A:$A) * (R$7='[1]input-mpo'!$B:$B) * ($A11='[1]input-mpo'!$C:$C), '[1]input-mpo'!$D:$D)</f>
        <v>9936015</v>
      </c>
      <c r="S11" s="426" cm="1">
        <f t="array" ref="S11">_xlfn.XLOOKUP(1, ('0. GUIDELINES'!$E$3='[1]input-mpo'!$A:$A) * (S$7='[1]input-mpo'!$B:$B) * ($A11='[1]input-mpo'!$C:$C), '[1]input-mpo'!$D:$D)</f>
        <v>10629824</v>
      </c>
      <c r="T11" s="426" cm="1">
        <f t="array" ref="T11">_xlfn.XLOOKUP(1, ('0. GUIDELINES'!$E$3='[1]input-mpo'!$A:$A) * (T$7='[1]input-mpo'!$B:$B) * ($A11='[1]input-mpo'!$C:$C), '[1]input-mpo'!$D:$D)</f>
        <v>11307474</v>
      </c>
      <c r="U11" s="426" cm="1">
        <f t="array" ref="U11">_xlfn.XLOOKUP(1, ('0. GUIDELINES'!$E$3='[1]input-mpo'!$A:$A) * (U$7='[1]input-mpo'!$B:$B) * ($A11='[1]input-mpo'!$C:$C), '[1]input-mpo'!$D:$D)</f>
        <v>12048523</v>
      </c>
      <c r="V11" s="426" cm="1">
        <f t="array" ref="V11">_xlfn.XLOOKUP(1, ('0. GUIDELINES'!$E$3='[1]input-mpo'!$A:$A) * (V$7='[1]input-mpo'!$B:$B) * ($A11='[1]input-mpo'!$C:$C), '[1]input-mpo'!$D:$D)</f>
        <v>12877439</v>
      </c>
      <c r="W11" s="426" cm="1">
        <f t="array" ref="W11">_xlfn.XLOOKUP(1, ('0. GUIDELINES'!$E$3='[1]input-mpo'!$A:$A) * (W$7='[1]input-mpo'!$B:$B) * ($A11='[1]input-mpo'!$C:$C), '[1]input-mpo'!$D:$D)</f>
        <v>13383891</v>
      </c>
      <c r="X11" s="426" cm="1">
        <f t="array" ref="X11">_xlfn.XLOOKUP(1, ('0. GUIDELINES'!$E$3='[1]input-mpo'!$A:$A) * (X$7='[1]input-mpo'!$B:$B) * ($A11='[1]input-mpo'!$C:$C), '[1]input-mpo'!$D:$D)</f>
        <v>14151078</v>
      </c>
      <c r="Y11" s="426" cm="1">
        <f t="array" ref="Y11">_xlfn.XLOOKUP(1, ('0. GUIDELINES'!$E$3='[1]input-mpo'!$A:$A) * (Y$7='[1]input-mpo'!$B:$B) * ($A11='[1]input-mpo'!$C:$C), '[1]input-mpo'!$D:$D)</f>
        <v>15036465</v>
      </c>
      <c r="Z11" s="427" cm="1">
        <f t="array" ref="Z11">_xlfn.XLOOKUP(1, ('0. GUIDELINES'!$E$3='[1]input-mpo'!$A:$A) * (Z$7='[1]input-mpo'!$B:$B) * ($A11='[1]input-mpo'!$C:$C), '[1]input-mpo'!$D:$D)</f>
        <v>15844110</v>
      </c>
      <c r="AA11" s="427" cm="1">
        <f t="array" ref="AA11">_xlfn.XLOOKUP(1, ('0. GUIDELINES'!$E$3='[1]input-mpo'!$A:$A) * (AA$7='[1]input-mpo'!$B:$B) * ($A11='[1]input-mpo'!$C:$C), '[1]input-mpo'!$D:$D)</f>
        <v>16737511</v>
      </c>
      <c r="AB11" s="427" cm="1">
        <f t="array" ref="AB11">_xlfn.XLOOKUP(1, ('0. GUIDELINES'!$E$3='[1]input-mpo'!$A:$A) * (AB$7='[1]input-mpo'!$B:$B) * ($A11='[1]input-mpo'!$C:$C), '[1]input-mpo'!$D:$D)</f>
        <v>17592770</v>
      </c>
      <c r="AC11" s="427" cm="1">
        <f t="array" ref="AC11">_xlfn.XLOOKUP(1, ('0. GUIDELINES'!$E$3='[1]input-mpo'!$A:$A) * (AC$7='[1]input-mpo'!$B:$B) * ($A11='[1]input-mpo'!$C:$C), '[1]input-mpo'!$D:$D)</f>
        <v>18616922</v>
      </c>
    </row>
    <row r="12" spans="1:37" ht="14.45" customHeight="1" x14ac:dyDescent="0.25">
      <c r="A12" s="95"/>
      <c r="B12" s="305"/>
      <c r="C12" s="99"/>
      <c r="D12" s="99"/>
      <c r="E12" s="99"/>
      <c r="F12" s="99"/>
      <c r="G12" s="99"/>
      <c r="H12" s="431" t="s">
        <v>601</v>
      </c>
      <c r="I12" s="444"/>
      <c r="J12" s="444">
        <f>(J8*10^6)/J25</f>
        <v>84171.324331445809</v>
      </c>
      <c r="K12" s="445">
        <f t="shared" ref="K12:AC12" si="0">(K8*10^6)/K25</f>
        <v>88444.485628883194</v>
      </c>
      <c r="L12" s="445">
        <f t="shared" si="0"/>
        <v>92092.529976042628</v>
      </c>
      <c r="M12" s="445">
        <f t="shared" si="0"/>
        <v>96120.197168482511</v>
      </c>
      <c r="N12" s="445">
        <f t="shared" si="0"/>
        <v>101093.96880446085</v>
      </c>
      <c r="O12" s="445">
        <f t="shared" si="0"/>
        <v>106355.87222321378</v>
      </c>
      <c r="P12" s="445">
        <f t="shared" si="0"/>
        <v>111331.96680376747</v>
      </c>
      <c r="Q12" s="445">
        <f t="shared" si="0"/>
        <v>116617.78638186962</v>
      </c>
      <c r="R12" s="445">
        <f t="shared" si="0"/>
        <v>122788.11236880347</v>
      </c>
      <c r="S12" s="445">
        <f t="shared" si="0"/>
        <v>129913.75303930367</v>
      </c>
      <c r="T12" s="445">
        <f t="shared" si="0"/>
        <v>136755.59904629953</v>
      </c>
      <c r="U12" s="445">
        <f t="shared" si="0"/>
        <v>145070.65937106375</v>
      </c>
      <c r="V12" s="445">
        <f t="shared" si="0"/>
        <v>154772.48082176613</v>
      </c>
      <c r="W12" s="445">
        <f t="shared" si="0"/>
        <v>158287.54355934996</v>
      </c>
      <c r="X12" s="445">
        <f t="shared" si="0"/>
        <v>167336.27787973455</v>
      </c>
      <c r="Y12" s="445">
        <f t="shared" si="0"/>
        <v>177300.89054031289</v>
      </c>
      <c r="Z12" s="446">
        <f t="shared" si="0"/>
        <v>185623.16855499212</v>
      </c>
      <c r="AA12" s="446">
        <f t="shared" si="0"/>
        <v>194137.07847006858</v>
      </c>
      <c r="AB12" s="446">
        <f t="shared" si="0"/>
        <v>203167.38160796266</v>
      </c>
      <c r="AC12" s="446">
        <f t="shared" si="0"/>
        <v>213163.29673337808</v>
      </c>
    </row>
    <row r="13" spans="1:37" ht="14.45" customHeight="1" x14ac:dyDescent="0.25">
      <c r="A13" s="95"/>
      <c r="B13" s="305"/>
      <c r="C13" s="99"/>
      <c r="D13" s="99"/>
      <c r="E13" s="99"/>
      <c r="F13" s="99"/>
      <c r="G13" s="99"/>
      <c r="H13" s="421"/>
      <c r="I13" s="315"/>
      <c r="J13" s="315"/>
      <c r="K13" s="315"/>
      <c r="L13" s="315"/>
      <c r="M13" s="315"/>
      <c r="N13" s="315"/>
      <c r="O13" s="315"/>
      <c r="P13" s="315"/>
      <c r="Q13" s="315"/>
      <c r="R13" s="315"/>
      <c r="S13" s="315"/>
      <c r="T13" s="315"/>
      <c r="U13" s="315"/>
      <c r="V13" s="315"/>
      <c r="W13" s="315"/>
      <c r="X13" s="315"/>
      <c r="Y13" s="315"/>
      <c r="Z13" s="148"/>
      <c r="AA13" s="148"/>
      <c r="AB13" s="148"/>
      <c r="AC13" s="148"/>
    </row>
    <row r="14" spans="1:37" ht="14.45" customHeight="1" x14ac:dyDescent="0.25">
      <c r="A14" s="95" t="s">
        <v>587</v>
      </c>
      <c r="B14" s="305"/>
      <c r="C14" s="99"/>
      <c r="D14" s="99"/>
      <c r="E14" s="99"/>
      <c r="F14" s="99"/>
      <c r="G14" s="99"/>
      <c r="H14" s="431" t="s">
        <v>124</v>
      </c>
      <c r="I14" s="429" cm="1">
        <f t="array" ref="I14">_xlfn.XLOOKUP(1, ('0. GUIDELINES'!$E$3='[1]input-mpo'!$A:$A) * (I$7='[1]input-mpo'!$B:$B) * ($A14='[1]input-mpo'!$C:$C), '[1]input-mpo'!$D:$D)</f>
        <v>11332213.177438729</v>
      </c>
      <c r="J14" s="429" cm="1">
        <f t="array" ref="J14">_xlfn.XLOOKUP(1, ('0. GUIDELINES'!$E$3='[1]input-mpo'!$A:$A) * (J$7='[1]input-mpo'!$B:$B) * ($A14='[1]input-mpo'!$C:$C), '[1]input-mpo'!$D:$D)</f>
        <v>12132112.879730467</v>
      </c>
      <c r="K14" s="429" cm="1">
        <f t="array" ref="K14">_xlfn.XLOOKUP(1, ('0. GUIDELINES'!$E$3='[1]input-mpo'!$A:$A) * (K$7='[1]input-mpo'!$B:$B) * ($A14='[1]input-mpo'!$C:$C), '[1]input-mpo'!$D:$D)</f>
        <v>12861712.641670294</v>
      </c>
      <c r="L14" s="429" cm="1">
        <f t="array" ref="L14">_xlfn.XLOOKUP(1, ('0. GUIDELINES'!$E$3='[1]input-mpo'!$A:$A) * (L$7='[1]input-mpo'!$B:$B) * ($A14='[1]input-mpo'!$C:$C), '[1]input-mpo'!$D:$D)</f>
        <v>13510602.095111048</v>
      </c>
      <c r="M14" s="429" cm="1">
        <f t="array" ref="M14">_xlfn.XLOOKUP(1, ('0. GUIDELINES'!$E$3='[1]input-mpo'!$A:$A) * (M$7='[1]input-mpo'!$B:$B) * ($A14='[1]input-mpo'!$C:$C), '[1]input-mpo'!$D:$D)</f>
        <v>14263386.129873302</v>
      </c>
      <c r="N14" s="429" cm="1">
        <f t="array" ref="N14">_xlfn.XLOOKUP(1, ('0. GUIDELINES'!$E$3='[1]input-mpo'!$A:$A) * (N$7='[1]input-mpo'!$B:$B) * ($A14='[1]input-mpo'!$C:$C), '[1]input-mpo'!$D:$D)</f>
        <v>15185426.163662763</v>
      </c>
      <c r="O14" s="429" cm="1">
        <f t="array" ref="O14">_xlfn.XLOOKUP(1, ('0. GUIDELINES'!$E$3='[1]input-mpo'!$A:$A) * (O$7='[1]input-mpo'!$B:$B) * ($A14='[1]input-mpo'!$C:$C), '[1]input-mpo'!$D:$D)</f>
        <v>16175733.872300345</v>
      </c>
      <c r="P14" s="429" cm="1">
        <f t="array" ref="P14">_xlfn.XLOOKUP(1, ('0. GUIDELINES'!$E$3='[1]input-mpo'!$A:$A) * (P$7='[1]input-mpo'!$B:$B) * ($A14='[1]input-mpo'!$C:$C), '[1]input-mpo'!$D:$D)</f>
        <v>17148477.168329448</v>
      </c>
      <c r="Q14" s="429" cm="1">
        <f t="array" ref="Q14">_xlfn.XLOOKUP(1, ('0. GUIDELINES'!$E$3='[1]input-mpo'!$A:$A) * (Q$7='[1]input-mpo'!$B:$B) * ($A14='[1]input-mpo'!$C:$C), '[1]input-mpo'!$D:$D)</f>
        <v>18187862.326803636</v>
      </c>
      <c r="R14" s="429" cm="1">
        <f t="array" ref="R14">_xlfn.XLOOKUP(1, ('0. GUIDELINES'!$E$3='[1]input-mpo'!$A:$A) * (R$7='[1]input-mpo'!$B:$B) * ($A14='[1]input-mpo'!$C:$C), '[1]input-mpo'!$D:$D)</f>
        <v>19379648.602542982</v>
      </c>
      <c r="S14" s="429" cm="1">
        <f t="array" ref="S14">_xlfn.XLOOKUP(1, ('0. GUIDELINES'!$E$3='[1]input-mpo'!$A:$A) * (S$7='[1]input-mpo'!$B:$B) * ($A14='[1]input-mpo'!$C:$C), '[1]input-mpo'!$D:$D)</f>
        <v>20758213.000000007</v>
      </c>
      <c r="T14" s="429" cm="1">
        <f t="array" ref="T14">_xlfn.XLOOKUP(1, ('0. GUIDELINES'!$E$3='[1]input-mpo'!$A:$A) * (T$7='[1]input-mpo'!$B:$B) * ($A14='[1]input-mpo'!$C:$C), '[1]input-mpo'!$D:$D)</f>
        <v>22126230.000000007</v>
      </c>
      <c r="U14" s="429" cm="1">
        <f t="array" ref="U14">_xlfn.XLOOKUP(1, ('0. GUIDELINES'!$E$3='[1]input-mpo'!$A:$A) * (U$7='[1]input-mpo'!$B:$B) * ($A14='[1]input-mpo'!$C:$C), '[1]input-mpo'!$D:$D)</f>
        <v>23745739</v>
      </c>
      <c r="V14" s="429" cm="1">
        <f t="array" ref="V14">_xlfn.XLOOKUP(1, ('0. GUIDELINES'!$E$3='[1]input-mpo'!$A:$A) * (V$7='[1]input-mpo'!$B:$B) * ($A14='[1]input-mpo'!$C:$C), '[1]input-mpo'!$D:$D)</f>
        <v>25617356</v>
      </c>
      <c r="W14" s="429" cm="1">
        <f t="array" ref="W14">_xlfn.XLOOKUP(1, ('0. GUIDELINES'!$E$3='[1]input-mpo'!$A:$A) * (W$7='[1]input-mpo'!$B:$B) * ($A14='[1]input-mpo'!$C:$C), '[1]input-mpo'!$D:$D)</f>
        <v>26500650.999999993</v>
      </c>
      <c r="X14" s="429" cm="1">
        <f t="array" ref="X14">_xlfn.XLOOKUP(1, ('0. GUIDELINES'!$E$3='[1]input-mpo'!$A:$A) * (X$7='[1]input-mpo'!$B:$B) * ($A14='[1]input-mpo'!$C:$C), '[1]input-mpo'!$D:$D)</f>
        <v>28339444</v>
      </c>
      <c r="Y14" s="429" cm="1">
        <f t="array" ref="Y14">_xlfn.XLOOKUP(1, ('0. GUIDELINES'!$E$3='[1]input-mpo'!$A:$A) * (Y$7='[1]input-mpo'!$B:$B) * ($A14='[1]input-mpo'!$C:$C), '[1]input-mpo'!$D:$D)</f>
        <v>30351494.999999993</v>
      </c>
      <c r="Z14" s="430" cm="1">
        <f t="array" ref="Z14">_xlfn.XLOOKUP(1, ('0. GUIDELINES'!$E$3='[1]input-mpo'!$A:$A) * (Z$7='[1]input-mpo'!$B:$B) * ($A14='[1]input-mpo'!$C:$C), '[1]input-mpo'!$D:$D)</f>
        <v>32104328.999999993</v>
      </c>
      <c r="AA14" s="430" cm="1">
        <f t="array" ref="AA14">_xlfn.XLOOKUP(1, ('0. GUIDELINES'!$E$3='[1]input-mpo'!$A:$A) * (AA$7='[1]input-mpo'!$B:$B) * ($A14='[1]input-mpo'!$C:$C), '[1]input-mpo'!$D:$D)</f>
        <v>33915983.981280357</v>
      </c>
      <c r="AB14" s="430" cm="1">
        <f t="array" ref="AB14">_xlfn.XLOOKUP(1, ('0. GUIDELINES'!$E$3='[1]input-mpo'!$A:$A) * (AB$7='[1]input-mpo'!$B:$B) * ($A14='[1]input-mpo'!$C:$C), '[1]input-mpo'!$D:$D)</f>
        <v>35843097.4706081</v>
      </c>
      <c r="AC14" s="430" cm="1">
        <f t="array" ref="AC14">_xlfn.XLOOKUP(1, ('0. GUIDELINES'!$E$3='[1]input-mpo'!$A:$A) * (AC$7='[1]input-mpo'!$B:$B) * ($A14='[1]input-mpo'!$C:$C), '[1]input-mpo'!$D:$D)</f>
        <v>37965693.008444853</v>
      </c>
    </row>
    <row r="15" spans="1:37" ht="14.45" customHeight="1" x14ac:dyDescent="0.25">
      <c r="A15" s="95" t="s">
        <v>590</v>
      </c>
      <c r="B15" s="305"/>
      <c r="C15" s="99"/>
      <c r="D15" s="99"/>
      <c r="E15" s="99"/>
      <c r="F15" s="99"/>
      <c r="G15" s="99"/>
      <c r="H15" s="432" t="s">
        <v>29</v>
      </c>
      <c r="I15" s="433" cm="1">
        <f t="array" ref="I15">_xlfn.XLOOKUP(1, ('0. GUIDELINES'!$E$3='[1]input-mpo'!$A:$A) * (I$7='[1]input-mpo'!$B:$B) * ($A15='[1]input-mpo'!$C:$C), '[1]input-mpo'!$D:$D)</f>
        <v>2037973.5205495418</v>
      </c>
      <c r="J15" s="433" cm="1">
        <f t="array" ref="J15">_xlfn.XLOOKUP(1, ('0. GUIDELINES'!$E$3='[1]input-mpo'!$A:$A) * (J$7='[1]input-mpo'!$B:$B) * ($A15='[1]input-mpo'!$C:$C), '[1]input-mpo'!$D:$D)</f>
        <v>2174364.8225567653</v>
      </c>
      <c r="K15" s="433" cm="1">
        <f t="array" ref="K15">_xlfn.XLOOKUP(1, ('0. GUIDELINES'!$E$3='[1]input-mpo'!$A:$A) * (K$7='[1]input-mpo'!$B:$B) * ($A15='[1]input-mpo'!$C:$C), '[1]input-mpo'!$D:$D)</f>
        <v>2272077.905051453</v>
      </c>
      <c r="L15" s="433" cm="1">
        <f t="array" ref="L15">_xlfn.XLOOKUP(1, ('0. GUIDELINES'!$E$3='[1]input-mpo'!$A:$A) * (L$7='[1]input-mpo'!$B:$B) * ($A15='[1]input-mpo'!$C:$C), '[1]input-mpo'!$D:$D)</f>
        <v>2350830.1350540253</v>
      </c>
      <c r="M15" s="433" cm="1">
        <f t="array" ref="M15">_xlfn.XLOOKUP(1, ('0. GUIDELINES'!$E$3='[1]input-mpo'!$A:$A) * (M$7='[1]input-mpo'!$B:$B) * ($A15='[1]input-mpo'!$C:$C), '[1]input-mpo'!$D:$D)</f>
        <v>2495451.9620685186</v>
      </c>
      <c r="N15" s="433" cm="1">
        <f t="array" ref="N15">_xlfn.XLOOKUP(1, ('0. GUIDELINES'!$E$3='[1]input-mpo'!$A:$A) * (N$7='[1]input-mpo'!$B:$B) * ($A15='[1]input-mpo'!$C:$C), '[1]input-mpo'!$D:$D)</f>
        <v>2606658.5095816543</v>
      </c>
      <c r="O15" s="433" cm="1">
        <f t="array" ref="O15">_xlfn.XLOOKUP(1, ('0. GUIDELINES'!$E$3='[1]input-mpo'!$A:$A) * (O$7='[1]input-mpo'!$B:$B) * ($A15='[1]input-mpo'!$C:$C), '[1]input-mpo'!$D:$D)</f>
        <v>2685230.2717251824</v>
      </c>
      <c r="P15" s="433" cm="1">
        <f t="array" ref="P15">_xlfn.XLOOKUP(1, ('0. GUIDELINES'!$E$3='[1]input-mpo'!$A:$A) * (P$7='[1]input-mpo'!$B:$B) * ($A15='[1]input-mpo'!$C:$C), '[1]input-mpo'!$D:$D)</f>
        <v>2751418.1780321049</v>
      </c>
      <c r="Q15" s="433" cm="1">
        <f t="array" ref="Q15">_xlfn.XLOOKUP(1, ('0. GUIDELINES'!$E$3='[1]input-mpo'!$A:$A) * (Q$7='[1]input-mpo'!$B:$B) * ($A15='[1]input-mpo'!$C:$C), '[1]input-mpo'!$D:$D)</f>
        <v>2871706.6053806697</v>
      </c>
      <c r="R15" s="433" cm="1">
        <f t="array" ref="R15">_xlfn.XLOOKUP(1, ('0. GUIDELINES'!$E$3='[1]input-mpo'!$A:$A) * (R$7='[1]input-mpo'!$B:$B) * ($A15='[1]input-mpo'!$C:$C), '[1]input-mpo'!$D:$D)</f>
        <v>2967287.9442823385</v>
      </c>
      <c r="S15" s="433" cm="1">
        <f t="array" ref="S15">_xlfn.XLOOKUP(1, ('0. GUIDELINES'!$E$3='[1]input-mpo'!$A:$A) * (S$7='[1]input-mpo'!$B:$B) * ($A15='[1]input-mpo'!$C:$C), '[1]input-mpo'!$D:$D)</f>
        <v>2795050.0000000014</v>
      </c>
      <c r="T15" s="433" cm="1">
        <f t="array" ref="T15">_xlfn.XLOOKUP(1, ('0. GUIDELINES'!$E$3='[1]input-mpo'!$A:$A) * (T$7='[1]input-mpo'!$B:$B) * ($A15='[1]input-mpo'!$C:$C), '[1]input-mpo'!$D:$D)</f>
        <v>2884379.9999999995</v>
      </c>
      <c r="U15" s="433" cm="1">
        <f t="array" ref="U15">_xlfn.XLOOKUP(1, ('0. GUIDELINES'!$E$3='[1]input-mpo'!$A:$A) * (U$7='[1]input-mpo'!$B:$B) * ($A15='[1]input-mpo'!$C:$C), '[1]input-mpo'!$D:$D)</f>
        <v>2986618.0000000023</v>
      </c>
      <c r="V15" s="433" cm="1">
        <f t="array" ref="V15">_xlfn.XLOOKUP(1, ('0. GUIDELINES'!$E$3='[1]input-mpo'!$A:$A) * (V$7='[1]input-mpo'!$B:$B) * ($A15='[1]input-mpo'!$C:$C), '[1]input-mpo'!$D:$D)</f>
        <v>3083999.0000000019</v>
      </c>
      <c r="W15" s="433" cm="1">
        <f t="array" ref="W15">_xlfn.XLOOKUP(1, ('0. GUIDELINES'!$E$3='[1]input-mpo'!$A:$A) * (W$7='[1]input-mpo'!$B:$B) * ($A15='[1]input-mpo'!$C:$C), '[1]input-mpo'!$D:$D)</f>
        <v>3189500.9999999977</v>
      </c>
      <c r="X15" s="433" cm="1">
        <f t="array" ref="X15">_xlfn.XLOOKUP(1, ('0. GUIDELINES'!$E$3='[1]input-mpo'!$A:$A) * (X$7='[1]input-mpo'!$B:$B) * ($A15='[1]input-mpo'!$C:$C), '[1]input-mpo'!$D:$D)</f>
        <v>3290752.9999999981</v>
      </c>
      <c r="Y15" s="433" cm="1">
        <f t="array" ref="Y15">_xlfn.XLOOKUP(1, ('0. GUIDELINES'!$E$3='[1]input-mpo'!$A:$A) * (Y$7='[1]input-mpo'!$B:$B) * ($A15='[1]input-mpo'!$C:$C), '[1]input-mpo'!$D:$D)</f>
        <v>3391251.9999999977</v>
      </c>
      <c r="Z15" s="434" cm="1">
        <f t="array" ref="Z15">_xlfn.XLOOKUP(1, ('0. GUIDELINES'!$E$3='[1]input-mpo'!$A:$A) * (Z$7='[1]input-mpo'!$B:$B) * ($A15='[1]input-mpo'!$C:$C), '[1]input-mpo'!$D:$D)</f>
        <v>3505585.9999999907</v>
      </c>
      <c r="AA15" s="434" cm="1">
        <f t="array" ref="AA15">_xlfn.XLOOKUP(1, ('0. GUIDELINES'!$E$3='[1]input-mpo'!$A:$A) * (AA$7='[1]input-mpo'!$B:$B) * ($A15='[1]input-mpo'!$C:$C), '[1]input-mpo'!$D:$D)</f>
        <v>3614259.16599999</v>
      </c>
      <c r="AB15" s="434" cm="1">
        <f t="array" ref="AB15">_xlfn.XLOOKUP(1, ('0. GUIDELINES'!$E$3='[1]input-mpo'!$A:$A) * (AB$7='[1]input-mpo'!$B:$B) * ($A15='[1]input-mpo'!$C:$C), '[1]input-mpo'!$D:$D)</f>
        <v>3726301.2001459892</v>
      </c>
      <c r="AC15" s="434" cm="1">
        <f t="array" ref="AC15">_xlfn.XLOOKUP(1, ('0. GUIDELINES'!$E$3='[1]input-mpo'!$A:$A) * (AC$7='[1]input-mpo'!$B:$B) * ($A15='[1]input-mpo'!$C:$C), '[1]input-mpo'!$D:$D)</f>
        <v>3845542.8385506608</v>
      </c>
    </row>
    <row r="16" spans="1:37" ht="14.45" customHeight="1" x14ac:dyDescent="0.25">
      <c r="A16" s="95"/>
      <c r="B16" s="305"/>
      <c r="C16" s="99"/>
      <c r="D16" s="99"/>
      <c r="E16" s="99"/>
      <c r="F16" s="99"/>
      <c r="G16" s="99"/>
      <c r="H16" s="432" t="s">
        <v>31</v>
      </c>
      <c r="I16" s="433">
        <f t="shared" ref="I16" si="1">SUM(I17:I18)</f>
        <v>2722944.4502677415</v>
      </c>
      <c r="J16" s="433">
        <f t="shared" ref="J16" si="2">SUM(J17:J18)</f>
        <v>2968767.1981910253</v>
      </c>
      <c r="K16" s="433">
        <f t="shared" ref="K16" si="3">SUM(K17:K18)</f>
        <v>3177576.449622211</v>
      </c>
      <c r="L16" s="433">
        <f t="shared" ref="L16" si="4">SUM(L17:L18)</f>
        <v>3397247.8149949871</v>
      </c>
      <c r="M16" s="433">
        <f t="shared" ref="M16" si="5">SUM(M17:M18)</f>
        <v>3636149.1423604842</v>
      </c>
      <c r="N16" s="433">
        <f t="shared" ref="N16" si="6">SUM(N17:N18)</f>
        <v>3964098.1668832451</v>
      </c>
      <c r="O16" s="433">
        <f t="shared" ref="O16" si="7">SUM(O17:O18)</f>
        <v>4338134.5644141259</v>
      </c>
      <c r="P16" s="433">
        <f t="shared" ref="P16" si="8">SUM(P17:P18)</f>
        <v>4756302.9250805313</v>
      </c>
      <c r="Q16" s="433">
        <f t="shared" ref="Q16" si="9">SUM(Q17:Q18)</f>
        <v>5144417.920840349</v>
      </c>
      <c r="R16" s="433">
        <f t="shared" ref="R16" si="10">SUM(R17:R18)</f>
        <v>5641723.9066053219</v>
      </c>
      <c r="S16" s="433">
        <f t="shared" ref="S16" si="11">SUM(S17:S18)</f>
        <v>6449400.0000000102</v>
      </c>
      <c r="T16" s="433">
        <f t="shared" ref="T16" si="12">SUM(T17:T18)</f>
        <v>6982905.0000000168</v>
      </c>
      <c r="U16" s="433">
        <f t="shared" ref="U16" si="13">SUM(U17:U18)</f>
        <v>7694869.0000000009</v>
      </c>
      <c r="V16" s="433">
        <f t="shared" ref="V16:AC16" si="14">SUM(V17:V18)</f>
        <v>8590037.9999999963</v>
      </c>
      <c r="W16" s="433">
        <f t="shared" si="14"/>
        <v>8900232.0000000093</v>
      </c>
      <c r="X16" s="433">
        <f t="shared" si="14"/>
        <v>9815808</v>
      </c>
      <c r="Y16" s="433">
        <f t="shared" si="14"/>
        <v>10783222.999999996</v>
      </c>
      <c r="Z16" s="434">
        <f t="shared" si="14"/>
        <v>11685490.999999994</v>
      </c>
      <c r="AA16" s="434">
        <f t="shared" si="14"/>
        <v>12456733.405999994</v>
      </c>
      <c r="AB16" s="434">
        <f t="shared" si="14"/>
        <v>13353618.211231994</v>
      </c>
      <c r="AC16" s="434">
        <f t="shared" si="14"/>
        <v>14261664.249595771</v>
      </c>
    </row>
    <row r="17" spans="1:29" ht="14.45" customHeight="1" x14ac:dyDescent="0.25">
      <c r="A17" s="95" t="s">
        <v>591</v>
      </c>
      <c r="B17" s="305"/>
      <c r="C17" s="99"/>
      <c r="D17" s="99"/>
      <c r="E17" s="99"/>
      <c r="F17" s="99"/>
      <c r="G17" s="99"/>
      <c r="H17" s="421" t="s">
        <v>588</v>
      </c>
      <c r="I17" s="315" cm="1">
        <f t="array" ref="I17">_xlfn.XLOOKUP(1, ('0. GUIDELINES'!$E$3='[1]input-mpo'!$A:$A) * (I$7='[1]input-mpo'!$B:$B) * ($A17='[1]input-mpo'!$C:$C), '[1]input-mpo'!$D:$D)</f>
        <v>698766.02816550992</v>
      </c>
      <c r="J17" s="315" cm="1">
        <f t="array" ref="J17">_xlfn.XLOOKUP(1, ('0. GUIDELINES'!$E$3='[1]input-mpo'!$A:$A) * (J$7='[1]input-mpo'!$B:$B) * ($A17='[1]input-mpo'!$C:$C), '[1]input-mpo'!$D:$D)</f>
        <v>745886.58343318617</v>
      </c>
      <c r="K17" s="315" cm="1">
        <f t="array" ref="K17">_xlfn.XLOOKUP(1, ('0. GUIDELINES'!$E$3='[1]input-mpo'!$A:$A) * (K$7='[1]input-mpo'!$B:$B) * ($A17='[1]input-mpo'!$C:$C), '[1]input-mpo'!$D:$D)</f>
        <v>790548.70110557042</v>
      </c>
      <c r="L17" s="315" cm="1">
        <f t="array" ref="L17">_xlfn.XLOOKUP(1, ('0. GUIDELINES'!$E$3='[1]input-mpo'!$A:$A) * (L$7='[1]input-mpo'!$B:$B) * ($A17='[1]input-mpo'!$C:$C), '[1]input-mpo'!$D:$D)</f>
        <v>842547.01212399453</v>
      </c>
      <c r="M17" s="315" cm="1">
        <f t="array" ref="M17">_xlfn.XLOOKUP(1, ('0. GUIDELINES'!$E$3='[1]input-mpo'!$A:$A) * (M$7='[1]input-mpo'!$B:$B) * ($A17='[1]input-mpo'!$C:$C), '[1]input-mpo'!$D:$D)</f>
        <v>903289.93139576074</v>
      </c>
      <c r="N17" s="315" cm="1">
        <f t="array" ref="N17">_xlfn.XLOOKUP(1, ('0. GUIDELINES'!$E$3='[1]input-mpo'!$A:$A) * (N$7='[1]input-mpo'!$B:$B) * ($A17='[1]input-mpo'!$C:$C), '[1]input-mpo'!$D:$D)</f>
        <v>966097.73774830904</v>
      </c>
      <c r="O17" s="315" cm="1">
        <f t="array" ref="O17">_xlfn.XLOOKUP(1, ('0. GUIDELINES'!$E$3='[1]input-mpo'!$A:$A) * (O$7='[1]input-mpo'!$B:$B) * ($A17='[1]input-mpo'!$C:$C), '[1]input-mpo'!$D:$D)</f>
        <v>1047488.5763304057</v>
      </c>
      <c r="P17" s="315" cm="1">
        <f t="array" ref="P17">_xlfn.XLOOKUP(1, ('0. GUIDELINES'!$E$3='[1]input-mpo'!$A:$A) * (P$7='[1]input-mpo'!$B:$B) * ($A17='[1]input-mpo'!$C:$C), '[1]input-mpo'!$D:$D)</f>
        <v>1131734.0282376646</v>
      </c>
      <c r="Q17" s="315" cm="1">
        <f t="array" ref="Q17">_xlfn.XLOOKUP(1, ('0. GUIDELINES'!$E$3='[1]input-mpo'!$A:$A) * (Q$7='[1]input-mpo'!$B:$B) * ($A17='[1]input-mpo'!$C:$C), '[1]input-mpo'!$D:$D)</f>
        <v>1223202.6297468757</v>
      </c>
      <c r="R17" s="315" cm="1">
        <f t="array" ref="R17">_xlfn.XLOOKUP(1, ('0. GUIDELINES'!$E$3='[1]input-mpo'!$A:$A) * (R$7='[1]input-mpo'!$B:$B) * ($A17='[1]input-mpo'!$C:$C), '[1]input-mpo'!$D:$D)</f>
        <v>1328389.8978939755</v>
      </c>
      <c r="S17" s="315" cm="1">
        <f t="array" ref="S17">_xlfn.XLOOKUP(1, ('0. GUIDELINES'!$E$3='[1]input-mpo'!$A:$A) * (S$7='[1]input-mpo'!$B:$B) * ($A17='[1]input-mpo'!$C:$C), '[1]input-mpo'!$D:$D)</f>
        <v>1628426.0000000028</v>
      </c>
      <c r="T17" s="315" cm="1">
        <f t="array" ref="T17">_xlfn.XLOOKUP(1, ('0. GUIDELINES'!$E$3='[1]input-mpo'!$A:$A) * (T$7='[1]input-mpo'!$B:$B) * ($A17='[1]input-mpo'!$C:$C), '[1]input-mpo'!$D:$D)</f>
        <v>1787343.0000000056</v>
      </c>
      <c r="U17" s="315" cm="1">
        <f t="array" ref="U17">_xlfn.XLOOKUP(1, ('0. GUIDELINES'!$E$3='[1]input-mpo'!$A:$A) * (U$7='[1]input-mpo'!$B:$B) * ($A17='[1]input-mpo'!$C:$C), '[1]input-mpo'!$D:$D)</f>
        <v>1967100.9999999925</v>
      </c>
      <c r="V17" s="315" cm="1">
        <f t="array" ref="V17">_xlfn.XLOOKUP(1, ('0. GUIDELINES'!$E$3='[1]input-mpo'!$A:$A) * (V$7='[1]input-mpo'!$B:$B) * ($A17='[1]input-mpo'!$C:$C), '[1]input-mpo'!$D:$D)</f>
        <v>2173143.9999999935</v>
      </c>
      <c r="W17" s="315" cm="1">
        <f t="array" ref="W17">_xlfn.XLOOKUP(1, ('0. GUIDELINES'!$E$3='[1]input-mpo'!$A:$A) * (W$7='[1]input-mpo'!$B:$B) * ($A17='[1]input-mpo'!$C:$C), '[1]input-mpo'!$D:$D)</f>
        <v>2371462.0000000037</v>
      </c>
      <c r="X17" s="315" cm="1">
        <f t="array" ref="X17">_xlfn.XLOOKUP(1, ('0. GUIDELINES'!$E$3='[1]input-mpo'!$A:$A) * (X$7='[1]input-mpo'!$B:$B) * ($A17='[1]input-mpo'!$C:$C), '[1]input-mpo'!$D:$D)</f>
        <v>2563048.9999999944</v>
      </c>
      <c r="Y17" s="315" cm="1">
        <f t="array" ref="Y17">_xlfn.XLOOKUP(1, ('0. GUIDELINES'!$E$3='[1]input-mpo'!$A:$A) * (Y$7='[1]input-mpo'!$B:$B) * ($A17='[1]input-mpo'!$C:$C), '[1]input-mpo'!$D:$D)</f>
        <v>2786275.9999999907</v>
      </c>
      <c r="Z17" s="148" cm="1">
        <f t="array" ref="Z17">_xlfn.XLOOKUP(1, ('0. GUIDELINES'!$E$3='[1]input-mpo'!$A:$A) * (Z$7='[1]input-mpo'!$B:$B) * ($A17='[1]input-mpo'!$C:$C), '[1]input-mpo'!$D:$D)</f>
        <v>2980793.9999999907</v>
      </c>
      <c r="AA17" s="148" cm="1">
        <f t="array" ref="AA17">_xlfn.XLOOKUP(1, ('0. GUIDELINES'!$E$3='[1]input-mpo'!$A:$A) * (AA$7='[1]input-mpo'!$B:$B) * ($A17='[1]input-mpo'!$C:$C), '[1]input-mpo'!$D:$D)</f>
        <v>3031263.5366130602</v>
      </c>
      <c r="AB17" s="148" cm="1">
        <f t="array" ref="AB17">_xlfn.XLOOKUP(1, ('0. GUIDELINES'!$E$3='[1]input-mpo'!$A:$A) * (AB$7='[1]input-mpo'!$B:$B) * ($A17='[1]input-mpo'!$C:$C), '[1]input-mpo'!$D:$D)</f>
        <v>3243520.8316052463</v>
      </c>
      <c r="AC17" s="148" cm="1">
        <f t="array" ref="AC17">_xlfn.XLOOKUP(1, ('0. GUIDELINES'!$E$3='[1]input-mpo'!$A:$A) * (AC$7='[1]input-mpo'!$B:$B) * ($A17='[1]input-mpo'!$C:$C), '[1]input-mpo'!$D:$D)</f>
        <v>3540218.3908106163</v>
      </c>
    </row>
    <row r="18" spans="1:29" ht="14.45" customHeight="1" x14ac:dyDescent="0.25">
      <c r="A18" s="95" t="s">
        <v>592</v>
      </c>
      <c r="B18" s="305"/>
      <c r="C18" s="99"/>
      <c r="D18" s="99"/>
      <c r="E18" s="99"/>
      <c r="F18" s="99"/>
      <c r="G18" s="99"/>
      <c r="H18" s="421" t="s">
        <v>589</v>
      </c>
      <c r="I18" s="315" cm="1">
        <f t="array" ref="I18">_xlfn.XLOOKUP(1, ('0. GUIDELINES'!$E$3='[1]input-mpo'!$A:$A) * (I$7='[1]input-mpo'!$B:$B) * ($A18='[1]input-mpo'!$C:$C), '[1]input-mpo'!$D:$D)</f>
        <v>2024178.4221022315</v>
      </c>
      <c r="J18" s="315" cm="1">
        <f t="array" ref="J18">_xlfn.XLOOKUP(1, ('0. GUIDELINES'!$E$3='[1]input-mpo'!$A:$A) * (J$7='[1]input-mpo'!$B:$B) * ($A18='[1]input-mpo'!$C:$C), '[1]input-mpo'!$D:$D)</f>
        <v>2222880.6147578391</v>
      </c>
      <c r="K18" s="315" cm="1">
        <f t="array" ref="K18">_xlfn.XLOOKUP(1, ('0. GUIDELINES'!$E$3='[1]input-mpo'!$A:$A) * (K$7='[1]input-mpo'!$B:$B) * ($A18='[1]input-mpo'!$C:$C), '[1]input-mpo'!$D:$D)</f>
        <v>2387027.7485166406</v>
      </c>
      <c r="L18" s="315" cm="1">
        <f t="array" ref="L18">_xlfn.XLOOKUP(1, ('0. GUIDELINES'!$E$3='[1]input-mpo'!$A:$A) * (L$7='[1]input-mpo'!$B:$B) * ($A18='[1]input-mpo'!$C:$C), '[1]input-mpo'!$D:$D)</f>
        <v>2554700.8028709926</v>
      </c>
      <c r="M18" s="315" cm="1">
        <f t="array" ref="M18">_xlfn.XLOOKUP(1, ('0. GUIDELINES'!$E$3='[1]input-mpo'!$A:$A) * (M$7='[1]input-mpo'!$B:$B) * ($A18='[1]input-mpo'!$C:$C), '[1]input-mpo'!$D:$D)</f>
        <v>2732859.2109647235</v>
      </c>
      <c r="N18" s="315" cm="1">
        <f t="array" ref="N18">_xlfn.XLOOKUP(1, ('0. GUIDELINES'!$E$3='[1]input-mpo'!$A:$A) * (N$7='[1]input-mpo'!$B:$B) * ($A18='[1]input-mpo'!$C:$C), '[1]input-mpo'!$D:$D)</f>
        <v>2998000.4291349361</v>
      </c>
      <c r="O18" s="315" cm="1">
        <f t="array" ref="O18">_xlfn.XLOOKUP(1, ('0. GUIDELINES'!$E$3='[1]input-mpo'!$A:$A) * (O$7='[1]input-mpo'!$B:$B) * ($A18='[1]input-mpo'!$C:$C), '[1]input-mpo'!$D:$D)</f>
        <v>3290645.9880837202</v>
      </c>
      <c r="P18" s="315" cm="1">
        <f t="array" ref="P18">_xlfn.XLOOKUP(1, ('0. GUIDELINES'!$E$3='[1]input-mpo'!$A:$A) * (P$7='[1]input-mpo'!$B:$B) * ($A18='[1]input-mpo'!$C:$C), '[1]input-mpo'!$D:$D)</f>
        <v>3624568.8968428667</v>
      </c>
      <c r="Q18" s="315" cm="1">
        <f t="array" ref="Q18">_xlfn.XLOOKUP(1, ('0. GUIDELINES'!$E$3='[1]input-mpo'!$A:$A) * (Q$7='[1]input-mpo'!$B:$B) * ($A18='[1]input-mpo'!$C:$C), '[1]input-mpo'!$D:$D)</f>
        <v>3921215.2910934733</v>
      </c>
      <c r="R18" s="315" cm="1">
        <f t="array" ref="R18">_xlfn.XLOOKUP(1, ('0. GUIDELINES'!$E$3='[1]input-mpo'!$A:$A) * (R$7='[1]input-mpo'!$B:$B) * ($A18='[1]input-mpo'!$C:$C), '[1]input-mpo'!$D:$D)</f>
        <v>4313334.0087113464</v>
      </c>
      <c r="S18" s="315" cm="1">
        <f t="array" ref="S18">_xlfn.XLOOKUP(1, ('0. GUIDELINES'!$E$3='[1]input-mpo'!$A:$A) * (S$7='[1]input-mpo'!$B:$B) * ($A18='[1]input-mpo'!$C:$C), '[1]input-mpo'!$D:$D)</f>
        <v>4820974.0000000075</v>
      </c>
      <c r="T18" s="315" cm="1">
        <f t="array" ref="T18">_xlfn.XLOOKUP(1, ('0. GUIDELINES'!$E$3='[1]input-mpo'!$A:$A) * (T$7='[1]input-mpo'!$B:$B) * ($A18='[1]input-mpo'!$C:$C), '[1]input-mpo'!$D:$D)</f>
        <v>5195562.0000000112</v>
      </c>
      <c r="U18" s="315" cm="1">
        <f t="array" ref="U18">_xlfn.XLOOKUP(1, ('0. GUIDELINES'!$E$3='[1]input-mpo'!$A:$A) * (U$7='[1]input-mpo'!$B:$B) * ($A18='[1]input-mpo'!$C:$C), '[1]input-mpo'!$D:$D)</f>
        <v>5727768.0000000084</v>
      </c>
      <c r="V18" s="315" cm="1">
        <f t="array" ref="V18">_xlfn.XLOOKUP(1, ('0. GUIDELINES'!$E$3='[1]input-mpo'!$A:$A) * (V$7='[1]input-mpo'!$B:$B) * ($A18='[1]input-mpo'!$C:$C), '[1]input-mpo'!$D:$D)</f>
        <v>6416894.0000000028</v>
      </c>
      <c r="W18" s="315" cm="1">
        <f t="array" ref="W18">_xlfn.XLOOKUP(1, ('0. GUIDELINES'!$E$3='[1]input-mpo'!$A:$A) * (W$7='[1]input-mpo'!$B:$B) * ($A18='[1]input-mpo'!$C:$C), '[1]input-mpo'!$D:$D)</f>
        <v>6528770.0000000056</v>
      </c>
      <c r="X18" s="315" cm="1">
        <f t="array" ref="X18">_xlfn.XLOOKUP(1, ('0. GUIDELINES'!$E$3='[1]input-mpo'!$A:$A) * (X$7='[1]input-mpo'!$B:$B) * ($A18='[1]input-mpo'!$C:$C), '[1]input-mpo'!$D:$D)</f>
        <v>7252759.0000000056</v>
      </c>
      <c r="Y18" s="315" cm="1">
        <f t="array" ref="Y18">_xlfn.XLOOKUP(1, ('0. GUIDELINES'!$E$3='[1]input-mpo'!$A:$A) * (Y$7='[1]input-mpo'!$B:$B) * ($A18='[1]input-mpo'!$C:$C), '[1]input-mpo'!$D:$D)</f>
        <v>7996947.0000000056</v>
      </c>
      <c r="Z18" s="148" cm="1">
        <f t="array" ref="Z18">_xlfn.XLOOKUP(1, ('0. GUIDELINES'!$E$3='[1]input-mpo'!$A:$A) * (Z$7='[1]input-mpo'!$B:$B) * ($A18='[1]input-mpo'!$C:$C), '[1]input-mpo'!$D:$D)</f>
        <v>8704697.0000000037</v>
      </c>
      <c r="AA18" s="148" cm="1">
        <f t="array" ref="AA18">_xlfn.XLOOKUP(1, ('0. GUIDELINES'!$E$3='[1]input-mpo'!$A:$A) * (AA$7='[1]input-mpo'!$B:$B) * ($A18='[1]input-mpo'!$C:$C), '[1]input-mpo'!$D:$D)</f>
        <v>9425469.8693869337</v>
      </c>
      <c r="AB18" s="148" cm="1">
        <f t="array" ref="AB18">_xlfn.XLOOKUP(1, ('0. GUIDELINES'!$E$3='[1]input-mpo'!$A:$A) * (AB$7='[1]input-mpo'!$B:$B) * ($A18='[1]input-mpo'!$C:$C), '[1]input-mpo'!$D:$D)</f>
        <v>10110097.379626747</v>
      </c>
      <c r="AC18" s="148" cm="1">
        <f t="array" ref="AC18">_xlfn.XLOOKUP(1, ('0. GUIDELINES'!$E$3='[1]input-mpo'!$A:$A) * (AC$7='[1]input-mpo'!$B:$B) * ($A18='[1]input-mpo'!$C:$C), '[1]input-mpo'!$D:$D)</f>
        <v>10721445.858785154</v>
      </c>
    </row>
    <row r="19" spans="1:29" ht="14.45" customHeight="1" x14ac:dyDescent="0.25">
      <c r="A19" s="95"/>
      <c r="B19" s="305"/>
      <c r="C19" s="99"/>
      <c r="D19" s="99"/>
      <c r="E19" s="99"/>
      <c r="F19" s="99"/>
      <c r="G19" s="99"/>
      <c r="H19" s="432" t="s">
        <v>33</v>
      </c>
      <c r="I19" s="433">
        <f t="shared" ref="I19" si="15">SUM(I20:I22)</f>
        <v>5960518.6878577694</v>
      </c>
      <c r="J19" s="433">
        <f>SUM(J20:J22)</f>
        <v>6347065.127147709</v>
      </c>
      <c r="K19" s="433">
        <f t="shared" ref="K19:AC19" si="16">SUM(K20:K22)</f>
        <v>6712807.3115040725</v>
      </c>
      <c r="L19" s="433">
        <f t="shared" si="16"/>
        <v>7053815.9255278539</v>
      </c>
      <c r="M19" s="433">
        <f t="shared" si="16"/>
        <v>7443809.369992692</v>
      </c>
      <c r="N19" s="433">
        <f t="shared" si="16"/>
        <v>7906563.1494958289</v>
      </c>
      <c r="O19" s="433">
        <f t="shared" si="16"/>
        <v>8426503.2127003036</v>
      </c>
      <c r="P19" s="433">
        <f t="shared" si="16"/>
        <v>8891153.7674323693</v>
      </c>
      <c r="Q19" s="433">
        <f t="shared" si="16"/>
        <v>9391224.0392250158</v>
      </c>
      <c r="R19" s="433">
        <f t="shared" si="16"/>
        <v>9936014.7463149913</v>
      </c>
      <c r="S19" s="433">
        <f t="shared" si="16"/>
        <v>10629823.999999996</v>
      </c>
      <c r="T19" s="433">
        <f t="shared" si="16"/>
        <v>11307473.999999993</v>
      </c>
      <c r="U19" s="433">
        <f t="shared" si="16"/>
        <v>12048522.999999996</v>
      </c>
      <c r="V19" s="433">
        <f t="shared" si="16"/>
        <v>12877439.000000004</v>
      </c>
      <c r="W19" s="433">
        <f t="shared" si="16"/>
        <v>13383890.999999987</v>
      </c>
      <c r="X19" s="433">
        <f t="shared" si="16"/>
        <v>14151078</v>
      </c>
      <c r="Y19" s="433">
        <f t="shared" si="16"/>
        <v>15036465</v>
      </c>
      <c r="Z19" s="434">
        <f t="shared" si="16"/>
        <v>15844110.000000006</v>
      </c>
      <c r="AA19" s="434">
        <f t="shared" si="16"/>
        <v>16737510.713175127</v>
      </c>
      <c r="AB19" s="434">
        <f t="shared" si="16"/>
        <v>17592770.072269551</v>
      </c>
      <c r="AC19" s="434">
        <f t="shared" si="16"/>
        <v>18616921.610366233</v>
      </c>
    </row>
    <row r="20" spans="1:29" ht="14.45" customHeight="1" x14ac:dyDescent="0.25">
      <c r="A20" s="95" t="s">
        <v>596</v>
      </c>
      <c r="B20" s="305"/>
      <c r="C20" s="99"/>
      <c r="D20" s="99"/>
      <c r="E20" s="99"/>
      <c r="F20" s="99"/>
      <c r="G20" s="99"/>
      <c r="H20" s="421" t="s">
        <v>593</v>
      </c>
      <c r="I20" s="315" cm="1">
        <f t="array" ref="I20">_xlfn.XLOOKUP(1, ('0. GUIDELINES'!$E$3='[1]input-mpo'!$A:$A) * (I$7='[1]input-mpo'!$B:$B) * ($A20='[1]input-mpo'!$C:$C), '[1]input-mpo'!$D:$D)</f>
        <v>1089387.0116116754</v>
      </c>
      <c r="J20" s="315" cm="1">
        <f t="array" ref="J20">_xlfn.XLOOKUP(1, ('0. GUIDELINES'!$E$3='[1]input-mpo'!$A:$A) * (J$7='[1]input-mpo'!$B:$B) * ($A20='[1]input-mpo'!$C:$C), '[1]input-mpo'!$D:$D)</f>
        <v>1192024.1190658992</v>
      </c>
      <c r="K20" s="315" cm="1">
        <f t="array" ref="K20">_xlfn.XLOOKUP(1, ('0. GUIDELINES'!$E$3='[1]input-mpo'!$A:$A) * (K$7='[1]input-mpo'!$B:$B) * ($A20='[1]input-mpo'!$C:$C), '[1]input-mpo'!$D:$D)</f>
        <v>1290440.2896587271</v>
      </c>
      <c r="L20" s="315" cm="1">
        <f t="array" ref="L20">_xlfn.XLOOKUP(1, ('0. GUIDELINES'!$E$3='[1]input-mpo'!$A:$A) * (L$7='[1]input-mpo'!$B:$B) * ($A20='[1]input-mpo'!$C:$C), '[1]input-mpo'!$D:$D)</f>
        <v>1394348.6908441028</v>
      </c>
      <c r="M20" s="315" cm="1">
        <f t="array" ref="M20">_xlfn.XLOOKUP(1, ('0. GUIDELINES'!$E$3='[1]input-mpo'!$A:$A) * (M$7='[1]input-mpo'!$B:$B) * ($A20='[1]input-mpo'!$C:$C), '[1]input-mpo'!$D:$D)</f>
        <v>1499600.0352543718</v>
      </c>
      <c r="N20" s="315" cm="1">
        <f t="array" ref="N20">_xlfn.XLOOKUP(1, ('0. GUIDELINES'!$E$3='[1]input-mpo'!$A:$A) * (N$7='[1]input-mpo'!$B:$B) * ($A20='[1]input-mpo'!$C:$C), '[1]input-mpo'!$D:$D)</f>
        <v>1626198.6126155974</v>
      </c>
      <c r="O20" s="315" cm="1">
        <f t="array" ref="O20">_xlfn.XLOOKUP(1, ('0. GUIDELINES'!$E$3='[1]input-mpo'!$A:$A) * (O$7='[1]input-mpo'!$B:$B) * ($A20='[1]input-mpo'!$C:$C), '[1]input-mpo'!$D:$D)</f>
        <v>1775008.3686144082</v>
      </c>
      <c r="P20" s="315" cm="1">
        <f t="array" ref="P20">_xlfn.XLOOKUP(1, ('0. GUIDELINES'!$E$3='[1]input-mpo'!$A:$A) * (P$7='[1]input-mpo'!$B:$B) * ($A20='[1]input-mpo'!$C:$C), '[1]input-mpo'!$D:$D)</f>
        <v>1886369.905718436</v>
      </c>
      <c r="Q20" s="315" cm="1">
        <f t="array" ref="Q20">_xlfn.XLOOKUP(1, ('0. GUIDELINES'!$E$3='[1]input-mpo'!$A:$A) * (Q$7='[1]input-mpo'!$B:$B) * ($A20='[1]input-mpo'!$C:$C), '[1]input-mpo'!$D:$D)</f>
        <v>2000432.4224525727</v>
      </c>
      <c r="R20" s="315" cm="1">
        <f t="array" ref="R20">_xlfn.XLOOKUP(1, ('0. GUIDELINES'!$E$3='[1]input-mpo'!$A:$A) * (R$7='[1]input-mpo'!$B:$B) * ($A20='[1]input-mpo'!$C:$C), '[1]input-mpo'!$D:$D)</f>
        <v>2119742.7495000451</v>
      </c>
      <c r="S20" s="315" cm="1">
        <f t="array" ref="S20">_xlfn.XLOOKUP(1, ('0. GUIDELINES'!$E$3='[1]input-mpo'!$A:$A) * (S$7='[1]input-mpo'!$B:$B) * ($A20='[1]input-mpo'!$C:$C), '[1]input-mpo'!$D:$D)</f>
        <v>1828632.0000000009</v>
      </c>
      <c r="T20" s="315" cm="1">
        <f t="array" ref="T20">_xlfn.XLOOKUP(1, ('0. GUIDELINES'!$E$3='[1]input-mpo'!$A:$A) * (T$7='[1]input-mpo'!$B:$B) * ($A20='[1]input-mpo'!$C:$C), '[1]input-mpo'!$D:$D)</f>
        <v>1946174.9999999995</v>
      </c>
      <c r="U20" s="315" cm="1">
        <f t="array" ref="U20">_xlfn.XLOOKUP(1, ('0. GUIDELINES'!$E$3='[1]input-mpo'!$A:$A) * (U$7='[1]input-mpo'!$B:$B) * ($A20='[1]input-mpo'!$C:$C), '[1]input-mpo'!$D:$D)</f>
        <v>2077381.9999999998</v>
      </c>
      <c r="V20" s="315" cm="1">
        <f t="array" ref="V20">_xlfn.XLOOKUP(1, ('0. GUIDELINES'!$E$3='[1]input-mpo'!$A:$A) * (V$7='[1]input-mpo'!$B:$B) * ($A20='[1]input-mpo'!$C:$C), '[1]input-mpo'!$D:$D)</f>
        <v>2223976.9999999981</v>
      </c>
      <c r="W20" s="315" cm="1">
        <f t="array" ref="W20">_xlfn.XLOOKUP(1, ('0. GUIDELINES'!$E$3='[1]input-mpo'!$A:$A) * (W$7='[1]input-mpo'!$B:$B) * ($A20='[1]input-mpo'!$C:$C), '[1]input-mpo'!$D:$D)</f>
        <v>2277384</v>
      </c>
      <c r="X20" s="315" cm="1">
        <f t="array" ref="X20">_xlfn.XLOOKUP(1, ('0. GUIDELINES'!$E$3='[1]input-mpo'!$A:$A) * (X$7='[1]input-mpo'!$B:$B) * ($A20='[1]input-mpo'!$C:$C), '[1]input-mpo'!$D:$D)</f>
        <v>2379450.9999999991</v>
      </c>
      <c r="Y20" s="315" cm="1">
        <f t="array" ref="Y20">_xlfn.XLOOKUP(1, ('0. GUIDELINES'!$E$3='[1]input-mpo'!$A:$A) * (Y$7='[1]input-mpo'!$B:$B) * ($A20='[1]input-mpo'!$C:$C), '[1]input-mpo'!$D:$D)</f>
        <v>2512898.0000000009</v>
      </c>
      <c r="Z20" s="148" cm="1">
        <f t="array" ref="Z20">_xlfn.XLOOKUP(1, ('0. GUIDELINES'!$E$3='[1]input-mpo'!$A:$A) * (Z$7='[1]input-mpo'!$B:$B) * ($A20='[1]input-mpo'!$C:$C), '[1]input-mpo'!$D:$D)</f>
        <v>2653981.9999999995</v>
      </c>
      <c r="AA20" s="148" cm="1">
        <f t="array" ref="AA20">_xlfn.XLOOKUP(1, ('0. GUIDELINES'!$E$3='[1]input-mpo'!$A:$A) * (AA$7='[1]input-mpo'!$B:$B) * ($A20='[1]input-mpo'!$C:$C), '[1]input-mpo'!$D:$D)</f>
        <v>2832164.1531002247</v>
      </c>
      <c r="AB20" s="148" cm="1">
        <f t="array" ref="AB20">_xlfn.XLOOKUP(1, ('0. GUIDELINES'!$E$3='[1]input-mpo'!$A:$A) * (AB$7='[1]input-mpo'!$B:$B) * ($A20='[1]input-mpo'!$C:$C), '[1]input-mpo'!$D:$D)</f>
        <v>3085849.1351467855</v>
      </c>
      <c r="AC20" s="148" cm="1">
        <f t="array" ref="AC20">_xlfn.XLOOKUP(1, ('0. GUIDELINES'!$E$3='[1]input-mpo'!$A:$A) * (AC$7='[1]input-mpo'!$B:$B) * ($A20='[1]input-mpo'!$C:$C), '[1]input-mpo'!$D:$D)</f>
        <v>3362753.1412469191</v>
      </c>
    </row>
    <row r="21" spans="1:29" ht="14.45" customHeight="1" x14ac:dyDescent="0.25">
      <c r="A21" s="95" t="s">
        <v>597</v>
      </c>
      <c r="B21" s="305"/>
      <c r="C21" s="99"/>
      <c r="D21" s="99"/>
      <c r="E21" s="99"/>
      <c r="F21" s="99"/>
      <c r="G21" s="99"/>
      <c r="H21" s="421" t="s">
        <v>594</v>
      </c>
      <c r="I21" s="315" cm="1">
        <f t="array" ref="I21">_xlfn.XLOOKUP(1, ('0. GUIDELINES'!$E$3='[1]input-mpo'!$A:$A) * (I$7='[1]input-mpo'!$B:$B) * ($A21='[1]input-mpo'!$C:$C), '[1]input-mpo'!$D:$D)</f>
        <v>333065.6086300108</v>
      </c>
      <c r="J21" s="315" cm="1">
        <f t="array" ref="J21">_xlfn.XLOOKUP(1, ('0. GUIDELINES'!$E$3='[1]input-mpo'!$A:$A) * (J$7='[1]input-mpo'!$B:$B) * ($A21='[1]input-mpo'!$C:$C), '[1]input-mpo'!$D:$D)</f>
        <v>354693.1295083352</v>
      </c>
      <c r="K21" s="315" cm="1">
        <f t="array" ref="K21">_xlfn.XLOOKUP(1, ('0. GUIDELINES'!$E$3='[1]input-mpo'!$A:$A) * (K$7='[1]input-mpo'!$B:$B) * ($A21='[1]input-mpo'!$C:$C), '[1]input-mpo'!$D:$D)</f>
        <v>368602.04769215174</v>
      </c>
      <c r="L21" s="315" cm="1">
        <f t="array" ref="L21">_xlfn.XLOOKUP(1, ('0. GUIDELINES'!$E$3='[1]input-mpo'!$A:$A) * (L$7='[1]input-mpo'!$B:$B) * ($A21='[1]input-mpo'!$C:$C), '[1]input-mpo'!$D:$D)</f>
        <v>368499.70991025446</v>
      </c>
      <c r="M21" s="315" cm="1">
        <f t="array" ref="M21">_xlfn.XLOOKUP(1, ('0. GUIDELINES'!$E$3='[1]input-mpo'!$A:$A) * (M$7='[1]input-mpo'!$B:$B) * ($A21='[1]input-mpo'!$C:$C), '[1]input-mpo'!$D:$D)</f>
        <v>391515.75892287679</v>
      </c>
      <c r="N21" s="315" cm="1">
        <f t="array" ref="N21">_xlfn.XLOOKUP(1, ('0. GUIDELINES'!$E$3='[1]input-mpo'!$A:$A) * (N$7='[1]input-mpo'!$B:$B) * ($A21='[1]input-mpo'!$C:$C), '[1]input-mpo'!$D:$D)</f>
        <v>432404.62829480664</v>
      </c>
      <c r="O21" s="315" cm="1">
        <f t="array" ref="O21">_xlfn.XLOOKUP(1, ('0. GUIDELINES'!$E$3='[1]input-mpo'!$A:$A) * (O$7='[1]input-mpo'!$B:$B) * ($A21='[1]input-mpo'!$C:$C), '[1]input-mpo'!$D:$D)</f>
        <v>496220.23026814475</v>
      </c>
      <c r="P21" s="315" cm="1">
        <f t="array" ref="P21">_xlfn.XLOOKUP(1, ('0. GUIDELINES'!$E$3='[1]input-mpo'!$A:$A) * (P$7='[1]input-mpo'!$B:$B) * ($A21='[1]input-mpo'!$C:$C), '[1]input-mpo'!$D:$D)</f>
        <v>541439.49604778807</v>
      </c>
      <c r="Q21" s="315" cm="1">
        <f t="array" ref="Q21">_xlfn.XLOOKUP(1, ('0. GUIDELINES'!$E$3='[1]input-mpo'!$A:$A) * (Q$7='[1]input-mpo'!$B:$B) * ($A21='[1]input-mpo'!$C:$C), '[1]input-mpo'!$D:$D)</f>
        <v>580809.62582266971</v>
      </c>
      <c r="R21" s="315" cm="1">
        <f t="array" ref="R21">_xlfn.XLOOKUP(1, ('0. GUIDELINES'!$E$3='[1]input-mpo'!$A:$A) * (R$7='[1]input-mpo'!$B:$B) * ($A21='[1]input-mpo'!$C:$C), '[1]input-mpo'!$D:$D)</f>
        <v>626006.6943772349</v>
      </c>
      <c r="S21" s="315" cm="1">
        <f t="array" ref="S21">_xlfn.XLOOKUP(1, ('0. GUIDELINES'!$E$3='[1]input-mpo'!$A:$A) * (S$7='[1]input-mpo'!$B:$B) * ($A21='[1]input-mpo'!$C:$C), '[1]input-mpo'!$D:$D)</f>
        <v>650715.99999999884</v>
      </c>
      <c r="T21" s="315" cm="1">
        <f t="array" ref="T21">_xlfn.XLOOKUP(1, ('0. GUIDELINES'!$E$3='[1]input-mpo'!$A:$A) * (T$7='[1]input-mpo'!$B:$B) * ($A21='[1]input-mpo'!$C:$C), '[1]input-mpo'!$D:$D)</f>
        <v>685233.9999999993</v>
      </c>
      <c r="U21" s="315" cm="1">
        <f t="array" ref="U21">_xlfn.XLOOKUP(1, ('0. GUIDELINES'!$E$3='[1]input-mpo'!$A:$A) * (U$7='[1]input-mpo'!$B:$B) * ($A21='[1]input-mpo'!$C:$C), '[1]input-mpo'!$D:$D)</f>
        <v>732782.99999999977</v>
      </c>
      <c r="V21" s="315" cm="1">
        <f t="array" ref="V21">_xlfn.XLOOKUP(1, ('0. GUIDELINES'!$E$3='[1]input-mpo'!$A:$A) * (V$7='[1]input-mpo'!$B:$B) * ($A21='[1]input-mpo'!$C:$C), '[1]input-mpo'!$D:$D)</f>
        <v>793237.00000000012</v>
      </c>
      <c r="W21" s="315" cm="1">
        <f t="array" ref="W21">_xlfn.XLOOKUP(1, ('0. GUIDELINES'!$E$3='[1]input-mpo'!$A:$A) * (W$7='[1]input-mpo'!$B:$B) * ($A21='[1]input-mpo'!$C:$C), '[1]input-mpo'!$D:$D)</f>
        <v>830678.99999999988</v>
      </c>
      <c r="X21" s="315" cm="1">
        <f t="array" ref="X21">_xlfn.XLOOKUP(1, ('0. GUIDELINES'!$E$3='[1]input-mpo'!$A:$A) * (X$7='[1]input-mpo'!$B:$B) * ($A21='[1]input-mpo'!$C:$C), '[1]input-mpo'!$D:$D)</f>
        <v>879009.00000000058</v>
      </c>
      <c r="Y21" s="315" cm="1">
        <f t="array" ref="Y21">_xlfn.XLOOKUP(1, ('0. GUIDELINES'!$E$3='[1]input-mpo'!$A:$A) * (Y$7='[1]input-mpo'!$B:$B) * ($A21='[1]input-mpo'!$C:$C), '[1]input-mpo'!$D:$D)</f>
        <v>930615.00000000023</v>
      </c>
      <c r="Z21" s="148" cm="1">
        <f t="array" ref="Z21">_xlfn.XLOOKUP(1, ('0. GUIDELINES'!$E$3='[1]input-mpo'!$A:$A) * (Z$7='[1]input-mpo'!$B:$B) * ($A21='[1]input-mpo'!$C:$C), '[1]input-mpo'!$D:$D)</f>
        <v>954326.00000000035</v>
      </c>
      <c r="AA21" s="148" cm="1">
        <f t="array" ref="AA21">_xlfn.XLOOKUP(1, ('0. GUIDELINES'!$E$3='[1]input-mpo'!$A:$A) * (AA$7='[1]input-mpo'!$B:$B) * ($A21='[1]input-mpo'!$C:$C), '[1]input-mpo'!$D:$D)</f>
        <v>1017246.3249432732</v>
      </c>
      <c r="AB21" s="148" cm="1">
        <f t="array" ref="AB21">_xlfn.XLOOKUP(1, ('0. GUIDELINES'!$E$3='[1]input-mpo'!$A:$A) * (AB$7='[1]input-mpo'!$B:$B) * ($A21='[1]input-mpo'!$C:$C), '[1]input-mpo'!$D:$D)</f>
        <v>1086419.0750394159</v>
      </c>
      <c r="AC21" s="148" cm="1">
        <f t="array" ref="AC21">_xlfn.XLOOKUP(1, ('0. GUIDELINES'!$E$3='[1]input-mpo'!$A:$A) * (AC$7='[1]input-mpo'!$B:$B) * ($A21='[1]input-mpo'!$C:$C), '[1]input-mpo'!$D:$D)</f>
        <v>1175505.439192648</v>
      </c>
    </row>
    <row r="22" spans="1:29" ht="14.45" customHeight="1" x14ac:dyDescent="0.25">
      <c r="A22" s="95" t="s">
        <v>598</v>
      </c>
      <c r="B22" s="305"/>
      <c r="C22" s="99"/>
      <c r="D22" s="99"/>
      <c r="E22" s="99"/>
      <c r="F22" s="99"/>
      <c r="G22" s="99"/>
      <c r="H22" s="421" t="s">
        <v>595</v>
      </c>
      <c r="I22" s="315" cm="1">
        <f t="array" ref="I22">_xlfn.XLOOKUP(1, ('0. GUIDELINES'!$E$3='[1]input-mpo'!$A:$A) * (I$7='[1]input-mpo'!$B:$B) * ($A22='[1]input-mpo'!$C:$C), '[1]input-mpo'!$D:$D)</f>
        <v>4538066.0676160827</v>
      </c>
      <c r="J22" s="315" cm="1">
        <f t="array" ref="J22">_xlfn.XLOOKUP(1, ('0. GUIDELINES'!$E$3='[1]input-mpo'!$A:$A) * (J$7='[1]input-mpo'!$B:$B) * ($A22='[1]input-mpo'!$C:$C), '[1]input-mpo'!$D:$D)</f>
        <v>4800347.8785734745</v>
      </c>
      <c r="K22" s="315" cm="1">
        <f t="array" ref="K22">_xlfn.XLOOKUP(1, ('0. GUIDELINES'!$E$3='[1]input-mpo'!$A:$A) * (K$7='[1]input-mpo'!$B:$B) * ($A22='[1]input-mpo'!$C:$C), '[1]input-mpo'!$D:$D)</f>
        <v>5053764.9741531936</v>
      </c>
      <c r="L22" s="315" cm="1">
        <f t="array" ref="L22">_xlfn.XLOOKUP(1, ('0. GUIDELINES'!$E$3='[1]input-mpo'!$A:$A) * (L$7='[1]input-mpo'!$B:$B) * ($A22='[1]input-mpo'!$C:$C), '[1]input-mpo'!$D:$D)</f>
        <v>5290967.5247734971</v>
      </c>
      <c r="M22" s="315" cm="1">
        <f t="array" ref="M22">_xlfn.XLOOKUP(1, ('0. GUIDELINES'!$E$3='[1]input-mpo'!$A:$A) * (M$7='[1]input-mpo'!$B:$B) * ($A22='[1]input-mpo'!$C:$C), '[1]input-mpo'!$D:$D)</f>
        <v>5552693.5758154429</v>
      </c>
      <c r="N22" s="315" cm="1">
        <f t="array" ref="N22">_xlfn.XLOOKUP(1, ('0. GUIDELINES'!$E$3='[1]input-mpo'!$A:$A) * (N$7='[1]input-mpo'!$B:$B) * ($A22='[1]input-mpo'!$C:$C), '[1]input-mpo'!$D:$D)</f>
        <v>5847959.9085854245</v>
      </c>
      <c r="O22" s="315" cm="1">
        <f t="array" ref="O22">_xlfn.XLOOKUP(1, ('0. GUIDELINES'!$E$3='[1]input-mpo'!$A:$A) * (O$7='[1]input-mpo'!$B:$B) * ($A22='[1]input-mpo'!$C:$C), '[1]input-mpo'!$D:$D)</f>
        <v>6155274.6138177505</v>
      </c>
      <c r="P22" s="315" cm="1">
        <f t="array" ref="P22">_xlfn.XLOOKUP(1, ('0. GUIDELINES'!$E$3='[1]input-mpo'!$A:$A) * (P$7='[1]input-mpo'!$B:$B) * ($A22='[1]input-mpo'!$C:$C), '[1]input-mpo'!$D:$D)</f>
        <v>6463344.3656661455</v>
      </c>
      <c r="Q22" s="315" cm="1">
        <f t="array" ref="Q22">_xlfn.XLOOKUP(1, ('0. GUIDELINES'!$E$3='[1]input-mpo'!$A:$A) * (Q$7='[1]input-mpo'!$B:$B) * ($A22='[1]input-mpo'!$C:$C), '[1]input-mpo'!$D:$D)</f>
        <v>6809981.9909497732</v>
      </c>
      <c r="R22" s="315" cm="1">
        <f t="array" ref="R22">_xlfn.XLOOKUP(1, ('0. GUIDELINES'!$E$3='[1]input-mpo'!$A:$A) * (R$7='[1]input-mpo'!$B:$B) * ($A22='[1]input-mpo'!$C:$C), '[1]input-mpo'!$D:$D)</f>
        <v>7190265.3024377115</v>
      </c>
      <c r="S22" s="315" cm="1">
        <f t="array" ref="S22">_xlfn.XLOOKUP(1, ('0. GUIDELINES'!$E$3='[1]input-mpo'!$A:$A) * (S$7='[1]input-mpo'!$B:$B) * ($A22='[1]input-mpo'!$C:$C), '[1]input-mpo'!$D:$D)</f>
        <v>8150475.9999999963</v>
      </c>
      <c r="T22" s="315" cm="1">
        <f t="array" ref="T22">_xlfn.XLOOKUP(1, ('0. GUIDELINES'!$E$3='[1]input-mpo'!$A:$A) * (T$7='[1]input-mpo'!$B:$B) * ($A22='[1]input-mpo'!$C:$C), '[1]input-mpo'!$D:$D)</f>
        <v>8676064.9999999925</v>
      </c>
      <c r="U22" s="315" cm="1">
        <f t="array" ref="U22">_xlfn.XLOOKUP(1, ('0. GUIDELINES'!$E$3='[1]input-mpo'!$A:$A) * (U$7='[1]input-mpo'!$B:$B) * ($A22='[1]input-mpo'!$C:$C), '[1]input-mpo'!$D:$D)</f>
        <v>9238357.9999999963</v>
      </c>
      <c r="V22" s="315" cm="1">
        <f t="array" ref="V22">_xlfn.XLOOKUP(1, ('0. GUIDELINES'!$E$3='[1]input-mpo'!$A:$A) * (V$7='[1]input-mpo'!$B:$B) * ($A22='[1]input-mpo'!$C:$C), '[1]input-mpo'!$D:$D)</f>
        <v>9860225.0000000056</v>
      </c>
      <c r="W22" s="315" cm="1">
        <f t="array" ref="W22">_xlfn.XLOOKUP(1, ('0. GUIDELINES'!$E$3='[1]input-mpo'!$A:$A) * (W$7='[1]input-mpo'!$B:$B) * ($A22='[1]input-mpo'!$C:$C), '[1]input-mpo'!$D:$D)</f>
        <v>10275827.999999987</v>
      </c>
      <c r="X22" s="315" cm="1">
        <f t="array" ref="X22">_xlfn.XLOOKUP(1, ('0. GUIDELINES'!$E$3='[1]input-mpo'!$A:$A) * (X$7='[1]input-mpo'!$B:$B) * ($A22='[1]input-mpo'!$C:$C), '[1]input-mpo'!$D:$D)</f>
        <v>10892618</v>
      </c>
      <c r="Y22" s="315" cm="1">
        <f t="array" ref="Y22">_xlfn.XLOOKUP(1, ('0. GUIDELINES'!$E$3='[1]input-mpo'!$A:$A) * (Y$7='[1]input-mpo'!$B:$B) * ($A22='[1]input-mpo'!$C:$C), '[1]input-mpo'!$D:$D)</f>
        <v>11592952</v>
      </c>
      <c r="Z22" s="148" cm="1">
        <f t="array" ref="Z22">_xlfn.XLOOKUP(1, ('0. GUIDELINES'!$E$3='[1]input-mpo'!$A:$A) * (Z$7='[1]input-mpo'!$B:$B) * ($A22='[1]input-mpo'!$C:$C), '[1]input-mpo'!$D:$D)</f>
        <v>12235802.000000006</v>
      </c>
      <c r="AA22" s="148" cm="1">
        <f t="array" ref="AA22">_xlfn.XLOOKUP(1, ('0. GUIDELINES'!$E$3='[1]input-mpo'!$A:$A) * (AA$7='[1]input-mpo'!$B:$B) * ($A22='[1]input-mpo'!$C:$C), '[1]input-mpo'!$D:$D)</f>
        <v>12888100.235131629</v>
      </c>
      <c r="AB22" s="148" cm="1">
        <f t="array" ref="AB22">_xlfn.XLOOKUP(1, ('0. GUIDELINES'!$E$3='[1]input-mpo'!$A:$A) * (AB$7='[1]input-mpo'!$B:$B) * ($A22='[1]input-mpo'!$C:$C), '[1]input-mpo'!$D:$D)</f>
        <v>13420501.862083349</v>
      </c>
      <c r="AC22" s="148" cm="1">
        <f t="array" ref="AC22">_xlfn.XLOOKUP(1, ('0. GUIDELINES'!$E$3='[1]input-mpo'!$A:$A) * (AC$7='[1]input-mpo'!$B:$B) * ($A22='[1]input-mpo'!$C:$C), '[1]input-mpo'!$D:$D)</f>
        <v>14078663.029926665</v>
      </c>
    </row>
    <row r="23" spans="1:29" ht="14.45" customHeight="1" x14ac:dyDescent="0.25">
      <c r="A23" s="95" t="s">
        <v>604</v>
      </c>
      <c r="B23" s="305"/>
      <c r="C23" s="99"/>
      <c r="D23" s="99"/>
      <c r="E23" s="99"/>
      <c r="F23" s="99"/>
      <c r="G23" s="99"/>
      <c r="H23" s="431" t="s">
        <v>601</v>
      </c>
      <c r="I23" s="444" cm="1">
        <f t="array" ref="I23">_xlfn.XLOOKUP(1, ('0. GUIDELINES'!$E$3='[1]input-mpo'!$A:$A) * (I$7='[1]input-mpo'!$B:$B) * ($A23='[1]input-mpo'!$C:$C), '[1]input-mpo'!$D:$D)</f>
        <v>80415.361638355738</v>
      </c>
      <c r="J23" s="444" cm="1">
        <f t="array" ref="J23">_xlfn.XLOOKUP(1, ('0. GUIDELINES'!$E$3='[1]input-mpo'!$A:$A) * (J$7='[1]input-mpo'!$B:$B) * ($A23='[1]input-mpo'!$C:$C), '[1]input-mpo'!$D:$D)</f>
        <v>85042.148322798734</v>
      </c>
      <c r="K23" s="445" cm="1">
        <f t="array" ref="K23">_xlfn.XLOOKUP(1, ('0. GUIDELINES'!$E$3='[1]input-mpo'!$A:$A) * (K$7='[1]input-mpo'!$B:$B) * ($A23='[1]input-mpo'!$C:$C), '[1]input-mpo'!$D:$D)</f>
        <v>89129.287072224572</v>
      </c>
      <c r="L23" s="445" cm="1">
        <f t="array" ref="L23">_xlfn.XLOOKUP(1, ('0. GUIDELINES'!$E$3='[1]input-mpo'!$A:$A) * (L$7='[1]input-mpo'!$B:$B) * ($A23='[1]input-mpo'!$C:$C), '[1]input-mpo'!$D:$D)</f>
        <v>92585.931780784973</v>
      </c>
      <c r="M23" s="445" cm="1">
        <f t="array" ref="M23">_xlfn.XLOOKUP(1, ('0. GUIDELINES'!$E$3='[1]input-mpo'!$A:$A) * (M$7='[1]input-mpo'!$B:$B) * ($A23='[1]input-mpo'!$C:$C), '[1]input-mpo'!$D:$D)</f>
        <v>96651.777942560075</v>
      </c>
      <c r="N23" s="445" cm="1">
        <f t="array" ref="N23">_xlfn.XLOOKUP(1, ('0. GUIDELINES'!$E$3='[1]input-mpo'!$A:$A) * (N$7='[1]input-mpo'!$B:$B) * ($A23='[1]input-mpo'!$C:$C), '[1]input-mpo'!$D:$D)</f>
        <v>101729.22205397335</v>
      </c>
      <c r="O23" s="445" cm="1">
        <f t="array" ref="O23">_xlfn.XLOOKUP(1, ('0. GUIDELINES'!$E$3='[1]input-mpo'!$A:$A) * (O$7='[1]input-mpo'!$B:$B) * ($A23='[1]input-mpo'!$C:$C), '[1]input-mpo'!$D:$D)</f>
        <v>107119.8089632223</v>
      </c>
      <c r="P23" s="445" cm="1">
        <f t="array" ref="P23">_xlfn.XLOOKUP(1, ('0. GUIDELINES'!$E$3='[1]input-mpo'!$A:$A) * (P$7='[1]input-mpo'!$B:$B) * ($A23='[1]input-mpo'!$C:$C), '[1]input-mpo'!$D:$D)</f>
        <v>111331.95859154221</v>
      </c>
      <c r="Q23" s="445" cm="1">
        <f t="array" ref="Q23">_xlfn.XLOOKUP(1, ('0. GUIDELINES'!$E$3='[1]input-mpo'!$A:$A) * (Q$7='[1]input-mpo'!$B:$B) * ($A23='[1]input-mpo'!$C:$C), '[1]input-mpo'!$D:$D)</f>
        <v>116617.79199981937</v>
      </c>
      <c r="R23" s="445" cm="1">
        <f t="array" ref="R23">_xlfn.XLOOKUP(1, ('0. GUIDELINES'!$E$3='[1]input-mpo'!$A:$A) * (R$7='[1]input-mpo'!$B:$B) * ($A23='[1]input-mpo'!$C:$C), '[1]input-mpo'!$D:$D)</f>
        <v>122788.11761099272</v>
      </c>
      <c r="S23" s="445" cm="1">
        <f t="array" ref="S23">_xlfn.XLOOKUP(1, ('0. GUIDELINES'!$E$3='[1]input-mpo'!$A:$A) * (S$7='[1]input-mpo'!$B:$B) * ($A23='[1]input-mpo'!$C:$C), '[1]input-mpo'!$D:$D)</f>
        <v>129913.75281051081</v>
      </c>
      <c r="T23" s="445" cm="1">
        <f t="array" ref="T23">_xlfn.XLOOKUP(1, ('0. GUIDELINES'!$E$3='[1]input-mpo'!$A:$A) * (T$7='[1]input-mpo'!$B:$B) * ($A23='[1]input-mpo'!$C:$C), '[1]input-mpo'!$D:$D)</f>
        <v>136755.59614819754</v>
      </c>
      <c r="U23" s="445" cm="1">
        <f t="array" ref="U23">_xlfn.XLOOKUP(1, ('0. GUIDELINES'!$E$3='[1]input-mpo'!$A:$A) * (U$7='[1]input-mpo'!$B:$B) * ($A23='[1]input-mpo'!$C:$C), '[1]input-mpo'!$D:$D)</f>
        <v>145070.65499967933</v>
      </c>
      <c r="V23" s="445" cm="1">
        <f t="array" ref="V23">_xlfn.XLOOKUP(1, ('0. GUIDELINES'!$E$3='[1]input-mpo'!$A:$A) * (V$7='[1]input-mpo'!$B:$B) * ($A23='[1]input-mpo'!$C:$C), '[1]input-mpo'!$D:$D)</f>
        <v>154772.47903833861</v>
      </c>
      <c r="W23" s="445" cm="1">
        <f t="array" ref="W23">_xlfn.XLOOKUP(1, ('0. GUIDELINES'!$E$3='[1]input-mpo'!$A:$A) * (W$7='[1]input-mpo'!$B:$B) * ($A23='[1]input-mpo'!$C:$C), '[1]input-mpo'!$D:$D)</f>
        <v>158287.54311639283</v>
      </c>
      <c r="X23" s="445" cm="1">
        <f t="array" ref="X23">_xlfn.XLOOKUP(1, ('0. GUIDELINES'!$E$3='[1]input-mpo'!$A:$A) * (X$7='[1]input-mpo'!$B:$B) * ($A23='[1]input-mpo'!$C:$C), '[1]input-mpo'!$D:$D)</f>
        <v>167336.27387630352</v>
      </c>
      <c r="Y23" s="445" cm="1">
        <f t="array" ref="Y23">_xlfn.XLOOKUP(1, ('0. GUIDELINES'!$E$3='[1]input-mpo'!$A:$A) * (Y$7='[1]input-mpo'!$B:$B) * ($A23='[1]input-mpo'!$C:$C), '[1]input-mpo'!$D:$D)</f>
        <v>177300.88247152706</v>
      </c>
      <c r="Z23" s="446" cm="1">
        <f t="array" ref="Z23">_xlfn.XLOOKUP(1, ('0. GUIDELINES'!$E$3='[1]input-mpo'!$A:$A) * (Z$7='[1]input-mpo'!$B:$B) * ($A23='[1]input-mpo'!$C:$C), '[1]input-mpo'!$D:$D)</f>
        <v>185623.17024300501</v>
      </c>
      <c r="AA23" s="446" cm="1">
        <f t="array" ref="AA23">_xlfn.XLOOKUP(1, ('0. GUIDELINES'!$E$3='[1]input-mpo'!$A:$A) * (AA$7='[1]input-mpo'!$B:$B) * ($A23='[1]input-mpo'!$C:$C), '[1]input-mpo'!$D:$D)</f>
        <v>194137.08575426164</v>
      </c>
      <c r="AB23" s="446" cm="1">
        <f t="array" ref="AB23">_xlfn.XLOOKUP(1, ('0. GUIDELINES'!$E$3='[1]input-mpo'!$A:$A) * (AB$7='[1]input-mpo'!$B:$B) * ($A23='[1]input-mpo'!$C:$C), '[1]input-mpo'!$D:$D)</f>
        <v>203167.38854920864</v>
      </c>
      <c r="AC23" s="446" cm="1">
        <f t="array" ref="AC23">_xlfn.XLOOKUP(1, ('0. GUIDELINES'!$E$3='[1]input-mpo'!$A:$A) * (AC$7='[1]input-mpo'!$B:$B) * ($A23='[1]input-mpo'!$C:$C), '[1]input-mpo'!$D:$D)</f>
        <v>213163.30734638392</v>
      </c>
    </row>
    <row r="24" spans="1:29" ht="14.45" customHeight="1" x14ac:dyDescent="0.25">
      <c r="A24" s="95"/>
      <c r="B24" s="305"/>
      <c r="C24" s="99"/>
      <c r="D24" s="99"/>
      <c r="E24" s="99"/>
      <c r="F24" s="99"/>
      <c r="G24" s="99"/>
      <c r="H24" s="439"/>
      <c r="I24" s="442"/>
      <c r="J24" s="442"/>
      <c r="K24" s="442"/>
      <c r="L24" s="442"/>
      <c r="M24" s="442"/>
      <c r="N24" s="442"/>
      <c r="O24" s="442"/>
      <c r="P24" s="442"/>
      <c r="Q24" s="442"/>
      <c r="R24" s="442"/>
      <c r="S24" s="442"/>
      <c r="T24" s="442"/>
      <c r="U24" s="442"/>
      <c r="V24" s="442"/>
      <c r="W24" s="442"/>
      <c r="X24" s="442"/>
      <c r="Y24" s="442"/>
      <c r="Z24" s="443"/>
      <c r="AA24" s="443"/>
      <c r="AB24" s="443"/>
      <c r="AC24" s="443"/>
    </row>
    <row r="25" spans="1:29" ht="14.45" customHeight="1" x14ac:dyDescent="0.25">
      <c r="A25" s="95" t="s">
        <v>600</v>
      </c>
      <c r="B25" s="305"/>
      <c r="C25" s="99"/>
      <c r="D25" s="99"/>
      <c r="E25" s="99"/>
      <c r="F25" s="99"/>
      <c r="G25" s="99"/>
      <c r="H25" s="431" t="s">
        <v>606</v>
      </c>
      <c r="I25" s="440" t="e" cm="1">
        <f t="array" ref="I25">_xlfn.XLOOKUP(1, ('0. GUIDELINES'!$E$3='[1]input-mpo'!$A:$A) * (I$7='[1]input-mpo'!$B:$B) * ($A25='[1]input-mpo'!$C:$C), '[1]input-mpo'!$D:$D)</f>
        <v>#N/A</v>
      </c>
      <c r="J25" s="440" cm="1">
        <f t="array" ref="J25">_xlfn.XLOOKUP(1, ('0. GUIDELINES'!$E$3='[1]input-mpo'!$A:$A) * (J$7='[1]input-mpo'!$B:$B) * ($A25='[1]input-mpo'!$C:$C), '[1]input-mpo'!$D:$D)</f>
        <v>144135940.55175781</v>
      </c>
      <c r="K25" s="440" cm="1">
        <f t="array" ref="K25">_xlfn.XLOOKUP(1, ('0. GUIDELINES'!$E$3='[1]input-mpo'!$A:$A) * (K$7='[1]input-mpo'!$B:$B) * ($A25='[1]input-mpo'!$C:$C), '[1]input-mpo'!$D:$D)</f>
        <v>145421310.42480469</v>
      </c>
      <c r="L25" s="440" cm="1">
        <f t="array" ref="L25">_xlfn.XLOOKUP(1, ('0. GUIDELINES'!$E$3='[1]input-mpo'!$A:$A) * (L$7='[1]input-mpo'!$B:$B) * ($A25='[1]input-mpo'!$C:$C), '[1]input-mpo'!$D:$D)</f>
        <v>146706817.62695313</v>
      </c>
      <c r="M25" s="440" cm="1">
        <f t="array" ref="M25">_xlfn.XLOOKUP(1, ('0. GUIDELINES'!$E$3='[1]input-mpo'!$A:$A) * (M$7='[1]input-mpo'!$B:$B) * ($A25='[1]input-mpo'!$C:$C), '[1]input-mpo'!$D:$D)</f>
        <v>148391143.79882813</v>
      </c>
      <c r="N25" s="440" cm="1">
        <f t="array" ref="N25">_xlfn.XLOOKUP(1, ('0. GUIDELINES'!$E$3='[1]input-mpo'!$A:$A) * (N$7='[1]input-mpo'!$B:$B) * ($A25='[1]input-mpo'!$C:$C), '[1]input-mpo'!$D:$D)</f>
        <v>150210998.53515625</v>
      </c>
      <c r="O25" s="440" cm="1">
        <f t="array" ref="O25">_xlfn.XLOOKUP(1, ('0. GUIDELINES'!$E$3='[1]input-mpo'!$A:$A) * (O$7='[1]input-mpo'!$B:$B) * ($A25='[1]input-mpo'!$C:$C), '[1]input-mpo'!$D:$D)</f>
        <v>152090652.46582031</v>
      </c>
      <c r="P25" s="440" cm="1">
        <f t="array" ref="P25">_xlfn.XLOOKUP(1, ('0. GUIDELINES'!$E$3='[1]input-mpo'!$A:$A) * (P$7='[1]input-mpo'!$B:$B) * ($A25='[1]input-mpo'!$C:$C), '[1]input-mpo'!$D:$D)</f>
        <v>154030136.10839844</v>
      </c>
      <c r="Q25" s="440" cm="1">
        <f t="array" ref="Q25">_xlfn.XLOOKUP(1, ('0. GUIDELINES'!$E$3='[1]input-mpo'!$A:$A) * (Q$7='[1]input-mpo'!$B:$B) * ($A25='[1]input-mpo'!$C:$C), '[1]input-mpo'!$D:$D)</f>
        <v>155961303.7109375</v>
      </c>
      <c r="R25" s="440" cm="1">
        <f t="array" ref="R25">_xlfn.XLOOKUP(1, ('0. GUIDELINES'!$E$3='[1]input-mpo'!$A:$A) * (R$7='[1]input-mpo'!$B:$B) * ($A25='[1]input-mpo'!$C:$C), '[1]input-mpo'!$D:$D)</f>
        <v>157830001.83105469</v>
      </c>
      <c r="S25" s="440" cm="1">
        <f t="array" ref="S25">_xlfn.XLOOKUP(1, ('0. GUIDELINES'!$E$3='[1]input-mpo'!$A:$A) * (S$7='[1]input-mpo'!$B:$B) * ($A25='[1]input-mpo'!$C:$C), '[1]input-mpo'!$D:$D)</f>
        <v>159784576.41601563</v>
      </c>
      <c r="T25" s="440" cm="1">
        <f t="array" ref="T25">_xlfn.XLOOKUP(1, ('0. GUIDELINES'!$E$3='[1]input-mpo'!$A:$A) * (T$7='[1]input-mpo'!$B:$B) * ($A25='[1]input-mpo'!$C:$C), '[1]input-mpo'!$D:$D)</f>
        <v>161793960.57128906</v>
      </c>
      <c r="U25" s="440" cm="1">
        <f t="array" ref="U25">_xlfn.XLOOKUP(1, ('0. GUIDELINES'!$E$3='[1]input-mpo'!$A:$A) * (U$7='[1]input-mpo'!$B:$B) * ($A25='[1]input-mpo'!$C:$C), '[1]input-mpo'!$D:$D)</f>
        <v>163683959.9609375</v>
      </c>
      <c r="V25" s="440" cm="1">
        <f t="array" ref="V25">_xlfn.XLOOKUP(1, ('0. GUIDELINES'!$E$3='[1]input-mpo'!$A:$A) * (V$7='[1]input-mpo'!$B:$B) * ($A25='[1]input-mpo'!$C:$C), '[1]input-mpo'!$D:$D)</f>
        <v>165516220.09277344</v>
      </c>
      <c r="W25" s="440" cm="1">
        <f t="array" ref="W25">_xlfn.XLOOKUP(1, ('0. GUIDELINES'!$E$3='[1]input-mpo'!$A:$A) * (W$7='[1]input-mpo'!$B:$B) * ($A25='[1]input-mpo'!$C:$C), '[1]input-mpo'!$D:$D)</f>
        <v>167420944.21386719</v>
      </c>
      <c r="X25" s="440" cm="1">
        <f t="array" ref="X25">_xlfn.XLOOKUP(1, ('0. GUIDELINES'!$E$3='[1]input-mpo'!$A:$A) * (X$7='[1]input-mpo'!$B:$B) * ($A25='[1]input-mpo'!$C:$C), '[1]input-mpo'!$D:$D)</f>
        <v>169356246.94824219</v>
      </c>
      <c r="Y25" s="440" cm="1">
        <f t="array" ref="Y25">_xlfn.XLOOKUP(1, ('0. GUIDELINES'!$E$3='[1]input-mpo'!$A:$A) * (Y$7='[1]input-mpo'!$B:$B) * ($A25='[1]input-mpo'!$C:$C), '[1]input-mpo'!$D:$D)</f>
        <v>171186370.84960938</v>
      </c>
      <c r="Z25" s="441" cm="1">
        <f t="array" ref="Z25">_xlfn.XLOOKUP(1, ('0. GUIDELINES'!$E$3='[1]input-mpo'!$A:$A) * (Z$7='[1]input-mpo'!$B:$B) * ($A25='[1]input-mpo'!$C:$C), '[1]input-mpo'!$D:$D)</f>
        <v>172954315.18554688</v>
      </c>
      <c r="AA25" s="441" cm="1">
        <f t="array" ref="AA25">_xlfn.XLOOKUP(1, ('0. GUIDELINES'!$E$3='[1]input-mpo'!$A:$A) * (AA$7='[1]input-mpo'!$B:$B) * ($A25='[1]input-mpo'!$C:$C), '[1]input-mpo'!$D:$D)</f>
        <v>174701217.65136719</v>
      </c>
      <c r="AB25" s="441" cm="1">
        <f t="array" ref="AB25">_xlfn.XLOOKUP(1, ('0. GUIDELINES'!$E$3='[1]input-mpo'!$A:$A) * (AB$7='[1]input-mpo'!$B:$B) * ($A25='[1]input-mpo'!$C:$C), '[1]input-mpo'!$D:$D)</f>
        <v>176421508.7890625</v>
      </c>
      <c r="AC25" s="441" cm="1">
        <f t="array" ref="AC25">_xlfn.XLOOKUP(1, ('0. GUIDELINES'!$E$3='[1]input-mpo'!$A:$A) * (AC$7='[1]input-mpo'!$B:$B) * ($A25='[1]input-mpo'!$C:$C), '[1]input-mpo'!$D:$D)</f>
        <v>178106140.13671875</v>
      </c>
    </row>
    <row r="26" spans="1:29" ht="14.45" customHeight="1" x14ac:dyDescent="0.25">
      <c r="A26" s="95" t="s">
        <v>602</v>
      </c>
      <c r="B26" s="305"/>
      <c r="C26" s="99"/>
      <c r="D26" s="99"/>
      <c r="E26" s="99"/>
      <c r="F26" s="99"/>
      <c r="G26" s="99"/>
      <c r="H26" s="431" t="s">
        <v>607</v>
      </c>
      <c r="I26" s="440" cm="1">
        <f t="array" ref="I26">_xlfn.XLOOKUP(1, ('0. GUIDELINES'!$E$3='[1]input-mpo'!$A:$A) * (I$7='[1]input-mpo'!$B:$B) * ($A26='[1]input-mpo'!$C:$C), '[1]input-mpo'!$D:$D)</f>
        <v>140921000</v>
      </c>
      <c r="J26" s="440" cm="1">
        <f t="array" ref="J26">_xlfn.XLOOKUP(1, ('0. GUIDELINES'!$E$3='[1]input-mpo'!$A:$A) * (J$7='[1]input-mpo'!$B:$B) * ($A26='[1]input-mpo'!$C:$C), '[1]input-mpo'!$D:$D)</f>
        <v>142660000</v>
      </c>
      <c r="K26" s="440" cm="1">
        <f t="array" ref="K26">_xlfn.XLOOKUP(1, ('0. GUIDELINES'!$E$3='[1]input-mpo'!$A:$A) * (K$7='[1]input-mpo'!$B:$B) * ($A26='[1]input-mpo'!$C:$C), '[1]input-mpo'!$D:$D)</f>
        <v>144304000</v>
      </c>
      <c r="L26" s="440" cm="1">
        <f t="array" ref="L26">_xlfn.XLOOKUP(1, ('0. GUIDELINES'!$E$3='[1]input-mpo'!$A:$A) * (L$7='[1]input-mpo'!$B:$B) * ($A26='[1]input-mpo'!$C:$C), '[1]input-mpo'!$D:$D)</f>
        <v>145925000</v>
      </c>
      <c r="M26" s="440" cm="1">
        <f t="array" ref="M26">_xlfn.XLOOKUP(1, ('0. GUIDELINES'!$E$3='[1]input-mpo'!$A:$A) * (M$7='[1]input-mpo'!$B:$B) * ($A26='[1]input-mpo'!$C:$C), '[1]input-mpo'!$D:$D)</f>
        <v>147575000</v>
      </c>
      <c r="N26" s="440" cm="1">
        <f t="array" ref="N26">_xlfn.XLOOKUP(1, ('0. GUIDELINES'!$E$3='[1]input-mpo'!$A:$A) * (N$7='[1]input-mpo'!$B:$B) * ($A26='[1]input-mpo'!$C:$C), '[1]input-mpo'!$D:$D)</f>
        <v>149273000</v>
      </c>
      <c r="O26" s="440" cm="1">
        <f t="array" ref="O26">_xlfn.XLOOKUP(1, ('0. GUIDELINES'!$E$3='[1]input-mpo'!$A:$A) * (O$7='[1]input-mpo'!$B:$B) * ($A26='[1]input-mpo'!$C:$C), '[1]input-mpo'!$D:$D)</f>
        <v>151006000</v>
      </c>
      <c r="P26" s="440" cm="1">
        <f t="array" ref="P26">_xlfn.XLOOKUP(1, ('0. GUIDELINES'!$E$3='[1]input-mpo'!$A:$A) * (P$7='[1]input-mpo'!$B:$B) * ($A26='[1]input-mpo'!$C:$C), '[1]input-mpo'!$D:$D)</f>
        <v>154030140</v>
      </c>
      <c r="Q26" s="440" cm="1">
        <f t="array" ref="Q26">_xlfn.XLOOKUP(1, ('0. GUIDELINES'!$E$3='[1]input-mpo'!$A:$A) * (Q$7='[1]input-mpo'!$B:$B) * ($A26='[1]input-mpo'!$C:$C), '[1]input-mpo'!$D:$D)</f>
        <v>155961299</v>
      </c>
      <c r="R26" s="440" cm="1">
        <f t="array" ref="R26">_xlfn.XLOOKUP(1, ('0. GUIDELINES'!$E$3='[1]input-mpo'!$A:$A) * (R$7='[1]input-mpo'!$B:$B) * ($A26='[1]input-mpo'!$C:$C), '[1]input-mpo'!$D:$D)</f>
        <v>157830000</v>
      </c>
      <c r="S26" s="440" cm="1">
        <f t="array" ref="S26">_xlfn.XLOOKUP(1, ('0. GUIDELINES'!$E$3='[1]input-mpo'!$A:$A) * (S$7='[1]input-mpo'!$B:$B) * ($A26='[1]input-mpo'!$C:$C), '[1]input-mpo'!$D:$D)</f>
        <v>159784569</v>
      </c>
      <c r="T26" s="440" cm="1">
        <f t="array" ref="T26">_xlfn.XLOOKUP(1, ('0. GUIDELINES'!$E$3='[1]input-mpo'!$A:$A) * (T$7='[1]input-mpo'!$B:$B) * ($A26='[1]input-mpo'!$C:$C), '[1]input-mpo'!$D:$D)</f>
        <v>161793963.99999997</v>
      </c>
      <c r="U26" s="440" cm="1">
        <f t="array" ref="U26">_xlfn.XLOOKUP(1, ('0. GUIDELINES'!$E$3='[1]input-mpo'!$A:$A) * (U$7='[1]input-mpo'!$B:$B) * ($A26='[1]input-mpo'!$C:$C), '[1]input-mpo'!$D:$D)</f>
        <v>163683958</v>
      </c>
      <c r="V26" s="440" cm="1">
        <f t="array" ref="V26">_xlfn.XLOOKUP(1, ('0. GUIDELINES'!$E$3='[1]input-mpo'!$A:$A) * (V$7='[1]input-mpo'!$B:$B) * ($A26='[1]input-mpo'!$C:$C), '[1]input-mpo'!$D:$D)</f>
        <v>165516222</v>
      </c>
      <c r="W26" s="440" cm="1">
        <f t="array" ref="W26">_xlfn.XLOOKUP(1, ('0. GUIDELINES'!$E$3='[1]input-mpo'!$A:$A) * (W$7='[1]input-mpo'!$B:$B) * ($A26='[1]input-mpo'!$C:$C), '[1]input-mpo'!$D:$D)</f>
        <v>167420951</v>
      </c>
      <c r="X26" s="440" cm="1">
        <f t="array" ref="X26">_xlfn.XLOOKUP(1, ('0. GUIDELINES'!$E$3='[1]input-mpo'!$A:$A) * (X$7='[1]input-mpo'!$B:$B) * ($A26='[1]input-mpo'!$C:$C), '[1]input-mpo'!$D:$D)</f>
        <v>169356251</v>
      </c>
      <c r="Y26" s="440" cm="1">
        <f t="array" ref="Y26">_xlfn.XLOOKUP(1, ('0. GUIDELINES'!$E$3='[1]input-mpo'!$A:$A) * (Y$7='[1]input-mpo'!$B:$B) * ($A26='[1]input-mpo'!$C:$C), '[1]input-mpo'!$D:$D)</f>
        <v>171186373</v>
      </c>
      <c r="Z26" s="441" cm="1">
        <f t="array" ref="Z26">_xlfn.XLOOKUP(1, ('0. GUIDELINES'!$E$3='[1]input-mpo'!$A:$A) * (Z$7='[1]input-mpo'!$B:$B) * ($A26='[1]input-mpo'!$C:$C), '[1]input-mpo'!$D:$D)</f>
        <v>172954318.99999997</v>
      </c>
      <c r="AA26" s="441" cm="1">
        <f t="array" ref="AA26">_xlfn.XLOOKUP(1, ('0. GUIDELINES'!$E$3='[1]input-mpo'!$A:$A) * (AA$7='[1]input-mpo'!$B:$B) * ($A26='[1]input-mpo'!$C:$C), '[1]input-mpo'!$D:$D)</f>
        <v>174701211</v>
      </c>
      <c r="AB26" s="441" cm="1">
        <f t="array" ref="AB26">_xlfn.XLOOKUP(1, ('0. GUIDELINES'!$E$3='[1]input-mpo'!$A:$A) * (AB$7='[1]input-mpo'!$B:$B) * ($A26='[1]input-mpo'!$C:$C), '[1]input-mpo'!$D:$D)</f>
        <v>176421510.00000003</v>
      </c>
      <c r="AC26" s="441" cm="1">
        <f t="array" ref="AC26">_xlfn.XLOOKUP(1, ('0. GUIDELINES'!$E$3='[1]input-mpo'!$A:$A) * (AC$7='[1]input-mpo'!$B:$B) * ($A26='[1]input-mpo'!$C:$C), '[1]input-mpo'!$D:$D)</f>
        <v>178106136</v>
      </c>
    </row>
    <row r="27" spans="1:29" ht="14.45" customHeight="1" x14ac:dyDescent="0.25">
      <c r="A27" s="95" t="s">
        <v>610</v>
      </c>
      <c r="B27" s="305"/>
      <c r="C27" s="99"/>
      <c r="D27" s="99"/>
      <c r="E27" s="99"/>
      <c r="F27" s="99"/>
      <c r="G27" s="99"/>
      <c r="H27" s="431" t="s">
        <v>608</v>
      </c>
      <c r="I27" s="440" cm="1">
        <f t="array" ref="I27">_xlfn.XLOOKUP(1, ('0. GUIDELINES'!$E$3='[1]input-mpo'!$A:$A) * (I$7='[1]input-mpo'!$B:$B) * ($A27='[1]input-mpo'!$C:$C), '[1]input-mpo'!$D:$D)</f>
        <v>142628831</v>
      </c>
      <c r="J27" s="440" cm="1">
        <f t="array" ref="J27">_xlfn.XLOOKUP(1, ('0. GUIDELINES'!$E$3='[1]input-mpo'!$A:$A) * (J$7='[1]input-mpo'!$B:$B) * ($A27='[1]input-mpo'!$C:$C), '[1]input-mpo'!$D:$D)</f>
        <v>144135934</v>
      </c>
      <c r="K27" s="440" cm="1">
        <f t="array" ref="K27">_xlfn.XLOOKUP(1, ('0. GUIDELINES'!$E$3='[1]input-mpo'!$A:$A) * (K$7='[1]input-mpo'!$B:$B) * ($A27='[1]input-mpo'!$C:$C), '[1]input-mpo'!$D:$D)</f>
        <v>145421318</v>
      </c>
      <c r="L27" s="440" cm="1">
        <f t="array" ref="L27">_xlfn.XLOOKUP(1, ('0. GUIDELINES'!$E$3='[1]input-mpo'!$A:$A) * (L$7='[1]input-mpo'!$B:$B) * ($A27='[1]input-mpo'!$C:$C), '[1]input-mpo'!$D:$D)</f>
        <v>146706810</v>
      </c>
      <c r="M27" s="440" cm="1">
        <f t="array" ref="M27">_xlfn.XLOOKUP(1, ('0. GUIDELINES'!$E$3='[1]input-mpo'!$A:$A) * (M$7='[1]input-mpo'!$B:$B) * ($A27='[1]input-mpo'!$C:$C), '[1]input-mpo'!$D:$D)</f>
        <v>148391139</v>
      </c>
      <c r="N27" s="440" cm="1">
        <f t="array" ref="N27">_xlfn.XLOOKUP(1, ('0. GUIDELINES'!$E$3='[1]input-mpo'!$A:$A) * (N$7='[1]input-mpo'!$B:$B) * ($A27='[1]input-mpo'!$C:$C), '[1]input-mpo'!$D:$D)</f>
        <v>150211005</v>
      </c>
      <c r="O27" s="440" cm="1">
        <f t="array" ref="O27">_xlfn.XLOOKUP(1, ('0. GUIDELINES'!$E$3='[1]input-mpo'!$A:$A) * (O$7='[1]input-mpo'!$B:$B) * ($A27='[1]input-mpo'!$C:$C), '[1]input-mpo'!$D:$D)</f>
        <v>152090649</v>
      </c>
      <c r="P27" s="440" cm="1">
        <f t="array" ref="P27">_xlfn.XLOOKUP(1, ('0. GUIDELINES'!$E$3='[1]input-mpo'!$A:$A) * (P$7='[1]input-mpo'!$B:$B) * ($A27='[1]input-mpo'!$C:$C), '[1]input-mpo'!$D:$D)</f>
        <v>154030139</v>
      </c>
      <c r="Q27" s="440" cm="1">
        <f t="array" ref="Q27">_xlfn.XLOOKUP(1, ('0. GUIDELINES'!$E$3='[1]input-mpo'!$A:$A) * (Q$7='[1]input-mpo'!$B:$B) * ($A27='[1]input-mpo'!$C:$C), '[1]input-mpo'!$D:$D)</f>
        <v>155961299</v>
      </c>
      <c r="R27" s="440" cm="1">
        <f t="array" ref="R27">_xlfn.XLOOKUP(1, ('0. GUIDELINES'!$E$3='[1]input-mpo'!$A:$A) * (R$7='[1]input-mpo'!$B:$B) * ($A27='[1]input-mpo'!$C:$C), '[1]input-mpo'!$D:$D)</f>
        <v>157830000</v>
      </c>
      <c r="S27" s="440" cm="1">
        <f t="array" ref="S27">_xlfn.XLOOKUP(1, ('0. GUIDELINES'!$E$3='[1]input-mpo'!$A:$A) * (S$7='[1]input-mpo'!$B:$B) * ($A27='[1]input-mpo'!$C:$C), '[1]input-mpo'!$D:$D)</f>
        <v>159784568</v>
      </c>
      <c r="T27" s="440" cm="1">
        <f t="array" ref="T27">_xlfn.XLOOKUP(1, ('0. GUIDELINES'!$E$3='[1]input-mpo'!$A:$A) * (T$7='[1]input-mpo'!$B:$B) * ($A27='[1]input-mpo'!$C:$C), '[1]input-mpo'!$D:$D)</f>
        <v>161793964</v>
      </c>
      <c r="U27" s="440" cm="1">
        <f t="array" ref="U27">_xlfn.XLOOKUP(1, ('0. GUIDELINES'!$E$3='[1]input-mpo'!$A:$A) * (U$7='[1]input-mpo'!$B:$B) * ($A27='[1]input-mpo'!$C:$C), '[1]input-mpo'!$D:$D)</f>
        <v>163683958</v>
      </c>
      <c r="V27" s="440" cm="1">
        <f t="array" ref="V27">_xlfn.XLOOKUP(1, ('0. GUIDELINES'!$E$3='[1]input-mpo'!$A:$A) * (V$7='[1]input-mpo'!$B:$B) * ($A27='[1]input-mpo'!$C:$C), '[1]input-mpo'!$D:$D)</f>
        <v>165516222</v>
      </c>
      <c r="W27" s="440" cm="1">
        <f t="array" ref="W27">_xlfn.XLOOKUP(1, ('0. GUIDELINES'!$E$3='[1]input-mpo'!$A:$A) * (W$7='[1]input-mpo'!$B:$B) * ($A27='[1]input-mpo'!$C:$C), '[1]input-mpo'!$D:$D)</f>
        <v>167420951</v>
      </c>
      <c r="X27" s="440" cm="1">
        <f t="array" ref="X27">_xlfn.XLOOKUP(1, ('0. GUIDELINES'!$E$3='[1]input-mpo'!$A:$A) * (X$7='[1]input-mpo'!$B:$B) * ($A27='[1]input-mpo'!$C:$C), '[1]input-mpo'!$D:$D)</f>
        <v>169356251</v>
      </c>
      <c r="Y27" s="440" cm="1">
        <f t="array" ref="Y27">_xlfn.XLOOKUP(1, ('0. GUIDELINES'!$E$3='[1]input-mpo'!$A:$A) * (Y$7='[1]input-mpo'!$B:$B) * ($A27='[1]input-mpo'!$C:$C), '[1]input-mpo'!$D:$D)</f>
        <v>171186372</v>
      </c>
      <c r="Z27" s="441" cm="1">
        <f t="array" ref="Z27">_xlfn.XLOOKUP(1, ('0. GUIDELINES'!$E$3='[1]input-mpo'!$A:$A) * (Z$7='[1]input-mpo'!$B:$B) * ($A27='[1]input-mpo'!$C:$C), '[1]input-mpo'!$D:$D)</f>
        <v>172954319</v>
      </c>
      <c r="AA27" s="441" t="e" cm="1">
        <f t="array" ref="AA27">_xlfn.XLOOKUP(1, ('0. GUIDELINES'!$E$3='[1]input-mpo'!$A:$A) * (AA$7='[1]input-mpo'!$B:$B) * ($A27='[1]input-mpo'!$C:$C), '[1]input-mpo'!$D:$D)</f>
        <v>#N/A</v>
      </c>
      <c r="AB27" s="441" t="e" cm="1">
        <f t="array" ref="AB27">_xlfn.XLOOKUP(1, ('0. GUIDELINES'!$E$3='[1]input-mpo'!$A:$A) * (AB$7='[1]input-mpo'!$B:$B) * ($A27='[1]input-mpo'!$C:$C), '[1]input-mpo'!$D:$D)</f>
        <v>#N/A</v>
      </c>
      <c r="AC27" s="441" t="e" cm="1">
        <f t="array" ref="AC27">_xlfn.XLOOKUP(1, ('0. GUIDELINES'!$E$3='[1]input-mpo'!$A:$A) * (AC$7='[1]input-mpo'!$B:$B) * ($A27='[1]input-mpo'!$C:$C), '[1]input-mpo'!$D:$D)</f>
        <v>#N/A</v>
      </c>
    </row>
    <row r="28" spans="1:29" ht="14.45" customHeight="1" x14ac:dyDescent="0.25">
      <c r="A28" s="95" t="s">
        <v>605</v>
      </c>
      <c r="B28" s="305"/>
      <c r="C28" s="99"/>
      <c r="D28" s="99"/>
      <c r="E28" s="99"/>
      <c r="F28" s="99"/>
      <c r="G28" s="99"/>
      <c r="H28" s="431" t="s">
        <v>609</v>
      </c>
      <c r="I28" s="440" cm="1">
        <f t="array" ref="I28">_xlfn.XLOOKUP(1, ('0. GUIDELINES'!$E$3='[1]input-mpo'!$A:$A) * (I$7='[1]input-mpo'!$B:$B) * ($A28='[1]input-mpo'!$C:$C), '[1]input-mpo'!$D:$D)</f>
        <v>146405973.5</v>
      </c>
      <c r="J28" s="440" cm="1">
        <f t="array" ref="J28">_xlfn.XLOOKUP(1, ('0. GUIDELINES'!$E$3='[1]input-mpo'!$A:$A) * (J$7='[1]input-mpo'!$B:$B) * ($A28='[1]input-mpo'!$C:$C), '[1]input-mpo'!$D:$D)</f>
        <v>147989278</v>
      </c>
      <c r="K28" s="440" cm="1">
        <f t="array" ref="K28">_xlfn.XLOOKUP(1, ('0. GUIDELINES'!$E$3='[1]input-mpo'!$A:$A) * (K$7='[1]input-mpo'!$B:$B) * ($A28='[1]input-mpo'!$C:$C), '[1]input-mpo'!$D:$D)</f>
        <v>149474263.5</v>
      </c>
      <c r="L28" s="440" cm="1">
        <f t="array" ref="L28">_xlfn.XLOOKUP(1, ('0. GUIDELINES'!$E$3='[1]input-mpo'!$A:$A) * (L$7='[1]input-mpo'!$B:$B) * ($A28='[1]input-mpo'!$C:$C), '[1]input-mpo'!$D:$D)</f>
        <v>150873714</v>
      </c>
      <c r="M28" s="440" cm="1">
        <f t="array" ref="M28">_xlfn.XLOOKUP(1, ('0. GUIDELINES'!$E$3='[1]input-mpo'!$A:$A) * (M$7='[1]input-mpo'!$B:$B) * ($A28='[1]input-mpo'!$C:$C), '[1]input-mpo'!$D:$D)</f>
        <v>152201981.5</v>
      </c>
      <c r="N28" s="440" cm="1">
        <f t="array" ref="N28">_xlfn.XLOOKUP(1, ('0. GUIDELINES'!$E$3='[1]input-mpo'!$A:$A) * (N$7='[1]input-mpo'!$B:$B) * ($A28='[1]input-mpo'!$C:$C), '[1]input-mpo'!$D:$D)</f>
        <v>153591075.5</v>
      </c>
      <c r="O28" s="440" cm="1">
        <f t="array" ref="O28">_xlfn.XLOOKUP(1, ('0. GUIDELINES'!$E$3='[1]input-mpo'!$A:$A) * (O$7='[1]input-mpo'!$B:$B) * ($A28='[1]input-mpo'!$C:$C), '[1]input-mpo'!$D:$D)</f>
        <v>155070101.5</v>
      </c>
      <c r="P28" s="440" cm="1">
        <f t="array" ref="P28">_xlfn.XLOOKUP(1, ('0. GUIDELINES'!$E$3='[1]input-mpo'!$A:$A) * (P$7='[1]input-mpo'!$B:$B) * ($A28='[1]input-mpo'!$C:$C), '[1]input-mpo'!$D:$D)</f>
        <v>156532140.5</v>
      </c>
      <c r="Q28" s="440" cm="1">
        <f t="array" ref="Q28">_xlfn.XLOOKUP(1, ('0. GUIDELINES'!$E$3='[1]input-mpo'!$A:$A) * (Q$7='[1]input-mpo'!$B:$B) * ($A28='[1]input-mpo'!$C:$C), '[1]input-mpo'!$D:$D)</f>
        <v>157964928.5</v>
      </c>
      <c r="R28" s="440" cm="1">
        <f t="array" ref="R28">_xlfn.XLOOKUP(1, ('0. GUIDELINES'!$E$3='[1]input-mpo'!$A:$A) * (R$7='[1]input-mpo'!$B:$B) * ($A28='[1]input-mpo'!$C:$C), '[1]input-mpo'!$D:$D)</f>
        <v>159383179</v>
      </c>
      <c r="S28" s="440" cm="1">
        <f t="array" ref="S28">_xlfn.XLOOKUP(1, ('0. GUIDELINES'!$E$3='[1]input-mpo'!$A:$A) * (S$7='[1]input-mpo'!$B:$B) * ($A28='[1]input-mpo'!$C:$C), '[1]input-mpo'!$D:$D)</f>
        <v>160811932.5</v>
      </c>
      <c r="T28" s="440" cm="1">
        <f t="array" ref="T28">_xlfn.XLOOKUP(1, ('0. GUIDELINES'!$E$3='[1]input-mpo'!$A:$A) * (T$7='[1]input-mpo'!$B:$B) * ($A28='[1]input-mpo'!$C:$C), '[1]input-mpo'!$D:$D)</f>
        <v>162186146.5</v>
      </c>
      <c r="U28" s="440" cm="1">
        <f t="array" ref="U28">_xlfn.XLOOKUP(1, ('0. GUIDELINES'!$E$3='[1]input-mpo'!$A:$A) * (U$7='[1]input-mpo'!$B:$B) * ($A28='[1]input-mpo'!$C:$C), '[1]input-mpo'!$D:$D)</f>
        <v>163523103.5</v>
      </c>
      <c r="V28" s="440" cm="1">
        <f t="array" ref="V28">_xlfn.XLOOKUP(1, ('0. GUIDELINES'!$E$3='[1]input-mpo'!$A:$A) * (V$7='[1]input-mpo'!$B:$B) * ($A28='[1]input-mpo'!$C:$C), '[1]input-mpo'!$D:$D)</f>
        <v>164913055</v>
      </c>
      <c r="W28" s="440" cm="1">
        <f t="array" ref="W28">_xlfn.XLOOKUP(1, ('0. GUIDELINES'!$E$3='[1]input-mpo'!$A:$A) * (W$7='[1]input-mpo'!$B:$B) * ($A28='[1]input-mpo'!$C:$C), '[1]input-mpo'!$D:$D)</f>
        <v>166298024</v>
      </c>
      <c r="X28" s="440" cm="1">
        <f t="array" ref="X28">_xlfn.XLOOKUP(1, ('0. GUIDELINES'!$E$3='[1]input-mpo'!$A:$A) * (X$7='[1]input-mpo'!$B:$B) * ($A28='[1]input-mpo'!$C:$C), '[1]input-mpo'!$D:$D)</f>
        <v>167658854.5</v>
      </c>
      <c r="Y28" s="440" cm="1">
        <f t="array" ref="Y28">_xlfn.XLOOKUP(1, ('0. GUIDELINES'!$E$3='[1]input-mpo'!$A:$A) * (Y$7='[1]input-mpo'!$B:$B) * ($A28='[1]input-mpo'!$C:$C), '[1]input-mpo'!$D:$D)</f>
        <v>169384897.5</v>
      </c>
      <c r="Z28" s="441" cm="1">
        <f t="array" ref="Z28">_xlfn.XLOOKUP(1, ('0. GUIDELINES'!$E$3='[1]input-mpo'!$A:$A) * (Z$7='[1]input-mpo'!$B:$B) * ($A28='[1]input-mpo'!$C:$C), '[1]input-mpo'!$D:$D)</f>
        <v>171466990</v>
      </c>
      <c r="AA28" s="441" cm="1">
        <f t="array" ref="AA28">_xlfn.XLOOKUP(1, ('0. GUIDELINES'!$E$3='[1]input-mpo'!$A:$A) * (AA$7='[1]input-mpo'!$B:$B) * ($A28='[1]input-mpo'!$C:$C), '[1]input-mpo'!$D:$D)</f>
        <v>173562364</v>
      </c>
      <c r="AB28" s="441" cm="1">
        <f t="array" ref="AB28">_xlfn.XLOOKUP(1, ('0. GUIDELINES'!$E$3='[1]input-mpo'!$A:$A) * (AB$7='[1]input-mpo'!$B:$B) * ($A28='[1]input-mpo'!$C:$C), '[1]input-mpo'!$D:$D)</f>
        <v>175686899.5</v>
      </c>
      <c r="AC28" s="441" cm="1">
        <f t="array" ref="AC28">_xlfn.XLOOKUP(1, ('0. GUIDELINES'!$E$3='[1]input-mpo'!$A:$A) * (AC$7='[1]input-mpo'!$B:$B) * ($A28='[1]input-mpo'!$C:$C), '[1]input-mpo'!$D:$D)</f>
        <v>177818044.5</v>
      </c>
    </row>
    <row r="29" spans="1:29" ht="14.45" customHeight="1" x14ac:dyDescent="0.25">
      <c r="A29" s="95"/>
      <c r="B29" s="305"/>
      <c r="C29" s="99"/>
      <c r="D29" s="99"/>
      <c r="E29" s="99"/>
      <c r="F29" s="99"/>
      <c r="G29" s="99"/>
      <c r="H29" s="431"/>
      <c r="I29" s="440"/>
      <c r="J29" s="440"/>
      <c r="K29" s="440"/>
      <c r="L29" s="440"/>
      <c r="M29" s="440"/>
      <c r="N29" s="440"/>
      <c r="O29" s="440"/>
      <c r="P29" s="440"/>
      <c r="Q29" s="440"/>
      <c r="R29" s="440"/>
      <c r="S29" s="440"/>
      <c r="T29" s="440"/>
      <c r="U29" s="440"/>
      <c r="V29" s="440"/>
      <c r="W29" s="440"/>
      <c r="X29" s="440"/>
      <c r="Y29" s="440"/>
      <c r="Z29" s="441"/>
      <c r="AA29" s="441"/>
      <c r="AB29" s="441"/>
      <c r="AC29" s="441"/>
    </row>
    <row r="30" spans="1:29" ht="14.45" customHeight="1" x14ac:dyDescent="0.25">
      <c r="A30" s="95" t="s">
        <v>639</v>
      </c>
      <c r="B30" s="305"/>
      <c r="C30" s="99"/>
      <c r="D30" s="99"/>
      <c r="E30" s="99"/>
      <c r="F30" s="99"/>
      <c r="G30" s="99"/>
      <c r="H30" s="431" t="s">
        <v>638</v>
      </c>
      <c r="I30" s="440" t="e" cm="1">
        <f t="array" ref="I30">_xlfn.XLOOKUP(1, ('0. GUIDELINES'!$E$3='[1]input-mpo'!$A:$A) * (I$7='[1]input-mpo'!$B:$B) * ($A30='[1]input-mpo'!$C:$C), '[1]input-mpo'!$D:$D)</f>
        <v>#N/A</v>
      </c>
      <c r="J30" s="440" cm="1">
        <f t="array" ref="J30">_xlfn.XLOOKUP(1, ('0. GUIDELINES'!$E$3='[1]input-mpo'!$A:$A) * (J$7='[1]input-mpo'!$B:$B) * ($A30='[1]input-mpo'!$C:$C), '[1]input-mpo'!$D:$D)</f>
        <v>87934801.125852808</v>
      </c>
      <c r="K30" s="440" cm="1">
        <f t="array" ref="K30">_xlfn.XLOOKUP(1, ('0. GUIDELINES'!$E$3='[1]input-mpo'!$A:$A) * (K$7='[1]input-mpo'!$B:$B) * ($A30='[1]input-mpo'!$C:$C), '[1]input-mpo'!$D:$D)</f>
        <v>89032171.927895412</v>
      </c>
      <c r="L30" s="440" cm="1">
        <f t="array" ref="L30">_xlfn.XLOOKUP(1, ('0. GUIDELINES'!$E$3='[1]input-mpo'!$A:$A) * (L$7='[1]input-mpo'!$B:$B) * ($A30='[1]input-mpo'!$C:$C), '[1]input-mpo'!$D:$D)</f>
        <v>90168370.448801965</v>
      </c>
      <c r="M30" s="440" cm="1">
        <f t="array" ref="M30">_xlfn.XLOOKUP(1, ('0. GUIDELINES'!$E$3='[1]input-mpo'!$A:$A) * (M$7='[1]input-mpo'!$B:$B) * ($A30='[1]input-mpo'!$C:$C), '[1]input-mpo'!$D:$D)</f>
        <v>91617182.706115514</v>
      </c>
      <c r="N30" s="440" cm="1">
        <f t="array" ref="N30">_xlfn.XLOOKUP(1, ('0. GUIDELINES'!$E$3='[1]input-mpo'!$A:$A) * (N$7='[1]input-mpo'!$B:$B) * ($A30='[1]input-mpo'!$C:$C), '[1]input-mpo'!$D:$D)</f>
        <v>93242027.351999596</v>
      </c>
      <c r="O30" s="440" cm="1">
        <f t="array" ref="O30">_xlfn.XLOOKUP(1, ('0. GUIDELINES'!$E$3='[1]input-mpo'!$A:$A) * (O$7='[1]input-mpo'!$B:$B) * ($A30='[1]input-mpo'!$C:$C), '[1]input-mpo'!$D:$D)</f>
        <v>95032996.379623935</v>
      </c>
      <c r="P30" s="440" cm="1">
        <f t="array" ref="P30">_xlfn.XLOOKUP(1, ('0. GUIDELINES'!$E$3='[1]input-mpo'!$A:$A) * (P$7='[1]input-mpo'!$B:$B) * ($A30='[1]input-mpo'!$C:$C), '[1]input-mpo'!$D:$D)</f>
        <v>96961134.320974708</v>
      </c>
      <c r="Q30" s="440" cm="1">
        <f t="array" ref="Q30">_xlfn.XLOOKUP(1, ('0. GUIDELINES'!$E$3='[1]input-mpo'!$A:$A) * (Q$7='[1]input-mpo'!$B:$B) * ($A30='[1]input-mpo'!$C:$C), '[1]input-mpo'!$D:$D)</f>
        <v>98937367.533575624</v>
      </c>
      <c r="R30" s="440" cm="1">
        <f t="array" ref="R30">_xlfn.XLOOKUP(1, ('0. GUIDELINES'!$E$3='[1]input-mpo'!$A:$A) * (R$7='[1]input-mpo'!$B:$B) * ($A30='[1]input-mpo'!$C:$C), '[1]input-mpo'!$D:$D)</f>
        <v>100877136.91455023</v>
      </c>
      <c r="S30" s="440" cm="1">
        <f t="array" ref="S30">_xlfn.XLOOKUP(1, ('0. GUIDELINES'!$E$3='[1]input-mpo'!$A:$A) * (S$7='[1]input-mpo'!$B:$B) * ($A30='[1]input-mpo'!$C:$C), '[1]input-mpo'!$D:$D)</f>
        <v>102840088.53829403</v>
      </c>
      <c r="T30" s="440" cm="1">
        <f t="array" ref="T30">_xlfn.XLOOKUP(1, ('0. GUIDELINES'!$E$3='[1]input-mpo'!$A:$A) * (T$7='[1]input-mpo'!$B:$B) * ($A30='[1]input-mpo'!$C:$C), '[1]input-mpo'!$D:$D)</f>
        <v>104623741.25299525</v>
      </c>
      <c r="U30" s="440" cm="1">
        <f t="array" ref="U30">_xlfn.XLOOKUP(1, ('0. GUIDELINES'!$E$3='[1]input-mpo'!$A:$A) * (U$7='[1]input-mpo'!$B:$B) * ($A30='[1]input-mpo'!$C:$C), '[1]input-mpo'!$D:$D)</f>
        <v>106062815.67214502</v>
      </c>
      <c r="V30" s="440" cm="1">
        <f t="array" ref="V30">_xlfn.XLOOKUP(1, ('0. GUIDELINES'!$E$3='[1]input-mpo'!$A:$A) * (V$7='[1]input-mpo'!$B:$B) * ($A30='[1]input-mpo'!$C:$C), '[1]input-mpo'!$D:$D)</f>
        <v>107355938.59836897</v>
      </c>
      <c r="W30" s="440" cm="1">
        <f t="array" ref="W30">_xlfn.XLOOKUP(1, ('0. GUIDELINES'!$E$3='[1]input-mpo'!$A:$A) * (W$7='[1]input-mpo'!$B:$B) * ($A30='[1]input-mpo'!$C:$C), '[1]input-mpo'!$D:$D)</f>
        <v>108666923.69272308</v>
      </c>
      <c r="X30" s="440" cm="1">
        <f t="array" ref="X30">_xlfn.XLOOKUP(1, ('0. GUIDELINES'!$E$3='[1]input-mpo'!$A:$A) * (X$7='[1]input-mpo'!$B:$B) * ($A30='[1]input-mpo'!$C:$C), '[1]input-mpo'!$D:$D)</f>
        <v>109999737.51088156</v>
      </c>
      <c r="Y30" s="440" cm="1">
        <f t="array" ref="Y30">_xlfn.XLOOKUP(1, ('0. GUIDELINES'!$E$3='[1]input-mpo'!$A:$A) * (Y$7='[1]input-mpo'!$B:$B) * ($A30='[1]input-mpo'!$C:$C), '[1]input-mpo'!$D:$D)</f>
        <v>111433344.11509103</v>
      </c>
      <c r="Z30" s="441" cm="1">
        <f t="array" ref="Z30">_xlfn.XLOOKUP(1, ('0. GUIDELINES'!$E$3='[1]input-mpo'!$A:$A) * (Z$7='[1]input-mpo'!$B:$B) * ($A30='[1]input-mpo'!$C:$C), '[1]input-mpo'!$D:$D)</f>
        <v>112971285.03906578</v>
      </c>
      <c r="AA30" s="441" cm="1">
        <f t="array" ref="AA30">_xlfn.XLOOKUP(1, ('0. GUIDELINES'!$E$3='[1]input-mpo'!$A:$A) * (AA$7='[1]input-mpo'!$B:$B) * ($A30='[1]input-mpo'!$C:$C), '[1]input-mpo'!$D:$D)</f>
        <v>114451321.21084119</v>
      </c>
      <c r="AB30" s="441" cm="1">
        <f t="array" ref="AB30">_xlfn.XLOOKUP(1, ('0. GUIDELINES'!$E$3='[1]input-mpo'!$A:$A) * (AB$7='[1]input-mpo'!$B:$B) * ($A30='[1]input-mpo'!$C:$C), '[1]input-mpo'!$D:$D)</f>
        <v>115883938.23328955</v>
      </c>
      <c r="AC30" s="441" cm="1">
        <f t="array" ref="AC30">_xlfn.XLOOKUP(1, ('0. GUIDELINES'!$E$3='[1]input-mpo'!$A:$A) * (AC$7='[1]input-mpo'!$B:$B) * ($A30='[1]input-mpo'!$C:$C), '[1]input-mpo'!$D:$D)</f>
        <v>117250973.34467895</v>
      </c>
    </row>
    <row r="31" spans="1:29" ht="14.45" customHeight="1" x14ac:dyDescent="0.25">
      <c r="A31" s="95" t="s">
        <v>640</v>
      </c>
      <c r="B31" s="305"/>
      <c r="C31" s="99"/>
      <c r="D31" s="99"/>
      <c r="E31" s="99"/>
      <c r="F31" s="99"/>
      <c r="G31" s="99"/>
      <c r="H31" s="431" t="s">
        <v>641</v>
      </c>
      <c r="I31" s="440" cm="1">
        <f t="array" ref="I31">_xlfn.XLOOKUP(1, ('0. GUIDELINES'!$E$3='[1]input-mpo'!$A:$A) * (I$7='[1]input-mpo'!$B:$B) * ($A31='[1]input-mpo'!$C:$C), '[1]input-mpo'!$D:$D)</f>
        <v>88987587</v>
      </c>
      <c r="J31" s="440" cm="1">
        <f t="array" ref="J31">_xlfn.XLOOKUP(1, ('0. GUIDELINES'!$E$3='[1]input-mpo'!$A:$A) * (J$7='[1]input-mpo'!$B:$B) * ($A31='[1]input-mpo'!$C:$C), '[1]input-mpo'!$D:$D)</f>
        <v>90285654.5</v>
      </c>
      <c r="K31" s="440" cm="1">
        <f t="array" ref="K31">_xlfn.XLOOKUP(1, ('0. GUIDELINES'!$E$3='[1]input-mpo'!$A:$A) * (K$7='[1]input-mpo'!$B:$B) * ($A31='[1]input-mpo'!$C:$C), '[1]input-mpo'!$D:$D)</f>
        <v>91513536</v>
      </c>
      <c r="L31" s="440" cm="1">
        <f t="array" ref="L31">_xlfn.XLOOKUP(1, ('0. GUIDELINES'!$E$3='[1]input-mpo'!$A:$A) * (L$7='[1]input-mpo'!$B:$B) * ($A31='[1]input-mpo'!$C:$C), '[1]input-mpo'!$D:$D)</f>
        <v>92729412</v>
      </c>
      <c r="M31" s="440" cm="1">
        <f t="array" ref="M31">_xlfn.XLOOKUP(1, ('0. GUIDELINES'!$E$3='[1]input-mpo'!$A:$A) * (M$7='[1]input-mpo'!$B:$B) * ($A31='[1]input-mpo'!$C:$C), '[1]input-mpo'!$D:$D)</f>
        <v>93970006.5</v>
      </c>
      <c r="N31" s="440" cm="1">
        <f t="array" ref="N31">_xlfn.XLOOKUP(1, ('0. GUIDELINES'!$E$3='[1]input-mpo'!$A:$A) * (N$7='[1]input-mpo'!$B:$B) * ($A31='[1]input-mpo'!$C:$C), '[1]input-mpo'!$D:$D)</f>
        <v>95340177.5</v>
      </c>
      <c r="O31" s="440" cm="1">
        <f t="array" ref="O31">_xlfn.XLOOKUP(1, ('0. GUIDELINES'!$E$3='[1]input-mpo'!$A:$A) * (O$7='[1]input-mpo'!$B:$B) * ($A31='[1]input-mpo'!$C:$C), '[1]input-mpo'!$D:$D)</f>
        <v>96894688.5</v>
      </c>
      <c r="P31" s="440" cm="1">
        <f t="array" ref="P31">_xlfn.XLOOKUP(1, ('0. GUIDELINES'!$E$3='[1]input-mpo'!$A:$A) * (P$7='[1]input-mpo'!$B:$B) * ($A31='[1]input-mpo'!$C:$C), '[1]input-mpo'!$D:$D)</f>
        <v>98536132.5</v>
      </c>
      <c r="Q31" s="440" cm="1">
        <f t="array" ref="Q31">_xlfn.XLOOKUP(1, ('0. GUIDELINES'!$E$3='[1]input-mpo'!$A:$A) * (Q$7='[1]input-mpo'!$B:$B) * ($A31='[1]input-mpo'!$C:$C), '[1]input-mpo'!$D:$D)</f>
        <v>100208409.5</v>
      </c>
      <c r="R31" s="440" cm="1">
        <f t="array" ref="R31">_xlfn.XLOOKUP(1, ('0. GUIDELINES'!$E$3='[1]input-mpo'!$A:$A) * (R$7='[1]input-mpo'!$B:$B) * ($A31='[1]input-mpo'!$C:$C), '[1]input-mpo'!$D:$D)</f>
        <v>101869851</v>
      </c>
      <c r="S31" s="440" cm="1">
        <f t="array" ref="S31">_xlfn.XLOOKUP(1, ('0. GUIDELINES'!$E$3='[1]input-mpo'!$A:$A) * (S$7='[1]input-mpo'!$B:$B) * ($A31='[1]input-mpo'!$C:$C), '[1]input-mpo'!$D:$D)</f>
        <v>103501312.5</v>
      </c>
      <c r="T31" s="440" cm="1">
        <f t="array" ref="T31">_xlfn.XLOOKUP(1, ('0. GUIDELINES'!$E$3='[1]input-mpo'!$A:$A) * (T$7='[1]input-mpo'!$B:$B) * ($A31='[1]input-mpo'!$C:$C), '[1]input-mpo'!$D:$D)</f>
        <v>104877347.5</v>
      </c>
      <c r="U31" s="440" cm="1">
        <f t="array" ref="U31">_xlfn.XLOOKUP(1, ('0. GUIDELINES'!$E$3='[1]input-mpo'!$A:$A) * (U$7='[1]input-mpo'!$B:$B) * ($A31='[1]input-mpo'!$C:$C), '[1]input-mpo'!$D:$D)</f>
        <v>105958585</v>
      </c>
      <c r="V31" s="440" cm="1">
        <f t="array" ref="V31">_xlfn.XLOOKUP(1, ('0. GUIDELINES'!$E$3='[1]input-mpo'!$A:$A) * (V$7='[1]input-mpo'!$B:$B) * ($A31='[1]input-mpo'!$C:$C), '[1]input-mpo'!$D:$D)</f>
        <v>106964718</v>
      </c>
      <c r="W31" s="440" cm="1">
        <f t="array" ref="W31">_xlfn.XLOOKUP(1, ('0. GUIDELINES'!$E$3='[1]input-mpo'!$A:$A) * (W$7='[1]input-mpo'!$B:$B) * ($A31='[1]input-mpo'!$C:$C), '[1]input-mpo'!$D:$D)</f>
        <v>107938076.5</v>
      </c>
      <c r="X31" s="440" cm="1">
        <f t="array" ref="X31">_xlfn.XLOOKUP(1, ('0. GUIDELINES'!$E$3='[1]input-mpo'!$A:$A) * (X$7='[1]input-mpo'!$B:$B) * ($A31='[1]input-mpo'!$C:$C), '[1]input-mpo'!$D:$D)</f>
        <v>108897252.5</v>
      </c>
      <c r="Y31" s="440" cm="1">
        <f t="array" ref="Y31">_xlfn.XLOOKUP(1, ('0. GUIDELINES'!$E$3='[1]input-mpo'!$A:$A) * (Y$7='[1]input-mpo'!$B:$B) * ($A31='[1]input-mpo'!$C:$C), '[1]input-mpo'!$D:$D)</f>
        <v>110260679.5</v>
      </c>
      <c r="Z31" s="441" cm="1">
        <f t="array" ref="Z31">_xlfn.XLOOKUP(1, ('0. GUIDELINES'!$E$3='[1]input-mpo'!$A:$A) * (Z$7='[1]input-mpo'!$B:$B) * ($A31='[1]input-mpo'!$C:$C), '[1]input-mpo'!$D:$D)</f>
        <v>111999785.5</v>
      </c>
      <c r="AA31" s="441" cm="1">
        <f t="array" ref="AA31">_xlfn.XLOOKUP(1, ('0. GUIDELINES'!$E$3='[1]input-mpo'!$A:$A) * (AA$7='[1]input-mpo'!$B:$B) * ($A31='[1]input-mpo'!$C:$C), '[1]input-mpo'!$D:$D)</f>
        <v>113705228.5</v>
      </c>
      <c r="AB31" s="441" cm="1">
        <f t="array" ref="AB31">_xlfn.XLOOKUP(1, ('0. GUIDELINES'!$E$3='[1]input-mpo'!$A:$A) * (AB$7='[1]input-mpo'!$B:$B) * ($A31='[1]input-mpo'!$C:$C), '[1]input-mpo'!$D:$D)</f>
        <v>115401404</v>
      </c>
      <c r="AC31" s="441" cm="1">
        <f t="array" ref="AC31">_xlfn.XLOOKUP(1, ('0. GUIDELINES'!$E$3='[1]input-mpo'!$A:$A) * (AC$7='[1]input-mpo'!$B:$B) * ($A31='[1]input-mpo'!$C:$C), '[1]input-mpo'!$D:$D)</f>
        <v>117061314</v>
      </c>
    </row>
    <row r="32" spans="1:29" ht="15" x14ac:dyDescent="0.25">
      <c r="A32" s="95"/>
      <c r="B32" s="305"/>
      <c r="C32" s="483" t="s">
        <v>128</v>
      </c>
      <c r="D32" s="483"/>
      <c r="E32" s="483"/>
      <c r="F32" s="483"/>
      <c r="G32" s="99"/>
      <c r="H32" s="422"/>
      <c r="I32" s="316"/>
      <c r="J32" s="316"/>
      <c r="K32" s="316"/>
      <c r="L32" s="316"/>
      <c r="M32" s="316"/>
      <c r="N32" s="316"/>
      <c r="O32" s="316"/>
      <c r="P32" s="316"/>
      <c r="Q32" s="316"/>
      <c r="R32" s="316"/>
      <c r="S32" s="316"/>
      <c r="T32" s="316"/>
      <c r="U32" s="316"/>
      <c r="V32" s="316"/>
      <c r="W32" s="316"/>
      <c r="X32" s="316"/>
      <c r="Y32" s="316"/>
      <c r="Z32" s="149"/>
      <c r="AA32" s="149"/>
      <c r="AB32" s="149"/>
      <c r="AC32" s="149"/>
    </row>
    <row r="33" spans="1:37" ht="14.25" x14ac:dyDescent="0.2">
      <c r="A33" s="31"/>
      <c r="B33" s="99"/>
      <c r="C33" s="483"/>
      <c r="D33" s="483"/>
      <c r="E33" s="483"/>
      <c r="F33" s="483"/>
      <c r="G33" s="99"/>
      <c r="H33" s="307"/>
      <c r="I33" s="307"/>
      <c r="J33" s="307"/>
      <c r="K33" s="307"/>
      <c r="L33" s="307"/>
      <c r="M33" s="307"/>
      <c r="N33" s="307"/>
      <c r="O33" s="307"/>
      <c r="P33" s="307"/>
      <c r="Q33" s="307"/>
      <c r="R33" s="307"/>
      <c r="S33" s="307"/>
      <c r="T33" s="308"/>
      <c r="U33" s="308"/>
      <c r="V33" s="308"/>
      <c r="W33" s="308"/>
      <c r="X33" s="308"/>
      <c r="Y33" s="308"/>
      <c r="Z33" s="308"/>
      <c r="AA33" s="308"/>
      <c r="AB33" s="308"/>
      <c r="AC33" s="309"/>
      <c r="AD33" s="128"/>
      <c r="AE33" s="104"/>
      <c r="AF33" s="104"/>
      <c r="AG33" s="104"/>
      <c r="AH33" s="104"/>
      <c r="AI33" s="104"/>
      <c r="AK33" s="31"/>
    </row>
    <row r="34" spans="1:37" ht="15" x14ac:dyDescent="0.25">
      <c r="A34" s="31"/>
      <c r="B34" s="99"/>
      <c r="C34" s="484" t="s">
        <v>129</v>
      </c>
      <c r="D34" s="484"/>
      <c r="E34" s="484"/>
      <c r="F34" s="484"/>
      <c r="G34" s="99"/>
      <c r="H34" s="477" t="s">
        <v>603</v>
      </c>
      <c r="I34" s="477"/>
      <c r="J34" s="477"/>
      <c r="K34" s="477"/>
      <c r="L34" s="477"/>
      <c r="M34" s="477"/>
      <c r="N34" s="477"/>
      <c r="O34" s="477"/>
      <c r="P34" s="477"/>
      <c r="Q34" s="477"/>
      <c r="R34" s="477"/>
      <c r="S34" s="477"/>
      <c r="T34" s="477"/>
      <c r="U34" s="477"/>
      <c r="V34" s="477"/>
      <c r="W34" s="477"/>
      <c r="X34" s="477"/>
      <c r="Y34" s="477"/>
      <c r="Z34" s="477"/>
      <c r="AA34" s="477"/>
      <c r="AB34" s="477"/>
      <c r="AC34" s="477"/>
      <c r="AD34" s="101"/>
      <c r="AE34" s="101"/>
      <c r="AF34" s="101"/>
      <c r="AG34" s="101"/>
      <c r="AH34" s="101"/>
      <c r="AI34" s="101"/>
      <c r="AK34" s="31"/>
    </row>
    <row r="35" spans="1:37" ht="15" x14ac:dyDescent="0.25">
      <c r="A35" s="95"/>
      <c r="B35" s="99"/>
      <c r="C35" s="121"/>
      <c r="D35" s="121"/>
      <c r="E35" s="121"/>
      <c r="F35" s="121"/>
      <c r="G35" s="99"/>
      <c r="H35" s="306"/>
      <c r="I35" s="306"/>
      <c r="J35" s="306"/>
      <c r="K35" s="306"/>
      <c r="L35" s="306"/>
      <c r="M35" s="306"/>
      <c r="N35" s="306"/>
      <c r="O35" s="306"/>
      <c r="P35" s="306"/>
      <c r="Q35" s="306"/>
      <c r="R35" s="306"/>
      <c r="S35" s="306"/>
      <c r="T35" s="306"/>
      <c r="U35" s="306"/>
      <c r="V35" s="306"/>
      <c r="W35" s="306"/>
      <c r="X35" s="306"/>
      <c r="Y35" s="306"/>
      <c r="Z35" s="306"/>
      <c r="AA35" s="306"/>
      <c r="AB35" s="306"/>
      <c r="AC35" s="306"/>
      <c r="AK35" s="31"/>
    </row>
    <row r="36" spans="1:37" ht="15.75" customHeight="1" x14ac:dyDescent="0.25">
      <c r="A36" s="95"/>
      <c r="B36" s="99"/>
      <c r="C36" s="121"/>
      <c r="D36" s="121"/>
      <c r="E36" s="121"/>
      <c r="F36" s="121"/>
      <c r="G36" s="99"/>
      <c r="H36" s="145"/>
      <c r="I36" s="146"/>
      <c r="J36" s="146"/>
      <c r="K36" s="146"/>
      <c r="L36" s="146"/>
      <c r="M36" s="146"/>
      <c r="N36" s="146"/>
      <c r="O36" s="146"/>
      <c r="P36" s="146"/>
      <c r="Q36" s="146"/>
      <c r="R36" s="146"/>
      <c r="S36" s="146"/>
      <c r="T36" s="146"/>
      <c r="U36" s="478" t="s">
        <v>122</v>
      </c>
      <c r="V36" s="478"/>
      <c r="W36" s="478"/>
      <c r="X36" s="478"/>
      <c r="Y36" s="478"/>
      <c r="Z36" s="418"/>
      <c r="AA36" s="479" t="s">
        <v>7</v>
      </c>
      <c r="AB36" s="479"/>
      <c r="AC36" s="479"/>
      <c r="AD36" s="105"/>
      <c r="AE36" s="105"/>
      <c r="AF36" s="110"/>
      <c r="AG36" s="110"/>
      <c r="AH36" s="110"/>
      <c r="AI36" s="110"/>
      <c r="AK36" s="31"/>
    </row>
    <row r="37" spans="1:37" ht="15" x14ac:dyDescent="0.25">
      <c r="A37" s="95"/>
      <c r="B37" s="99"/>
      <c r="C37" s="121"/>
      <c r="D37" s="121"/>
      <c r="E37" s="121"/>
      <c r="F37" s="121"/>
      <c r="G37" s="99"/>
      <c r="H37" s="143"/>
      <c r="I37" s="143">
        <v>2006</v>
      </c>
      <c r="J37" s="143">
        <v>2007</v>
      </c>
      <c r="K37" s="143">
        <v>2008</v>
      </c>
      <c r="L37" s="143">
        <v>2009</v>
      </c>
      <c r="M37" s="143">
        <v>2010</v>
      </c>
      <c r="N37" s="143">
        <v>2011</v>
      </c>
      <c r="O37" s="143">
        <v>2012</v>
      </c>
      <c r="P37" s="143">
        <v>2013</v>
      </c>
      <c r="Q37" s="143">
        <v>2014</v>
      </c>
      <c r="R37" s="143">
        <v>2015</v>
      </c>
      <c r="S37" s="143">
        <v>2016</v>
      </c>
      <c r="T37" s="143">
        <v>2017</v>
      </c>
      <c r="U37" s="143">
        <v>2018</v>
      </c>
      <c r="V37" s="144">
        <v>2019</v>
      </c>
      <c r="W37" s="144">
        <v>2020</v>
      </c>
      <c r="X37" s="144">
        <v>2021</v>
      </c>
      <c r="Y37" s="144">
        <v>2022</v>
      </c>
      <c r="Z37" s="144">
        <v>2023</v>
      </c>
      <c r="AA37" s="144">
        <v>2024</v>
      </c>
      <c r="AB37" s="144">
        <v>2025</v>
      </c>
      <c r="AC37" s="144">
        <v>2026</v>
      </c>
    </row>
    <row r="38" spans="1:37" ht="15" x14ac:dyDescent="0.25">
      <c r="A38" s="95"/>
      <c r="B38" s="305"/>
      <c r="C38" s="121"/>
      <c r="D38" s="121"/>
      <c r="E38" s="121"/>
      <c r="F38" s="121"/>
      <c r="G38" s="99"/>
      <c r="H38" s="428" t="s">
        <v>124</v>
      </c>
      <c r="I38" s="435"/>
      <c r="J38" s="435"/>
      <c r="K38" s="435">
        <f t="shared" ref="K38:AC38" si="17">+(K8/J8-1)*100</f>
        <v>6.013791661848189</v>
      </c>
      <c r="L38" s="435">
        <f t="shared" si="17"/>
        <v>5.0451211281109964</v>
      </c>
      <c r="M38" s="435">
        <f t="shared" si="17"/>
        <v>5.5718020558965575</v>
      </c>
      <c r="N38" s="435">
        <f t="shared" si="17"/>
        <v>6.464383702439247</v>
      </c>
      <c r="O38" s="435">
        <f t="shared" si="17"/>
        <v>6.5214370673565503</v>
      </c>
      <c r="P38" s="435">
        <f t="shared" si="17"/>
        <v>6.0136003720140385</v>
      </c>
      <c r="Q38" s="435">
        <f t="shared" si="17"/>
        <v>6.0610860042506376</v>
      </c>
      <c r="R38" s="435">
        <f t="shared" si="17"/>
        <v>6.5526448353302902</v>
      </c>
      <c r="S38" s="435">
        <f t="shared" si="17"/>
        <v>7.1134728556473181</v>
      </c>
      <c r="T38" s="435">
        <f t="shared" si="17"/>
        <v>6.5902394107701268</v>
      </c>
      <c r="U38" s="435">
        <f t="shared" si="17"/>
        <v>7.3194122993388344</v>
      </c>
      <c r="V38" s="435">
        <f t="shared" si="17"/>
        <v>7.8819021854025229</v>
      </c>
      <c r="W38" s="435">
        <f t="shared" si="17"/>
        <v>3.4480295312287579</v>
      </c>
      <c r="X38" s="435">
        <f t="shared" si="17"/>
        <v>6.938675089101598</v>
      </c>
      <c r="Y38" s="435">
        <f t="shared" si="17"/>
        <v>7.099828775751571</v>
      </c>
      <c r="Z38" s="436">
        <f t="shared" si="17"/>
        <v>5.7751090753483725</v>
      </c>
      <c r="AA38" s="436">
        <f t="shared" si="17"/>
        <v>5.6430273201793835</v>
      </c>
      <c r="AB38" s="436">
        <f t="shared" si="17"/>
        <v>5.6820170690020433</v>
      </c>
      <c r="AC38" s="436">
        <f t="shared" si="17"/>
        <v>5.9219103171221699</v>
      </c>
    </row>
    <row r="39" spans="1:37" ht="15" x14ac:dyDescent="0.25">
      <c r="A39" s="95"/>
      <c r="B39" s="305"/>
      <c r="C39" s="121"/>
      <c r="D39" s="121"/>
      <c r="E39" s="121"/>
      <c r="F39" s="121"/>
      <c r="G39" s="99"/>
      <c r="H39" s="425" t="s">
        <v>29</v>
      </c>
      <c r="I39" s="437"/>
      <c r="J39" s="437"/>
      <c r="K39" s="437">
        <f t="shared" ref="K39:AC39" si="18">+(K9/J9-1)*100</f>
        <v>4.4938757400293516</v>
      </c>
      <c r="L39" s="437">
        <f t="shared" si="18"/>
        <v>3.4660891923604664</v>
      </c>
      <c r="M39" s="437">
        <f t="shared" si="18"/>
        <v>6.1519435527086719</v>
      </c>
      <c r="N39" s="437">
        <f t="shared" si="18"/>
        <v>4.4563670228880303</v>
      </c>
      <c r="O39" s="437">
        <f t="shared" si="18"/>
        <v>3.0142709526391753</v>
      </c>
      <c r="P39" s="437">
        <f t="shared" si="18"/>
        <v>2.4648910461216422</v>
      </c>
      <c r="Q39" s="437">
        <f t="shared" si="18"/>
        <v>4.3718634925824063</v>
      </c>
      <c r="R39" s="437">
        <f t="shared" si="18"/>
        <v>3.3283867971883652</v>
      </c>
      <c r="S39" s="437">
        <f t="shared" si="18"/>
        <v>-5.8045595843746911</v>
      </c>
      <c r="T39" s="437">
        <f t="shared" si="18"/>
        <v>3.1960072270621254</v>
      </c>
      <c r="U39" s="437">
        <f t="shared" si="18"/>
        <v>3.5445399011226009</v>
      </c>
      <c r="V39" s="437">
        <f t="shared" si="18"/>
        <v>3.2605776835202827</v>
      </c>
      <c r="W39" s="437">
        <f t="shared" si="18"/>
        <v>3.4209479315654878</v>
      </c>
      <c r="X39" s="437">
        <f t="shared" si="18"/>
        <v>3.17454046886958</v>
      </c>
      <c r="Y39" s="437">
        <f t="shared" si="18"/>
        <v>3.0539818698030574</v>
      </c>
      <c r="Z39" s="438">
        <f t="shared" si="18"/>
        <v>3.371439220677197</v>
      </c>
      <c r="AA39" s="438">
        <f t="shared" si="18"/>
        <v>3.100002396175694</v>
      </c>
      <c r="AB39" s="438">
        <f t="shared" si="18"/>
        <v>3.0999989831941299</v>
      </c>
      <c r="AC39" s="438">
        <f t="shared" si="18"/>
        <v>3.1999962429231976</v>
      </c>
    </row>
    <row r="40" spans="1:37" ht="15" x14ac:dyDescent="0.25">
      <c r="A40" s="95"/>
      <c r="B40" s="305"/>
      <c r="C40" s="121"/>
      <c r="D40" s="121"/>
      <c r="E40" s="121"/>
      <c r="F40" s="121"/>
      <c r="G40" s="99"/>
      <c r="H40" s="425" t="s">
        <v>31</v>
      </c>
      <c r="I40" s="437"/>
      <c r="J40" s="437"/>
      <c r="K40" s="437">
        <f t="shared" ref="K40:AC40" si="19">+(K10/J10-1)*100</f>
        <v>7.0335338683084725</v>
      </c>
      <c r="L40" s="437">
        <f t="shared" si="19"/>
        <v>6.9131695177126362</v>
      </c>
      <c r="M40" s="437">
        <f t="shared" si="19"/>
        <v>7.0322071741750314</v>
      </c>
      <c r="N40" s="437">
        <f t="shared" si="19"/>
        <v>9.0191292340379157</v>
      </c>
      <c r="O40" s="437">
        <f t="shared" si="19"/>
        <v>9.4355948417776947</v>
      </c>
      <c r="P40" s="437">
        <f t="shared" si="19"/>
        <v>9.6393622650473354</v>
      </c>
      <c r="Q40" s="437">
        <f t="shared" si="19"/>
        <v>8.160014195899624</v>
      </c>
      <c r="R40" s="437">
        <f t="shared" si="19"/>
        <v>9.6669049832264875</v>
      </c>
      <c r="S40" s="437">
        <f t="shared" si="19"/>
        <v>14.316120391568244</v>
      </c>
      <c r="T40" s="437">
        <f t="shared" si="19"/>
        <v>8.272164852544428</v>
      </c>
      <c r="U40" s="437">
        <f t="shared" si="19"/>
        <v>10.195813919851403</v>
      </c>
      <c r="V40" s="437">
        <f t="shared" si="19"/>
        <v>11.633323452290089</v>
      </c>
      <c r="W40" s="437">
        <f t="shared" si="19"/>
        <v>3.6110899625822368</v>
      </c>
      <c r="X40" s="437">
        <f t="shared" si="19"/>
        <v>10.287102628335987</v>
      </c>
      <c r="Y40" s="437">
        <f t="shared" si="19"/>
        <v>9.8556838112562986</v>
      </c>
      <c r="Z40" s="438">
        <f t="shared" si="19"/>
        <v>8.367331362803121</v>
      </c>
      <c r="AA40" s="438">
        <f t="shared" si="19"/>
        <v>6.5999965256059889</v>
      </c>
      <c r="AB40" s="438">
        <f t="shared" si="19"/>
        <v>7.2000017982243092</v>
      </c>
      <c r="AC40" s="438">
        <f t="shared" si="19"/>
        <v>6.7999998202734169</v>
      </c>
    </row>
    <row r="41" spans="1:37" ht="15" x14ac:dyDescent="0.25">
      <c r="A41" s="95"/>
      <c r="B41" s="305"/>
      <c r="C41" s="121"/>
      <c r="D41" s="121"/>
      <c r="E41" s="121"/>
      <c r="F41" s="121"/>
      <c r="G41" s="99"/>
      <c r="H41" s="425" t="s">
        <v>33</v>
      </c>
      <c r="I41" s="437"/>
      <c r="J41" s="437"/>
      <c r="K41" s="437">
        <f t="shared" ref="K41:AC41" si="20">+(K11/J11-1)*100</f>
        <v>5.7623878123195471</v>
      </c>
      <c r="L41" s="437">
        <f t="shared" si="20"/>
        <v>5.0799684036820558</v>
      </c>
      <c r="M41" s="437">
        <f t="shared" si="20"/>
        <v>5.5288300687174052</v>
      </c>
      <c r="N41" s="437">
        <f t="shared" si="20"/>
        <v>6.2166220132312544</v>
      </c>
      <c r="O41" s="437">
        <f t="shared" si="20"/>
        <v>6.5760558664997637</v>
      </c>
      <c r="P41" s="437">
        <f t="shared" si="20"/>
        <v>5.5141616872384613</v>
      </c>
      <c r="Q41" s="437">
        <f t="shared" si="20"/>
        <v>5.6243542739221386</v>
      </c>
      <c r="R41" s="437">
        <f t="shared" si="20"/>
        <v>5.8010649091108979</v>
      </c>
      <c r="S41" s="437">
        <f t="shared" si="20"/>
        <v>6.9827692490399773</v>
      </c>
      <c r="T41" s="437">
        <f t="shared" si="20"/>
        <v>6.3749879584083402</v>
      </c>
      <c r="U41" s="437">
        <f t="shared" si="20"/>
        <v>6.5536210828342378</v>
      </c>
      <c r="V41" s="437">
        <f t="shared" si="20"/>
        <v>6.8798142311717436</v>
      </c>
      <c r="W41" s="437">
        <f t="shared" si="20"/>
        <v>3.9328627376918668</v>
      </c>
      <c r="X41" s="437">
        <f t="shared" si="20"/>
        <v>5.7321671253897755</v>
      </c>
      <c r="Y41" s="437">
        <f t="shared" si="20"/>
        <v>6.2566752865046649</v>
      </c>
      <c r="Z41" s="438">
        <f t="shared" si="20"/>
        <v>5.3712425094595062</v>
      </c>
      <c r="AA41" s="438">
        <f t="shared" si="20"/>
        <v>5.6386947578626945</v>
      </c>
      <c r="AB41" s="438">
        <f t="shared" si="20"/>
        <v>5.1098338337163707</v>
      </c>
      <c r="AC41" s="438">
        <f t="shared" si="20"/>
        <v>5.8214368743523703</v>
      </c>
    </row>
    <row r="42" spans="1:37" ht="15" x14ac:dyDescent="0.25">
      <c r="A42" s="95"/>
      <c r="B42" s="305"/>
      <c r="C42" s="121"/>
      <c r="D42" s="121"/>
      <c r="E42" s="121"/>
      <c r="F42" s="121"/>
      <c r="G42" s="99"/>
      <c r="H42" s="447" t="s">
        <v>601</v>
      </c>
      <c r="I42" s="448"/>
      <c r="J42" s="448"/>
      <c r="K42" s="449">
        <f t="shared" ref="K42:AC42" si="21">+(K12/J12-1)*100</f>
        <v>5.076742383915378</v>
      </c>
      <c r="L42" s="449">
        <f t="shared" si="21"/>
        <v>4.1246713361721365</v>
      </c>
      <c r="M42" s="449">
        <f t="shared" si="21"/>
        <v>4.3735004277628775</v>
      </c>
      <c r="N42" s="449">
        <f t="shared" si="21"/>
        <v>5.174533326497599</v>
      </c>
      <c r="O42" s="449">
        <f t="shared" si="21"/>
        <v>5.2049627499842988</v>
      </c>
      <c r="P42" s="449">
        <f t="shared" si="21"/>
        <v>4.678721048998713</v>
      </c>
      <c r="Q42" s="449">
        <f t="shared" si="21"/>
        <v>4.7478004115555361</v>
      </c>
      <c r="R42" s="449">
        <f t="shared" si="21"/>
        <v>5.2910676650377075</v>
      </c>
      <c r="S42" s="449">
        <f t="shared" si="21"/>
        <v>5.8032007602639935</v>
      </c>
      <c r="T42" s="449">
        <f t="shared" si="21"/>
        <v>5.2664524324271822</v>
      </c>
      <c r="U42" s="449">
        <f t="shared" si="21"/>
        <v>6.0802339229629077</v>
      </c>
      <c r="V42" s="449">
        <f t="shared" si="21"/>
        <v>6.6876524121165959</v>
      </c>
      <c r="W42" s="449">
        <f t="shared" si="21"/>
        <v>2.2711161046980344</v>
      </c>
      <c r="X42" s="449">
        <f t="shared" si="21"/>
        <v>5.7166433421792062</v>
      </c>
      <c r="Y42" s="449">
        <f t="shared" si="21"/>
        <v>5.9548430184038992</v>
      </c>
      <c r="Z42" s="450">
        <f t="shared" si="21"/>
        <v>4.6938726530462604</v>
      </c>
      <c r="AA42" s="450">
        <f t="shared" si="21"/>
        <v>4.5866633897880815</v>
      </c>
      <c r="AB42" s="450">
        <f t="shared" si="21"/>
        <v>4.6515087221147944</v>
      </c>
      <c r="AC42" s="450">
        <f t="shared" si="21"/>
        <v>4.9200393519387875</v>
      </c>
    </row>
    <row r="43" spans="1:37" ht="15" x14ac:dyDescent="0.25">
      <c r="A43" s="95"/>
      <c r="B43" s="305"/>
      <c r="C43" s="121"/>
      <c r="D43" s="121"/>
      <c r="E43" s="121"/>
      <c r="F43" s="121"/>
      <c r="G43" s="99"/>
      <c r="H43" s="421"/>
      <c r="I43" s="437"/>
      <c r="J43" s="437"/>
      <c r="K43" s="437"/>
      <c r="L43" s="437"/>
      <c r="M43" s="437"/>
      <c r="N43" s="437"/>
      <c r="O43" s="437"/>
      <c r="P43" s="437"/>
      <c r="Q43" s="437"/>
      <c r="R43" s="437"/>
      <c r="S43" s="437"/>
      <c r="T43" s="437"/>
      <c r="U43" s="437"/>
      <c r="V43" s="437"/>
      <c r="W43" s="437"/>
      <c r="X43" s="437"/>
      <c r="Y43" s="437"/>
      <c r="Z43" s="438"/>
      <c r="AA43" s="438"/>
      <c r="AB43" s="438"/>
      <c r="AC43" s="438"/>
    </row>
    <row r="44" spans="1:37" ht="15" x14ac:dyDescent="0.25">
      <c r="A44" s="95"/>
      <c r="B44" s="305"/>
      <c r="C44" s="121"/>
      <c r="D44" s="121"/>
      <c r="E44" s="121"/>
      <c r="F44" s="121"/>
      <c r="G44" s="99"/>
      <c r="H44" s="431" t="s">
        <v>124</v>
      </c>
      <c r="I44" s="435"/>
      <c r="J44" s="435">
        <f>+(J14/I14-1)*100</f>
        <v>7.0586362060701013</v>
      </c>
      <c r="K44" s="435">
        <f t="shared" ref="K44:AC44" si="22">+(K14/J14-1)*100</f>
        <v>6.0137897592330791</v>
      </c>
      <c r="L44" s="435">
        <f t="shared" si="22"/>
        <v>5.0451247941773802</v>
      </c>
      <c r="M44" s="435">
        <f t="shared" si="22"/>
        <v>5.5718022739686512</v>
      </c>
      <c r="N44" s="435">
        <f t="shared" si="22"/>
        <v>6.4643838804751663</v>
      </c>
      <c r="O44" s="435">
        <f t="shared" si="22"/>
        <v>6.5214350783733055</v>
      </c>
      <c r="P44" s="435">
        <f t="shared" si="22"/>
        <v>6.0135960674702282</v>
      </c>
      <c r="Q44" s="435">
        <f t="shared" si="22"/>
        <v>6.0610930537538854</v>
      </c>
      <c r="R44" s="435">
        <f t="shared" si="22"/>
        <v>6.5526462336533031</v>
      </c>
      <c r="S44" s="435">
        <f t="shared" si="22"/>
        <v>7.1134643652730256</v>
      </c>
      <c r="T44" s="435">
        <f t="shared" si="22"/>
        <v>6.5902445456167191</v>
      </c>
      <c r="U44" s="435">
        <f t="shared" si="22"/>
        <v>7.3194077798160562</v>
      </c>
      <c r="V44" s="435">
        <f t="shared" si="22"/>
        <v>7.8819067286135081</v>
      </c>
      <c r="W44" s="435">
        <f t="shared" si="22"/>
        <v>3.4480334348321984</v>
      </c>
      <c r="X44" s="435">
        <f t="shared" si="22"/>
        <v>6.9386710537790552</v>
      </c>
      <c r="Y44" s="435">
        <f t="shared" si="22"/>
        <v>7.0998252471007994</v>
      </c>
      <c r="Z44" s="436">
        <f t="shared" si="22"/>
        <v>5.775115855083901</v>
      </c>
      <c r="AA44" s="436">
        <f t="shared" si="22"/>
        <v>5.6430239712543573</v>
      </c>
      <c r="AB44" s="436">
        <f t="shared" si="22"/>
        <v>5.6820214633648725</v>
      </c>
      <c r="AC44" s="436">
        <f t="shared" si="22"/>
        <v>5.9219087847452778</v>
      </c>
    </row>
    <row r="45" spans="1:37" ht="15" x14ac:dyDescent="0.25">
      <c r="A45" s="95"/>
      <c r="B45" s="305"/>
      <c r="C45" s="121"/>
      <c r="D45" s="121"/>
      <c r="E45" s="121"/>
      <c r="F45" s="121"/>
      <c r="G45" s="99"/>
      <c r="H45" s="432" t="s">
        <v>29</v>
      </c>
      <c r="I45" s="437"/>
      <c r="J45" s="437">
        <f t="shared" ref="J45:J58" si="23">+(J15/I15-1)*100</f>
        <v>6.6924962778930119</v>
      </c>
      <c r="K45" s="437">
        <f t="shared" ref="K45:AC45" si="24">+(K15/J15-1)*100</f>
        <v>4.493867886429026</v>
      </c>
      <c r="L45" s="437">
        <f t="shared" si="24"/>
        <v>3.4660884570676176</v>
      </c>
      <c r="M45" s="437">
        <f t="shared" si="24"/>
        <v>6.1519471295687467</v>
      </c>
      <c r="N45" s="437">
        <f t="shared" si="24"/>
        <v>4.4563689946151008</v>
      </c>
      <c r="O45" s="437">
        <f t="shared" si="24"/>
        <v>3.0142714074249177</v>
      </c>
      <c r="P45" s="437">
        <f t="shared" si="24"/>
        <v>2.4648875369782886</v>
      </c>
      <c r="Q45" s="437">
        <f t="shared" si="24"/>
        <v>4.3718700526504062</v>
      </c>
      <c r="R45" s="437">
        <f t="shared" si="24"/>
        <v>3.3283810652028123</v>
      </c>
      <c r="S45" s="437">
        <f t="shared" si="24"/>
        <v>-5.8045578156384225</v>
      </c>
      <c r="T45" s="437">
        <f t="shared" si="24"/>
        <v>3.1960072270620588</v>
      </c>
      <c r="U45" s="437">
        <f t="shared" si="24"/>
        <v>3.5445399011226897</v>
      </c>
      <c r="V45" s="437">
        <f t="shared" si="24"/>
        <v>3.2605776835202605</v>
      </c>
      <c r="W45" s="437">
        <f t="shared" si="24"/>
        <v>3.4209479315653324</v>
      </c>
      <c r="X45" s="437">
        <f t="shared" si="24"/>
        <v>3.1745404688696022</v>
      </c>
      <c r="Y45" s="437">
        <f t="shared" si="24"/>
        <v>3.0539818698030352</v>
      </c>
      <c r="Z45" s="438">
        <f t="shared" si="24"/>
        <v>3.3714392206769972</v>
      </c>
      <c r="AA45" s="438">
        <f t="shared" si="24"/>
        <v>3.0999999999999917</v>
      </c>
      <c r="AB45" s="438">
        <f t="shared" si="24"/>
        <v>3.0999999999999917</v>
      </c>
      <c r="AC45" s="438">
        <f t="shared" si="24"/>
        <v>3.2000000000000028</v>
      </c>
    </row>
    <row r="46" spans="1:37" ht="15" x14ac:dyDescent="0.25">
      <c r="A46" s="95"/>
      <c r="B46" s="305"/>
      <c r="C46" s="121"/>
      <c r="D46" s="121"/>
      <c r="E46" s="121"/>
      <c r="F46" s="121"/>
      <c r="G46" s="99"/>
      <c r="H46" s="432" t="s">
        <v>31</v>
      </c>
      <c r="I46" s="437"/>
      <c r="J46" s="437">
        <f t="shared" si="23"/>
        <v>9.0278282356848205</v>
      </c>
      <c r="K46" s="437">
        <f t="shared" ref="K46:AC46" si="25">+(K16/J16-1)*100</f>
        <v>7.0335340392611689</v>
      </c>
      <c r="L46" s="437">
        <f t="shared" si="25"/>
        <v>6.9131732581569683</v>
      </c>
      <c r="M46" s="437">
        <f t="shared" si="25"/>
        <v>7.0322019580384865</v>
      </c>
      <c r="N46" s="437">
        <f t="shared" si="25"/>
        <v>9.0191301754434008</v>
      </c>
      <c r="O46" s="437">
        <f t="shared" si="25"/>
        <v>9.4355987612931624</v>
      </c>
      <c r="P46" s="437">
        <f t="shared" si="25"/>
        <v>9.6393589100867381</v>
      </c>
      <c r="Q46" s="437">
        <f t="shared" si="25"/>
        <v>8.160014235284363</v>
      </c>
      <c r="R46" s="437">
        <f t="shared" si="25"/>
        <v>9.6669048552676209</v>
      </c>
      <c r="S46" s="437">
        <f t="shared" si="25"/>
        <v>14.316122283989507</v>
      </c>
      <c r="T46" s="437">
        <f t="shared" si="25"/>
        <v>8.2721648525445168</v>
      </c>
      <c r="U46" s="437">
        <f t="shared" si="25"/>
        <v>10.19581391985116</v>
      </c>
      <c r="V46" s="437">
        <f t="shared" si="25"/>
        <v>11.633323452290023</v>
      </c>
      <c r="W46" s="437">
        <f t="shared" si="25"/>
        <v>3.6110899625823922</v>
      </c>
      <c r="X46" s="437">
        <f t="shared" si="25"/>
        <v>10.287102628335877</v>
      </c>
      <c r="Y46" s="437">
        <f t="shared" si="25"/>
        <v>9.8556838112562559</v>
      </c>
      <c r="Z46" s="438">
        <f t="shared" si="25"/>
        <v>8.367331362803121</v>
      </c>
      <c r="AA46" s="438">
        <f t="shared" si="25"/>
        <v>6.6000000000000059</v>
      </c>
      <c r="AB46" s="438">
        <f t="shared" si="25"/>
        <v>7.2000000000000064</v>
      </c>
      <c r="AC46" s="438">
        <f t="shared" si="25"/>
        <v>6.800000000000006</v>
      </c>
    </row>
    <row r="47" spans="1:37" ht="15" x14ac:dyDescent="0.25">
      <c r="A47" s="95"/>
      <c r="B47" s="305"/>
      <c r="C47" s="121"/>
      <c r="D47" s="121"/>
      <c r="E47" s="121"/>
      <c r="F47" s="121"/>
      <c r="G47" s="99"/>
      <c r="H47" s="421" t="s">
        <v>588</v>
      </c>
      <c r="I47" s="437"/>
      <c r="J47" s="437">
        <f t="shared" si="23"/>
        <v>6.7433952665648667</v>
      </c>
      <c r="K47" s="437">
        <f t="shared" ref="K47:AC47" si="26">+(K17/J17-1)*100</f>
        <v>5.9877893857283704</v>
      </c>
      <c r="L47" s="437">
        <f t="shared" si="26"/>
        <v>6.5774962308716933</v>
      </c>
      <c r="M47" s="437">
        <f t="shared" si="26"/>
        <v>7.2094397579831382</v>
      </c>
      <c r="N47" s="437">
        <f t="shared" si="26"/>
        <v>6.9532277699030587</v>
      </c>
      <c r="O47" s="437">
        <f t="shared" si="26"/>
        <v>8.4247002556692596</v>
      </c>
      <c r="P47" s="437">
        <f t="shared" si="26"/>
        <v>8.0426129516743892</v>
      </c>
      <c r="Q47" s="437">
        <f t="shared" si="26"/>
        <v>8.08216411515399</v>
      </c>
      <c r="R47" s="437">
        <f t="shared" si="26"/>
        <v>8.5993330613478811</v>
      </c>
      <c r="S47" s="437">
        <f t="shared" si="26"/>
        <v>22.586448645966328</v>
      </c>
      <c r="T47" s="437">
        <f t="shared" si="26"/>
        <v>9.7589328590923063</v>
      </c>
      <c r="U47" s="435">
        <f t="shared" si="26"/>
        <v>10.057274960653118</v>
      </c>
      <c r="V47" s="435">
        <f t="shared" si="26"/>
        <v>10.474449456332025</v>
      </c>
      <c r="W47" s="435">
        <f t="shared" si="26"/>
        <v>9.1258563629474487</v>
      </c>
      <c r="X47" s="435">
        <f t="shared" si="26"/>
        <v>8.0788559968487874</v>
      </c>
      <c r="Y47" s="435">
        <f t="shared" si="26"/>
        <v>8.7094316183575327</v>
      </c>
      <c r="Z47" s="436">
        <f t="shared" si="26"/>
        <v>6.9812897214777125</v>
      </c>
      <c r="AA47" s="436">
        <f t="shared" si="26"/>
        <v>1.6931574812975914</v>
      </c>
      <c r="AB47" s="436">
        <f t="shared" si="26"/>
        <v>7.0022712452559865</v>
      </c>
      <c r="AC47" s="436">
        <f t="shared" si="26"/>
        <v>9.1473918192328085</v>
      </c>
    </row>
    <row r="48" spans="1:37" ht="15" x14ac:dyDescent="0.25">
      <c r="A48" s="95"/>
      <c r="B48" s="305"/>
      <c r="C48" s="121"/>
      <c r="D48" s="121"/>
      <c r="E48" s="121"/>
      <c r="F48" s="121"/>
      <c r="G48" s="99"/>
      <c r="H48" s="421" t="s">
        <v>589</v>
      </c>
      <c r="I48" s="435"/>
      <c r="J48" s="435">
        <f t="shared" si="23"/>
        <v>9.8164366582488949</v>
      </c>
      <c r="K48" s="435">
        <f t="shared" ref="K48:AC48" si="27">+(K18/J18-1)*100</f>
        <v>7.3844331840863919</v>
      </c>
      <c r="L48" s="435">
        <f t="shared" si="27"/>
        <v>7.0243445832813833</v>
      </c>
      <c r="M48" s="435">
        <f t="shared" si="27"/>
        <v>6.9737484676685169</v>
      </c>
      <c r="N48" s="435">
        <f t="shared" si="27"/>
        <v>9.7019713678047523</v>
      </c>
      <c r="O48" s="435">
        <f t="shared" si="27"/>
        <v>9.7613581407400396</v>
      </c>
      <c r="P48" s="435">
        <f t="shared" si="27"/>
        <v>10.1476400065023</v>
      </c>
      <c r="Q48" s="435">
        <f t="shared" si="27"/>
        <v>8.1843221274948483</v>
      </c>
      <c r="R48" s="435">
        <f t="shared" si="27"/>
        <v>9.9999283005072215</v>
      </c>
      <c r="S48" s="435">
        <f t="shared" si="27"/>
        <v>11.769086054161694</v>
      </c>
      <c r="T48" s="435">
        <f t="shared" si="27"/>
        <v>7.7699651564186567</v>
      </c>
      <c r="U48" s="435">
        <f t="shared" si="27"/>
        <v>10.243473179609763</v>
      </c>
      <c r="V48" s="435">
        <f t="shared" si="27"/>
        <v>12.031318307584971</v>
      </c>
      <c r="W48" s="435">
        <f t="shared" si="27"/>
        <v>1.7434603096140089</v>
      </c>
      <c r="X48" s="435">
        <f t="shared" si="27"/>
        <v>11.089209759265529</v>
      </c>
      <c r="Y48" s="435">
        <f t="shared" si="27"/>
        <v>10.260757320076387</v>
      </c>
      <c r="Z48" s="436">
        <f t="shared" si="27"/>
        <v>8.8502524776017388</v>
      </c>
      <c r="AA48" s="436">
        <f t="shared" si="27"/>
        <v>8.280275228269641</v>
      </c>
      <c r="AB48" s="436">
        <f t="shared" si="27"/>
        <v>7.2635902477755643</v>
      </c>
      <c r="AC48" s="436">
        <f t="shared" si="27"/>
        <v>6.0469098981218439</v>
      </c>
    </row>
    <row r="49" spans="1:37" ht="15" x14ac:dyDescent="0.25">
      <c r="A49" s="95"/>
      <c r="B49" s="305"/>
      <c r="C49" s="121"/>
      <c r="D49" s="121"/>
      <c r="E49" s="121"/>
      <c r="F49" s="121"/>
      <c r="G49" s="99"/>
      <c r="H49" s="432" t="s">
        <v>33</v>
      </c>
      <c r="I49" s="310"/>
      <c r="J49" s="310">
        <f t="shared" si="23"/>
        <v>6.4851141240002574</v>
      </c>
      <c r="K49" s="310">
        <f t="shared" ref="K49:AC49" si="28">+(K19/J19-1)*100</f>
        <v>5.7623827238199921</v>
      </c>
      <c r="L49" s="310">
        <f t="shared" si="28"/>
        <v>5.0799702449283446</v>
      </c>
      <c r="M49" s="310">
        <f t="shared" si="28"/>
        <v>5.5288293397825594</v>
      </c>
      <c r="N49" s="310">
        <f t="shared" si="28"/>
        <v>6.2166258766456206</v>
      </c>
      <c r="O49" s="310">
        <f t="shared" si="28"/>
        <v>6.5760565415534433</v>
      </c>
      <c r="P49" s="310">
        <f t="shared" si="28"/>
        <v>5.5141562639144492</v>
      </c>
      <c r="Q49" s="310">
        <f t="shared" si="28"/>
        <v>5.6243574779278438</v>
      </c>
      <c r="R49" s="310">
        <f t="shared" si="28"/>
        <v>5.8010617659051578</v>
      </c>
      <c r="S49" s="310">
        <f t="shared" si="28"/>
        <v>6.9827719805098054</v>
      </c>
      <c r="T49" s="310">
        <f t="shared" si="28"/>
        <v>6.374987958408318</v>
      </c>
      <c r="U49" s="310">
        <f t="shared" si="28"/>
        <v>6.5536210828342822</v>
      </c>
      <c r="V49" s="310">
        <f t="shared" si="28"/>
        <v>6.8798142311718102</v>
      </c>
      <c r="W49" s="310">
        <f t="shared" si="28"/>
        <v>3.9328627376917336</v>
      </c>
      <c r="X49" s="310">
        <f t="shared" si="28"/>
        <v>5.7321671253898643</v>
      </c>
      <c r="Y49" s="310">
        <f t="shared" si="28"/>
        <v>6.2566752865046649</v>
      </c>
      <c r="Z49" s="147">
        <f t="shared" si="28"/>
        <v>5.3712425094595506</v>
      </c>
      <c r="AA49" s="147">
        <f t="shared" si="28"/>
        <v>5.6386929475692904</v>
      </c>
      <c r="AB49" s="147">
        <f t="shared" si="28"/>
        <v>5.1098360667288345</v>
      </c>
      <c r="AC49" s="147">
        <f t="shared" si="28"/>
        <v>5.8214342249091944</v>
      </c>
    </row>
    <row r="50" spans="1:37" ht="15" x14ac:dyDescent="0.25">
      <c r="A50" s="95"/>
      <c r="B50" s="305"/>
      <c r="C50" s="121"/>
      <c r="D50" s="121"/>
      <c r="E50" s="121"/>
      <c r="F50" s="121"/>
      <c r="G50" s="99"/>
      <c r="H50" s="421" t="s">
        <v>593</v>
      </c>
      <c r="I50" s="435"/>
      <c r="J50" s="435">
        <f t="shared" si="23"/>
        <v>9.4215468295678626</v>
      </c>
      <c r="K50" s="435">
        <f t="shared" ref="K50:AC50" si="29">+(K20/J20-1)*100</f>
        <v>8.2562230930318226</v>
      </c>
      <c r="L50" s="435">
        <f t="shared" si="29"/>
        <v>8.0521665371169995</v>
      </c>
      <c r="M50" s="435">
        <f t="shared" si="29"/>
        <v>7.5484235113780995</v>
      </c>
      <c r="N50" s="435">
        <f t="shared" si="29"/>
        <v>8.4421562006532724</v>
      </c>
      <c r="O50" s="435">
        <f t="shared" si="29"/>
        <v>9.1507737643105713</v>
      </c>
      <c r="P50" s="435">
        <f t="shared" si="29"/>
        <v>6.2738598348670349</v>
      </c>
      <c r="Q50" s="435">
        <f t="shared" si="29"/>
        <v>6.0466675379182933</v>
      </c>
      <c r="R50" s="435">
        <f t="shared" si="29"/>
        <v>5.9642268195791104</v>
      </c>
      <c r="S50" s="435">
        <f t="shared" si="29"/>
        <v>-13.733305589496858</v>
      </c>
      <c r="T50" s="435">
        <f t="shared" si="29"/>
        <v>6.4279198876536325</v>
      </c>
      <c r="U50" s="435">
        <f t="shared" si="29"/>
        <v>6.7417883797705969</v>
      </c>
      <c r="V50" s="435">
        <f t="shared" si="29"/>
        <v>7.0567185043481917</v>
      </c>
      <c r="W50" s="435">
        <f t="shared" si="29"/>
        <v>2.4014187197080705</v>
      </c>
      <c r="X50" s="435">
        <f t="shared" si="29"/>
        <v>4.4817650426980826</v>
      </c>
      <c r="Y50" s="435">
        <f t="shared" si="29"/>
        <v>5.6083104884278701</v>
      </c>
      <c r="Z50" s="436">
        <f t="shared" si="29"/>
        <v>5.6143942173537686</v>
      </c>
      <c r="AA50" s="436">
        <f t="shared" si="29"/>
        <v>6.7137664498186256</v>
      </c>
      <c r="AB50" s="436">
        <f t="shared" si="29"/>
        <v>8.9572838413643829</v>
      </c>
      <c r="AC50" s="436">
        <f t="shared" si="29"/>
        <v>8.9733487922753596</v>
      </c>
    </row>
    <row r="51" spans="1:37" ht="15" x14ac:dyDescent="0.25">
      <c r="A51" s="95"/>
      <c r="B51" s="305"/>
      <c r="C51" s="121"/>
      <c r="D51" s="121"/>
      <c r="E51" s="121"/>
      <c r="F51" s="121"/>
      <c r="G51" s="99"/>
      <c r="H51" s="421" t="s">
        <v>594</v>
      </c>
      <c r="I51" s="437"/>
      <c r="J51" s="437">
        <f t="shared" si="23"/>
        <v>6.4934716518118663</v>
      </c>
      <c r="K51" s="437">
        <f t="shared" ref="K51:AC51" si="30">+(K21/J21-1)*100</f>
        <v>3.9213948697277123</v>
      </c>
      <c r="L51" s="437">
        <f t="shared" si="30"/>
        <v>-2.7763758377907788E-2</v>
      </c>
      <c r="M51" s="437">
        <f t="shared" si="30"/>
        <v>6.2458798185289544</v>
      </c>
      <c r="N51" s="437">
        <f t="shared" si="30"/>
        <v>10.443735262259102</v>
      </c>
      <c r="O51" s="437">
        <f t="shared" si="30"/>
        <v>14.758306872198791</v>
      </c>
      <c r="P51" s="437">
        <f t="shared" si="30"/>
        <v>9.1127412832822117</v>
      </c>
      <c r="Q51" s="437">
        <f t="shared" si="30"/>
        <v>7.2713812092139563</v>
      </c>
      <c r="R51" s="437">
        <f t="shared" si="30"/>
        <v>7.7817354508453951</v>
      </c>
      <c r="S51" s="437">
        <f t="shared" si="30"/>
        <v>3.947131211966548</v>
      </c>
      <c r="T51" s="437">
        <f t="shared" si="30"/>
        <v>5.3046182973832678</v>
      </c>
      <c r="U51" s="435">
        <f t="shared" si="30"/>
        <v>6.9390894205483944</v>
      </c>
      <c r="V51" s="435">
        <f t="shared" si="30"/>
        <v>8.2499184615364207</v>
      </c>
      <c r="W51" s="435">
        <f t="shared" si="30"/>
        <v>4.7201529933676545</v>
      </c>
      <c r="X51" s="435">
        <f t="shared" si="30"/>
        <v>5.818131913771829</v>
      </c>
      <c r="Y51" s="435">
        <f t="shared" si="30"/>
        <v>5.8709296491844309</v>
      </c>
      <c r="Z51" s="436">
        <f t="shared" si="30"/>
        <v>2.547885000779071</v>
      </c>
      <c r="AA51" s="436">
        <f t="shared" si="30"/>
        <v>6.5931688902191476</v>
      </c>
      <c r="AB51" s="436">
        <f t="shared" si="30"/>
        <v>6.800000000000006</v>
      </c>
      <c r="AC51" s="436">
        <f t="shared" si="30"/>
        <v>8.2000000000000064</v>
      </c>
    </row>
    <row r="52" spans="1:37" ht="15" x14ac:dyDescent="0.25">
      <c r="A52" s="95"/>
      <c r="B52" s="305"/>
      <c r="C52" s="121"/>
      <c r="D52" s="121"/>
      <c r="E52" s="121"/>
      <c r="F52" s="121"/>
      <c r="G52" s="99"/>
      <c r="H52" s="421" t="s">
        <v>595</v>
      </c>
      <c r="I52" s="437"/>
      <c r="J52" s="437">
        <f t="shared" si="23"/>
        <v>5.7795943701448138</v>
      </c>
      <c r="K52" s="437">
        <f t="shared" ref="K52:AC52" si="31">+(K22/J22-1)*100</f>
        <v>5.2791402204589222</v>
      </c>
      <c r="L52" s="437">
        <f t="shared" si="31"/>
        <v>4.6935809605995527</v>
      </c>
      <c r="M52" s="437">
        <f t="shared" si="31"/>
        <v>4.9466576730340162</v>
      </c>
      <c r="N52" s="437">
        <f t="shared" si="31"/>
        <v>5.3175333509488665</v>
      </c>
      <c r="O52" s="437">
        <f t="shared" si="31"/>
        <v>5.255075445732027</v>
      </c>
      <c r="P52" s="437">
        <f t="shared" si="31"/>
        <v>5.0049716897572871</v>
      </c>
      <c r="Q52" s="437">
        <f t="shared" si="31"/>
        <v>5.3631309995642029</v>
      </c>
      <c r="R52" s="437">
        <f t="shared" si="31"/>
        <v>5.5842043634376948</v>
      </c>
      <c r="S52" s="437">
        <f t="shared" si="31"/>
        <v>13.354315274524641</v>
      </c>
      <c r="T52" s="437">
        <f t="shared" si="31"/>
        <v>6.4485681572462372</v>
      </c>
      <c r="U52" s="435">
        <f t="shared" si="31"/>
        <v>6.4809680425400806</v>
      </c>
      <c r="V52" s="435">
        <f t="shared" si="31"/>
        <v>6.7313585379567442</v>
      </c>
      <c r="W52" s="435">
        <f t="shared" si="31"/>
        <v>4.2149443851431601</v>
      </c>
      <c r="X52" s="435">
        <f t="shared" si="31"/>
        <v>6.0023386923176769</v>
      </c>
      <c r="Y52" s="435">
        <f t="shared" si="31"/>
        <v>6.4294368901948173</v>
      </c>
      <c r="Z52" s="436">
        <f t="shared" si="31"/>
        <v>5.5451795194183973</v>
      </c>
      <c r="AA52" s="436">
        <f t="shared" si="31"/>
        <v>5.331062362169825</v>
      </c>
      <c r="AB52" s="436">
        <f t="shared" si="31"/>
        <v>4.1309550456509303</v>
      </c>
      <c r="AC52" s="436">
        <f t="shared" si="31"/>
        <v>4.9041472115346485</v>
      </c>
    </row>
    <row r="53" spans="1:37" ht="15" x14ac:dyDescent="0.25">
      <c r="A53" s="95"/>
      <c r="B53" s="305"/>
      <c r="C53" s="121"/>
      <c r="D53" s="121"/>
      <c r="E53" s="121"/>
      <c r="F53" s="121"/>
      <c r="G53" s="99"/>
      <c r="H53" s="431" t="s">
        <v>601</v>
      </c>
      <c r="I53" s="435"/>
      <c r="J53" s="435">
        <f>+(J23/I23-1)*100</f>
        <v>5.7536104920482778</v>
      </c>
      <c r="K53" s="435">
        <f t="shared" ref="K53:AC53" si="32">+(K23/J23-1)*100</f>
        <v>4.8060154053400472</v>
      </c>
      <c r="L53" s="435">
        <f t="shared" si="32"/>
        <v>3.8782366852764705</v>
      </c>
      <c r="M53" s="435">
        <f t="shared" si="32"/>
        <v>4.3914297599788377</v>
      </c>
      <c r="N53" s="435">
        <f t="shared" si="32"/>
        <v>5.253337516906087</v>
      </c>
      <c r="O53" s="435">
        <f t="shared" si="32"/>
        <v>5.2989561901779947</v>
      </c>
      <c r="P53" s="435">
        <f t="shared" si="32"/>
        <v>3.9321855304708997</v>
      </c>
      <c r="Q53" s="435">
        <f t="shared" si="32"/>
        <v>4.7478131842357829</v>
      </c>
      <c r="R53" s="435">
        <f t="shared" si="32"/>
        <v>5.2910670879302124</v>
      </c>
      <c r="S53" s="435">
        <f t="shared" si="32"/>
        <v>5.8031960568798224</v>
      </c>
      <c r="T53" s="435">
        <f t="shared" si="32"/>
        <v>5.2664503870241353</v>
      </c>
      <c r="U53" s="435">
        <f t="shared" si="32"/>
        <v>6.0802329745036854</v>
      </c>
      <c r="V53" s="435">
        <f t="shared" si="32"/>
        <v>6.6876543975628477</v>
      </c>
      <c r="W53" s="435">
        <f t="shared" si="32"/>
        <v>2.2711169969588108</v>
      </c>
      <c r="X53" s="435">
        <f t="shared" si="32"/>
        <v>5.7166411088059643</v>
      </c>
      <c r="Y53" s="435">
        <f t="shared" si="32"/>
        <v>5.9548407314181429</v>
      </c>
      <c r="Z53" s="436">
        <f t="shared" si="32"/>
        <v>4.6938783696208741</v>
      </c>
      <c r="AA53" s="436">
        <f t="shared" si="32"/>
        <v>4.5866663628849835</v>
      </c>
      <c r="AB53" s="436">
        <f t="shared" si="32"/>
        <v>4.6515083709341098</v>
      </c>
      <c r="AC53" s="436">
        <f t="shared" si="32"/>
        <v>4.9200409911033471</v>
      </c>
    </row>
    <row r="54" spans="1:37" ht="15" x14ac:dyDescent="0.25">
      <c r="A54" s="95"/>
      <c r="B54" s="305"/>
      <c r="C54" s="121"/>
      <c r="D54" s="121"/>
      <c r="E54" s="121"/>
      <c r="F54" s="121"/>
      <c r="G54" s="99"/>
      <c r="H54" s="439"/>
      <c r="I54" s="310"/>
      <c r="J54" s="310"/>
      <c r="K54" s="310"/>
      <c r="L54" s="310"/>
      <c r="M54" s="310"/>
      <c r="N54" s="310"/>
      <c r="O54" s="310"/>
      <c r="P54" s="310"/>
      <c r="Q54" s="310"/>
      <c r="R54" s="310"/>
      <c r="S54" s="310"/>
      <c r="T54" s="310"/>
      <c r="U54" s="310"/>
      <c r="V54" s="310"/>
      <c r="W54" s="310"/>
      <c r="X54" s="310"/>
      <c r="Y54" s="310"/>
      <c r="Z54" s="147"/>
      <c r="AA54" s="147"/>
      <c r="AB54" s="147"/>
      <c r="AC54" s="147"/>
    </row>
    <row r="55" spans="1:37" ht="15" x14ac:dyDescent="0.25">
      <c r="A55" s="95"/>
      <c r="B55" s="305"/>
      <c r="C55" s="121"/>
      <c r="D55" s="121"/>
      <c r="E55" s="121"/>
      <c r="F55" s="121"/>
      <c r="G55" s="99"/>
      <c r="H55" s="431" t="s">
        <v>606</v>
      </c>
      <c r="I55" s="437"/>
      <c r="J55" s="437"/>
      <c r="K55" s="437">
        <f t="shared" ref="K55:AC55" si="33">+(K25/J25-1)*100</f>
        <v>0.89177610256430118</v>
      </c>
      <c r="L55" s="437">
        <f t="shared" si="33"/>
        <v>0.88398818467061435</v>
      </c>
      <c r="M55" s="437">
        <f t="shared" si="33"/>
        <v>1.1480899109664433</v>
      </c>
      <c r="N55" s="437">
        <f t="shared" si="33"/>
        <v>1.2263903961784228</v>
      </c>
      <c r="O55" s="437">
        <f t="shared" si="33"/>
        <v>1.2513424110047078</v>
      </c>
      <c r="P55" s="437">
        <f t="shared" si="33"/>
        <v>1.2752155448961577</v>
      </c>
      <c r="Q55" s="437">
        <f t="shared" si="33"/>
        <v>1.2537595897337939</v>
      </c>
      <c r="R55" s="437">
        <f t="shared" si="33"/>
        <v>1.1981806227913339</v>
      </c>
      <c r="S55" s="437">
        <f t="shared" si="33"/>
        <v>1.2384049688177523</v>
      </c>
      <c r="T55" s="437">
        <f t="shared" si="33"/>
        <v>1.2575582702311738</v>
      </c>
      <c r="U55" s="310">
        <f t="shared" si="33"/>
        <v>1.1681520020740743</v>
      </c>
      <c r="V55" s="310">
        <f t="shared" si="33"/>
        <v>1.1193889323506179</v>
      </c>
      <c r="W55" s="310">
        <f t="shared" si="33"/>
        <v>1.1507779237745597</v>
      </c>
      <c r="X55" s="310">
        <f t="shared" si="33"/>
        <v>1.1559501969495622</v>
      </c>
      <c r="Y55" s="310">
        <f t="shared" si="33"/>
        <v>1.0806356035549802</v>
      </c>
      <c r="Z55" s="147">
        <f t="shared" si="33"/>
        <v>1.0327599838486412</v>
      </c>
      <c r="AA55" s="147">
        <f t="shared" si="33"/>
        <v>1.010036936023373</v>
      </c>
      <c r="AB55" s="147">
        <f t="shared" si="33"/>
        <v>0.98470472090717021</v>
      </c>
      <c r="AC55" s="147">
        <f t="shared" si="33"/>
        <v>0.95489000134925117</v>
      </c>
    </row>
    <row r="56" spans="1:37" ht="15" x14ac:dyDescent="0.25">
      <c r="A56" s="95"/>
      <c r="B56" s="305"/>
      <c r="C56" s="121"/>
      <c r="D56" s="121"/>
      <c r="E56" s="121"/>
      <c r="F56" s="121"/>
      <c r="G56" s="99"/>
      <c r="H56" s="431" t="s">
        <v>607</v>
      </c>
      <c r="I56" s="310"/>
      <c r="J56" s="310">
        <f t="shared" si="23"/>
        <v>1.23402473726415</v>
      </c>
      <c r="K56" s="310">
        <f t="shared" ref="K56:AC56" si="34">+(K26/J26-1)*100</f>
        <v>1.1523902986120937</v>
      </c>
      <c r="L56" s="310">
        <f t="shared" si="34"/>
        <v>1.1233229848098381</v>
      </c>
      <c r="M56" s="310">
        <f t="shared" si="34"/>
        <v>1.1307178345040247</v>
      </c>
      <c r="N56" s="310">
        <f t="shared" si="34"/>
        <v>1.1506013891241729</v>
      </c>
      <c r="O56" s="310">
        <f t="shared" si="34"/>
        <v>1.1609601200484931</v>
      </c>
      <c r="P56" s="310">
        <f t="shared" si="34"/>
        <v>2.0026621458749894</v>
      </c>
      <c r="Q56" s="310">
        <f t="shared" si="34"/>
        <v>1.253753973086047</v>
      </c>
      <c r="R56" s="310">
        <f t="shared" si="34"/>
        <v>1.1981825055201734</v>
      </c>
      <c r="S56" s="310">
        <f t="shared" si="34"/>
        <v>1.2384014445922853</v>
      </c>
      <c r="T56" s="310">
        <f t="shared" si="34"/>
        <v>1.2575651156902179</v>
      </c>
      <c r="U56" s="310">
        <f t="shared" si="34"/>
        <v>1.1681486461386337</v>
      </c>
      <c r="V56" s="310">
        <f t="shared" si="34"/>
        <v>1.1193913089516005</v>
      </c>
      <c r="W56" s="310">
        <f t="shared" si="34"/>
        <v>1.1507808582049472</v>
      </c>
      <c r="X56" s="310">
        <f t="shared" si="34"/>
        <v>1.155948516861538</v>
      </c>
      <c r="Y56" s="310">
        <f t="shared" si="34"/>
        <v>1.0806344549986635</v>
      </c>
      <c r="Z56" s="147">
        <f t="shared" si="34"/>
        <v>1.0327609429519047</v>
      </c>
      <c r="AA56" s="147">
        <f t="shared" si="34"/>
        <v>1.0100308625423882</v>
      </c>
      <c r="AB56" s="147">
        <f t="shared" si="34"/>
        <v>0.98470925882707672</v>
      </c>
      <c r="AC56" s="147">
        <f t="shared" si="34"/>
        <v>0.95488696361343273</v>
      </c>
    </row>
    <row r="57" spans="1:37" ht="15" x14ac:dyDescent="0.25">
      <c r="A57" s="95"/>
      <c r="B57" s="305"/>
      <c r="C57" s="121"/>
      <c r="D57" s="121"/>
      <c r="E57" s="121"/>
      <c r="F57" s="121"/>
      <c r="G57" s="99"/>
      <c r="H57" s="431" t="s">
        <v>608</v>
      </c>
      <c r="I57" s="310"/>
      <c r="J57" s="310">
        <f t="shared" si="23"/>
        <v>1.056660837387069</v>
      </c>
      <c r="K57" s="310">
        <f t="shared" ref="K57:AC57" si="35">+(K27/J27-1)*100</f>
        <v>0.89178594423233726</v>
      </c>
      <c r="L57" s="310">
        <f t="shared" si="35"/>
        <v>0.88397768475734217</v>
      </c>
      <c r="M57" s="310">
        <f t="shared" si="35"/>
        <v>1.1480918983924449</v>
      </c>
      <c r="N57" s="310">
        <f t="shared" si="35"/>
        <v>1.2263980263673258</v>
      </c>
      <c r="O57" s="310">
        <f t="shared" si="35"/>
        <v>1.2513357460060881</v>
      </c>
      <c r="P57" s="310">
        <f t="shared" si="35"/>
        <v>1.2752197539771082</v>
      </c>
      <c r="Q57" s="310">
        <f t="shared" si="35"/>
        <v>1.2537546304492997</v>
      </c>
      <c r="R57" s="310">
        <f t="shared" si="35"/>
        <v>1.1981825055201734</v>
      </c>
      <c r="S57" s="310">
        <f t="shared" si="35"/>
        <v>1.238400810999174</v>
      </c>
      <c r="T57" s="310">
        <f t="shared" si="35"/>
        <v>1.2575657494032777</v>
      </c>
      <c r="U57" s="310">
        <f t="shared" si="35"/>
        <v>1.1681486461386115</v>
      </c>
      <c r="V57" s="310">
        <f t="shared" si="35"/>
        <v>1.1193913089516005</v>
      </c>
      <c r="W57" s="310">
        <f t="shared" si="35"/>
        <v>1.1507808582049472</v>
      </c>
      <c r="X57" s="310">
        <f t="shared" si="35"/>
        <v>1.155948516861538</v>
      </c>
      <c r="Y57" s="310">
        <f t="shared" si="35"/>
        <v>1.0806338645273916</v>
      </c>
      <c r="Z57" s="147">
        <f t="shared" si="35"/>
        <v>1.0327615331435336</v>
      </c>
      <c r="AA57" s="147" t="e">
        <f t="shared" si="35"/>
        <v>#N/A</v>
      </c>
      <c r="AB57" s="147" t="e">
        <f t="shared" si="35"/>
        <v>#N/A</v>
      </c>
      <c r="AC57" s="147" t="e">
        <f t="shared" si="35"/>
        <v>#N/A</v>
      </c>
    </row>
    <row r="58" spans="1:37" ht="15" x14ac:dyDescent="0.25">
      <c r="A58" s="95"/>
      <c r="B58" s="305"/>
      <c r="C58" s="121"/>
      <c r="D58" s="121"/>
      <c r="E58" s="121"/>
      <c r="F58" s="121"/>
      <c r="G58" s="99"/>
      <c r="H58" s="431" t="s">
        <v>609</v>
      </c>
      <c r="I58" s="310"/>
      <c r="J58" s="310">
        <f t="shared" si="23"/>
        <v>1.0814480189225373</v>
      </c>
      <c r="K58" s="310">
        <f t="shared" ref="K58:AC58" si="36">+(K28/J28-1)*100</f>
        <v>1.0034412763335387</v>
      </c>
      <c r="L58" s="310">
        <f t="shared" si="36"/>
        <v>0.9362484666131099</v>
      </c>
      <c r="M58" s="310">
        <f t="shared" si="36"/>
        <v>0.88038364323688167</v>
      </c>
      <c r="N58" s="310">
        <f t="shared" si="36"/>
        <v>0.91266485909711204</v>
      </c>
      <c r="O58" s="310">
        <f t="shared" si="36"/>
        <v>0.96296350239437611</v>
      </c>
      <c r="P58" s="310">
        <f t="shared" si="36"/>
        <v>0.94282455860776881</v>
      </c>
      <c r="Q58" s="310">
        <f t="shared" si="36"/>
        <v>0.91533150663074547</v>
      </c>
      <c r="R58" s="310">
        <f t="shared" si="36"/>
        <v>0.89782619057747759</v>
      </c>
      <c r="S58" s="310">
        <f t="shared" si="36"/>
        <v>0.89642678039443258</v>
      </c>
      <c r="T58" s="310">
        <f t="shared" si="36"/>
        <v>0.85454728305065508</v>
      </c>
      <c r="U58" s="310">
        <f t="shared" si="36"/>
        <v>0.82433489471926968</v>
      </c>
      <c r="V58" s="310">
        <f t="shared" si="36"/>
        <v>0.85000313120890958</v>
      </c>
      <c r="W58" s="310">
        <f t="shared" si="36"/>
        <v>0.83981768453686989</v>
      </c>
      <c r="X58" s="310">
        <f t="shared" si="36"/>
        <v>0.81830828007913858</v>
      </c>
      <c r="Y58" s="310">
        <f t="shared" si="36"/>
        <v>1.0294970731772546</v>
      </c>
      <c r="Z58" s="147">
        <f t="shared" si="36"/>
        <v>1.2292078755132163</v>
      </c>
      <c r="AA58" s="147">
        <f t="shared" si="36"/>
        <v>1.2220276334237834</v>
      </c>
      <c r="AB58" s="147">
        <f t="shared" si="36"/>
        <v>1.2240761482137819</v>
      </c>
      <c r="AC58" s="147">
        <f t="shared" si="36"/>
        <v>1.2130358074877501</v>
      </c>
    </row>
    <row r="59" spans="1:37" ht="15" x14ac:dyDescent="0.25">
      <c r="A59" s="95"/>
      <c r="B59" s="305"/>
      <c r="C59" s="121"/>
      <c r="D59" s="121"/>
      <c r="E59" s="121"/>
      <c r="F59" s="121"/>
      <c r="G59" s="99"/>
      <c r="H59" s="439"/>
      <c r="I59" s="310"/>
      <c r="J59" s="310"/>
      <c r="K59" s="310"/>
      <c r="L59" s="310"/>
      <c r="M59" s="310"/>
      <c r="N59" s="310"/>
      <c r="O59" s="310"/>
      <c r="P59" s="310"/>
      <c r="Q59" s="310"/>
      <c r="R59" s="310"/>
      <c r="S59" s="310"/>
      <c r="T59" s="310"/>
      <c r="U59" s="310"/>
      <c r="V59" s="310"/>
      <c r="W59" s="310"/>
      <c r="X59" s="310"/>
      <c r="Y59" s="310"/>
      <c r="Z59" s="147"/>
      <c r="AA59" s="147"/>
      <c r="AB59" s="147"/>
      <c r="AC59" s="147"/>
    </row>
    <row r="60" spans="1:37" ht="15" x14ac:dyDescent="0.25">
      <c r="A60" s="95"/>
      <c r="B60" s="305"/>
      <c r="C60" s="121"/>
      <c r="D60" s="121"/>
      <c r="E60" s="121"/>
      <c r="F60" s="121"/>
      <c r="G60" s="99"/>
      <c r="H60" s="431" t="s">
        <v>638</v>
      </c>
      <c r="I60" s="310"/>
      <c r="J60" s="310" t="e">
        <f t="shared" ref="J60:J61" si="37">+(J30/I30-1)*100</f>
        <v>#N/A</v>
      </c>
      <c r="K60" s="310">
        <f t="shared" ref="K60:K61" si="38">+(K30/J30-1)*100</f>
        <v>1.2479368668521174</v>
      </c>
      <c r="L60" s="310">
        <f t="shared" ref="L60:L61" si="39">+(L30/K30-1)*100</f>
        <v>1.2761662400269547</v>
      </c>
      <c r="M60" s="310">
        <f t="shared" ref="M60:M61" si="40">+(M30/L30-1)*100</f>
        <v>1.6067854504880907</v>
      </c>
      <c r="N60" s="310">
        <f t="shared" ref="N60:N61" si="41">+(N30/M30-1)*100</f>
        <v>1.7735151833866869</v>
      </c>
      <c r="O60" s="310">
        <f t="shared" ref="O60:O61" si="42">+(O30/N30-1)*100</f>
        <v>1.920774438830275</v>
      </c>
      <c r="P60" s="310">
        <f t="shared" ref="P60:P61" si="43">+(P30/O30-1)*100</f>
        <v>2.0289141822368073</v>
      </c>
      <c r="Q60" s="310">
        <f t="shared" ref="Q60:Q61" si="44">+(Q30/P30-1)*100</f>
        <v>2.0381704756659458</v>
      </c>
      <c r="R60" s="310">
        <f t="shared" ref="R60:R61" si="45">+(R30/Q30-1)*100</f>
        <v>1.9606033891252705</v>
      </c>
      <c r="S60" s="310">
        <f t="shared" ref="S60:S61" si="46">+(S30/R30-1)*100</f>
        <v>1.9458835607185643</v>
      </c>
      <c r="T60" s="310">
        <f t="shared" ref="T60:T61" si="47">+(T30/S30-1)*100</f>
        <v>1.7343943787417659</v>
      </c>
      <c r="U60" s="310">
        <f t="shared" ref="U60:U61" si="48">+(U30/T30-1)*100</f>
        <v>1.3754759693307861</v>
      </c>
      <c r="V60" s="310">
        <f t="shared" ref="V60:V61" si="49">+(V30/U30-1)*100</f>
        <v>1.2192047873037515</v>
      </c>
      <c r="W60" s="310">
        <f t="shared" ref="W60:W61" si="50">+(W30/V30-1)*100</f>
        <v>1.2211574985699247</v>
      </c>
      <c r="X60" s="310">
        <f t="shared" ref="X60:X61" si="51">+(X30/W30-1)*100</f>
        <v>1.2265128825467375</v>
      </c>
      <c r="Y60" s="310">
        <f t="shared" ref="Y60:Y61" si="52">+(Y30/X30-1)*100</f>
        <v>1.3032818410749769</v>
      </c>
      <c r="Z60" s="147">
        <f t="shared" ref="Z60:Z61" si="53">+(Z30/Y30-1)*100</f>
        <v>1.3801442792440444</v>
      </c>
      <c r="AA60" s="147">
        <f t="shared" ref="AA60:AA61" si="54">+(AA30/Z30-1)*100</f>
        <v>1.3100994392190923</v>
      </c>
      <c r="AB60" s="147">
        <f t="shared" ref="AB60:AB61" si="55">+(AB30/AA30-1)*100</f>
        <v>1.2517260677220143</v>
      </c>
      <c r="AC60" s="147">
        <f t="shared" ref="AC60:AC61" si="56">+(AC30/AB30-1)*100</f>
        <v>1.1796588312673384</v>
      </c>
    </row>
    <row r="61" spans="1:37" ht="15" x14ac:dyDescent="0.25">
      <c r="A61" s="95"/>
      <c r="B61" s="305"/>
      <c r="C61" s="121"/>
      <c r="D61" s="121"/>
      <c r="E61" s="121"/>
      <c r="F61" s="121"/>
      <c r="G61" s="99"/>
      <c r="H61" s="431" t="s">
        <v>641</v>
      </c>
      <c r="I61" s="310"/>
      <c r="J61" s="310">
        <f t="shared" si="37"/>
        <v>1.4587062575367904</v>
      </c>
      <c r="K61" s="310">
        <f t="shared" si="38"/>
        <v>1.3599962328456172</v>
      </c>
      <c r="L61" s="310">
        <f t="shared" si="39"/>
        <v>1.3286296794388974</v>
      </c>
      <c r="M61" s="310">
        <f t="shared" si="40"/>
        <v>1.337865164075458</v>
      </c>
      <c r="N61" s="310">
        <f t="shared" si="41"/>
        <v>1.4580939717185215</v>
      </c>
      <c r="O61" s="310">
        <f t="shared" si="42"/>
        <v>1.630488888066095</v>
      </c>
      <c r="P61" s="310">
        <f t="shared" si="43"/>
        <v>1.6940495143859202</v>
      </c>
      <c r="Q61" s="310">
        <f t="shared" si="44"/>
        <v>1.6971205968531411</v>
      </c>
      <c r="R61" s="310">
        <f t="shared" si="45"/>
        <v>1.6579860994600404</v>
      </c>
      <c r="S61" s="310">
        <f t="shared" si="46"/>
        <v>1.6015155455562535</v>
      </c>
      <c r="T61" s="310">
        <f t="shared" si="47"/>
        <v>1.3294855560406438</v>
      </c>
      <c r="U61" s="310">
        <f t="shared" si="48"/>
        <v>1.0309542773285774</v>
      </c>
      <c r="V61" s="310">
        <f t="shared" si="49"/>
        <v>0.94955307302375669</v>
      </c>
      <c r="W61" s="310">
        <f t="shared" si="50"/>
        <v>0.90998089669156457</v>
      </c>
      <c r="X61" s="310">
        <f t="shared" si="51"/>
        <v>0.88863543904267317</v>
      </c>
      <c r="Y61" s="310">
        <f t="shared" si="52"/>
        <v>1.2520306699197903</v>
      </c>
      <c r="Z61" s="147">
        <f t="shared" si="53"/>
        <v>1.5772676242213901</v>
      </c>
      <c r="AA61" s="147">
        <f t="shared" si="54"/>
        <v>1.5227198805662034</v>
      </c>
      <c r="AB61" s="147">
        <f t="shared" si="55"/>
        <v>1.4917304352455529</v>
      </c>
      <c r="AC61" s="147">
        <f t="shared" si="56"/>
        <v>1.4383793805489598</v>
      </c>
    </row>
    <row r="62" spans="1:37" ht="15" x14ac:dyDescent="0.25">
      <c r="A62" s="95"/>
      <c r="B62" s="305"/>
      <c r="C62" s="121"/>
      <c r="D62" s="121"/>
      <c r="E62" s="121"/>
      <c r="F62" s="121"/>
      <c r="G62" s="99"/>
      <c r="H62" s="422"/>
      <c r="I62" s="316"/>
      <c r="J62" s="423"/>
      <c r="K62" s="423"/>
      <c r="L62" s="423"/>
      <c r="M62" s="423"/>
      <c r="N62" s="423"/>
      <c r="O62" s="423"/>
      <c r="P62" s="423"/>
      <c r="Q62" s="423"/>
      <c r="R62" s="423"/>
      <c r="S62" s="423"/>
      <c r="T62" s="423"/>
      <c r="U62" s="423"/>
      <c r="V62" s="423"/>
      <c r="W62" s="423"/>
      <c r="X62" s="423"/>
      <c r="Y62" s="423"/>
      <c r="Z62" s="424"/>
      <c r="AA62" s="424"/>
      <c r="AB62" s="424"/>
      <c r="AC62" s="424"/>
    </row>
    <row r="63" spans="1:37" ht="14.25" x14ac:dyDescent="0.2">
      <c r="A63" s="38"/>
      <c r="B63" s="121"/>
      <c r="C63" s="121"/>
      <c r="D63" s="121"/>
      <c r="E63" s="121"/>
      <c r="F63" s="121"/>
      <c r="G63" s="99"/>
      <c r="H63" s="106"/>
      <c r="I63" s="106"/>
      <c r="J63" s="106"/>
      <c r="K63" s="106"/>
      <c r="L63" s="106"/>
      <c r="M63" s="106"/>
      <c r="N63" s="106"/>
      <c r="O63" s="106"/>
      <c r="P63" s="106"/>
      <c r="Q63" s="106"/>
      <c r="R63" s="106"/>
      <c r="S63" s="106"/>
      <c r="T63" s="128"/>
      <c r="U63" s="128"/>
      <c r="V63" s="128"/>
      <c r="W63" s="128"/>
      <c r="X63" s="128"/>
      <c r="Y63" s="128"/>
      <c r="Z63" s="128"/>
      <c r="AA63" s="128"/>
      <c r="AB63" s="128"/>
      <c r="AC63" s="311"/>
      <c r="AD63" s="128"/>
      <c r="AK63" s="31"/>
    </row>
    <row r="64" spans="1:37" ht="14.25" x14ac:dyDescent="0.2">
      <c r="A64" s="38"/>
      <c r="B64" s="121"/>
      <c r="C64" s="121"/>
      <c r="D64" s="121"/>
      <c r="E64" s="121"/>
      <c r="F64" s="121"/>
      <c r="G64" s="99"/>
      <c r="H64" s="475" t="s">
        <v>614</v>
      </c>
      <c r="I64" s="475"/>
      <c r="J64" s="475"/>
      <c r="K64" s="475"/>
      <c r="L64" s="475"/>
      <c r="M64" s="475"/>
      <c r="N64" s="475"/>
      <c r="O64" s="475"/>
      <c r="P64" s="475"/>
      <c r="Q64" s="475"/>
      <c r="R64" s="475"/>
      <c r="S64" s="475"/>
      <c r="T64" s="475"/>
      <c r="U64" s="475"/>
      <c r="V64" s="475"/>
      <c r="W64" s="475"/>
      <c r="X64" s="475"/>
      <c r="Y64" s="475"/>
      <c r="Z64" s="475"/>
      <c r="AA64" s="475"/>
      <c r="AB64" s="475"/>
      <c r="AC64" s="475"/>
      <c r="AD64" s="109"/>
      <c r="AE64" s="109"/>
      <c r="AF64" s="109"/>
      <c r="AG64" s="109"/>
      <c r="AH64" s="109"/>
      <c r="AI64" s="106"/>
      <c r="AK64" s="31"/>
    </row>
    <row r="65" spans="1:37" ht="14.25" x14ac:dyDescent="0.2">
      <c r="A65" s="38"/>
      <c r="B65" s="121"/>
      <c r="C65" s="121"/>
      <c r="D65" s="121"/>
      <c r="E65" s="121"/>
      <c r="F65" s="121"/>
      <c r="G65" s="99"/>
      <c r="H65" s="312" t="s">
        <v>130</v>
      </c>
      <c r="I65" s="313"/>
      <c r="J65" s="313" t="str">
        <f>'[1]input-mpo'!$E$2</f>
        <v>GDP, constant</v>
      </c>
      <c r="K65" s="314"/>
      <c r="L65" s="314"/>
      <c r="M65" s="314"/>
      <c r="N65" s="314"/>
      <c r="O65" s="314"/>
      <c r="P65" s="314"/>
      <c r="Q65" s="314"/>
      <c r="R65" s="314"/>
      <c r="S65" s="314"/>
      <c r="T65" s="314"/>
      <c r="U65" s="312"/>
      <c r="V65" s="312" t="str">
        <f>'[1]input-mpo'!$E$2</f>
        <v>GDP, constant</v>
      </c>
      <c r="W65" s="314"/>
      <c r="X65" s="314"/>
      <c r="Y65" s="314"/>
      <c r="Z65" s="314"/>
      <c r="AA65" s="314"/>
      <c r="AB65" s="314"/>
      <c r="AC65" s="314"/>
      <c r="AD65" s="107"/>
      <c r="AE65" s="107"/>
      <c r="AF65" s="107"/>
      <c r="AG65" s="107"/>
      <c r="AH65" s="107"/>
      <c r="AJ65" s="108"/>
      <c r="AK65" s="31"/>
    </row>
    <row r="66" spans="1:37" ht="14.25" x14ac:dyDescent="0.2">
      <c r="A66" s="38"/>
      <c r="B66" s="121"/>
      <c r="C66" s="121"/>
      <c r="D66" s="121"/>
      <c r="E66" s="121"/>
      <c r="F66" s="121"/>
      <c r="G66" s="99"/>
      <c r="H66" s="99"/>
      <c r="I66" s="99"/>
      <c r="J66" s="99"/>
      <c r="K66" s="99"/>
      <c r="L66" s="99"/>
      <c r="M66" s="99"/>
      <c r="N66" s="99"/>
      <c r="O66" s="99"/>
      <c r="P66" s="99"/>
      <c r="Q66" s="99"/>
      <c r="R66" s="99"/>
      <c r="S66" s="99"/>
      <c r="T66" s="99"/>
      <c r="U66" s="99"/>
      <c r="V66" s="99"/>
      <c r="W66" s="99"/>
      <c r="X66" s="99"/>
      <c r="Y66" s="99"/>
      <c r="Z66" s="99"/>
      <c r="AA66" s="99"/>
      <c r="AB66" s="99"/>
      <c r="AC66" s="99"/>
      <c r="AK66" s="31"/>
    </row>
    <row r="67" spans="1:37" ht="14.25" x14ac:dyDescent="0.2">
      <c r="A67" s="38"/>
      <c r="B67" s="121"/>
      <c r="C67" s="121"/>
      <c r="D67" s="121"/>
      <c r="E67" s="121"/>
      <c r="F67" s="121"/>
      <c r="G67" s="99"/>
      <c r="H67" s="99"/>
      <c r="I67" s="99"/>
      <c r="J67" s="99"/>
      <c r="K67" s="99"/>
      <c r="L67" s="99"/>
      <c r="M67" s="99"/>
      <c r="N67" s="99"/>
      <c r="O67" s="99"/>
      <c r="P67" s="99"/>
      <c r="Q67" s="99"/>
      <c r="R67" s="99"/>
      <c r="S67" s="99"/>
      <c r="T67" s="99"/>
      <c r="U67" s="99"/>
      <c r="V67" s="99"/>
      <c r="W67" s="99"/>
      <c r="X67" s="99"/>
      <c r="Y67" s="99"/>
      <c r="Z67" s="99"/>
      <c r="AA67" s="99"/>
      <c r="AB67" s="99"/>
      <c r="AC67" s="99"/>
      <c r="AK67" s="31"/>
    </row>
  </sheetData>
  <sheetProtection formatCells="0" formatColumns="0" formatRows="0"/>
  <protectedRanges>
    <protectedRange sqref="E5" name="Range1"/>
  </protectedRanges>
  <mergeCells count="13">
    <mergeCell ref="C2:F2"/>
    <mergeCell ref="C5:E9"/>
    <mergeCell ref="F5:F9"/>
    <mergeCell ref="C32:F33"/>
    <mergeCell ref="C34:F34"/>
    <mergeCell ref="H64:AC64"/>
    <mergeCell ref="H2:AC2"/>
    <mergeCell ref="H34:AC34"/>
    <mergeCell ref="H4:AC4"/>
    <mergeCell ref="U6:Y6"/>
    <mergeCell ref="U36:Y36"/>
    <mergeCell ref="AA6:AC6"/>
    <mergeCell ref="AA36:AC36"/>
  </mergeCells>
  <hyperlinks>
    <hyperlink ref="C34:F34" r:id="rId1" display="CONTACT US" xr:uid="{1A6FDD46-A821-440F-A3F8-42D6CB6880AE}"/>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7585" r:id="rId5" name="Check Box 1">
              <controlPr defaultSize="0" autoFill="0" autoLine="0" autoPict="0">
                <anchor moveWithCells="1">
                  <from>
                    <xdr:col>5</xdr:col>
                    <xdr:colOff>390525</xdr:colOff>
                    <xdr:row>5</xdr:row>
                    <xdr:rowOff>190500</xdr:rowOff>
                  </from>
                  <to>
                    <xdr:col>5</xdr:col>
                    <xdr:colOff>609600</xdr:colOff>
                    <xdr:row>6</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D28CB-BBC6-4968-9A0C-63BBE5763436}">
  <sheetPr codeName="Sheet11">
    <tabColor theme="8" tint="-0.249977111117893"/>
  </sheetPr>
  <dimension ref="A1:AN82"/>
  <sheetViews>
    <sheetView tabSelected="1" topLeftCell="T21" zoomScale="200" zoomScaleNormal="200" workbookViewId="0">
      <selection activeCell="Z41" sqref="Z41"/>
    </sheetView>
  </sheetViews>
  <sheetFormatPr defaultColWidth="0" defaultRowHeight="14.25" zeroHeight="1" x14ac:dyDescent="0.2"/>
  <cols>
    <col min="1" max="1" width="24.42578125" style="93" customWidth="1"/>
    <col min="2" max="2" width="2.85546875" style="93" customWidth="1"/>
    <col min="3" max="3" width="45.42578125" style="71" customWidth="1"/>
    <col min="4" max="4" width="9.140625" style="71" customWidth="1"/>
    <col min="5" max="5" width="14.28515625" style="72" customWidth="1"/>
    <col min="6" max="6" width="9.140625" style="72" customWidth="1"/>
    <col min="7" max="7" width="30.42578125" style="72" customWidth="1"/>
    <col min="8" max="8" width="29.85546875" style="72" bestFit="1" customWidth="1"/>
    <col min="9" max="19" width="12.7109375" style="72" hidden="1" customWidth="1"/>
    <col min="20" max="30" width="12.7109375" style="72" customWidth="1"/>
    <col min="31" max="31" width="8.5703125" style="131" customWidth="1"/>
    <col min="32" max="34" width="10.5703125" style="72" hidden="1" customWidth="1"/>
    <col min="35" max="35" width="23" style="73" hidden="1" customWidth="1"/>
    <col min="36" max="37" width="9.140625" style="72" hidden="1" customWidth="1"/>
    <col min="38" max="40" width="20.5703125" style="72" hidden="1" customWidth="1"/>
    <col min="41" max="16384" width="9.140625" style="72" hidden="1"/>
  </cols>
  <sheetData>
    <row r="1" spans="1:35" s="131" customFormat="1" x14ac:dyDescent="0.2">
      <c r="A1" s="129"/>
      <c r="B1" s="129"/>
      <c r="C1" s="130"/>
      <c r="D1" s="130"/>
      <c r="AI1" s="132"/>
    </row>
    <row r="2" spans="1:35" ht="18" x14ac:dyDescent="0.2">
      <c r="B2" s="129"/>
      <c r="C2" s="492" t="s">
        <v>131</v>
      </c>
      <c r="D2" s="492"/>
      <c r="E2" s="492"/>
      <c r="G2" s="492" t="s">
        <v>131</v>
      </c>
      <c r="H2" s="492"/>
      <c r="I2" s="492"/>
      <c r="J2" s="492"/>
      <c r="K2" s="492"/>
      <c r="L2" s="492"/>
      <c r="M2" s="492"/>
      <c r="N2" s="492"/>
      <c r="O2" s="492"/>
      <c r="P2" s="492"/>
      <c r="Q2" s="492"/>
      <c r="R2" s="492"/>
      <c r="S2" s="492"/>
      <c r="T2" s="492"/>
      <c r="U2" s="492"/>
      <c r="V2" s="492"/>
      <c r="W2" s="492"/>
      <c r="X2" s="492"/>
      <c r="Y2" s="492"/>
      <c r="Z2" s="492"/>
      <c r="AA2" s="492"/>
      <c r="AB2" s="492"/>
      <c r="AC2" s="492"/>
      <c r="AD2" s="492"/>
    </row>
    <row r="3" spans="1:35" x14ac:dyDescent="0.2">
      <c r="B3" s="129"/>
      <c r="C3" s="130"/>
      <c r="D3" s="130"/>
      <c r="E3" s="131"/>
      <c r="F3" s="131"/>
      <c r="G3" s="131"/>
      <c r="H3" s="131"/>
      <c r="I3" s="131"/>
      <c r="J3" s="131"/>
      <c r="K3" s="131"/>
      <c r="L3" s="131"/>
      <c r="M3" s="131"/>
      <c r="N3" s="131"/>
      <c r="O3" s="131"/>
      <c r="P3" s="131"/>
      <c r="Q3" s="131"/>
      <c r="R3" s="131"/>
      <c r="S3" s="131"/>
      <c r="T3" s="131"/>
      <c r="U3" s="131"/>
      <c r="V3" s="131"/>
      <c r="W3" s="131"/>
      <c r="X3" s="131"/>
      <c r="Y3" s="131"/>
      <c r="Z3" s="131"/>
      <c r="AA3" s="131"/>
      <c r="AB3" s="131"/>
      <c r="AC3" s="131"/>
      <c r="AD3" s="131"/>
    </row>
    <row r="4" spans="1:35" ht="18" x14ac:dyDescent="0.25">
      <c r="B4" s="129"/>
      <c r="C4" s="493"/>
      <c r="D4" s="493"/>
      <c r="E4" s="493"/>
      <c r="G4" s="489" t="s">
        <v>132</v>
      </c>
      <c r="H4" s="489"/>
      <c r="I4" s="489"/>
      <c r="J4" s="489"/>
      <c r="K4" s="489"/>
      <c r="L4" s="489"/>
      <c r="M4" s="489"/>
      <c r="N4" s="489"/>
      <c r="O4" s="489"/>
      <c r="P4" s="489"/>
      <c r="Q4" s="489"/>
      <c r="R4" s="489"/>
      <c r="S4" s="489"/>
      <c r="T4" s="489"/>
      <c r="U4" s="489"/>
      <c r="V4" s="489"/>
      <c r="W4" s="489"/>
      <c r="X4" s="489"/>
      <c r="Y4" s="489"/>
      <c r="Z4" s="489"/>
      <c r="AA4" s="489"/>
      <c r="AB4" s="489"/>
      <c r="AC4" s="489"/>
      <c r="AD4" s="489"/>
    </row>
    <row r="5" spans="1:35" ht="15" customHeight="1" x14ac:dyDescent="0.2">
      <c r="B5" s="129"/>
      <c r="C5" s="494" t="s">
        <v>133</v>
      </c>
      <c r="D5" s="494"/>
      <c r="E5" s="494"/>
      <c r="F5" s="131"/>
      <c r="G5" s="161"/>
      <c r="H5" s="161"/>
      <c r="I5" s="161"/>
      <c r="J5" s="161"/>
      <c r="K5" s="161"/>
      <c r="L5" s="161"/>
      <c r="M5" s="161"/>
      <c r="N5" s="161"/>
      <c r="O5" s="161"/>
      <c r="P5" s="161"/>
      <c r="Q5" s="161"/>
      <c r="R5" s="161"/>
      <c r="S5" s="161"/>
      <c r="T5" s="491" t="s">
        <v>642</v>
      </c>
      <c r="U5" s="491"/>
      <c r="V5" s="491"/>
      <c r="W5" s="491"/>
      <c r="X5" s="491"/>
      <c r="Y5" s="491"/>
      <c r="Z5" s="491"/>
      <c r="AA5" s="161"/>
      <c r="AB5" s="161"/>
      <c r="AC5" s="161"/>
      <c r="AD5" s="161"/>
    </row>
    <row r="6" spans="1:35" ht="14.45" customHeight="1" x14ac:dyDescent="0.2">
      <c r="B6" s="129"/>
      <c r="C6" s="494"/>
      <c r="D6" s="494"/>
      <c r="E6" s="494"/>
      <c r="F6" s="131"/>
      <c r="G6" s="488" t="s">
        <v>134</v>
      </c>
      <c r="H6" s="488" t="s">
        <v>135</v>
      </c>
      <c r="I6" s="490" t="s">
        <v>122</v>
      </c>
      <c r="J6" s="490"/>
      <c r="K6" s="490"/>
      <c r="L6" s="490"/>
      <c r="M6" s="490"/>
      <c r="N6" s="490"/>
      <c r="O6" s="490"/>
      <c r="P6" s="490"/>
      <c r="Q6" s="490"/>
      <c r="R6" s="156" t="s">
        <v>136</v>
      </c>
      <c r="S6" s="156" t="s">
        <v>136</v>
      </c>
      <c r="T6" s="156" t="s">
        <v>136</v>
      </c>
      <c r="U6" s="156" t="s">
        <v>136</v>
      </c>
      <c r="V6" s="156" t="s">
        <v>136</v>
      </c>
      <c r="W6" s="156" t="s">
        <v>136</v>
      </c>
      <c r="X6" s="156" t="s">
        <v>136</v>
      </c>
      <c r="Y6" s="156" t="s">
        <v>136</v>
      </c>
      <c r="Z6" s="156" t="s">
        <v>137</v>
      </c>
      <c r="AA6" s="495" t="s">
        <v>7</v>
      </c>
      <c r="AB6" s="495"/>
      <c r="AC6" s="495"/>
      <c r="AD6" s="495"/>
    </row>
    <row r="7" spans="1:35" ht="15" customHeight="1" x14ac:dyDescent="0.2">
      <c r="B7" s="304"/>
      <c r="C7" s="494"/>
      <c r="D7" s="494"/>
      <c r="E7" s="494"/>
      <c r="F7" s="131"/>
      <c r="G7" s="488"/>
      <c r="H7" s="488"/>
      <c r="I7" s="133">
        <v>2005</v>
      </c>
      <c r="J7" s="133">
        <v>2006</v>
      </c>
      <c r="K7" s="133">
        <v>2007</v>
      </c>
      <c r="L7" s="133">
        <v>2008</v>
      </c>
      <c r="M7" s="133">
        <v>2009</v>
      </c>
      <c r="N7" s="133">
        <v>2010</v>
      </c>
      <c r="O7" s="133">
        <v>2011</v>
      </c>
      <c r="P7" s="133">
        <v>2012</v>
      </c>
      <c r="Q7" s="133">
        <v>2013</v>
      </c>
      <c r="R7" s="133">
        <v>2014</v>
      </c>
      <c r="S7" s="133">
        <v>2015</v>
      </c>
      <c r="T7" s="133">
        <v>2016</v>
      </c>
      <c r="U7" s="133">
        <v>2017</v>
      </c>
      <c r="V7" s="133">
        <v>2018</v>
      </c>
      <c r="W7" s="133">
        <v>2019</v>
      </c>
      <c r="X7" s="133">
        <v>2020</v>
      </c>
      <c r="Y7" s="133">
        <v>2021</v>
      </c>
      <c r="Z7" s="293">
        <v>2022</v>
      </c>
      <c r="AA7" s="293">
        <v>2023</v>
      </c>
      <c r="AB7" s="133">
        <v>2024</v>
      </c>
      <c r="AC7" s="133">
        <v>2025</v>
      </c>
      <c r="AD7" s="133">
        <v>2026</v>
      </c>
    </row>
    <row r="8" spans="1:35" ht="15" customHeight="1" x14ac:dyDescent="0.2">
      <c r="A8" s="94" t="s">
        <v>508</v>
      </c>
      <c r="B8" s="304"/>
      <c r="C8" s="494"/>
      <c r="D8" s="494"/>
      <c r="E8" s="494"/>
      <c r="F8" s="131"/>
      <c r="G8" s="324" t="s">
        <v>16</v>
      </c>
      <c r="H8" s="325" t="s">
        <v>139</v>
      </c>
      <c r="I8" s="162" t="e" cm="1">
        <f t="array" ref="I8">_xlfn.XLOOKUP(1, ('0. GUIDELINES'!$E$3='[1]input-labor'!$A:$A) * (I$7='[1]input-labor'!$B:$B) * ($A8='[1]input-labor'!$C:$C), '[1]input-labor'!$D:$D)</f>
        <v>#N/A</v>
      </c>
      <c r="J8" s="162" t="e" cm="1">
        <f t="array" ref="J8">_xlfn.XLOOKUP(1, ('0. GUIDELINES'!$E$3='[1]input-labor'!$A:$A) * (J$7='[1]input-labor'!$B:$B) * ($A8='[1]input-labor'!$C:$C), '[1]input-labor'!$D:$D)</f>
        <v>#N/A</v>
      </c>
      <c r="K8" s="162" t="e" cm="1">
        <f t="array" ref="K8">_xlfn.XLOOKUP(1, ('0. GUIDELINES'!$E$3='[1]input-labor'!$A:$A) * (K$7='[1]input-labor'!$B:$B) * ($A8='[1]input-labor'!$C:$C), '[1]input-labor'!$D:$D)</f>
        <v>#N/A</v>
      </c>
      <c r="L8" s="162" t="e" cm="1">
        <f t="array" ref="L8">_xlfn.XLOOKUP(1, ('0. GUIDELINES'!$E$3='[1]input-labor'!$A:$A) * (L$7='[1]input-labor'!$B:$B) * ($A8='[1]input-labor'!$C:$C), '[1]input-labor'!$D:$D)</f>
        <v>#N/A</v>
      </c>
      <c r="M8" s="162" t="e" cm="1">
        <f t="array" ref="M8">_xlfn.XLOOKUP(1, ('0. GUIDELINES'!$E$3='[1]input-labor'!$A:$A) * (M$7='[1]input-labor'!$B:$B) * ($A8='[1]input-labor'!$C:$C), '[1]input-labor'!$D:$D)</f>
        <v>#N/A</v>
      </c>
      <c r="N8" s="162" t="e" cm="1">
        <f t="array" ref="N8">_xlfn.XLOOKUP(1, ('0. GUIDELINES'!$E$3='[1]input-labor'!$A:$A) * (N$7='[1]input-labor'!$B:$B) * ($A8='[1]input-labor'!$C:$C), '[1]input-labor'!$D:$D)</f>
        <v>#N/A</v>
      </c>
      <c r="O8" s="162" t="e" cm="1">
        <f t="array" ref="O8">_xlfn.XLOOKUP(1, ('0. GUIDELINES'!$E$3='[1]input-labor'!$A:$A) * (O$7='[1]input-labor'!$B:$B) * ($A8='[1]input-labor'!$C:$C), '[1]input-labor'!$D:$D)</f>
        <v>#N/A</v>
      </c>
      <c r="P8" s="162" t="e" cm="1">
        <f t="array" ref="P8">_xlfn.XLOOKUP(1, ('0. GUIDELINES'!$E$3='[1]input-labor'!$A:$A) * (P$7='[1]input-labor'!$B:$B) * ($A8='[1]input-labor'!$C:$C), '[1]input-labor'!$D:$D)</f>
        <v>#N/A</v>
      </c>
      <c r="Q8" s="162" t="e" cm="1">
        <f t="array" ref="Q8">_xlfn.XLOOKUP(1, ('0. GUIDELINES'!$E$3='[1]input-labor'!$A:$A) * (Q$7='[1]input-labor'!$B:$B) * ($A8='[1]input-labor'!$C:$C), '[1]input-labor'!$D:$D)</f>
        <v>#N/A</v>
      </c>
      <c r="R8" s="162" t="e" cm="1">
        <f t="array" ref="R8">_xlfn.XLOOKUP(1, ('0. GUIDELINES'!$E$3='[1]input-labor'!$A:$A) * (R$7='[1]input-labor'!$B:$B) * ($A8='[1]input-labor'!$C:$C), '[1]input-labor'!$D:$D)</f>
        <v>#N/A</v>
      </c>
      <c r="S8" s="162" t="e" cm="1">
        <f t="array" ref="S8">_xlfn.XLOOKUP(1, ('0. GUIDELINES'!$E$3='[1]input-labor'!$A:$A) * (S$7='[1]input-labor'!$B:$B) * ($A8='[1]input-labor'!$C:$C), '[1]input-labor'!$D:$D)</f>
        <v>#N/A</v>
      </c>
      <c r="T8" s="162" cm="1">
        <f t="array" ref="T8">_xlfn.XLOOKUP(1, ('0. GUIDELINES'!$E$3='[1]input-labor'!$A:$A) * (T$7='[1]input-labor'!$B:$B) * ($A8='[1]input-labor'!$C:$C), '[1]input-labor'!$D:$D)</f>
        <v>100209680</v>
      </c>
      <c r="U8" s="162" cm="1">
        <f t="array" ref="U8">_xlfn.IFNA(_xlfn.XLOOKUP(1, ('0. GUIDELINES'!$E$3='[1]input-labor'!$A:$A) * (U$7='[1]input-labor'!$B:$B) * ($A8='[1]input-labor'!$C:$C), '[1]input-labor'!$D:$D),(T8+($Z8-$T8)/($Z$7-$T$7)))</f>
        <v>101649598.66666667</v>
      </c>
      <c r="V8" s="162" cm="1">
        <f t="array" ref="V8">_xlfn.IFNA(_xlfn.XLOOKUP(1, ('0. GUIDELINES'!$E$3='[1]input-labor'!$A:$A) * (V$7='[1]input-labor'!$B:$B) * ($A8='[1]input-labor'!$C:$C), '[1]input-labor'!$D:$D),(U8+($Z8-$T8)/($Z$7-$T$7)))</f>
        <v>103089517.33333334</v>
      </c>
      <c r="W8" s="162" cm="1">
        <f t="array" ref="W8">_xlfn.IFNA(_xlfn.XLOOKUP(1, ('0. GUIDELINES'!$E$3='[1]input-labor'!$A:$A) * (W$7='[1]input-labor'!$B:$B) * ($A8='[1]input-labor'!$C:$C), '[1]input-labor'!$D:$D),(V8+($Z8-$T8)/($Z$7-$T$7)))</f>
        <v>104529436.00000001</v>
      </c>
      <c r="X8" s="162" cm="1">
        <f t="array" ref="X8">_xlfn.IFNA(_xlfn.XLOOKUP(1, ('0. GUIDELINES'!$E$3='[1]input-labor'!$A:$A) * (X$7='[1]input-labor'!$B:$B) * ($A8='[1]input-labor'!$C:$C), '[1]input-labor'!$D:$D),(W8+($Z8-$T8)/($Z$7-$T$7)))</f>
        <v>105969354.66666669</v>
      </c>
      <c r="Y8" s="162" cm="1">
        <f t="array" ref="Y8">_xlfn.IFNA(_xlfn.XLOOKUP(1, ('0. GUIDELINES'!$E$3='[1]input-labor'!$A:$A) * (Y$7='[1]input-labor'!$B:$B) * ($A8='[1]input-labor'!$C:$C), '[1]input-labor'!$D:$D),(X8+($Z8-$T8)/($Z$7-$T$7)))</f>
        <v>107409273.33333336</v>
      </c>
      <c r="Z8" s="162" cm="1">
        <f t="array" ref="Z8">_xlfn.XLOOKUP(1, ('0. GUIDELINES'!$E$3='[1]input-labor'!$A:$A) * (Z$7='[1]input-labor'!$B:$B) * ($A8='[1]input-labor'!$C:$C), '[1]input-labor'!$D:$D)</f>
        <v>108849192</v>
      </c>
      <c r="AA8" s="150">
        <f>Z8*(1+'1. GDP'!Z60/100)</f>
        <v>110351467.89639136</v>
      </c>
      <c r="AB8" s="150">
        <f>AA8*(1+'1. GDP'!AA60/100)</f>
        <v>111797181.85847202</v>
      </c>
      <c r="AC8" s="150">
        <f>AB8*(1+'1. GDP'!AB60/100)</f>
        <v>113196576.32677311</v>
      </c>
      <c r="AD8" s="150">
        <f>AC8*(1+'1. GDP'!AC60/100)</f>
        <v>114531909.73610416</v>
      </c>
    </row>
    <row r="9" spans="1:35" ht="14.45" customHeight="1" x14ac:dyDescent="0.2">
      <c r="A9" s="94"/>
      <c r="B9" s="304"/>
      <c r="C9" s="485" t="s">
        <v>140</v>
      </c>
      <c r="D9" s="485"/>
      <c r="E9" s="486"/>
      <c r="F9" s="131"/>
      <c r="G9" s="326" t="s">
        <v>17</v>
      </c>
      <c r="H9" s="325" t="s">
        <v>141</v>
      </c>
      <c r="I9" s="162" t="e">
        <f t="shared" ref="I9:T9" si="0">+I11+I12</f>
        <v>#N/A</v>
      </c>
      <c r="J9" s="162" t="e">
        <f t="shared" si="0"/>
        <v>#N/A</v>
      </c>
      <c r="K9" s="162" t="e">
        <f t="shared" si="0"/>
        <v>#N/A</v>
      </c>
      <c r="L9" s="162" t="e">
        <f t="shared" si="0"/>
        <v>#N/A</v>
      </c>
      <c r="M9" s="162" t="e">
        <f t="shared" si="0"/>
        <v>#N/A</v>
      </c>
      <c r="N9" s="162" t="e">
        <f t="shared" si="0"/>
        <v>#N/A</v>
      </c>
      <c r="O9" s="162" t="e">
        <f t="shared" si="0"/>
        <v>#N/A</v>
      </c>
      <c r="P9" s="162" t="e">
        <f t="shared" si="0"/>
        <v>#N/A</v>
      </c>
      <c r="Q9" s="162" t="e">
        <f t="shared" si="0"/>
        <v>#N/A</v>
      </c>
      <c r="R9" s="162" t="e">
        <f t="shared" si="0"/>
        <v>#N/A</v>
      </c>
      <c r="S9" s="162" t="e">
        <f t="shared" si="0"/>
        <v>#N/A</v>
      </c>
      <c r="T9" s="162">
        <f t="shared" si="0"/>
        <v>46951641.375</v>
      </c>
      <c r="U9" s="162" cm="1">
        <f t="array" ref="U9">_xlfn.IFNA(_xlfn.XLOOKUP(1, ('0. GUIDELINES'!$E$3='[1]input-labor'!$A:$A) * (U$7='[1]input-labor'!$B:$B) * ($A9='[1]input-labor'!$C:$C), '[1]input-labor'!$D:$D),(T9+($Z9-$T9)/($Z$7-$T$7)))</f>
        <v>47785430.729166664</v>
      </c>
      <c r="V9" s="162" cm="1">
        <f t="array" ref="V9">_xlfn.IFNA(_xlfn.XLOOKUP(1, ('0. GUIDELINES'!$E$3='[1]input-labor'!$A:$A) * (V$7='[1]input-labor'!$B:$B) * ($A9='[1]input-labor'!$C:$C), '[1]input-labor'!$D:$D),(U9+($Z9-$T9)/($Z$7-$T$7)))</f>
        <v>48619220.083333328</v>
      </c>
      <c r="W9" s="162" cm="1">
        <f t="array" ref="W9">_xlfn.IFNA(_xlfn.XLOOKUP(1, ('0. GUIDELINES'!$E$3='[1]input-labor'!$A:$A) * (W$7='[1]input-labor'!$B:$B) * ($A9='[1]input-labor'!$C:$C), '[1]input-labor'!$D:$D),(V9+($Z9-$T9)/($Z$7-$T$7)))</f>
        <v>49453009.437499993</v>
      </c>
      <c r="X9" s="162" cm="1">
        <f t="array" ref="X9">_xlfn.IFNA(_xlfn.XLOOKUP(1, ('0. GUIDELINES'!$E$3='[1]input-labor'!$A:$A) * (X$7='[1]input-labor'!$B:$B) * ($A9='[1]input-labor'!$C:$C), '[1]input-labor'!$D:$D),(W9+($Z9-$T9)/($Z$7-$T$7)))</f>
        <v>50286798.791666657</v>
      </c>
      <c r="Y9" s="162" cm="1">
        <f t="array" ref="Y9">_xlfn.IFNA(_xlfn.XLOOKUP(1, ('0. GUIDELINES'!$E$3='[1]input-labor'!$A:$A) * (Y$7='[1]input-labor'!$B:$B) * ($A9='[1]input-labor'!$C:$C), '[1]input-labor'!$D:$D),(X9+($Z9-$T9)/($Z$7-$T$7)))</f>
        <v>51120588.145833321</v>
      </c>
      <c r="Z9" s="162">
        <f t="shared" ref="Z9" si="1">+Z11+Z12</f>
        <v>51954377.5</v>
      </c>
      <c r="AA9" s="150">
        <f>$Z$38*AA8</f>
        <v>52671422.868883103</v>
      </c>
      <c r="AB9" s="150">
        <f t="shared" ref="AB9:AD9" si="2">$Z$38*AB8</f>
        <v>53361470.884517059</v>
      </c>
      <c r="AC9" s="150">
        <f t="shared" si="2"/>
        <v>54029410.32569845</v>
      </c>
      <c r="AD9" s="150">
        <f t="shared" si="2"/>
        <v>54666773.036087222</v>
      </c>
    </row>
    <row r="10" spans="1:35" ht="15.6" customHeight="1" x14ac:dyDescent="0.2">
      <c r="A10" s="93" t="s">
        <v>568</v>
      </c>
      <c r="B10" s="304"/>
      <c r="C10" s="485"/>
      <c r="D10" s="485"/>
      <c r="E10" s="486"/>
      <c r="F10" s="131"/>
      <c r="G10" s="326" t="s">
        <v>19</v>
      </c>
      <c r="H10" s="325" t="s">
        <v>142</v>
      </c>
      <c r="I10" s="162" t="e" cm="1">
        <f t="array" ref="I10">_xlfn.XLOOKUP(1, ('0. GUIDELINES'!$E$3='[1]input-labor'!$A:$A) * (I$7='[1]input-labor'!$B:$B) * ($A10='[1]input-labor'!$C:$C), '[1]input-labor'!$D:$D)</f>
        <v>#N/A</v>
      </c>
      <c r="J10" s="162" t="e" cm="1">
        <f t="array" ref="J10">_xlfn.XLOOKUP(1, ('0. GUIDELINES'!$E$3='[1]input-labor'!$A:$A) * (J$7='[1]input-labor'!$B:$B) * ($A10='[1]input-labor'!$C:$C), '[1]input-labor'!$D:$D)</f>
        <v>#N/A</v>
      </c>
      <c r="K10" s="162" t="e" cm="1">
        <f t="array" ref="K10">_xlfn.XLOOKUP(1, ('0. GUIDELINES'!$E$3='[1]input-labor'!$A:$A) * (K$7='[1]input-labor'!$B:$B) * ($A10='[1]input-labor'!$C:$C), '[1]input-labor'!$D:$D)</f>
        <v>#N/A</v>
      </c>
      <c r="L10" s="162" t="e" cm="1">
        <f t="array" ref="L10">_xlfn.XLOOKUP(1, ('0. GUIDELINES'!$E$3='[1]input-labor'!$A:$A) * (L$7='[1]input-labor'!$B:$B) * ($A10='[1]input-labor'!$C:$C), '[1]input-labor'!$D:$D)</f>
        <v>#N/A</v>
      </c>
      <c r="M10" s="162" t="e" cm="1">
        <f t="array" ref="M10">_xlfn.XLOOKUP(1, ('0. GUIDELINES'!$E$3='[1]input-labor'!$A:$A) * (M$7='[1]input-labor'!$B:$B) * ($A10='[1]input-labor'!$C:$C), '[1]input-labor'!$D:$D)</f>
        <v>#N/A</v>
      </c>
      <c r="N10" s="162" t="e" cm="1">
        <f t="array" ref="N10">_xlfn.XLOOKUP(1, ('0. GUIDELINES'!$E$3='[1]input-labor'!$A:$A) * (N$7='[1]input-labor'!$B:$B) * ($A10='[1]input-labor'!$C:$C), '[1]input-labor'!$D:$D)</f>
        <v>#N/A</v>
      </c>
      <c r="O10" s="162" t="e" cm="1">
        <f t="array" ref="O10">_xlfn.XLOOKUP(1, ('0. GUIDELINES'!$E$3='[1]input-labor'!$A:$A) * (O$7='[1]input-labor'!$B:$B) * ($A10='[1]input-labor'!$C:$C), '[1]input-labor'!$D:$D)</f>
        <v>#N/A</v>
      </c>
      <c r="P10" s="162" t="e" cm="1">
        <f t="array" ref="P10">_xlfn.XLOOKUP(1, ('0. GUIDELINES'!$E$3='[1]input-labor'!$A:$A) * (P$7='[1]input-labor'!$B:$B) * ($A10='[1]input-labor'!$C:$C), '[1]input-labor'!$D:$D)</f>
        <v>#N/A</v>
      </c>
      <c r="Q10" s="162" t="e" cm="1">
        <f t="array" ref="Q10">_xlfn.XLOOKUP(1, ('0. GUIDELINES'!$E$3='[1]input-labor'!$A:$A) * (Q$7='[1]input-labor'!$B:$B) * ($A10='[1]input-labor'!$C:$C), '[1]input-labor'!$D:$D)</f>
        <v>#N/A</v>
      </c>
      <c r="R10" s="162" t="e" cm="1">
        <f t="array" ref="R10">_xlfn.XLOOKUP(1, ('0. GUIDELINES'!$E$3='[1]input-labor'!$A:$A) * (R$7='[1]input-labor'!$B:$B) * ($A10='[1]input-labor'!$C:$C), '[1]input-labor'!$D:$D)</f>
        <v>#N/A</v>
      </c>
      <c r="S10" s="162" t="e" cm="1">
        <f t="array" ref="S10">_xlfn.XLOOKUP(1, ('0. GUIDELINES'!$E$3='[1]input-labor'!$A:$A) * (S$7='[1]input-labor'!$B:$B) * ($A10='[1]input-labor'!$C:$C), '[1]input-labor'!$D:$D)</f>
        <v>#N/A</v>
      </c>
      <c r="T10" s="162" cm="1">
        <f t="array" ref="T10">_xlfn.XLOOKUP(1, ('0. GUIDELINES'!$E$3='[1]input-labor'!$A:$A) * (T$7='[1]input-labor'!$B:$B) * ($A10='[1]input-labor'!$C:$C), '[1]input-labor'!$D:$D)</f>
        <v>53258036</v>
      </c>
      <c r="U10" s="162" cm="1">
        <f t="array" ref="U10">_xlfn.IFNA(_xlfn.XLOOKUP(1, ('0. GUIDELINES'!$E$3='[1]input-labor'!$A:$A) * (U$7='[1]input-labor'!$B:$B) * ($A10='[1]input-labor'!$C:$C), '[1]input-labor'!$D:$D),(T10+($Z10-$T10)/($Z$7-$T$7)))</f>
        <v>53864166</v>
      </c>
      <c r="V10" s="162" cm="1">
        <f t="array" ref="V10">_xlfn.IFNA(_xlfn.XLOOKUP(1, ('0. GUIDELINES'!$E$3='[1]input-labor'!$A:$A) * (V$7='[1]input-labor'!$B:$B) * ($A10='[1]input-labor'!$C:$C), '[1]input-labor'!$D:$D),(U10+($Z10-$T10)/($Z$7-$T$7)))</f>
        <v>54470296</v>
      </c>
      <c r="W10" s="162" cm="1">
        <f t="array" ref="W10">_xlfn.IFNA(_xlfn.XLOOKUP(1, ('0. GUIDELINES'!$E$3='[1]input-labor'!$A:$A) * (W$7='[1]input-labor'!$B:$B) * ($A10='[1]input-labor'!$C:$C), '[1]input-labor'!$D:$D),(V10+($Z10-$T10)/($Z$7-$T$7)))</f>
        <v>55076426</v>
      </c>
      <c r="X10" s="162" cm="1">
        <f t="array" ref="X10">_xlfn.IFNA(_xlfn.XLOOKUP(1, ('0. GUIDELINES'!$E$3='[1]input-labor'!$A:$A) * (X$7='[1]input-labor'!$B:$B) * ($A10='[1]input-labor'!$C:$C), '[1]input-labor'!$D:$D),(W10+($Z10-$T10)/($Z$7-$T$7)))</f>
        <v>55682556</v>
      </c>
      <c r="Y10" s="162" cm="1">
        <f t="array" ref="Y10">_xlfn.IFNA(_xlfn.XLOOKUP(1, ('0. GUIDELINES'!$E$3='[1]input-labor'!$A:$A) * (Y$7='[1]input-labor'!$B:$B) * ($A10='[1]input-labor'!$C:$C), '[1]input-labor'!$D:$D),(X10+($Z10-$T10)/($Z$7-$T$7)))</f>
        <v>56288686</v>
      </c>
      <c r="Z10" s="162" cm="1">
        <f t="array" ref="Z10">_xlfn.XLOOKUP(1, ('0. GUIDELINES'!$E$3='[1]input-labor'!$A:$A) * (Z$7='[1]input-labor'!$B:$B) * ($A10='[1]input-labor'!$C:$C), '[1]input-labor'!$D:$D)</f>
        <v>56894816</v>
      </c>
      <c r="AA10" s="150">
        <f>$Z$39*AA8</f>
        <v>57680045.027508251</v>
      </c>
      <c r="AB10" s="150">
        <f t="shared" ref="AB10:AD10" si="3">$Z$39*AB8</f>
        <v>58435710.973954953</v>
      </c>
      <c r="AC10" s="150">
        <f t="shared" si="3"/>
        <v>59167166.001074649</v>
      </c>
      <c r="AD10" s="150">
        <f t="shared" si="3"/>
        <v>59865136.700016931</v>
      </c>
    </row>
    <row r="11" spans="1:35" ht="14.45" customHeight="1" x14ac:dyDescent="0.2">
      <c r="A11" s="94" t="s">
        <v>569</v>
      </c>
      <c r="B11" s="304"/>
      <c r="C11" s="487" t="s">
        <v>143</v>
      </c>
      <c r="D11" s="487"/>
      <c r="E11" s="134"/>
      <c r="F11" s="131"/>
      <c r="G11" s="326" t="s">
        <v>144</v>
      </c>
      <c r="H11" s="325" t="s">
        <v>511</v>
      </c>
      <c r="I11" s="162" t="e" cm="1">
        <f t="array" ref="I11">_xlfn.XLOOKUP(1, ('0. GUIDELINES'!$E$3='[1]input-labor'!$A:$A) * (I$7='[1]input-labor'!$B:$B) * ($A11='[1]input-labor'!$C:$C), '[1]input-labor'!$D:$D)</f>
        <v>#N/A</v>
      </c>
      <c r="J11" s="162" t="e" cm="1">
        <f t="array" ref="J11">_xlfn.XLOOKUP(1, ('0. GUIDELINES'!$E$3='[1]input-labor'!$A:$A) * (J$7='[1]input-labor'!$B:$B) * ($A11='[1]input-labor'!$C:$C), '[1]input-labor'!$D:$D)</f>
        <v>#N/A</v>
      </c>
      <c r="K11" s="162" t="e" cm="1">
        <f t="array" ref="K11">_xlfn.XLOOKUP(1, ('0. GUIDELINES'!$E$3='[1]input-labor'!$A:$A) * (K$7='[1]input-labor'!$B:$B) * ($A11='[1]input-labor'!$C:$C), '[1]input-labor'!$D:$D)</f>
        <v>#N/A</v>
      </c>
      <c r="L11" s="162" t="e" cm="1">
        <f t="array" ref="L11">_xlfn.XLOOKUP(1, ('0. GUIDELINES'!$E$3='[1]input-labor'!$A:$A) * (L$7='[1]input-labor'!$B:$B) * ($A11='[1]input-labor'!$C:$C), '[1]input-labor'!$D:$D)</f>
        <v>#N/A</v>
      </c>
      <c r="M11" s="162" t="e" cm="1">
        <f t="array" ref="M11">_xlfn.XLOOKUP(1, ('0. GUIDELINES'!$E$3='[1]input-labor'!$A:$A) * (M$7='[1]input-labor'!$B:$B) * ($A11='[1]input-labor'!$C:$C), '[1]input-labor'!$D:$D)</f>
        <v>#N/A</v>
      </c>
      <c r="N11" s="162" t="e" cm="1">
        <f t="array" ref="N11">_xlfn.XLOOKUP(1, ('0. GUIDELINES'!$E$3='[1]input-labor'!$A:$A) * (N$7='[1]input-labor'!$B:$B) * ($A11='[1]input-labor'!$C:$C), '[1]input-labor'!$D:$D)</f>
        <v>#N/A</v>
      </c>
      <c r="O11" s="162" t="e" cm="1">
        <f t="array" ref="O11">_xlfn.XLOOKUP(1, ('0. GUIDELINES'!$E$3='[1]input-labor'!$A:$A) * (O$7='[1]input-labor'!$B:$B) * ($A11='[1]input-labor'!$C:$C), '[1]input-labor'!$D:$D)</f>
        <v>#N/A</v>
      </c>
      <c r="P11" s="162" t="e" cm="1">
        <f t="array" ref="P11">_xlfn.XLOOKUP(1, ('0. GUIDELINES'!$E$3='[1]input-labor'!$A:$A) * (P$7='[1]input-labor'!$B:$B) * ($A11='[1]input-labor'!$C:$C), '[1]input-labor'!$D:$D)</f>
        <v>#N/A</v>
      </c>
      <c r="Q11" s="162" t="e" cm="1">
        <f t="array" ref="Q11">_xlfn.XLOOKUP(1, ('0. GUIDELINES'!$E$3='[1]input-labor'!$A:$A) * (Q$7='[1]input-labor'!$B:$B) * ($A11='[1]input-labor'!$C:$C), '[1]input-labor'!$D:$D)</f>
        <v>#N/A</v>
      </c>
      <c r="R11" s="162" t="e" cm="1">
        <f t="array" ref="R11">_xlfn.XLOOKUP(1, ('0. GUIDELINES'!$E$3='[1]input-labor'!$A:$A) * (R$7='[1]input-labor'!$B:$B) * ($A11='[1]input-labor'!$C:$C), '[1]input-labor'!$D:$D)</f>
        <v>#N/A</v>
      </c>
      <c r="S11" s="162" t="e" cm="1">
        <f t="array" ref="S11">_xlfn.XLOOKUP(1, ('0. GUIDELINES'!$E$3='[1]input-labor'!$A:$A) * (S$7='[1]input-labor'!$B:$B) * ($A11='[1]input-labor'!$C:$C), '[1]input-labor'!$D:$D)</f>
        <v>#N/A</v>
      </c>
      <c r="T11" s="162" cm="1">
        <f t="array" ref="T11">_xlfn.XLOOKUP(1, ('0. GUIDELINES'!$E$3='[1]input-labor'!$A:$A) * (T$7='[1]input-labor'!$B:$B) * ($A11='[1]input-labor'!$C:$C), '[1]input-labor'!$D:$D)</f>
        <v>45362280</v>
      </c>
      <c r="U11" s="162" cm="1">
        <f t="array" ref="U11">_xlfn.IFNA(_xlfn.XLOOKUP(1, ('0. GUIDELINES'!$E$3='[1]input-labor'!$A:$A) * (U$7='[1]input-labor'!$B:$B) * ($A11='[1]input-labor'!$C:$C), '[1]input-labor'!$D:$D),(T11+($Z11-$T11)/($Z$7-$T$7)))</f>
        <v>46055759.333333336</v>
      </c>
      <c r="V11" s="162" cm="1">
        <f t="array" ref="V11">_xlfn.IFNA(_xlfn.XLOOKUP(1, ('0. GUIDELINES'!$E$3='[1]input-labor'!$A:$A) * (V$7='[1]input-labor'!$B:$B) * ($A11='[1]input-labor'!$C:$C), '[1]input-labor'!$D:$D),(U11+($Z11-$T11)/($Z$7-$T$7)))</f>
        <v>46749238.666666672</v>
      </c>
      <c r="W11" s="162" cm="1">
        <f t="array" ref="W11">_xlfn.IFNA(_xlfn.XLOOKUP(1, ('0. GUIDELINES'!$E$3='[1]input-labor'!$A:$A) * (W$7='[1]input-labor'!$B:$B) * ($A11='[1]input-labor'!$C:$C), '[1]input-labor'!$D:$D),(V11+($Z11-$T11)/($Z$7-$T$7)))</f>
        <v>47442718.000000007</v>
      </c>
      <c r="X11" s="162" cm="1">
        <f t="array" ref="X11">_xlfn.IFNA(_xlfn.XLOOKUP(1, ('0. GUIDELINES'!$E$3='[1]input-labor'!$A:$A) * (X$7='[1]input-labor'!$B:$B) * ($A11='[1]input-labor'!$C:$C), '[1]input-labor'!$D:$D),(W11+($Z11-$T11)/($Z$7-$T$7)))</f>
        <v>48136197.333333343</v>
      </c>
      <c r="Y11" s="162" cm="1">
        <f t="array" ref="Y11">_xlfn.IFNA(_xlfn.XLOOKUP(1, ('0. GUIDELINES'!$E$3='[1]input-labor'!$A:$A) * (Y$7='[1]input-labor'!$B:$B) * ($A11='[1]input-labor'!$C:$C), '[1]input-labor'!$D:$D),(X11+($Z11-$T11)/($Z$7-$T$7)))</f>
        <v>48829676.666666679</v>
      </c>
      <c r="Z11" s="162" cm="1">
        <f t="array" ref="Z11">_xlfn.XLOOKUP(1, ('0. GUIDELINES'!$E$3='[1]input-labor'!$A:$A) * (Z$7='[1]input-labor'!$B:$B) * ($A11='[1]input-labor'!$C:$C), '[1]input-labor'!$D:$D)</f>
        <v>49523156</v>
      </c>
      <c r="AA11" s="150">
        <f>SUM(AA14:AA19)</f>
        <v>50188308.113367945</v>
      </c>
      <c r="AB11" s="150">
        <f t="shared" ref="AB11:AD11" si="4">SUM(AB14:AB19)</f>
        <v>50845824.857423611</v>
      </c>
      <c r="AC11" s="150">
        <f t="shared" si="4"/>
        <v>51482275.29911831</v>
      </c>
      <c r="AD11" s="150">
        <f t="shared" si="4"/>
        <v>52089590.502974644</v>
      </c>
    </row>
    <row r="12" spans="1:35" ht="24" x14ac:dyDescent="0.2">
      <c r="A12" s="94" t="s">
        <v>570</v>
      </c>
      <c r="B12" s="131"/>
      <c r="C12" s="487"/>
      <c r="D12" s="487"/>
      <c r="E12" s="135" t="s">
        <v>145</v>
      </c>
      <c r="F12" s="323"/>
      <c r="G12" s="326" t="s">
        <v>23</v>
      </c>
      <c r="H12" s="327" t="s">
        <v>146</v>
      </c>
      <c r="I12" s="162" t="e" cm="1">
        <f t="array" ref="I12">_xlfn.XLOOKUP(1, ('0. GUIDELINES'!$E$3='[1]input-labor'!$A:$A) * (I$7='[1]input-labor'!$B:$B) * ($A12='[1]input-labor'!$C:$C), '[1]input-labor'!$D:$D)</f>
        <v>#N/A</v>
      </c>
      <c r="J12" s="162" t="e" cm="1">
        <f t="array" ref="J12">_xlfn.XLOOKUP(1, ('0. GUIDELINES'!$E$3='[1]input-labor'!$A:$A) * (J$7='[1]input-labor'!$B:$B) * ($A12='[1]input-labor'!$C:$C), '[1]input-labor'!$D:$D)</f>
        <v>#N/A</v>
      </c>
      <c r="K12" s="162" t="e" cm="1">
        <f t="array" ref="K12">_xlfn.XLOOKUP(1, ('0. GUIDELINES'!$E$3='[1]input-labor'!$A:$A) * (K$7='[1]input-labor'!$B:$B) * ($A12='[1]input-labor'!$C:$C), '[1]input-labor'!$D:$D)</f>
        <v>#N/A</v>
      </c>
      <c r="L12" s="162" t="e" cm="1">
        <f t="array" ref="L12">_xlfn.XLOOKUP(1, ('0. GUIDELINES'!$E$3='[1]input-labor'!$A:$A) * (L$7='[1]input-labor'!$B:$B) * ($A12='[1]input-labor'!$C:$C), '[1]input-labor'!$D:$D)</f>
        <v>#N/A</v>
      </c>
      <c r="M12" s="162" t="e" cm="1">
        <f t="array" ref="M12">_xlfn.XLOOKUP(1, ('0. GUIDELINES'!$E$3='[1]input-labor'!$A:$A) * (M$7='[1]input-labor'!$B:$B) * ($A12='[1]input-labor'!$C:$C), '[1]input-labor'!$D:$D)</f>
        <v>#N/A</v>
      </c>
      <c r="N12" s="162" t="e" cm="1">
        <f t="array" ref="N12">_xlfn.XLOOKUP(1, ('0. GUIDELINES'!$E$3='[1]input-labor'!$A:$A) * (N$7='[1]input-labor'!$B:$B) * ($A12='[1]input-labor'!$C:$C), '[1]input-labor'!$D:$D)</f>
        <v>#N/A</v>
      </c>
      <c r="O12" s="162" t="e" cm="1">
        <f t="array" ref="O12">_xlfn.XLOOKUP(1, ('0. GUIDELINES'!$E$3='[1]input-labor'!$A:$A) * (O$7='[1]input-labor'!$B:$B) * ($A12='[1]input-labor'!$C:$C), '[1]input-labor'!$D:$D)</f>
        <v>#N/A</v>
      </c>
      <c r="P12" s="162" t="e" cm="1">
        <f t="array" ref="P12">_xlfn.XLOOKUP(1, ('0. GUIDELINES'!$E$3='[1]input-labor'!$A:$A) * (P$7='[1]input-labor'!$B:$B) * ($A12='[1]input-labor'!$C:$C), '[1]input-labor'!$D:$D)</f>
        <v>#N/A</v>
      </c>
      <c r="Q12" s="162" t="e" cm="1">
        <f t="array" ref="Q12">_xlfn.XLOOKUP(1, ('0. GUIDELINES'!$E$3='[1]input-labor'!$A:$A) * (Q$7='[1]input-labor'!$B:$B) * ($A12='[1]input-labor'!$C:$C), '[1]input-labor'!$D:$D)</f>
        <v>#N/A</v>
      </c>
      <c r="R12" s="162" t="e" cm="1">
        <f t="array" ref="R12">_xlfn.XLOOKUP(1, ('0. GUIDELINES'!$E$3='[1]input-labor'!$A:$A) * (R$7='[1]input-labor'!$B:$B) * ($A12='[1]input-labor'!$C:$C), '[1]input-labor'!$D:$D)</f>
        <v>#N/A</v>
      </c>
      <c r="S12" s="162" t="e" cm="1">
        <f t="array" ref="S12">_xlfn.XLOOKUP(1, ('0. GUIDELINES'!$E$3='[1]input-labor'!$A:$A) * (S$7='[1]input-labor'!$B:$B) * ($A12='[1]input-labor'!$C:$C), '[1]input-labor'!$D:$D)</f>
        <v>#N/A</v>
      </c>
      <c r="T12" s="162" cm="1">
        <f t="array" ref="T12">_xlfn.XLOOKUP(1, ('0. GUIDELINES'!$E$3='[1]input-labor'!$A:$A) * (T$7='[1]input-labor'!$B:$B) * ($A12='[1]input-labor'!$C:$C), '[1]input-labor'!$D:$D)</f>
        <v>1589361.375</v>
      </c>
      <c r="U12" s="162" cm="1">
        <f t="array" ref="U12">_xlfn.IFNA(_xlfn.XLOOKUP(1, ('0. GUIDELINES'!$E$3='[1]input-labor'!$A:$A) * (U$7='[1]input-labor'!$B:$B) * ($A12='[1]input-labor'!$C:$C), '[1]input-labor'!$D:$D),(T12+($Z12-$T12)/($Z$7-$T$7)))</f>
        <v>1729671.3958333333</v>
      </c>
      <c r="V12" s="162" cm="1">
        <f t="array" ref="V12">_xlfn.IFNA(_xlfn.XLOOKUP(1, ('0. GUIDELINES'!$E$3='[1]input-labor'!$A:$A) * (V$7='[1]input-labor'!$B:$B) * ($A12='[1]input-labor'!$C:$C), '[1]input-labor'!$D:$D),(U12+($Z12-$T12)/($Z$7-$T$7)))</f>
        <v>1869981.4166666665</v>
      </c>
      <c r="W12" s="162" cm="1">
        <f t="array" ref="W12">_xlfn.IFNA(_xlfn.XLOOKUP(1, ('0. GUIDELINES'!$E$3='[1]input-labor'!$A:$A) * (W$7='[1]input-labor'!$B:$B) * ($A12='[1]input-labor'!$C:$C), '[1]input-labor'!$D:$D),(V12+($Z12-$T12)/($Z$7-$T$7)))</f>
        <v>2010291.4374999998</v>
      </c>
      <c r="X12" s="162" cm="1">
        <f t="array" ref="X12">_xlfn.IFNA(_xlfn.XLOOKUP(1, ('0. GUIDELINES'!$E$3='[1]input-labor'!$A:$A) * (X$7='[1]input-labor'!$B:$B) * ($A12='[1]input-labor'!$C:$C), '[1]input-labor'!$D:$D),(W12+($Z12-$T12)/($Z$7-$T$7)))</f>
        <v>2150601.458333333</v>
      </c>
      <c r="Y12" s="162" cm="1">
        <f t="array" ref="Y12">_xlfn.IFNA(_xlfn.XLOOKUP(1, ('0. GUIDELINES'!$E$3='[1]input-labor'!$A:$A) * (Y$7='[1]input-labor'!$B:$B) * ($A12='[1]input-labor'!$C:$C), '[1]input-labor'!$D:$D),(X12+($Z12-$T12)/($Z$7-$T$7)))</f>
        <v>2290911.4791666665</v>
      </c>
      <c r="Z12" s="162" cm="1">
        <f t="array" ref="Z12">_xlfn.XLOOKUP(1, ('0. GUIDELINES'!$E$3='[1]input-labor'!$A:$A) * (Z$7='[1]input-labor'!$B:$B) * ($A12='[1]input-labor'!$C:$C), '[1]input-labor'!$D:$D)</f>
        <v>2431221.5</v>
      </c>
      <c r="AA12" s="150">
        <f>AA9-AA11</f>
        <v>2483114.7555151582</v>
      </c>
      <c r="AB12" s="150">
        <f t="shared" ref="AB12:AD12" si="5">AB9-AB11</f>
        <v>2515646.0270934477</v>
      </c>
      <c r="AC12" s="150">
        <f t="shared" si="5"/>
        <v>2547135.02658014</v>
      </c>
      <c r="AD12" s="150">
        <f t="shared" si="5"/>
        <v>2577182.5331125781</v>
      </c>
    </row>
    <row r="13" spans="1:35" ht="14.25" customHeight="1" x14ac:dyDescent="0.2">
      <c r="A13" s="72"/>
      <c r="B13" s="131"/>
      <c r="C13" s="487" t="s">
        <v>147</v>
      </c>
      <c r="D13" s="487"/>
      <c r="E13" s="134"/>
      <c r="F13" s="131"/>
      <c r="G13" s="328" t="s">
        <v>148</v>
      </c>
      <c r="H13" s="329"/>
      <c r="I13" s="162"/>
      <c r="J13" s="330"/>
      <c r="K13" s="330"/>
      <c r="L13" s="330"/>
      <c r="M13" s="330"/>
      <c r="N13" s="330"/>
      <c r="O13" s="330"/>
      <c r="P13" s="330"/>
      <c r="Q13" s="330"/>
      <c r="R13" s="330"/>
      <c r="S13" s="330"/>
      <c r="T13" s="330"/>
      <c r="U13" s="330"/>
      <c r="V13" s="330"/>
      <c r="W13" s="330"/>
      <c r="X13" s="330"/>
      <c r="Y13" s="330"/>
      <c r="Z13" s="330"/>
      <c r="AA13" s="150"/>
      <c r="AB13" s="150"/>
      <c r="AC13" s="150"/>
      <c r="AD13" s="150"/>
      <c r="AE13" s="344"/>
    </row>
    <row r="14" spans="1:35" ht="24" x14ac:dyDescent="0.2">
      <c r="B14" s="129"/>
      <c r="C14" s="487"/>
      <c r="D14" s="487"/>
      <c r="E14" s="135" t="s">
        <v>149</v>
      </c>
      <c r="F14" s="129"/>
      <c r="G14" s="331" t="s">
        <v>29</v>
      </c>
      <c r="H14" s="325" t="s">
        <v>513</v>
      </c>
      <c r="I14" s="162" t="e">
        <f t="shared" ref="I14:T14" si="6">+I21+I22</f>
        <v>#N/A</v>
      </c>
      <c r="J14" s="162" t="e">
        <f t="shared" si="6"/>
        <v>#N/A</v>
      </c>
      <c r="K14" s="162" t="e">
        <f t="shared" si="6"/>
        <v>#N/A</v>
      </c>
      <c r="L14" s="162" t="e">
        <f t="shared" si="6"/>
        <v>#N/A</v>
      </c>
      <c r="M14" s="162" t="e">
        <f t="shared" si="6"/>
        <v>#N/A</v>
      </c>
      <c r="N14" s="162" t="e">
        <f t="shared" si="6"/>
        <v>#N/A</v>
      </c>
      <c r="O14" s="162" t="e">
        <f t="shared" si="6"/>
        <v>#N/A</v>
      </c>
      <c r="P14" s="162" t="e">
        <f t="shared" si="6"/>
        <v>#N/A</v>
      </c>
      <c r="Q14" s="162" t="e">
        <f t="shared" si="6"/>
        <v>#N/A</v>
      </c>
      <c r="R14" s="162" t="e">
        <f t="shared" si="6"/>
        <v>#N/A</v>
      </c>
      <c r="S14" s="162" t="e">
        <f t="shared" si="6"/>
        <v>#N/A</v>
      </c>
      <c r="T14" s="162">
        <f t="shared" si="6"/>
        <v>14884279.75</v>
      </c>
      <c r="U14" s="162" cm="1">
        <f t="array" ref="U14">_xlfn.IFNA(_xlfn.XLOOKUP(1, ('0. GUIDELINES'!$E$3='[1]input-labor'!$A:$A) * (U$7='[1]input-labor'!$B:$B) * ($A14='[1]input-labor'!$C:$C), '[1]input-labor'!$D:$D),(T14+($Z14-$T14)/($Z$7-$T$7)))</f>
        <v>15075694.375</v>
      </c>
      <c r="V14" s="162" cm="1">
        <f t="array" ref="V14">_xlfn.IFNA(_xlfn.XLOOKUP(1, ('0. GUIDELINES'!$E$3='[1]input-labor'!$A:$A) * (V$7='[1]input-labor'!$B:$B) * ($A14='[1]input-labor'!$C:$C), '[1]input-labor'!$D:$D),(U14+($Z14-$T14)/($Z$7-$T$7)))</f>
        <v>15267109</v>
      </c>
      <c r="W14" s="162" cm="1">
        <f t="array" ref="W14">_xlfn.IFNA(_xlfn.XLOOKUP(1, ('0. GUIDELINES'!$E$3='[1]input-labor'!$A:$A) * (W$7='[1]input-labor'!$B:$B) * ($A14='[1]input-labor'!$C:$C), '[1]input-labor'!$D:$D),(V14+($Z14-$T14)/($Z$7-$T$7)))</f>
        <v>15458523.625</v>
      </c>
      <c r="X14" s="162" cm="1">
        <f t="array" ref="X14">_xlfn.IFNA(_xlfn.XLOOKUP(1, ('0. GUIDELINES'!$E$3='[1]input-labor'!$A:$A) * (X$7='[1]input-labor'!$B:$B) * ($A14='[1]input-labor'!$C:$C), '[1]input-labor'!$D:$D),(W14+($Z14-$T14)/($Z$7-$T$7)))</f>
        <v>15649938.25</v>
      </c>
      <c r="Y14" s="162" cm="1">
        <f t="array" ref="Y14">_xlfn.IFNA(_xlfn.XLOOKUP(1, ('0. GUIDELINES'!$E$3='[1]input-labor'!$A:$A) * (Y$7='[1]input-labor'!$B:$B) * ($A14='[1]input-labor'!$C:$C), '[1]input-labor'!$D:$D),(X14+($Z14-$T14)/($Z$7-$T$7)))</f>
        <v>15841352.875</v>
      </c>
      <c r="Z14" s="162">
        <f>+Z21+Z22</f>
        <v>16032767.5</v>
      </c>
      <c r="AA14" s="150">
        <f t="shared" ref="AA14:AD14" si="7">+AA21+AA22</f>
        <v>16168441.787925392</v>
      </c>
      <c r="AB14" s="150">
        <f t="shared" si="7"/>
        <v>16291537.519675799</v>
      </c>
      <c r="AC14" s="150">
        <f t="shared" si="7"/>
        <v>16404570.024620796</v>
      </c>
      <c r="AD14" s="150">
        <f t="shared" si="7"/>
        <v>16511415.742423503</v>
      </c>
      <c r="AE14" s="344"/>
    </row>
    <row r="15" spans="1:35" ht="15" customHeight="1" x14ac:dyDescent="0.2">
      <c r="B15" s="129"/>
      <c r="C15" s="130"/>
      <c r="D15" s="130"/>
      <c r="E15" s="89"/>
      <c r="F15" s="129"/>
      <c r="G15" s="331" t="s">
        <v>490</v>
      </c>
      <c r="H15" s="325" t="s">
        <v>514</v>
      </c>
      <c r="I15" s="162" t="e">
        <f t="shared" ref="I15:T15" si="8">+I23+I24</f>
        <v>#N/A</v>
      </c>
      <c r="J15" s="162" t="e">
        <f t="shared" si="8"/>
        <v>#N/A</v>
      </c>
      <c r="K15" s="162" t="e">
        <f t="shared" si="8"/>
        <v>#N/A</v>
      </c>
      <c r="L15" s="162" t="e">
        <f t="shared" si="8"/>
        <v>#N/A</v>
      </c>
      <c r="M15" s="162" t="e">
        <f t="shared" si="8"/>
        <v>#N/A</v>
      </c>
      <c r="N15" s="162" t="e">
        <f t="shared" si="8"/>
        <v>#N/A</v>
      </c>
      <c r="O15" s="162" t="e">
        <f t="shared" si="8"/>
        <v>#N/A</v>
      </c>
      <c r="P15" s="162" t="e">
        <f t="shared" si="8"/>
        <v>#N/A</v>
      </c>
      <c r="Q15" s="162" t="e">
        <f t="shared" si="8"/>
        <v>#N/A</v>
      </c>
      <c r="R15" s="162" t="e">
        <f t="shared" si="8"/>
        <v>#N/A</v>
      </c>
      <c r="S15" s="162" t="e">
        <f t="shared" si="8"/>
        <v>#N/A</v>
      </c>
      <c r="T15" s="162">
        <f t="shared" si="8"/>
        <v>2693169.25</v>
      </c>
      <c r="U15" s="162" cm="1">
        <f t="array" ref="U15">_xlfn.IFNA(_xlfn.XLOOKUP(1, ('0. GUIDELINES'!$E$3='[1]input-labor'!$A:$A) * (U$7='[1]input-labor'!$B:$B) * ($A15='[1]input-labor'!$C:$C), '[1]input-labor'!$D:$D),(T15+($Z15-$T15)/($Z$7-$T$7)))</f>
        <v>2894695.125</v>
      </c>
      <c r="V15" s="162" cm="1">
        <f t="array" ref="V15">_xlfn.IFNA(_xlfn.XLOOKUP(1, ('0. GUIDELINES'!$E$3='[1]input-labor'!$A:$A) * (V$7='[1]input-labor'!$B:$B) * ($A15='[1]input-labor'!$C:$C), '[1]input-labor'!$D:$D),(U15+($Z15-$T15)/($Z$7-$T$7)))</f>
        <v>3096221</v>
      </c>
      <c r="W15" s="162" cm="1">
        <f t="array" ref="W15">_xlfn.IFNA(_xlfn.XLOOKUP(1, ('0. GUIDELINES'!$E$3='[1]input-labor'!$A:$A) * (W$7='[1]input-labor'!$B:$B) * ($A15='[1]input-labor'!$C:$C), '[1]input-labor'!$D:$D),(V15+($Z15-$T15)/($Z$7-$T$7)))</f>
        <v>3297746.875</v>
      </c>
      <c r="X15" s="162" cm="1">
        <f t="array" ref="X15">_xlfn.IFNA(_xlfn.XLOOKUP(1, ('0. GUIDELINES'!$E$3='[1]input-labor'!$A:$A) * (X$7='[1]input-labor'!$B:$B) * ($A15='[1]input-labor'!$C:$C), '[1]input-labor'!$D:$D),(W15+($Z15-$T15)/($Z$7-$T$7)))</f>
        <v>3499272.75</v>
      </c>
      <c r="Y15" s="162" cm="1">
        <f t="array" ref="Y15">_xlfn.IFNA(_xlfn.XLOOKUP(1, ('0. GUIDELINES'!$E$3='[1]input-labor'!$A:$A) * (Y$7='[1]input-labor'!$B:$B) * ($A15='[1]input-labor'!$C:$C), '[1]input-labor'!$D:$D),(X15+($Z15-$T15)/($Z$7-$T$7)))</f>
        <v>3700798.625</v>
      </c>
      <c r="Z15" s="162">
        <f>+Z23+Z24</f>
        <v>3902324.5</v>
      </c>
      <c r="AA15" s="150">
        <f t="shared" ref="AA15:AD15" si="9">+AA23+AA24</f>
        <v>3970705.0773835182</v>
      </c>
      <c r="AB15" s="150">
        <f t="shared" si="9"/>
        <v>3987216.2576226592</v>
      </c>
      <c r="AC15" s="150">
        <f t="shared" si="9"/>
        <v>4049703.0608112472</v>
      </c>
      <c r="AD15" s="150">
        <f t="shared" si="9"/>
        <v>4125101.5690417476</v>
      </c>
      <c r="AE15" s="344"/>
    </row>
    <row r="16" spans="1:35" ht="15" customHeight="1" x14ac:dyDescent="0.2">
      <c r="B16" s="129"/>
      <c r="C16" s="130"/>
      <c r="D16" s="130"/>
      <c r="E16" s="89"/>
      <c r="F16" s="129"/>
      <c r="G16" s="331" t="s">
        <v>491</v>
      </c>
      <c r="H16" s="325" t="s">
        <v>523</v>
      </c>
      <c r="I16" s="162" t="e">
        <f t="shared" ref="I16:T16" si="10">+I25+I26</f>
        <v>#N/A</v>
      </c>
      <c r="J16" s="162" t="e">
        <f t="shared" si="10"/>
        <v>#N/A</v>
      </c>
      <c r="K16" s="162" t="e">
        <f t="shared" si="10"/>
        <v>#N/A</v>
      </c>
      <c r="L16" s="162" t="e">
        <f t="shared" si="10"/>
        <v>#N/A</v>
      </c>
      <c r="M16" s="162" t="e">
        <f t="shared" si="10"/>
        <v>#N/A</v>
      </c>
      <c r="N16" s="162" t="e">
        <f t="shared" si="10"/>
        <v>#N/A</v>
      </c>
      <c r="O16" s="162" t="e">
        <f t="shared" si="10"/>
        <v>#N/A</v>
      </c>
      <c r="P16" s="162" t="e">
        <f t="shared" si="10"/>
        <v>#N/A</v>
      </c>
      <c r="Q16" s="162" t="e">
        <f t="shared" si="10"/>
        <v>#N/A</v>
      </c>
      <c r="R16" s="162" t="e">
        <f t="shared" si="10"/>
        <v>#N/A</v>
      </c>
      <c r="S16" s="162" t="e">
        <f t="shared" si="10"/>
        <v>#N/A</v>
      </c>
      <c r="T16" s="162">
        <f t="shared" si="10"/>
        <v>9686163.75</v>
      </c>
      <c r="U16" s="162" cm="1">
        <f t="array" ref="U16">_xlfn.IFNA(_xlfn.XLOOKUP(1, ('0. GUIDELINES'!$E$3='[1]input-labor'!$A:$A) * (U$7='[1]input-labor'!$B:$B) * ($A16='[1]input-labor'!$C:$C), '[1]input-labor'!$D:$D),(T16+($Z16-$T16)/($Z$7-$T$7)))</f>
        <v>10053354.291666666</v>
      </c>
      <c r="V16" s="162" cm="1">
        <f t="array" ref="V16">_xlfn.IFNA(_xlfn.XLOOKUP(1, ('0. GUIDELINES'!$E$3='[1]input-labor'!$A:$A) * (V$7='[1]input-labor'!$B:$B) * ($A16='[1]input-labor'!$C:$C), '[1]input-labor'!$D:$D),(U16+($Z16-$T16)/($Z$7-$T$7)))</f>
        <v>10420544.833333332</v>
      </c>
      <c r="W16" s="162" cm="1">
        <f t="array" ref="W16">_xlfn.IFNA(_xlfn.XLOOKUP(1, ('0. GUIDELINES'!$E$3='[1]input-labor'!$A:$A) * (W$7='[1]input-labor'!$B:$B) * ($A16='[1]input-labor'!$C:$C), '[1]input-labor'!$D:$D),(V16+($Z16-$T16)/($Z$7-$T$7)))</f>
        <v>10787735.374999998</v>
      </c>
      <c r="X16" s="162" cm="1">
        <f t="array" ref="X16">_xlfn.IFNA(_xlfn.XLOOKUP(1, ('0. GUIDELINES'!$E$3='[1]input-labor'!$A:$A) * (X$7='[1]input-labor'!$B:$B) * ($A16='[1]input-labor'!$C:$C), '[1]input-labor'!$D:$D),(W16+($Z16-$T16)/($Z$7-$T$7)))</f>
        <v>11154925.916666664</v>
      </c>
      <c r="Y16" s="162" cm="1">
        <f t="array" ref="Y16">_xlfn.IFNA(_xlfn.XLOOKUP(1, ('0. GUIDELINES'!$E$3='[1]input-labor'!$A:$A) * (Y$7='[1]input-labor'!$B:$B) * ($A16='[1]input-labor'!$C:$C), '[1]input-labor'!$D:$D),(X16+($Z16-$T16)/($Z$7-$T$7)))</f>
        <v>11522116.45833333</v>
      </c>
      <c r="Z16" s="162">
        <f>+Z25+Z26</f>
        <v>11889307</v>
      </c>
      <c r="AA16" s="150">
        <f t="shared" ref="AA16:AD16" si="11">+AA25+AA26</f>
        <v>12153417.655521631</v>
      </c>
      <c r="AB16" s="150">
        <f t="shared" si="11"/>
        <v>12400565.216282409</v>
      </c>
      <c r="AC16" s="150">
        <f t="shared" si="11"/>
        <v>12602156.80293037</v>
      </c>
      <c r="AD16" s="150">
        <f t="shared" si="11"/>
        <v>12757259.970611911</v>
      </c>
      <c r="AE16" s="344"/>
    </row>
    <row r="17" spans="1:31" ht="15" customHeight="1" x14ac:dyDescent="0.2">
      <c r="B17" s="129"/>
      <c r="C17" s="130"/>
      <c r="D17" s="130"/>
      <c r="E17" s="89"/>
      <c r="F17" s="129"/>
      <c r="G17" s="331" t="s">
        <v>492</v>
      </c>
      <c r="H17" s="325" t="s">
        <v>524</v>
      </c>
      <c r="I17" s="162" t="e">
        <f t="shared" ref="I17:T17" si="12">+I27+I28</f>
        <v>#N/A</v>
      </c>
      <c r="J17" s="162" t="e">
        <f t="shared" si="12"/>
        <v>#N/A</v>
      </c>
      <c r="K17" s="162" t="e">
        <f t="shared" si="12"/>
        <v>#N/A</v>
      </c>
      <c r="L17" s="162" t="e">
        <f t="shared" si="12"/>
        <v>#N/A</v>
      </c>
      <c r="M17" s="162" t="e">
        <f t="shared" si="12"/>
        <v>#N/A</v>
      </c>
      <c r="N17" s="162" t="e">
        <f t="shared" si="12"/>
        <v>#N/A</v>
      </c>
      <c r="O17" s="162" t="e">
        <f t="shared" si="12"/>
        <v>#N/A</v>
      </c>
      <c r="P17" s="162" t="e">
        <f t="shared" si="12"/>
        <v>#N/A</v>
      </c>
      <c r="Q17" s="162" t="e">
        <f t="shared" si="12"/>
        <v>#N/A</v>
      </c>
      <c r="R17" s="162" t="e">
        <f t="shared" si="12"/>
        <v>#N/A</v>
      </c>
      <c r="S17" s="162" t="e">
        <f t="shared" si="12"/>
        <v>#N/A</v>
      </c>
      <c r="T17" s="162">
        <f t="shared" si="12"/>
        <v>4713938.6875</v>
      </c>
      <c r="U17" s="162" cm="1">
        <f t="array" ref="U17">_xlfn.IFNA(_xlfn.XLOOKUP(1, ('0. GUIDELINES'!$E$3='[1]input-labor'!$A:$A) * (U$7='[1]input-labor'!$B:$B) * ($A17='[1]input-labor'!$C:$C), '[1]input-labor'!$D:$D),(T17+($Z17-$T17)/($Z$7-$T$7)))</f>
        <v>4686649.427083333</v>
      </c>
      <c r="V17" s="162" cm="1">
        <f t="array" ref="V17">_xlfn.IFNA(_xlfn.XLOOKUP(1, ('0. GUIDELINES'!$E$3='[1]input-labor'!$A:$A) * (V$7='[1]input-labor'!$B:$B) * ($A17='[1]input-labor'!$C:$C), '[1]input-labor'!$D:$D),(U17+($Z17-$T17)/($Z$7-$T$7)))</f>
        <v>4659360.166666666</v>
      </c>
      <c r="W17" s="162" cm="1">
        <f t="array" ref="W17">_xlfn.IFNA(_xlfn.XLOOKUP(1, ('0. GUIDELINES'!$E$3='[1]input-labor'!$A:$A) * (W$7='[1]input-labor'!$B:$B) * ($A17='[1]input-labor'!$C:$C), '[1]input-labor'!$D:$D),(V17+($Z17-$T17)/($Z$7-$T$7)))</f>
        <v>4632070.9062499991</v>
      </c>
      <c r="X17" s="162" cm="1">
        <f t="array" ref="X17">_xlfn.IFNA(_xlfn.XLOOKUP(1, ('0. GUIDELINES'!$E$3='[1]input-labor'!$A:$A) * (X$7='[1]input-labor'!$B:$B) * ($A17='[1]input-labor'!$C:$C), '[1]input-labor'!$D:$D),(W17+($Z17-$T17)/($Z$7-$T$7)))</f>
        <v>4604781.6458333321</v>
      </c>
      <c r="Y17" s="162" cm="1">
        <f t="array" ref="Y17">_xlfn.IFNA(_xlfn.XLOOKUP(1, ('0. GUIDELINES'!$E$3='[1]input-labor'!$A:$A) * (Y$7='[1]input-labor'!$B:$B) * ($A17='[1]input-labor'!$C:$C), '[1]input-labor'!$D:$D),(X17+($Z17-$T17)/($Z$7-$T$7)))</f>
        <v>4577492.3854166651</v>
      </c>
      <c r="Z17" s="162">
        <f>+Z27+Z28</f>
        <v>4550203.125</v>
      </c>
      <c r="AA17" s="150">
        <f t="shared" ref="AA17:AD17" si="13">+AA27+AA28</f>
        <v>4614325.1766230911</v>
      </c>
      <c r="AB17" s="150">
        <f t="shared" si="13"/>
        <v>4690408.1644210201</v>
      </c>
      <c r="AC17" s="150">
        <f t="shared" si="13"/>
        <v>4784438.1910485076</v>
      </c>
      <c r="AD17" s="150">
        <f t="shared" si="13"/>
        <v>4871821.3596192272</v>
      </c>
      <c r="AE17" s="344"/>
    </row>
    <row r="18" spans="1:31" ht="15" customHeight="1" x14ac:dyDescent="0.2">
      <c r="B18" s="129"/>
      <c r="C18" s="130"/>
      <c r="D18" s="130"/>
      <c r="E18" s="89"/>
      <c r="F18" s="129"/>
      <c r="G18" s="331" t="s">
        <v>493</v>
      </c>
      <c r="H18" s="325" t="s">
        <v>525</v>
      </c>
      <c r="I18" s="162" t="e">
        <f t="shared" ref="I18:T18" si="14">+I29+I30</f>
        <v>#N/A</v>
      </c>
      <c r="J18" s="162" t="e">
        <f t="shared" si="14"/>
        <v>#N/A</v>
      </c>
      <c r="K18" s="162" t="e">
        <f t="shared" si="14"/>
        <v>#N/A</v>
      </c>
      <c r="L18" s="162" t="e">
        <f t="shared" si="14"/>
        <v>#N/A</v>
      </c>
      <c r="M18" s="162" t="e">
        <f t="shared" si="14"/>
        <v>#N/A</v>
      </c>
      <c r="N18" s="162" t="e">
        <f t="shared" si="14"/>
        <v>#N/A</v>
      </c>
      <c r="O18" s="162" t="e">
        <f t="shared" si="14"/>
        <v>#N/A</v>
      </c>
      <c r="P18" s="162" t="e">
        <f t="shared" si="14"/>
        <v>#N/A</v>
      </c>
      <c r="Q18" s="162" t="e">
        <f t="shared" si="14"/>
        <v>#N/A</v>
      </c>
      <c r="R18" s="162" t="e">
        <f t="shared" si="14"/>
        <v>#N/A</v>
      </c>
      <c r="S18" s="162" t="e">
        <f t="shared" si="14"/>
        <v>#N/A</v>
      </c>
      <c r="T18" s="162">
        <f t="shared" si="14"/>
        <v>5974691.25</v>
      </c>
      <c r="U18" s="162" cm="1">
        <f t="array" ref="U18">_xlfn.IFNA(_xlfn.XLOOKUP(1, ('0. GUIDELINES'!$E$3='[1]input-labor'!$A:$A) * (U$7='[1]input-labor'!$B:$B) * ($A18='[1]input-labor'!$C:$C), '[1]input-labor'!$D:$D),(T18+($Z18-$T18)/($Z$7-$T$7)))</f>
        <v>6089714.25</v>
      </c>
      <c r="V18" s="162" cm="1">
        <f t="array" ref="V18">_xlfn.IFNA(_xlfn.XLOOKUP(1, ('0. GUIDELINES'!$E$3='[1]input-labor'!$A:$A) * (V$7='[1]input-labor'!$B:$B) * ($A18='[1]input-labor'!$C:$C), '[1]input-labor'!$D:$D),(U18+($Z18-$T18)/($Z$7-$T$7)))</f>
        <v>6204737.25</v>
      </c>
      <c r="W18" s="162" cm="1">
        <f t="array" ref="W18">_xlfn.IFNA(_xlfn.XLOOKUP(1, ('0. GUIDELINES'!$E$3='[1]input-labor'!$A:$A) * (W$7='[1]input-labor'!$B:$B) * ($A18='[1]input-labor'!$C:$C), '[1]input-labor'!$D:$D),(V18+($Z18-$T18)/($Z$7-$T$7)))</f>
        <v>6319760.25</v>
      </c>
      <c r="X18" s="162" cm="1">
        <f t="array" ref="X18">_xlfn.IFNA(_xlfn.XLOOKUP(1, ('0. GUIDELINES'!$E$3='[1]input-labor'!$A:$A) * (X$7='[1]input-labor'!$B:$B) * ($A18='[1]input-labor'!$C:$C), '[1]input-labor'!$D:$D),(W18+($Z18-$T18)/($Z$7-$T$7)))</f>
        <v>6434783.25</v>
      </c>
      <c r="Y18" s="162" cm="1">
        <f t="array" ref="Y18">_xlfn.IFNA(_xlfn.XLOOKUP(1, ('0. GUIDELINES'!$E$3='[1]input-labor'!$A:$A) * (Y$7='[1]input-labor'!$B:$B) * ($A18='[1]input-labor'!$C:$C), '[1]input-labor'!$D:$D),(X18+($Z18-$T18)/($Z$7-$T$7)))</f>
        <v>6549806.25</v>
      </c>
      <c r="Z18" s="162">
        <f>+Z29+Z30</f>
        <v>6664829.25</v>
      </c>
      <c r="AA18" s="150">
        <f t="shared" ref="AA18:AD18" si="15">+AA29+AA30</f>
        <v>6707452.10838186</v>
      </c>
      <c r="AB18" s="150">
        <f t="shared" si="15"/>
        <v>6816060.8831483079</v>
      </c>
      <c r="AC18" s="150">
        <f t="shared" si="15"/>
        <v>6919795.0824751891</v>
      </c>
      <c r="AD18" s="150">
        <f t="shared" si="15"/>
        <v>7035286.4110063799</v>
      </c>
      <c r="AE18" s="344"/>
    </row>
    <row r="19" spans="1:31" ht="14.1" customHeight="1" x14ac:dyDescent="0.2">
      <c r="B19" s="129"/>
      <c r="C19" s="130"/>
      <c r="D19" s="130"/>
      <c r="E19" s="89"/>
      <c r="F19" s="129"/>
      <c r="G19" s="331" t="s">
        <v>494</v>
      </c>
      <c r="H19" s="325" t="s">
        <v>526</v>
      </c>
      <c r="I19" s="162" t="e">
        <f t="shared" ref="I19:T19" si="16">+I31+I32</f>
        <v>#N/A</v>
      </c>
      <c r="J19" s="162" t="e">
        <f t="shared" si="16"/>
        <v>#N/A</v>
      </c>
      <c r="K19" s="162" t="e">
        <f t="shared" si="16"/>
        <v>#N/A</v>
      </c>
      <c r="L19" s="162" t="e">
        <f t="shared" si="16"/>
        <v>#N/A</v>
      </c>
      <c r="M19" s="162" t="e">
        <f t="shared" si="16"/>
        <v>#N/A</v>
      </c>
      <c r="N19" s="162" t="e">
        <f t="shared" si="16"/>
        <v>#N/A</v>
      </c>
      <c r="O19" s="162" t="e">
        <f t="shared" si="16"/>
        <v>#N/A</v>
      </c>
      <c r="P19" s="162" t="e">
        <f t="shared" si="16"/>
        <v>#N/A</v>
      </c>
      <c r="Q19" s="162" t="e">
        <f t="shared" si="16"/>
        <v>#N/A</v>
      </c>
      <c r="R19" s="162" t="e">
        <f t="shared" si="16"/>
        <v>#N/A</v>
      </c>
      <c r="S19" s="162" t="e">
        <f t="shared" si="16"/>
        <v>#N/A</v>
      </c>
      <c r="T19" s="162">
        <f t="shared" si="16"/>
        <v>7410036.25</v>
      </c>
      <c r="U19" s="162" cm="1">
        <f t="array" ref="U19">_xlfn.IFNA(_xlfn.XLOOKUP(1, ('0. GUIDELINES'!$E$3='[1]input-labor'!$A:$A) * (U$7='[1]input-labor'!$B:$B) * ($A19='[1]input-labor'!$C:$C), '[1]input-labor'!$D:$D),(T19+($Z19-$T19)/($Z$7-$T$7)))</f>
        <v>7255650.75</v>
      </c>
      <c r="V19" s="162" cm="1">
        <f t="array" ref="V19">_xlfn.IFNA(_xlfn.XLOOKUP(1, ('0. GUIDELINES'!$E$3='[1]input-labor'!$A:$A) * (V$7='[1]input-labor'!$B:$B) * ($A19='[1]input-labor'!$C:$C), '[1]input-labor'!$D:$D),(U19+($Z19-$T19)/($Z$7-$T$7)))</f>
        <v>7101265.25</v>
      </c>
      <c r="W19" s="162" cm="1">
        <f t="array" ref="W19">_xlfn.IFNA(_xlfn.XLOOKUP(1, ('0. GUIDELINES'!$E$3='[1]input-labor'!$A:$A) * (W$7='[1]input-labor'!$B:$B) * ($A19='[1]input-labor'!$C:$C), '[1]input-labor'!$D:$D),(V19+($Z19-$T19)/($Z$7-$T$7)))</f>
        <v>6946879.75</v>
      </c>
      <c r="X19" s="162" cm="1">
        <f t="array" ref="X19">_xlfn.IFNA(_xlfn.XLOOKUP(1, ('0. GUIDELINES'!$E$3='[1]input-labor'!$A:$A) * (X$7='[1]input-labor'!$B:$B) * ($A19='[1]input-labor'!$C:$C), '[1]input-labor'!$D:$D),(W19+($Z19-$T19)/($Z$7-$T$7)))</f>
        <v>6792494.25</v>
      </c>
      <c r="Y19" s="162" cm="1">
        <f t="array" ref="Y19">_xlfn.IFNA(_xlfn.XLOOKUP(1, ('0. GUIDELINES'!$E$3='[1]input-labor'!$A:$A) * (Y$7='[1]input-labor'!$B:$B) * ($A19='[1]input-labor'!$C:$C), '[1]input-labor'!$D:$D),(X19+($Z19-$T19)/($Z$7-$T$7)))</f>
        <v>6638108.75</v>
      </c>
      <c r="Z19" s="162">
        <f>+Z31+Z32</f>
        <v>6483723.25</v>
      </c>
      <c r="AA19" s="150">
        <f t="shared" ref="AA19:AD19" si="17">+AA31+AA32</f>
        <v>6573966.3075324483</v>
      </c>
      <c r="AB19" s="150">
        <f t="shared" si="17"/>
        <v>6660036.816273422</v>
      </c>
      <c r="AC19" s="150">
        <f t="shared" si="17"/>
        <v>6721612.1372321984</v>
      </c>
      <c r="AD19" s="150">
        <f t="shared" si="17"/>
        <v>6788705.4502718784</v>
      </c>
      <c r="AE19" s="344"/>
    </row>
    <row r="20" spans="1:31" x14ac:dyDescent="0.2">
      <c r="B20" s="304"/>
      <c r="C20" s="131"/>
      <c r="D20" s="131"/>
      <c r="E20" s="89"/>
      <c r="F20" s="129"/>
      <c r="G20" s="328" t="s">
        <v>500</v>
      </c>
      <c r="H20" s="329"/>
      <c r="I20" s="162"/>
      <c r="J20" s="330"/>
      <c r="K20" s="330"/>
      <c r="L20" s="330"/>
      <c r="M20" s="330"/>
      <c r="N20" s="330"/>
      <c r="O20" s="330"/>
      <c r="P20" s="330"/>
      <c r="Q20" s="330"/>
      <c r="R20" s="330"/>
      <c r="S20" s="330"/>
      <c r="T20" s="330"/>
      <c r="U20" s="330"/>
      <c r="V20" s="330"/>
      <c r="W20" s="330"/>
      <c r="X20" s="330"/>
      <c r="Y20" s="330"/>
      <c r="Z20" s="330"/>
      <c r="AA20" s="150"/>
      <c r="AB20" s="150"/>
      <c r="AC20" s="150"/>
      <c r="AD20" s="150"/>
      <c r="AE20" s="344"/>
    </row>
    <row r="21" spans="1:31" x14ac:dyDescent="0.2">
      <c r="A21" s="94" t="s">
        <v>571</v>
      </c>
      <c r="B21" s="304"/>
      <c r="C21" s="131"/>
      <c r="D21" s="131"/>
      <c r="E21" s="89"/>
      <c r="F21" s="129"/>
      <c r="G21" s="331" t="s">
        <v>496</v>
      </c>
      <c r="H21" s="327" t="s">
        <v>154</v>
      </c>
      <c r="I21" s="162" t="e" cm="1">
        <f t="array" ref="I21">_xlfn.XLOOKUP(1, ('0. GUIDELINES'!$E$3='[1]input-labor'!$A:$A) * (I$7='[1]input-labor'!$B:$B) * ($A21='[1]input-labor'!$C:$C), '[1]input-labor'!$D:$D)</f>
        <v>#N/A</v>
      </c>
      <c r="J21" s="162" t="e" cm="1">
        <f t="array" ref="J21">_xlfn.XLOOKUP(1, ('0. GUIDELINES'!$E$3='[1]input-labor'!$A:$A) * (J$7='[1]input-labor'!$B:$B) * ($A21='[1]input-labor'!$C:$C), '[1]input-labor'!$D:$D)</f>
        <v>#N/A</v>
      </c>
      <c r="K21" s="162" t="e" cm="1">
        <f t="array" ref="K21">_xlfn.XLOOKUP(1, ('0. GUIDELINES'!$E$3='[1]input-labor'!$A:$A) * (K$7='[1]input-labor'!$B:$B) * ($A21='[1]input-labor'!$C:$C), '[1]input-labor'!$D:$D)</f>
        <v>#N/A</v>
      </c>
      <c r="L21" s="162" t="e" cm="1">
        <f t="array" ref="L21">_xlfn.XLOOKUP(1, ('0. GUIDELINES'!$E$3='[1]input-labor'!$A:$A) * (L$7='[1]input-labor'!$B:$B) * ($A21='[1]input-labor'!$C:$C), '[1]input-labor'!$D:$D)</f>
        <v>#N/A</v>
      </c>
      <c r="M21" s="162" t="e" cm="1">
        <f t="array" ref="M21">_xlfn.XLOOKUP(1, ('0. GUIDELINES'!$E$3='[1]input-labor'!$A:$A) * (M$7='[1]input-labor'!$B:$B) * ($A21='[1]input-labor'!$C:$C), '[1]input-labor'!$D:$D)</f>
        <v>#N/A</v>
      </c>
      <c r="N21" s="162" t="e" cm="1">
        <f t="array" ref="N21">_xlfn.XLOOKUP(1, ('0. GUIDELINES'!$E$3='[1]input-labor'!$A:$A) * (N$7='[1]input-labor'!$B:$B) * ($A21='[1]input-labor'!$C:$C), '[1]input-labor'!$D:$D)</f>
        <v>#N/A</v>
      </c>
      <c r="O21" s="162" t="e" cm="1">
        <f t="array" ref="O21">_xlfn.XLOOKUP(1, ('0. GUIDELINES'!$E$3='[1]input-labor'!$A:$A) * (O$7='[1]input-labor'!$B:$B) * ($A21='[1]input-labor'!$C:$C), '[1]input-labor'!$D:$D)</f>
        <v>#N/A</v>
      </c>
      <c r="P21" s="162" t="e" cm="1">
        <f t="array" ref="P21">_xlfn.XLOOKUP(1, ('0. GUIDELINES'!$E$3='[1]input-labor'!$A:$A) * (P$7='[1]input-labor'!$B:$B) * ($A21='[1]input-labor'!$C:$C), '[1]input-labor'!$D:$D)</f>
        <v>#N/A</v>
      </c>
      <c r="Q21" s="162" t="e" cm="1">
        <f t="array" ref="Q21">_xlfn.XLOOKUP(1, ('0. GUIDELINES'!$E$3='[1]input-labor'!$A:$A) * (Q$7='[1]input-labor'!$B:$B) * ($A21='[1]input-labor'!$C:$C), '[1]input-labor'!$D:$D)</f>
        <v>#N/A</v>
      </c>
      <c r="R21" s="162" t="e" cm="1">
        <f t="array" ref="R21">_xlfn.XLOOKUP(1, ('0. GUIDELINES'!$E$3='[1]input-labor'!$A:$A) * (R$7='[1]input-labor'!$B:$B) * ($A21='[1]input-labor'!$C:$C), '[1]input-labor'!$D:$D)</f>
        <v>#N/A</v>
      </c>
      <c r="S21" s="162" t="e" cm="1">
        <f t="array" ref="S21">_xlfn.XLOOKUP(1, ('0. GUIDELINES'!$E$3='[1]input-labor'!$A:$A) * (S$7='[1]input-labor'!$B:$B) * ($A21='[1]input-labor'!$C:$C), '[1]input-labor'!$D:$D)</f>
        <v>#N/A</v>
      </c>
      <c r="T21" s="162" cm="1">
        <f t="array" ref="T21">_xlfn.XLOOKUP(1, ('0. GUIDELINES'!$E$3='[1]input-labor'!$A:$A) * (T$7='[1]input-labor'!$B:$B) * ($A21='[1]input-labor'!$C:$C), '[1]input-labor'!$D:$D)</f>
        <v>1883217.75</v>
      </c>
      <c r="U21" s="162" cm="1">
        <f t="array" ref="U21">_xlfn.IFNA(_xlfn.XLOOKUP(1, ('0. GUIDELINES'!$E$3='[1]input-labor'!$A:$A) * (U$7='[1]input-labor'!$B:$B) * ($A21='[1]input-labor'!$C:$C), '[1]input-labor'!$D:$D),(T21+($Z21-$T21)/($Z$7-$T$7)))</f>
        <v>1934006.875</v>
      </c>
      <c r="V21" s="162" cm="1">
        <f t="array" ref="V21">_xlfn.IFNA(_xlfn.XLOOKUP(1, ('0. GUIDELINES'!$E$3='[1]input-labor'!$A:$A) * (V$7='[1]input-labor'!$B:$B) * ($A21='[1]input-labor'!$C:$C), '[1]input-labor'!$D:$D),(U21+($Z21-$T21)/($Z$7-$T$7)))</f>
        <v>1984796</v>
      </c>
      <c r="W21" s="162" cm="1">
        <f t="array" ref="W21">_xlfn.IFNA(_xlfn.XLOOKUP(1, ('0. GUIDELINES'!$E$3='[1]input-labor'!$A:$A) * (W$7='[1]input-labor'!$B:$B) * ($A21='[1]input-labor'!$C:$C), '[1]input-labor'!$D:$D),(V21+($Z21-$T21)/($Z$7-$T$7)))</f>
        <v>2035585.125</v>
      </c>
      <c r="X21" s="162" cm="1">
        <f t="array" ref="X21">_xlfn.IFNA(_xlfn.XLOOKUP(1, ('0. GUIDELINES'!$E$3='[1]input-labor'!$A:$A) * (X$7='[1]input-labor'!$B:$B) * ($A21='[1]input-labor'!$C:$C), '[1]input-labor'!$D:$D),(W21+($Z21-$T21)/($Z$7-$T$7)))</f>
        <v>2086374.25</v>
      </c>
      <c r="Y21" s="162" cm="1">
        <f t="array" ref="Y21">_xlfn.IFNA(_xlfn.XLOOKUP(1, ('0. GUIDELINES'!$E$3='[1]input-labor'!$A:$A) * (Y$7='[1]input-labor'!$B:$B) * ($A21='[1]input-labor'!$C:$C), '[1]input-labor'!$D:$D),(X21+($Z21-$T21)/($Z$7-$T$7)))</f>
        <v>2137163.375</v>
      </c>
      <c r="Z21" s="162" cm="1">
        <f t="array" ref="Z21">_xlfn.XLOOKUP(1, ('0. GUIDELINES'!$E$3='[1]input-labor'!$A:$A) * (Z$7='[1]input-labor'!$B:$B) * ($A21='[1]input-labor'!$C:$C), '[1]input-labor'!$D:$D)</f>
        <v>2187952.5</v>
      </c>
      <c r="AA21" s="150">
        <f>Z21*(1+'GROWTH RATES'!X12/100)</f>
        <v>2206467.6376674101</v>
      </c>
      <c r="AB21" s="150">
        <f>AA21*(1+'GROWTH RATES'!Y12/100)</f>
        <v>2223266.2105914317</v>
      </c>
      <c r="AC21" s="150">
        <f>AB21*(1+'GROWTH RATES'!Z12/100)</f>
        <v>2238691.4796085036</v>
      </c>
      <c r="AD21" s="150">
        <f>AC21*(1+'GROWTH RATES'!AA12/100)</f>
        <v>2253272.4529420673</v>
      </c>
      <c r="AE21" s="344"/>
    </row>
    <row r="22" spans="1:31" ht="14.25" customHeight="1" x14ac:dyDescent="0.2">
      <c r="A22" s="94" t="s">
        <v>572</v>
      </c>
      <c r="B22" s="304"/>
      <c r="C22" s="130"/>
      <c r="D22" s="130"/>
      <c r="E22" s="131"/>
      <c r="F22" s="129"/>
      <c r="G22" s="331" t="s">
        <v>495</v>
      </c>
      <c r="H22" s="327" t="s">
        <v>156</v>
      </c>
      <c r="I22" s="162" t="e" cm="1">
        <f t="array" ref="I22">_xlfn.XLOOKUP(1, ('0. GUIDELINES'!$E$3='[1]input-labor'!$A:$A) * (I$7='[1]input-labor'!$B:$B) * ($A22='[1]input-labor'!$C:$C), '[1]input-labor'!$D:$D)</f>
        <v>#N/A</v>
      </c>
      <c r="J22" s="162" t="e" cm="1">
        <f t="array" ref="J22">_xlfn.XLOOKUP(1, ('0. GUIDELINES'!$E$3='[1]input-labor'!$A:$A) * (J$7='[1]input-labor'!$B:$B) * ($A22='[1]input-labor'!$C:$C), '[1]input-labor'!$D:$D)</f>
        <v>#N/A</v>
      </c>
      <c r="K22" s="162" t="e" cm="1">
        <f t="array" ref="K22">_xlfn.XLOOKUP(1, ('0. GUIDELINES'!$E$3='[1]input-labor'!$A:$A) * (K$7='[1]input-labor'!$B:$B) * ($A22='[1]input-labor'!$C:$C), '[1]input-labor'!$D:$D)</f>
        <v>#N/A</v>
      </c>
      <c r="L22" s="162" t="e" cm="1">
        <f t="array" ref="L22">_xlfn.XLOOKUP(1, ('0. GUIDELINES'!$E$3='[1]input-labor'!$A:$A) * (L$7='[1]input-labor'!$B:$B) * ($A22='[1]input-labor'!$C:$C), '[1]input-labor'!$D:$D)</f>
        <v>#N/A</v>
      </c>
      <c r="M22" s="162" t="e" cm="1">
        <f t="array" ref="M22">_xlfn.XLOOKUP(1, ('0. GUIDELINES'!$E$3='[1]input-labor'!$A:$A) * (M$7='[1]input-labor'!$B:$B) * ($A22='[1]input-labor'!$C:$C), '[1]input-labor'!$D:$D)</f>
        <v>#N/A</v>
      </c>
      <c r="N22" s="162" t="e" cm="1">
        <f t="array" ref="N22">_xlfn.XLOOKUP(1, ('0. GUIDELINES'!$E$3='[1]input-labor'!$A:$A) * (N$7='[1]input-labor'!$B:$B) * ($A22='[1]input-labor'!$C:$C), '[1]input-labor'!$D:$D)</f>
        <v>#N/A</v>
      </c>
      <c r="O22" s="162" t="e" cm="1">
        <f t="array" ref="O22">_xlfn.XLOOKUP(1, ('0. GUIDELINES'!$E$3='[1]input-labor'!$A:$A) * (O$7='[1]input-labor'!$B:$B) * ($A22='[1]input-labor'!$C:$C), '[1]input-labor'!$D:$D)</f>
        <v>#N/A</v>
      </c>
      <c r="P22" s="162" t="e" cm="1">
        <f t="array" ref="P22">_xlfn.XLOOKUP(1, ('0. GUIDELINES'!$E$3='[1]input-labor'!$A:$A) * (P$7='[1]input-labor'!$B:$B) * ($A22='[1]input-labor'!$C:$C), '[1]input-labor'!$D:$D)</f>
        <v>#N/A</v>
      </c>
      <c r="Q22" s="162" t="e" cm="1">
        <f t="array" ref="Q22">_xlfn.XLOOKUP(1, ('0. GUIDELINES'!$E$3='[1]input-labor'!$A:$A) * (Q$7='[1]input-labor'!$B:$B) * ($A22='[1]input-labor'!$C:$C), '[1]input-labor'!$D:$D)</f>
        <v>#N/A</v>
      </c>
      <c r="R22" s="162" t="e" cm="1">
        <f t="array" ref="R22">_xlfn.XLOOKUP(1, ('0. GUIDELINES'!$E$3='[1]input-labor'!$A:$A) * (R$7='[1]input-labor'!$B:$B) * ($A22='[1]input-labor'!$C:$C), '[1]input-labor'!$D:$D)</f>
        <v>#N/A</v>
      </c>
      <c r="S22" s="162" t="e" cm="1">
        <f t="array" ref="S22">_xlfn.XLOOKUP(1, ('0. GUIDELINES'!$E$3='[1]input-labor'!$A:$A) * (S$7='[1]input-labor'!$B:$B) * ($A22='[1]input-labor'!$C:$C), '[1]input-labor'!$D:$D)</f>
        <v>#N/A</v>
      </c>
      <c r="T22" s="162" cm="1">
        <f t="array" ref="T22">_xlfn.XLOOKUP(1, ('0. GUIDELINES'!$E$3='[1]input-labor'!$A:$A) * (T$7='[1]input-labor'!$B:$B) * ($A22='[1]input-labor'!$C:$C), '[1]input-labor'!$D:$D)</f>
        <v>13001062</v>
      </c>
      <c r="U22" s="162" cm="1">
        <f t="array" ref="U22">_xlfn.IFNA(_xlfn.XLOOKUP(1, ('0. GUIDELINES'!$E$3='[1]input-labor'!$A:$A) * (U$7='[1]input-labor'!$B:$B) * ($A22='[1]input-labor'!$C:$C), '[1]input-labor'!$D:$D),(T22+($Z22-$T22)/($Z$7-$T$7)))</f>
        <v>13141687.5</v>
      </c>
      <c r="V22" s="162" cm="1">
        <f t="array" ref="V22">_xlfn.IFNA(_xlfn.XLOOKUP(1, ('0. GUIDELINES'!$E$3='[1]input-labor'!$A:$A) * (V$7='[1]input-labor'!$B:$B) * ($A22='[1]input-labor'!$C:$C), '[1]input-labor'!$D:$D),(U22+($Z22-$T22)/($Z$7-$T$7)))</f>
        <v>13282313</v>
      </c>
      <c r="W22" s="162" cm="1">
        <f t="array" ref="W22">_xlfn.IFNA(_xlfn.XLOOKUP(1, ('0. GUIDELINES'!$E$3='[1]input-labor'!$A:$A) * (W$7='[1]input-labor'!$B:$B) * ($A22='[1]input-labor'!$C:$C), '[1]input-labor'!$D:$D),(V22+($Z22-$T22)/($Z$7-$T$7)))</f>
        <v>13422938.5</v>
      </c>
      <c r="X22" s="162" cm="1">
        <f t="array" ref="X22">_xlfn.IFNA(_xlfn.XLOOKUP(1, ('0. GUIDELINES'!$E$3='[1]input-labor'!$A:$A) * (X$7='[1]input-labor'!$B:$B) * ($A22='[1]input-labor'!$C:$C), '[1]input-labor'!$D:$D),(W22+($Z22-$T22)/($Z$7-$T$7)))</f>
        <v>13563564</v>
      </c>
      <c r="Y22" s="162" cm="1">
        <f t="array" ref="Y22">_xlfn.IFNA(_xlfn.XLOOKUP(1, ('0. GUIDELINES'!$E$3='[1]input-labor'!$A:$A) * (Y$7='[1]input-labor'!$B:$B) * ($A22='[1]input-labor'!$C:$C), '[1]input-labor'!$D:$D),(X22+($Z22-$T22)/($Z$7-$T$7)))</f>
        <v>13704189.5</v>
      </c>
      <c r="Z22" s="162" cm="1">
        <f t="array" ref="Z22">_xlfn.XLOOKUP(1, ('0. GUIDELINES'!$E$3='[1]input-labor'!$A:$A) * (Z$7='[1]input-labor'!$B:$B) * ($A22='[1]input-labor'!$C:$C), '[1]input-labor'!$D:$D)</f>
        <v>13844815</v>
      </c>
      <c r="AA22" s="150">
        <f>Z22*(1+'GROWTH RATES'!X13/100)</f>
        <v>13961974.150257982</v>
      </c>
      <c r="AB22" s="150">
        <f>AA22*(1+'GROWTH RATES'!Y13/100)</f>
        <v>14068271.309084367</v>
      </c>
      <c r="AC22" s="150">
        <f>AB22*(1+'GROWTH RATES'!Z13/100)</f>
        <v>14165878.545012292</v>
      </c>
      <c r="AD22" s="150">
        <f>AC22*(1+'GROWTH RATES'!AA13/100)</f>
        <v>14258143.289481435</v>
      </c>
      <c r="AE22" s="344"/>
    </row>
    <row r="23" spans="1:31" x14ac:dyDescent="0.2">
      <c r="A23" s="94" t="s">
        <v>573</v>
      </c>
      <c r="B23" s="304"/>
      <c r="C23" s="130"/>
      <c r="D23" s="130"/>
      <c r="E23" s="130"/>
      <c r="F23" s="129"/>
      <c r="G23" s="331" t="s">
        <v>497</v>
      </c>
      <c r="H23" s="327" t="s">
        <v>158</v>
      </c>
      <c r="I23" s="162" t="e" cm="1">
        <f t="array" ref="I23">_xlfn.XLOOKUP(1, ('0. GUIDELINES'!$E$3='[1]input-labor'!$A:$A) * (I$7='[1]input-labor'!$B:$B) * ($A23='[1]input-labor'!$C:$C), '[1]input-labor'!$D:$D)</f>
        <v>#N/A</v>
      </c>
      <c r="J23" s="162" t="e" cm="1">
        <f t="array" ref="J23">_xlfn.XLOOKUP(1, ('0. GUIDELINES'!$E$3='[1]input-labor'!$A:$A) * (J$7='[1]input-labor'!$B:$B) * ($A23='[1]input-labor'!$C:$C), '[1]input-labor'!$D:$D)</f>
        <v>#N/A</v>
      </c>
      <c r="K23" s="162" t="e" cm="1">
        <f t="array" ref="K23">_xlfn.XLOOKUP(1, ('0. GUIDELINES'!$E$3='[1]input-labor'!$A:$A) * (K$7='[1]input-labor'!$B:$B) * ($A23='[1]input-labor'!$C:$C), '[1]input-labor'!$D:$D)</f>
        <v>#N/A</v>
      </c>
      <c r="L23" s="162" t="e" cm="1">
        <f t="array" ref="L23">_xlfn.XLOOKUP(1, ('0. GUIDELINES'!$E$3='[1]input-labor'!$A:$A) * (L$7='[1]input-labor'!$B:$B) * ($A23='[1]input-labor'!$C:$C), '[1]input-labor'!$D:$D)</f>
        <v>#N/A</v>
      </c>
      <c r="M23" s="162" t="e" cm="1">
        <f t="array" ref="M23">_xlfn.XLOOKUP(1, ('0. GUIDELINES'!$E$3='[1]input-labor'!$A:$A) * (M$7='[1]input-labor'!$B:$B) * ($A23='[1]input-labor'!$C:$C), '[1]input-labor'!$D:$D)</f>
        <v>#N/A</v>
      </c>
      <c r="N23" s="162" t="e" cm="1">
        <f t="array" ref="N23">_xlfn.XLOOKUP(1, ('0. GUIDELINES'!$E$3='[1]input-labor'!$A:$A) * (N$7='[1]input-labor'!$B:$B) * ($A23='[1]input-labor'!$C:$C), '[1]input-labor'!$D:$D)</f>
        <v>#N/A</v>
      </c>
      <c r="O23" s="162" t="e" cm="1">
        <f t="array" ref="O23">_xlfn.XLOOKUP(1, ('0. GUIDELINES'!$E$3='[1]input-labor'!$A:$A) * (O$7='[1]input-labor'!$B:$B) * ($A23='[1]input-labor'!$C:$C), '[1]input-labor'!$D:$D)</f>
        <v>#N/A</v>
      </c>
      <c r="P23" s="162" t="e" cm="1">
        <f t="array" ref="P23">_xlfn.XLOOKUP(1, ('0. GUIDELINES'!$E$3='[1]input-labor'!$A:$A) * (P$7='[1]input-labor'!$B:$B) * ($A23='[1]input-labor'!$C:$C), '[1]input-labor'!$D:$D)</f>
        <v>#N/A</v>
      </c>
      <c r="Q23" s="162" t="e" cm="1">
        <f t="array" ref="Q23">_xlfn.XLOOKUP(1, ('0. GUIDELINES'!$E$3='[1]input-labor'!$A:$A) * (Q$7='[1]input-labor'!$B:$B) * ($A23='[1]input-labor'!$C:$C), '[1]input-labor'!$D:$D)</f>
        <v>#N/A</v>
      </c>
      <c r="R23" s="162" t="e" cm="1">
        <f t="array" ref="R23">_xlfn.XLOOKUP(1, ('0. GUIDELINES'!$E$3='[1]input-labor'!$A:$A) * (R$7='[1]input-labor'!$B:$B) * ($A23='[1]input-labor'!$C:$C), '[1]input-labor'!$D:$D)</f>
        <v>#N/A</v>
      </c>
      <c r="S23" s="162" t="e" cm="1">
        <f t="array" ref="S23">_xlfn.XLOOKUP(1, ('0. GUIDELINES'!$E$3='[1]input-labor'!$A:$A) * (S$7='[1]input-labor'!$B:$B) * ($A23='[1]input-labor'!$C:$C), '[1]input-labor'!$D:$D)</f>
        <v>#N/A</v>
      </c>
      <c r="T23" s="162" cm="1">
        <f t="array" ref="T23">_xlfn.XLOOKUP(1, ('0. GUIDELINES'!$E$3='[1]input-labor'!$A:$A) * (T$7='[1]input-labor'!$B:$B) * ($A23='[1]input-labor'!$C:$C), '[1]input-labor'!$D:$D)</f>
        <v>1868653.125</v>
      </c>
      <c r="U23" s="162" cm="1">
        <f t="array" ref="U23">_xlfn.IFNA(_xlfn.XLOOKUP(1, ('0. GUIDELINES'!$E$3='[1]input-labor'!$A:$A) * (U$7='[1]input-labor'!$B:$B) * ($A23='[1]input-labor'!$C:$C), '[1]input-labor'!$D:$D),(T23+($Z23-$T23)/($Z$7-$T$7)))</f>
        <v>1973637.4791666667</v>
      </c>
      <c r="V23" s="162" cm="1">
        <f t="array" ref="V23">_xlfn.IFNA(_xlfn.XLOOKUP(1, ('0. GUIDELINES'!$E$3='[1]input-labor'!$A:$A) * (V$7='[1]input-labor'!$B:$B) * ($A23='[1]input-labor'!$C:$C), '[1]input-labor'!$D:$D),(U23+($Z23-$T23)/($Z$7-$T$7)))</f>
        <v>2078621.8333333335</v>
      </c>
      <c r="W23" s="162" cm="1">
        <f t="array" ref="W23">_xlfn.IFNA(_xlfn.XLOOKUP(1, ('0. GUIDELINES'!$E$3='[1]input-labor'!$A:$A) * (W$7='[1]input-labor'!$B:$B) * ($A23='[1]input-labor'!$C:$C), '[1]input-labor'!$D:$D),(V23+($Z23-$T23)/($Z$7-$T$7)))</f>
        <v>2183606.1875</v>
      </c>
      <c r="X23" s="162" cm="1">
        <f t="array" ref="X23">_xlfn.IFNA(_xlfn.XLOOKUP(1, ('0. GUIDELINES'!$E$3='[1]input-labor'!$A:$A) * (X$7='[1]input-labor'!$B:$B) * ($A23='[1]input-labor'!$C:$C), '[1]input-labor'!$D:$D),(W23+($Z23-$T23)/($Z$7-$T$7)))</f>
        <v>2288590.5416666665</v>
      </c>
      <c r="Y23" s="162" cm="1">
        <f t="array" ref="Y23">_xlfn.IFNA(_xlfn.XLOOKUP(1, ('0. GUIDELINES'!$E$3='[1]input-labor'!$A:$A) * (Y$7='[1]input-labor'!$B:$B) * ($A23='[1]input-labor'!$C:$C), '[1]input-labor'!$D:$D),(X23+($Z23-$T23)/($Z$7-$T$7)))</f>
        <v>2393574.895833333</v>
      </c>
      <c r="Z23" s="162" cm="1">
        <f t="array" ref="Z23">_xlfn.XLOOKUP(1, ('0. GUIDELINES'!$E$3='[1]input-labor'!$A:$A) * (Z$7='[1]input-labor'!$B:$B) * ($A23='[1]input-labor'!$C:$C), '[1]input-labor'!$D:$D)</f>
        <v>2498559.25</v>
      </c>
      <c r="AA23" s="150">
        <f>Z23*(1+'GROWTH RATES'!X14/100)</f>
        <v>2542341.5966864252</v>
      </c>
      <c r="AB23" s="150">
        <f>AA23*(1+'GROWTH RATES'!Y14/100)</f>
        <v>2552913.2859744178</v>
      </c>
      <c r="AC23" s="150">
        <f>AB23*(1+'GROWTH RATES'!Z14/100)</f>
        <v>2592921.9987582411</v>
      </c>
      <c r="AD23" s="150">
        <f>AC23*(1+'GROWTH RATES'!AA14/100)</f>
        <v>2641197.7482956047</v>
      </c>
      <c r="AE23" s="344"/>
    </row>
    <row r="24" spans="1:31" x14ac:dyDescent="0.2">
      <c r="A24" s="94" t="s">
        <v>574</v>
      </c>
      <c r="B24" s="304"/>
      <c r="C24" s="130"/>
      <c r="D24" s="130"/>
      <c r="E24" s="130"/>
      <c r="F24" s="129"/>
      <c r="G24" s="331" t="s">
        <v>498</v>
      </c>
      <c r="H24" s="327" t="s">
        <v>515</v>
      </c>
      <c r="I24" s="162" t="e" cm="1">
        <f t="array" ref="I24">_xlfn.XLOOKUP(1, ('0. GUIDELINES'!$E$3='[1]input-labor'!$A:$A) * (I$7='[1]input-labor'!$B:$B) * ($A24='[1]input-labor'!$C:$C), '[1]input-labor'!$D:$D)</f>
        <v>#N/A</v>
      </c>
      <c r="J24" s="162" t="e" cm="1">
        <f t="array" ref="J24">_xlfn.XLOOKUP(1, ('0. GUIDELINES'!$E$3='[1]input-labor'!$A:$A) * (J$7='[1]input-labor'!$B:$B) * ($A24='[1]input-labor'!$C:$C), '[1]input-labor'!$D:$D)</f>
        <v>#N/A</v>
      </c>
      <c r="K24" s="162" t="e" cm="1">
        <f t="array" ref="K24">_xlfn.XLOOKUP(1, ('0. GUIDELINES'!$E$3='[1]input-labor'!$A:$A) * (K$7='[1]input-labor'!$B:$B) * ($A24='[1]input-labor'!$C:$C), '[1]input-labor'!$D:$D)</f>
        <v>#N/A</v>
      </c>
      <c r="L24" s="162" t="e" cm="1">
        <f t="array" ref="L24">_xlfn.XLOOKUP(1, ('0. GUIDELINES'!$E$3='[1]input-labor'!$A:$A) * (L$7='[1]input-labor'!$B:$B) * ($A24='[1]input-labor'!$C:$C), '[1]input-labor'!$D:$D)</f>
        <v>#N/A</v>
      </c>
      <c r="M24" s="162" t="e" cm="1">
        <f t="array" ref="M24">_xlfn.XLOOKUP(1, ('0. GUIDELINES'!$E$3='[1]input-labor'!$A:$A) * (M$7='[1]input-labor'!$B:$B) * ($A24='[1]input-labor'!$C:$C), '[1]input-labor'!$D:$D)</f>
        <v>#N/A</v>
      </c>
      <c r="N24" s="162" t="e" cm="1">
        <f t="array" ref="N24">_xlfn.XLOOKUP(1, ('0. GUIDELINES'!$E$3='[1]input-labor'!$A:$A) * (N$7='[1]input-labor'!$B:$B) * ($A24='[1]input-labor'!$C:$C), '[1]input-labor'!$D:$D)</f>
        <v>#N/A</v>
      </c>
      <c r="O24" s="162" t="e" cm="1">
        <f t="array" ref="O24">_xlfn.XLOOKUP(1, ('0. GUIDELINES'!$E$3='[1]input-labor'!$A:$A) * (O$7='[1]input-labor'!$B:$B) * ($A24='[1]input-labor'!$C:$C), '[1]input-labor'!$D:$D)</f>
        <v>#N/A</v>
      </c>
      <c r="P24" s="162" t="e" cm="1">
        <f t="array" ref="P24">_xlfn.XLOOKUP(1, ('0. GUIDELINES'!$E$3='[1]input-labor'!$A:$A) * (P$7='[1]input-labor'!$B:$B) * ($A24='[1]input-labor'!$C:$C), '[1]input-labor'!$D:$D)</f>
        <v>#N/A</v>
      </c>
      <c r="Q24" s="162" t="e" cm="1">
        <f t="array" ref="Q24">_xlfn.XLOOKUP(1, ('0. GUIDELINES'!$E$3='[1]input-labor'!$A:$A) * (Q$7='[1]input-labor'!$B:$B) * ($A24='[1]input-labor'!$C:$C), '[1]input-labor'!$D:$D)</f>
        <v>#N/A</v>
      </c>
      <c r="R24" s="162" t="e" cm="1">
        <f t="array" ref="R24">_xlfn.XLOOKUP(1, ('0. GUIDELINES'!$E$3='[1]input-labor'!$A:$A) * (R$7='[1]input-labor'!$B:$B) * ($A24='[1]input-labor'!$C:$C), '[1]input-labor'!$D:$D)</f>
        <v>#N/A</v>
      </c>
      <c r="S24" s="162" t="e" cm="1">
        <f t="array" ref="S24">_xlfn.XLOOKUP(1, ('0. GUIDELINES'!$E$3='[1]input-labor'!$A:$A) * (S$7='[1]input-labor'!$B:$B) * ($A24='[1]input-labor'!$C:$C), '[1]input-labor'!$D:$D)</f>
        <v>#N/A</v>
      </c>
      <c r="T24" s="162" cm="1">
        <f t="array" ref="T24">_xlfn.XLOOKUP(1, ('0. GUIDELINES'!$E$3='[1]input-labor'!$A:$A) * (T$7='[1]input-labor'!$B:$B) * ($A24='[1]input-labor'!$C:$C), '[1]input-labor'!$D:$D)</f>
        <v>824516.125</v>
      </c>
      <c r="U24" s="162" cm="1">
        <f t="array" ref="U24">_xlfn.IFNA(_xlfn.XLOOKUP(1, ('0. GUIDELINES'!$E$3='[1]input-labor'!$A:$A) * (U$7='[1]input-labor'!$B:$B) * ($A24='[1]input-labor'!$C:$C), '[1]input-labor'!$D:$D),(T24+($Z24-$T24)/($Z$7-$T$7)))</f>
        <v>921057.64583333337</v>
      </c>
      <c r="V24" s="162" cm="1">
        <f t="array" ref="V24">_xlfn.IFNA(_xlfn.XLOOKUP(1, ('0. GUIDELINES'!$E$3='[1]input-labor'!$A:$A) * (V$7='[1]input-labor'!$B:$B) * ($A24='[1]input-labor'!$C:$C), '[1]input-labor'!$D:$D),(U24+($Z24-$T24)/($Z$7-$T$7)))</f>
        <v>1017599.1666666667</v>
      </c>
      <c r="W24" s="162" cm="1">
        <f t="array" ref="W24">_xlfn.IFNA(_xlfn.XLOOKUP(1, ('0. GUIDELINES'!$E$3='[1]input-labor'!$A:$A) * (W$7='[1]input-labor'!$B:$B) * ($A24='[1]input-labor'!$C:$C), '[1]input-labor'!$D:$D),(V24+($Z24-$T24)/($Z$7-$T$7)))</f>
        <v>1114140.6875</v>
      </c>
      <c r="X24" s="162" cm="1">
        <f t="array" ref="X24">_xlfn.IFNA(_xlfn.XLOOKUP(1, ('0. GUIDELINES'!$E$3='[1]input-labor'!$A:$A) * (X$7='[1]input-labor'!$B:$B) * ($A24='[1]input-labor'!$C:$C), '[1]input-labor'!$D:$D),(W24+($Z24-$T24)/($Z$7-$T$7)))</f>
        <v>1210682.2083333333</v>
      </c>
      <c r="Y24" s="162" cm="1">
        <f t="array" ref="Y24">_xlfn.IFNA(_xlfn.XLOOKUP(1, ('0. GUIDELINES'!$E$3='[1]input-labor'!$A:$A) * (Y$7='[1]input-labor'!$B:$B) * ($A24='[1]input-labor'!$C:$C), '[1]input-labor'!$D:$D),(X24+($Z24-$T24)/($Z$7-$T$7)))</f>
        <v>1307223.7291666665</v>
      </c>
      <c r="Z24" s="162" cm="1">
        <f t="array" ref="Z24">_xlfn.XLOOKUP(1, ('0. GUIDELINES'!$E$3='[1]input-labor'!$A:$A) * (Z$7='[1]input-labor'!$B:$B) * ($A24='[1]input-labor'!$C:$C), '[1]input-labor'!$D:$D)</f>
        <v>1403765.25</v>
      </c>
      <c r="AA24" s="150">
        <f>Z24*(1+'GROWTH RATES'!X15/100)</f>
        <v>1428363.4806970933</v>
      </c>
      <c r="AB24" s="150">
        <f>AA24*(1+'GROWTH RATES'!Y15/100)</f>
        <v>1434302.9716482412</v>
      </c>
      <c r="AC24" s="150">
        <f>AB24*(1+'GROWTH RATES'!Z15/100)</f>
        <v>1456781.0620530061</v>
      </c>
      <c r="AD24" s="150">
        <f>AC24*(1+'GROWTH RATES'!AA15/100)</f>
        <v>1483903.8207461429</v>
      </c>
    </row>
    <row r="25" spans="1:31" x14ac:dyDescent="0.2">
      <c r="A25" s="94" t="s">
        <v>575</v>
      </c>
      <c r="B25" s="304"/>
      <c r="C25" s="130"/>
      <c r="D25" s="130"/>
      <c r="E25" s="130"/>
      <c r="F25" s="129"/>
      <c r="G25" s="331" t="s">
        <v>510</v>
      </c>
      <c r="H25" s="327" t="s">
        <v>516</v>
      </c>
      <c r="I25" s="162" t="e" cm="1">
        <f t="array" ref="I25">_xlfn.XLOOKUP(1, ('0. GUIDELINES'!$E$3='[1]input-labor'!$A:$A) * (I$7='[1]input-labor'!$B:$B) * ($A25='[1]input-labor'!$C:$C), '[1]input-labor'!$D:$D)</f>
        <v>#N/A</v>
      </c>
      <c r="J25" s="162" t="e" cm="1">
        <f t="array" ref="J25">_xlfn.XLOOKUP(1, ('0. GUIDELINES'!$E$3='[1]input-labor'!$A:$A) * (J$7='[1]input-labor'!$B:$B) * ($A25='[1]input-labor'!$C:$C), '[1]input-labor'!$D:$D)</f>
        <v>#N/A</v>
      </c>
      <c r="K25" s="162" t="e" cm="1">
        <f t="array" ref="K25">_xlfn.XLOOKUP(1, ('0. GUIDELINES'!$E$3='[1]input-labor'!$A:$A) * (K$7='[1]input-labor'!$B:$B) * ($A25='[1]input-labor'!$C:$C), '[1]input-labor'!$D:$D)</f>
        <v>#N/A</v>
      </c>
      <c r="L25" s="162" t="e" cm="1">
        <f t="array" ref="L25">_xlfn.XLOOKUP(1, ('0. GUIDELINES'!$E$3='[1]input-labor'!$A:$A) * (L$7='[1]input-labor'!$B:$B) * ($A25='[1]input-labor'!$C:$C), '[1]input-labor'!$D:$D)</f>
        <v>#N/A</v>
      </c>
      <c r="M25" s="162" t="e" cm="1">
        <f t="array" ref="M25">_xlfn.XLOOKUP(1, ('0. GUIDELINES'!$E$3='[1]input-labor'!$A:$A) * (M$7='[1]input-labor'!$B:$B) * ($A25='[1]input-labor'!$C:$C), '[1]input-labor'!$D:$D)</f>
        <v>#N/A</v>
      </c>
      <c r="N25" s="162" t="e" cm="1">
        <f t="array" ref="N25">_xlfn.XLOOKUP(1, ('0. GUIDELINES'!$E$3='[1]input-labor'!$A:$A) * (N$7='[1]input-labor'!$B:$B) * ($A25='[1]input-labor'!$C:$C), '[1]input-labor'!$D:$D)</f>
        <v>#N/A</v>
      </c>
      <c r="O25" s="162" t="e" cm="1">
        <f t="array" ref="O25">_xlfn.XLOOKUP(1, ('0. GUIDELINES'!$E$3='[1]input-labor'!$A:$A) * (O$7='[1]input-labor'!$B:$B) * ($A25='[1]input-labor'!$C:$C), '[1]input-labor'!$D:$D)</f>
        <v>#N/A</v>
      </c>
      <c r="P25" s="162" t="e" cm="1">
        <f t="array" ref="P25">_xlfn.XLOOKUP(1, ('0. GUIDELINES'!$E$3='[1]input-labor'!$A:$A) * (P$7='[1]input-labor'!$B:$B) * ($A25='[1]input-labor'!$C:$C), '[1]input-labor'!$D:$D)</f>
        <v>#N/A</v>
      </c>
      <c r="Q25" s="162" t="e" cm="1">
        <f t="array" ref="Q25">_xlfn.XLOOKUP(1, ('0. GUIDELINES'!$E$3='[1]input-labor'!$A:$A) * (Q$7='[1]input-labor'!$B:$B) * ($A25='[1]input-labor'!$C:$C), '[1]input-labor'!$D:$D)</f>
        <v>#N/A</v>
      </c>
      <c r="R25" s="162" t="e" cm="1">
        <f t="array" ref="R25">_xlfn.XLOOKUP(1, ('0. GUIDELINES'!$E$3='[1]input-labor'!$A:$A) * (R$7='[1]input-labor'!$B:$B) * ($A25='[1]input-labor'!$C:$C), '[1]input-labor'!$D:$D)</f>
        <v>#N/A</v>
      </c>
      <c r="S25" s="162" t="e" cm="1">
        <f t="array" ref="S25">_xlfn.XLOOKUP(1, ('0. GUIDELINES'!$E$3='[1]input-labor'!$A:$A) * (S$7='[1]input-labor'!$B:$B) * ($A25='[1]input-labor'!$C:$C), '[1]input-labor'!$D:$D)</f>
        <v>#N/A</v>
      </c>
      <c r="T25" s="162" cm="1">
        <f t="array" ref="T25">_xlfn.XLOOKUP(1, ('0. GUIDELINES'!$E$3='[1]input-labor'!$A:$A) * (T$7='[1]input-labor'!$B:$B) * ($A25='[1]input-labor'!$C:$C), '[1]input-labor'!$D:$D)</f>
        <v>7627321</v>
      </c>
      <c r="U25" s="162" cm="1">
        <f t="array" ref="U25">_xlfn.IFNA(_xlfn.XLOOKUP(1, ('0. GUIDELINES'!$E$3='[1]input-labor'!$A:$A) * (U$7='[1]input-labor'!$B:$B) * ($A25='[1]input-labor'!$C:$C), '[1]input-labor'!$D:$D),(T25+($Z25-$T25)/($Z$7-$T$7)))</f>
        <v>7584476.666666667</v>
      </c>
      <c r="V25" s="162" cm="1">
        <f t="array" ref="V25">_xlfn.IFNA(_xlfn.XLOOKUP(1, ('0. GUIDELINES'!$E$3='[1]input-labor'!$A:$A) * (V$7='[1]input-labor'!$B:$B) * ($A25='[1]input-labor'!$C:$C), '[1]input-labor'!$D:$D),(U25+($Z25-$T25)/($Z$7-$T$7)))</f>
        <v>7541632.333333334</v>
      </c>
      <c r="W25" s="162" cm="1">
        <f t="array" ref="W25">_xlfn.IFNA(_xlfn.XLOOKUP(1, ('0. GUIDELINES'!$E$3='[1]input-labor'!$A:$A) * (W$7='[1]input-labor'!$B:$B) * ($A25='[1]input-labor'!$C:$C), '[1]input-labor'!$D:$D),(V25+($Z25-$T25)/($Z$7-$T$7)))</f>
        <v>7498788.0000000009</v>
      </c>
      <c r="X25" s="162" cm="1">
        <f t="array" ref="X25">_xlfn.IFNA(_xlfn.XLOOKUP(1, ('0. GUIDELINES'!$E$3='[1]input-labor'!$A:$A) * (X$7='[1]input-labor'!$B:$B) * ($A25='[1]input-labor'!$C:$C), '[1]input-labor'!$D:$D),(W25+($Z25-$T25)/($Z$7-$T$7)))</f>
        <v>7455943.6666666679</v>
      </c>
      <c r="Y25" s="162" cm="1">
        <f t="array" ref="Y25">_xlfn.IFNA(_xlfn.XLOOKUP(1, ('0. GUIDELINES'!$E$3='[1]input-labor'!$A:$A) * (Y$7='[1]input-labor'!$B:$B) * ($A25='[1]input-labor'!$C:$C), '[1]input-labor'!$D:$D),(X25+($Z25-$T25)/($Z$7-$T$7)))</f>
        <v>7413099.3333333349</v>
      </c>
      <c r="Z25" s="162" cm="1">
        <f t="array" ref="Z25">_xlfn.XLOOKUP(1, ('0. GUIDELINES'!$E$3='[1]input-labor'!$A:$A) * (Z$7='[1]input-labor'!$B:$B) * ($A25='[1]input-labor'!$C:$C), '[1]input-labor'!$D:$D)</f>
        <v>7370255</v>
      </c>
      <c r="AA25" s="150">
        <f>Z25*(1+'GROWTH RATES'!X16/100)</f>
        <v>7533978.8301115101</v>
      </c>
      <c r="AB25" s="150">
        <f>AA25*(1+'GROWTH RATES'!Y16/100)</f>
        <v>7687187.1327850735</v>
      </c>
      <c r="AC25" s="150">
        <f>AB25*(1+'GROWTH RATES'!Z16/100)</f>
        <v>7812155.005130372</v>
      </c>
      <c r="AD25" s="150">
        <f>AC25*(1+'GROWTH RATES'!AA16/100)</f>
        <v>7908304.4188111471</v>
      </c>
    </row>
    <row r="26" spans="1:31" x14ac:dyDescent="0.2">
      <c r="A26" s="94" t="s">
        <v>576</v>
      </c>
      <c r="B26" s="304"/>
      <c r="C26" s="130"/>
      <c r="D26" s="130"/>
      <c r="E26" s="130"/>
      <c r="F26" s="129"/>
      <c r="G26" s="331" t="s">
        <v>499</v>
      </c>
      <c r="H26" s="327" t="s">
        <v>517</v>
      </c>
      <c r="I26" s="162" t="e" cm="1">
        <f t="array" ref="I26">_xlfn.XLOOKUP(1, ('0. GUIDELINES'!$E$3='[1]input-labor'!$A:$A) * (I$7='[1]input-labor'!$B:$B) * ($A26='[1]input-labor'!$C:$C), '[1]input-labor'!$D:$D)</f>
        <v>#N/A</v>
      </c>
      <c r="J26" s="162" t="e" cm="1">
        <f t="array" ref="J26">_xlfn.XLOOKUP(1, ('0. GUIDELINES'!$E$3='[1]input-labor'!$A:$A) * (J$7='[1]input-labor'!$B:$B) * ($A26='[1]input-labor'!$C:$C), '[1]input-labor'!$D:$D)</f>
        <v>#N/A</v>
      </c>
      <c r="K26" s="162" t="e" cm="1">
        <f t="array" ref="K26">_xlfn.XLOOKUP(1, ('0. GUIDELINES'!$E$3='[1]input-labor'!$A:$A) * (K$7='[1]input-labor'!$B:$B) * ($A26='[1]input-labor'!$C:$C), '[1]input-labor'!$D:$D)</f>
        <v>#N/A</v>
      </c>
      <c r="L26" s="162" t="e" cm="1">
        <f t="array" ref="L26">_xlfn.XLOOKUP(1, ('0. GUIDELINES'!$E$3='[1]input-labor'!$A:$A) * (L$7='[1]input-labor'!$B:$B) * ($A26='[1]input-labor'!$C:$C), '[1]input-labor'!$D:$D)</f>
        <v>#N/A</v>
      </c>
      <c r="M26" s="162" t="e" cm="1">
        <f t="array" ref="M26">_xlfn.XLOOKUP(1, ('0. GUIDELINES'!$E$3='[1]input-labor'!$A:$A) * (M$7='[1]input-labor'!$B:$B) * ($A26='[1]input-labor'!$C:$C), '[1]input-labor'!$D:$D)</f>
        <v>#N/A</v>
      </c>
      <c r="N26" s="162" t="e" cm="1">
        <f t="array" ref="N26">_xlfn.XLOOKUP(1, ('0. GUIDELINES'!$E$3='[1]input-labor'!$A:$A) * (N$7='[1]input-labor'!$B:$B) * ($A26='[1]input-labor'!$C:$C), '[1]input-labor'!$D:$D)</f>
        <v>#N/A</v>
      </c>
      <c r="O26" s="162" t="e" cm="1">
        <f t="array" ref="O26">_xlfn.XLOOKUP(1, ('0. GUIDELINES'!$E$3='[1]input-labor'!$A:$A) * (O$7='[1]input-labor'!$B:$B) * ($A26='[1]input-labor'!$C:$C), '[1]input-labor'!$D:$D)</f>
        <v>#N/A</v>
      </c>
      <c r="P26" s="162" t="e" cm="1">
        <f t="array" ref="P26">_xlfn.XLOOKUP(1, ('0. GUIDELINES'!$E$3='[1]input-labor'!$A:$A) * (P$7='[1]input-labor'!$B:$B) * ($A26='[1]input-labor'!$C:$C), '[1]input-labor'!$D:$D)</f>
        <v>#N/A</v>
      </c>
      <c r="Q26" s="162" t="e" cm="1">
        <f t="array" ref="Q26">_xlfn.XLOOKUP(1, ('0. GUIDELINES'!$E$3='[1]input-labor'!$A:$A) * (Q$7='[1]input-labor'!$B:$B) * ($A26='[1]input-labor'!$C:$C), '[1]input-labor'!$D:$D)</f>
        <v>#N/A</v>
      </c>
      <c r="R26" s="162" t="e" cm="1">
        <f t="array" ref="R26">_xlfn.XLOOKUP(1, ('0. GUIDELINES'!$E$3='[1]input-labor'!$A:$A) * (R$7='[1]input-labor'!$B:$B) * ($A26='[1]input-labor'!$C:$C), '[1]input-labor'!$D:$D)</f>
        <v>#N/A</v>
      </c>
      <c r="S26" s="162" t="e" cm="1">
        <f t="array" ref="S26">_xlfn.XLOOKUP(1, ('0. GUIDELINES'!$E$3='[1]input-labor'!$A:$A) * (S$7='[1]input-labor'!$B:$B) * ($A26='[1]input-labor'!$C:$C), '[1]input-labor'!$D:$D)</f>
        <v>#N/A</v>
      </c>
      <c r="T26" s="162" cm="1">
        <f t="array" ref="T26">_xlfn.XLOOKUP(1, ('0. GUIDELINES'!$E$3='[1]input-labor'!$A:$A) * (T$7='[1]input-labor'!$B:$B) * ($A26='[1]input-labor'!$C:$C), '[1]input-labor'!$D:$D)</f>
        <v>2058842.75</v>
      </c>
      <c r="U26" s="162" cm="1">
        <f t="array" ref="U26">_xlfn.IFNA(_xlfn.XLOOKUP(1, ('0. GUIDELINES'!$E$3='[1]input-labor'!$A:$A) * (U$7='[1]input-labor'!$B:$B) * ($A26='[1]input-labor'!$C:$C), '[1]input-labor'!$D:$D),(T26+($Z26-$T26)/($Z$7-$T$7)))</f>
        <v>2468877.625</v>
      </c>
      <c r="V26" s="162" cm="1">
        <f t="array" ref="V26">_xlfn.IFNA(_xlfn.XLOOKUP(1, ('0. GUIDELINES'!$E$3='[1]input-labor'!$A:$A) * (V$7='[1]input-labor'!$B:$B) * ($A26='[1]input-labor'!$C:$C), '[1]input-labor'!$D:$D),(U26+($Z26-$T26)/($Z$7-$T$7)))</f>
        <v>2878912.5</v>
      </c>
      <c r="W26" s="162" cm="1">
        <f t="array" ref="W26">_xlfn.IFNA(_xlfn.XLOOKUP(1, ('0. GUIDELINES'!$E$3='[1]input-labor'!$A:$A) * (W$7='[1]input-labor'!$B:$B) * ($A26='[1]input-labor'!$C:$C), '[1]input-labor'!$D:$D),(V26+($Z26-$T26)/($Z$7-$T$7)))</f>
        <v>3288947.375</v>
      </c>
      <c r="X26" s="162" cm="1">
        <f t="array" ref="X26">_xlfn.IFNA(_xlfn.XLOOKUP(1, ('0. GUIDELINES'!$E$3='[1]input-labor'!$A:$A) * (X$7='[1]input-labor'!$B:$B) * ($A26='[1]input-labor'!$C:$C), '[1]input-labor'!$D:$D),(W26+($Z26-$T26)/($Z$7-$T$7)))</f>
        <v>3698982.25</v>
      </c>
      <c r="Y26" s="162" cm="1">
        <f t="array" ref="Y26">_xlfn.IFNA(_xlfn.XLOOKUP(1, ('0. GUIDELINES'!$E$3='[1]input-labor'!$A:$A) * (Y$7='[1]input-labor'!$B:$B) * ($A26='[1]input-labor'!$C:$C), '[1]input-labor'!$D:$D),(X26+($Z26-$T26)/($Z$7-$T$7)))</f>
        <v>4109017.125</v>
      </c>
      <c r="Z26" s="162" cm="1">
        <f t="array" ref="Z26">_xlfn.XLOOKUP(1, ('0. GUIDELINES'!$E$3='[1]input-labor'!$A:$A) * (Z$7='[1]input-labor'!$B:$B) * ($A26='[1]input-labor'!$C:$C), '[1]input-labor'!$D:$D)</f>
        <v>4519052</v>
      </c>
      <c r="AA26" s="150">
        <f>Z26*(1+'GROWTH RATES'!X17/100)</f>
        <v>4619438.8254101221</v>
      </c>
      <c r="AB26" s="150">
        <f>AA26*(1+'GROWTH RATES'!Y17/100)</f>
        <v>4713378.0834973352</v>
      </c>
      <c r="AC26" s="150">
        <f>AB26*(1+'GROWTH RATES'!Z17/100)</f>
        <v>4790001.797799997</v>
      </c>
      <c r="AD26" s="150">
        <f>AC26*(1+'GROWTH RATES'!AA17/100)</f>
        <v>4848955.5518007651</v>
      </c>
    </row>
    <row r="27" spans="1:31" x14ac:dyDescent="0.2">
      <c r="A27" s="94" t="s">
        <v>577</v>
      </c>
      <c r="B27" s="304"/>
      <c r="C27" s="130"/>
      <c r="D27" s="130"/>
      <c r="E27" s="130"/>
      <c r="F27" s="129"/>
      <c r="G27" s="331" t="s">
        <v>501</v>
      </c>
      <c r="H27" s="327" t="s">
        <v>518</v>
      </c>
      <c r="I27" s="162" t="e" cm="1">
        <f t="array" ref="I27">_xlfn.XLOOKUP(1, ('0. GUIDELINES'!$E$3='[1]input-labor'!$A:$A) * (I$7='[1]input-labor'!$B:$B) * ($A27='[1]input-labor'!$C:$C), '[1]input-labor'!$D:$D)</f>
        <v>#N/A</v>
      </c>
      <c r="J27" s="162" t="e" cm="1">
        <f t="array" ref="J27">_xlfn.XLOOKUP(1, ('0. GUIDELINES'!$E$3='[1]input-labor'!$A:$A) * (J$7='[1]input-labor'!$B:$B) * ($A27='[1]input-labor'!$C:$C), '[1]input-labor'!$D:$D)</f>
        <v>#N/A</v>
      </c>
      <c r="K27" s="162" t="e" cm="1">
        <f t="array" ref="K27">_xlfn.XLOOKUP(1, ('0. GUIDELINES'!$E$3='[1]input-labor'!$A:$A) * (K$7='[1]input-labor'!$B:$B) * ($A27='[1]input-labor'!$C:$C), '[1]input-labor'!$D:$D)</f>
        <v>#N/A</v>
      </c>
      <c r="L27" s="162" t="e" cm="1">
        <f t="array" ref="L27">_xlfn.XLOOKUP(1, ('0. GUIDELINES'!$E$3='[1]input-labor'!$A:$A) * (L$7='[1]input-labor'!$B:$B) * ($A27='[1]input-labor'!$C:$C), '[1]input-labor'!$D:$D)</f>
        <v>#N/A</v>
      </c>
      <c r="M27" s="162" t="e" cm="1">
        <f t="array" ref="M27">_xlfn.XLOOKUP(1, ('0. GUIDELINES'!$E$3='[1]input-labor'!$A:$A) * (M$7='[1]input-labor'!$B:$B) * ($A27='[1]input-labor'!$C:$C), '[1]input-labor'!$D:$D)</f>
        <v>#N/A</v>
      </c>
      <c r="N27" s="162" t="e" cm="1">
        <f t="array" ref="N27">_xlfn.XLOOKUP(1, ('0. GUIDELINES'!$E$3='[1]input-labor'!$A:$A) * (N$7='[1]input-labor'!$B:$B) * ($A27='[1]input-labor'!$C:$C), '[1]input-labor'!$D:$D)</f>
        <v>#N/A</v>
      </c>
      <c r="O27" s="162" t="e" cm="1">
        <f t="array" ref="O27">_xlfn.XLOOKUP(1, ('0. GUIDELINES'!$E$3='[1]input-labor'!$A:$A) * (O$7='[1]input-labor'!$B:$B) * ($A27='[1]input-labor'!$C:$C), '[1]input-labor'!$D:$D)</f>
        <v>#N/A</v>
      </c>
      <c r="P27" s="162" t="e" cm="1">
        <f t="array" ref="P27">_xlfn.XLOOKUP(1, ('0. GUIDELINES'!$E$3='[1]input-labor'!$A:$A) * (P$7='[1]input-labor'!$B:$B) * ($A27='[1]input-labor'!$C:$C), '[1]input-labor'!$D:$D)</f>
        <v>#N/A</v>
      </c>
      <c r="Q27" s="162" t="e" cm="1">
        <f t="array" ref="Q27">_xlfn.XLOOKUP(1, ('0. GUIDELINES'!$E$3='[1]input-labor'!$A:$A) * (Q$7='[1]input-labor'!$B:$B) * ($A27='[1]input-labor'!$C:$C), '[1]input-labor'!$D:$D)</f>
        <v>#N/A</v>
      </c>
      <c r="R27" s="162" t="e" cm="1">
        <f t="array" ref="R27">_xlfn.XLOOKUP(1, ('0. GUIDELINES'!$E$3='[1]input-labor'!$A:$A) * (R$7='[1]input-labor'!$B:$B) * ($A27='[1]input-labor'!$C:$C), '[1]input-labor'!$D:$D)</f>
        <v>#N/A</v>
      </c>
      <c r="S27" s="162" t="e" cm="1">
        <f t="array" ref="S27">_xlfn.XLOOKUP(1, ('0. GUIDELINES'!$E$3='[1]input-labor'!$A:$A) * (S$7='[1]input-labor'!$B:$B) * ($A27='[1]input-labor'!$C:$C), '[1]input-labor'!$D:$D)</f>
        <v>#N/A</v>
      </c>
      <c r="T27" s="162" cm="1">
        <f t="array" ref="T27">_xlfn.XLOOKUP(1, ('0. GUIDELINES'!$E$3='[1]input-labor'!$A:$A) * (T$7='[1]input-labor'!$B:$B) * ($A27='[1]input-labor'!$C:$C), '[1]input-labor'!$D:$D)</f>
        <v>4501824.5</v>
      </c>
      <c r="U27" s="162" cm="1">
        <f t="array" ref="U27">_xlfn.IFNA(_xlfn.XLOOKUP(1, ('0. GUIDELINES'!$E$3='[1]input-labor'!$A:$A) * (U$7='[1]input-labor'!$B:$B) * ($A27='[1]input-labor'!$C:$C), '[1]input-labor'!$D:$D),(T27+($Z27-$T27)/($Z$7-$T$7)))</f>
        <v>4436622</v>
      </c>
      <c r="V27" s="162" cm="1">
        <f t="array" ref="V27">_xlfn.IFNA(_xlfn.XLOOKUP(1, ('0. GUIDELINES'!$E$3='[1]input-labor'!$A:$A) * (V$7='[1]input-labor'!$B:$B) * ($A27='[1]input-labor'!$C:$C), '[1]input-labor'!$D:$D),(U27+($Z27-$T27)/($Z$7-$T$7)))</f>
        <v>4371419.5</v>
      </c>
      <c r="W27" s="162" cm="1">
        <f t="array" ref="W27">_xlfn.IFNA(_xlfn.XLOOKUP(1, ('0. GUIDELINES'!$E$3='[1]input-labor'!$A:$A) * (W$7='[1]input-labor'!$B:$B) * ($A27='[1]input-labor'!$C:$C), '[1]input-labor'!$D:$D),(V27+($Z27-$T27)/($Z$7-$T$7)))</f>
        <v>4306217</v>
      </c>
      <c r="X27" s="162" cm="1">
        <f t="array" ref="X27">_xlfn.IFNA(_xlfn.XLOOKUP(1, ('0. GUIDELINES'!$E$3='[1]input-labor'!$A:$A) * (X$7='[1]input-labor'!$B:$B) * ($A27='[1]input-labor'!$C:$C), '[1]input-labor'!$D:$D),(W27+($Z27-$T27)/($Z$7-$T$7)))</f>
        <v>4241014.5</v>
      </c>
      <c r="Y27" s="162" cm="1">
        <f t="array" ref="Y27">_xlfn.IFNA(_xlfn.XLOOKUP(1, ('0. GUIDELINES'!$E$3='[1]input-labor'!$A:$A) * (Y$7='[1]input-labor'!$B:$B) * ($A27='[1]input-labor'!$C:$C), '[1]input-labor'!$D:$D),(X27+($Z27-$T27)/($Z$7-$T$7)))</f>
        <v>4175812</v>
      </c>
      <c r="Z27" s="162" cm="1">
        <f t="array" ref="Z27">_xlfn.XLOOKUP(1, ('0. GUIDELINES'!$E$3='[1]input-labor'!$A:$A) * (Z$7='[1]input-labor'!$B:$B) * ($A27='[1]input-labor'!$C:$C), '[1]input-labor'!$D:$D)</f>
        <v>4110609.5</v>
      </c>
      <c r="AA27" s="150">
        <f>Z27*(1+'GROWTH RATES'!X18/100)</f>
        <v>4168536.741338565</v>
      </c>
      <c r="AB27" s="150">
        <f>AA27*(1+'GROWTH RATES'!Y18/100)</f>
        <v>4237269.3767482322</v>
      </c>
      <c r="AC27" s="150">
        <f>AB27*(1+'GROWTH RATES'!Z18/100)</f>
        <v>4322215.1934781615</v>
      </c>
      <c r="AD27" s="150">
        <f>AC27*(1+'GROWTH RATES'!AA18/100)</f>
        <v>4401156.3029186111</v>
      </c>
    </row>
    <row r="28" spans="1:31" x14ac:dyDescent="0.2">
      <c r="A28" s="94" t="s">
        <v>578</v>
      </c>
      <c r="B28" s="304"/>
      <c r="C28" s="130"/>
      <c r="D28" s="130"/>
      <c r="E28" s="130"/>
      <c r="F28" s="129"/>
      <c r="G28" s="331" t="s">
        <v>502</v>
      </c>
      <c r="H28" s="327" t="s">
        <v>519</v>
      </c>
      <c r="I28" s="162" t="e" cm="1">
        <f t="array" ref="I28">_xlfn.XLOOKUP(1, ('0. GUIDELINES'!$E$3='[1]input-labor'!$A:$A) * (I$7='[1]input-labor'!$B:$B) * ($A28='[1]input-labor'!$C:$C), '[1]input-labor'!$D:$D)</f>
        <v>#N/A</v>
      </c>
      <c r="J28" s="162" t="e" cm="1">
        <f t="array" ref="J28">_xlfn.XLOOKUP(1, ('0. GUIDELINES'!$E$3='[1]input-labor'!$A:$A) * (J$7='[1]input-labor'!$B:$B) * ($A28='[1]input-labor'!$C:$C), '[1]input-labor'!$D:$D)</f>
        <v>#N/A</v>
      </c>
      <c r="K28" s="162" t="e" cm="1">
        <f t="array" ref="K28">_xlfn.XLOOKUP(1, ('0. GUIDELINES'!$E$3='[1]input-labor'!$A:$A) * (K$7='[1]input-labor'!$B:$B) * ($A28='[1]input-labor'!$C:$C), '[1]input-labor'!$D:$D)</f>
        <v>#N/A</v>
      </c>
      <c r="L28" s="162" t="e" cm="1">
        <f t="array" ref="L28">_xlfn.XLOOKUP(1, ('0. GUIDELINES'!$E$3='[1]input-labor'!$A:$A) * (L$7='[1]input-labor'!$B:$B) * ($A28='[1]input-labor'!$C:$C), '[1]input-labor'!$D:$D)</f>
        <v>#N/A</v>
      </c>
      <c r="M28" s="162" t="e" cm="1">
        <f t="array" ref="M28">_xlfn.XLOOKUP(1, ('0. GUIDELINES'!$E$3='[1]input-labor'!$A:$A) * (M$7='[1]input-labor'!$B:$B) * ($A28='[1]input-labor'!$C:$C), '[1]input-labor'!$D:$D)</f>
        <v>#N/A</v>
      </c>
      <c r="N28" s="162" t="e" cm="1">
        <f t="array" ref="N28">_xlfn.XLOOKUP(1, ('0. GUIDELINES'!$E$3='[1]input-labor'!$A:$A) * (N$7='[1]input-labor'!$B:$B) * ($A28='[1]input-labor'!$C:$C), '[1]input-labor'!$D:$D)</f>
        <v>#N/A</v>
      </c>
      <c r="O28" s="162" t="e" cm="1">
        <f t="array" ref="O28">_xlfn.XLOOKUP(1, ('0. GUIDELINES'!$E$3='[1]input-labor'!$A:$A) * (O$7='[1]input-labor'!$B:$B) * ($A28='[1]input-labor'!$C:$C), '[1]input-labor'!$D:$D)</f>
        <v>#N/A</v>
      </c>
      <c r="P28" s="162" t="e" cm="1">
        <f t="array" ref="P28">_xlfn.XLOOKUP(1, ('0. GUIDELINES'!$E$3='[1]input-labor'!$A:$A) * (P$7='[1]input-labor'!$B:$B) * ($A28='[1]input-labor'!$C:$C), '[1]input-labor'!$D:$D)</f>
        <v>#N/A</v>
      </c>
      <c r="Q28" s="162" t="e" cm="1">
        <f t="array" ref="Q28">_xlfn.XLOOKUP(1, ('0. GUIDELINES'!$E$3='[1]input-labor'!$A:$A) * (Q$7='[1]input-labor'!$B:$B) * ($A28='[1]input-labor'!$C:$C), '[1]input-labor'!$D:$D)</f>
        <v>#N/A</v>
      </c>
      <c r="R28" s="162" t="e" cm="1">
        <f t="array" ref="R28">_xlfn.XLOOKUP(1, ('0. GUIDELINES'!$E$3='[1]input-labor'!$A:$A) * (R$7='[1]input-labor'!$B:$B) * ($A28='[1]input-labor'!$C:$C), '[1]input-labor'!$D:$D)</f>
        <v>#N/A</v>
      </c>
      <c r="S28" s="162" t="e" cm="1">
        <f t="array" ref="S28">_xlfn.XLOOKUP(1, ('0. GUIDELINES'!$E$3='[1]input-labor'!$A:$A) * (S$7='[1]input-labor'!$B:$B) * ($A28='[1]input-labor'!$C:$C), '[1]input-labor'!$D:$D)</f>
        <v>#N/A</v>
      </c>
      <c r="T28" s="162" cm="1">
        <f t="array" ref="T28">_xlfn.XLOOKUP(1, ('0. GUIDELINES'!$E$3='[1]input-labor'!$A:$A) * (T$7='[1]input-labor'!$B:$B) * ($A28='[1]input-labor'!$C:$C), '[1]input-labor'!$D:$D)</f>
        <v>212114.1875</v>
      </c>
      <c r="U28" s="162" cm="1">
        <f t="array" ref="U28">_xlfn.IFNA(_xlfn.XLOOKUP(1, ('0. GUIDELINES'!$E$3='[1]input-labor'!$A:$A) * (U$7='[1]input-labor'!$B:$B) * ($A28='[1]input-labor'!$C:$C), '[1]input-labor'!$D:$D),(T28+($Z28-$T28)/($Z$7-$T$7)))</f>
        <v>250027.42708333334</v>
      </c>
      <c r="V28" s="162" cm="1">
        <f t="array" ref="V28">_xlfn.IFNA(_xlfn.XLOOKUP(1, ('0. GUIDELINES'!$E$3='[1]input-labor'!$A:$A) * (V$7='[1]input-labor'!$B:$B) * ($A28='[1]input-labor'!$C:$C), '[1]input-labor'!$D:$D),(U28+($Z28-$T28)/($Z$7-$T$7)))</f>
        <v>287940.66666666669</v>
      </c>
      <c r="W28" s="162" cm="1">
        <f t="array" ref="W28">_xlfn.IFNA(_xlfn.XLOOKUP(1, ('0. GUIDELINES'!$E$3='[1]input-labor'!$A:$A) * (W$7='[1]input-labor'!$B:$B) * ($A28='[1]input-labor'!$C:$C), '[1]input-labor'!$D:$D),(V28+($Z28-$T28)/($Z$7-$T$7)))</f>
        <v>325853.90625</v>
      </c>
      <c r="X28" s="162" cm="1">
        <f t="array" ref="X28">_xlfn.IFNA(_xlfn.XLOOKUP(1, ('0. GUIDELINES'!$E$3='[1]input-labor'!$A:$A) * (X$7='[1]input-labor'!$B:$B) * ($A28='[1]input-labor'!$C:$C), '[1]input-labor'!$D:$D),(W28+($Z28-$T28)/($Z$7-$T$7)))</f>
        <v>363767.14583333331</v>
      </c>
      <c r="Y28" s="162" cm="1">
        <f t="array" ref="Y28">_xlfn.IFNA(_xlfn.XLOOKUP(1, ('0. GUIDELINES'!$E$3='[1]input-labor'!$A:$A) * (Y$7='[1]input-labor'!$B:$B) * ($A28='[1]input-labor'!$C:$C), '[1]input-labor'!$D:$D),(X28+($Z28-$T28)/($Z$7-$T$7)))</f>
        <v>401680.38541666663</v>
      </c>
      <c r="Z28" s="162" cm="1">
        <f t="array" ref="Z28">_xlfn.XLOOKUP(1, ('0. GUIDELINES'!$E$3='[1]input-labor'!$A:$A) * (Z$7='[1]input-labor'!$B:$B) * ($A28='[1]input-labor'!$C:$C), '[1]input-labor'!$D:$D)</f>
        <v>439593.625</v>
      </c>
      <c r="AA28" s="150">
        <f>Z28*(1+'GROWTH RATES'!X19/100)</f>
        <v>445788.43528452585</v>
      </c>
      <c r="AB28" s="150">
        <f>AA28*(1+'GROWTH RATES'!Y19/100)</f>
        <v>453138.7876727882</v>
      </c>
      <c r="AC28" s="150">
        <f>AB28*(1+'GROWTH RATES'!Z19/100)</f>
        <v>462222.99757034605</v>
      </c>
      <c r="AD28" s="150">
        <f>AC28*(1+'GROWTH RATES'!AA19/100)</f>
        <v>470665.05670061591</v>
      </c>
    </row>
    <row r="29" spans="1:31" x14ac:dyDescent="0.2">
      <c r="A29" s="94" t="s">
        <v>579</v>
      </c>
      <c r="B29" s="304"/>
      <c r="C29" s="130"/>
      <c r="D29" s="130"/>
      <c r="E29" s="130"/>
      <c r="F29" s="129"/>
      <c r="G29" s="331" t="s">
        <v>503</v>
      </c>
      <c r="H29" s="327" t="s">
        <v>520</v>
      </c>
      <c r="I29" s="162" t="e" cm="1">
        <f t="array" ref="I29">_xlfn.XLOOKUP(1, ('0. GUIDELINES'!$E$3='[1]input-labor'!$A:$A) * (I$7='[1]input-labor'!$B:$B) * ($A29='[1]input-labor'!$C:$C), '[1]input-labor'!$D:$D)</f>
        <v>#N/A</v>
      </c>
      <c r="J29" s="162" t="e" cm="1">
        <f t="array" ref="J29">_xlfn.XLOOKUP(1, ('0. GUIDELINES'!$E$3='[1]input-labor'!$A:$A) * (J$7='[1]input-labor'!$B:$B) * ($A29='[1]input-labor'!$C:$C), '[1]input-labor'!$D:$D)</f>
        <v>#N/A</v>
      </c>
      <c r="K29" s="162" t="e" cm="1">
        <f t="array" ref="K29">_xlfn.XLOOKUP(1, ('0. GUIDELINES'!$E$3='[1]input-labor'!$A:$A) * (K$7='[1]input-labor'!$B:$B) * ($A29='[1]input-labor'!$C:$C), '[1]input-labor'!$D:$D)</f>
        <v>#N/A</v>
      </c>
      <c r="L29" s="162" t="e" cm="1">
        <f t="array" ref="L29">_xlfn.XLOOKUP(1, ('0. GUIDELINES'!$E$3='[1]input-labor'!$A:$A) * (L$7='[1]input-labor'!$B:$B) * ($A29='[1]input-labor'!$C:$C), '[1]input-labor'!$D:$D)</f>
        <v>#N/A</v>
      </c>
      <c r="M29" s="162" t="e" cm="1">
        <f t="array" ref="M29">_xlfn.XLOOKUP(1, ('0. GUIDELINES'!$E$3='[1]input-labor'!$A:$A) * (M$7='[1]input-labor'!$B:$B) * ($A29='[1]input-labor'!$C:$C), '[1]input-labor'!$D:$D)</f>
        <v>#N/A</v>
      </c>
      <c r="N29" s="162" t="e" cm="1">
        <f t="array" ref="N29">_xlfn.XLOOKUP(1, ('0. GUIDELINES'!$E$3='[1]input-labor'!$A:$A) * (N$7='[1]input-labor'!$B:$B) * ($A29='[1]input-labor'!$C:$C), '[1]input-labor'!$D:$D)</f>
        <v>#N/A</v>
      </c>
      <c r="O29" s="162" t="e" cm="1">
        <f t="array" ref="O29">_xlfn.XLOOKUP(1, ('0. GUIDELINES'!$E$3='[1]input-labor'!$A:$A) * (O$7='[1]input-labor'!$B:$B) * ($A29='[1]input-labor'!$C:$C), '[1]input-labor'!$D:$D)</f>
        <v>#N/A</v>
      </c>
      <c r="P29" s="162" t="e" cm="1">
        <f t="array" ref="P29">_xlfn.XLOOKUP(1, ('0. GUIDELINES'!$E$3='[1]input-labor'!$A:$A) * (P$7='[1]input-labor'!$B:$B) * ($A29='[1]input-labor'!$C:$C), '[1]input-labor'!$D:$D)</f>
        <v>#N/A</v>
      </c>
      <c r="Q29" s="162" t="e" cm="1">
        <f t="array" ref="Q29">_xlfn.XLOOKUP(1, ('0. GUIDELINES'!$E$3='[1]input-labor'!$A:$A) * (Q$7='[1]input-labor'!$B:$B) * ($A29='[1]input-labor'!$C:$C), '[1]input-labor'!$D:$D)</f>
        <v>#N/A</v>
      </c>
      <c r="R29" s="162" t="e" cm="1">
        <f t="array" ref="R29">_xlfn.XLOOKUP(1, ('0. GUIDELINES'!$E$3='[1]input-labor'!$A:$A) * (R$7='[1]input-labor'!$B:$B) * ($A29='[1]input-labor'!$C:$C), '[1]input-labor'!$D:$D)</f>
        <v>#N/A</v>
      </c>
      <c r="S29" s="162" t="e" cm="1">
        <f t="array" ref="S29">_xlfn.XLOOKUP(1, ('0. GUIDELINES'!$E$3='[1]input-labor'!$A:$A) * (S$7='[1]input-labor'!$B:$B) * ($A29='[1]input-labor'!$C:$C), '[1]input-labor'!$D:$D)</f>
        <v>#N/A</v>
      </c>
      <c r="T29" s="162" cm="1">
        <f t="array" ref="T29">_xlfn.XLOOKUP(1, ('0. GUIDELINES'!$E$3='[1]input-labor'!$A:$A) * (T$7='[1]input-labor'!$B:$B) * ($A29='[1]input-labor'!$C:$C), '[1]input-labor'!$D:$D)</f>
        <v>3333037</v>
      </c>
      <c r="U29" s="162" cm="1">
        <f t="array" ref="U29">_xlfn.IFNA(_xlfn.XLOOKUP(1, ('0. GUIDELINES'!$E$3='[1]input-labor'!$A:$A) * (U$7='[1]input-labor'!$B:$B) * ($A29='[1]input-labor'!$C:$C), '[1]input-labor'!$D:$D),(T29+($Z29-$T29)/($Z$7-$T$7)))</f>
        <v>3252844.875</v>
      </c>
      <c r="V29" s="162" cm="1">
        <f t="array" ref="V29">_xlfn.IFNA(_xlfn.XLOOKUP(1, ('0. GUIDELINES'!$E$3='[1]input-labor'!$A:$A) * (V$7='[1]input-labor'!$B:$B) * ($A29='[1]input-labor'!$C:$C), '[1]input-labor'!$D:$D),(U29+($Z29-$T29)/($Z$7-$T$7)))</f>
        <v>3172652.75</v>
      </c>
      <c r="W29" s="162" cm="1">
        <f t="array" ref="W29">_xlfn.IFNA(_xlfn.XLOOKUP(1, ('0. GUIDELINES'!$E$3='[1]input-labor'!$A:$A) * (W$7='[1]input-labor'!$B:$B) * ($A29='[1]input-labor'!$C:$C), '[1]input-labor'!$D:$D),(V29+($Z29-$T29)/($Z$7-$T$7)))</f>
        <v>3092460.625</v>
      </c>
      <c r="X29" s="162" cm="1">
        <f t="array" ref="X29">_xlfn.IFNA(_xlfn.XLOOKUP(1, ('0. GUIDELINES'!$E$3='[1]input-labor'!$A:$A) * (X$7='[1]input-labor'!$B:$B) * ($A29='[1]input-labor'!$C:$C), '[1]input-labor'!$D:$D),(W29+($Z29-$T29)/($Z$7-$T$7)))</f>
        <v>3012268.5</v>
      </c>
      <c r="Y29" s="162" cm="1">
        <f t="array" ref="Y29">_xlfn.IFNA(_xlfn.XLOOKUP(1, ('0. GUIDELINES'!$E$3='[1]input-labor'!$A:$A) * (Y$7='[1]input-labor'!$B:$B) * ($A29='[1]input-labor'!$C:$C), '[1]input-labor'!$D:$D),(X29+($Z29-$T29)/($Z$7-$T$7)))</f>
        <v>2932076.375</v>
      </c>
      <c r="Z29" s="162" cm="1">
        <f t="array" ref="Z29">_xlfn.XLOOKUP(1, ('0. GUIDELINES'!$E$3='[1]input-labor'!$A:$A) * (Z$7='[1]input-labor'!$B:$B) * ($A29='[1]input-labor'!$C:$C), '[1]input-labor'!$D:$D)</f>
        <v>2851884.25</v>
      </c>
      <c r="AA29" s="150">
        <f>Z29*(1+'GROWTH RATES'!X20/100)</f>
        <v>2870122.5954923783</v>
      </c>
      <c r="AB29" s="150">
        <f>AA29*(1+'GROWTH RATES'!Y20/100)</f>
        <v>2916596.3523659292</v>
      </c>
      <c r="AC29" s="150">
        <f>AB29*(1+'GROWTH RATES'!Z20/100)</f>
        <v>2960984.2756194309</v>
      </c>
      <c r="AD29" s="150">
        <f>AC29*(1+'GROWTH RATES'!AA20/100)</f>
        <v>3010403.0811874322</v>
      </c>
    </row>
    <row r="30" spans="1:31" x14ac:dyDescent="0.2">
      <c r="A30" s="94" t="s">
        <v>580</v>
      </c>
      <c r="B30" s="304"/>
      <c r="C30" s="130"/>
      <c r="D30" s="130"/>
      <c r="E30" s="130"/>
      <c r="F30" s="129"/>
      <c r="G30" s="331" t="s">
        <v>504</v>
      </c>
      <c r="H30" s="327" t="s">
        <v>521</v>
      </c>
      <c r="I30" s="162" t="e" cm="1">
        <f t="array" ref="I30">_xlfn.XLOOKUP(1, ('0. GUIDELINES'!$E$3='[1]input-labor'!$A:$A) * (I$7='[1]input-labor'!$B:$B) * ($A30='[1]input-labor'!$C:$C), '[1]input-labor'!$D:$D)</f>
        <v>#N/A</v>
      </c>
      <c r="J30" s="162" t="e" cm="1">
        <f t="array" ref="J30">_xlfn.XLOOKUP(1, ('0. GUIDELINES'!$E$3='[1]input-labor'!$A:$A) * (J$7='[1]input-labor'!$B:$B) * ($A30='[1]input-labor'!$C:$C), '[1]input-labor'!$D:$D)</f>
        <v>#N/A</v>
      </c>
      <c r="K30" s="162" t="e" cm="1">
        <f t="array" ref="K30">_xlfn.XLOOKUP(1, ('0. GUIDELINES'!$E$3='[1]input-labor'!$A:$A) * (K$7='[1]input-labor'!$B:$B) * ($A30='[1]input-labor'!$C:$C), '[1]input-labor'!$D:$D)</f>
        <v>#N/A</v>
      </c>
      <c r="L30" s="162" t="e" cm="1">
        <f t="array" ref="L30">_xlfn.XLOOKUP(1, ('0. GUIDELINES'!$E$3='[1]input-labor'!$A:$A) * (L$7='[1]input-labor'!$B:$B) * ($A30='[1]input-labor'!$C:$C), '[1]input-labor'!$D:$D)</f>
        <v>#N/A</v>
      </c>
      <c r="M30" s="162" t="e" cm="1">
        <f t="array" ref="M30">_xlfn.XLOOKUP(1, ('0. GUIDELINES'!$E$3='[1]input-labor'!$A:$A) * (M$7='[1]input-labor'!$B:$B) * ($A30='[1]input-labor'!$C:$C), '[1]input-labor'!$D:$D)</f>
        <v>#N/A</v>
      </c>
      <c r="N30" s="162" t="e" cm="1">
        <f t="array" ref="N30">_xlfn.XLOOKUP(1, ('0. GUIDELINES'!$E$3='[1]input-labor'!$A:$A) * (N$7='[1]input-labor'!$B:$B) * ($A30='[1]input-labor'!$C:$C), '[1]input-labor'!$D:$D)</f>
        <v>#N/A</v>
      </c>
      <c r="O30" s="162" t="e" cm="1">
        <f t="array" ref="O30">_xlfn.XLOOKUP(1, ('0. GUIDELINES'!$E$3='[1]input-labor'!$A:$A) * (O$7='[1]input-labor'!$B:$B) * ($A30='[1]input-labor'!$C:$C), '[1]input-labor'!$D:$D)</f>
        <v>#N/A</v>
      </c>
      <c r="P30" s="162" t="e" cm="1">
        <f t="array" ref="P30">_xlfn.XLOOKUP(1, ('0. GUIDELINES'!$E$3='[1]input-labor'!$A:$A) * (P$7='[1]input-labor'!$B:$B) * ($A30='[1]input-labor'!$C:$C), '[1]input-labor'!$D:$D)</f>
        <v>#N/A</v>
      </c>
      <c r="Q30" s="162" t="e" cm="1">
        <f t="array" ref="Q30">_xlfn.XLOOKUP(1, ('0. GUIDELINES'!$E$3='[1]input-labor'!$A:$A) * (Q$7='[1]input-labor'!$B:$B) * ($A30='[1]input-labor'!$C:$C), '[1]input-labor'!$D:$D)</f>
        <v>#N/A</v>
      </c>
      <c r="R30" s="162" t="e" cm="1">
        <f t="array" ref="R30">_xlfn.XLOOKUP(1, ('0. GUIDELINES'!$E$3='[1]input-labor'!$A:$A) * (R$7='[1]input-labor'!$B:$B) * ($A30='[1]input-labor'!$C:$C), '[1]input-labor'!$D:$D)</f>
        <v>#N/A</v>
      </c>
      <c r="S30" s="162" t="e" cm="1">
        <f t="array" ref="S30">_xlfn.XLOOKUP(1, ('0. GUIDELINES'!$E$3='[1]input-labor'!$A:$A) * (S$7='[1]input-labor'!$B:$B) * ($A30='[1]input-labor'!$C:$C), '[1]input-labor'!$D:$D)</f>
        <v>#N/A</v>
      </c>
      <c r="T30" s="162" cm="1">
        <f t="array" ref="T30">_xlfn.XLOOKUP(1, ('0. GUIDELINES'!$E$3='[1]input-labor'!$A:$A) * (T$7='[1]input-labor'!$B:$B) * ($A30='[1]input-labor'!$C:$C), '[1]input-labor'!$D:$D)</f>
        <v>2641654.25</v>
      </c>
      <c r="U30" s="162" cm="1">
        <f t="array" ref="U30">_xlfn.IFNA(_xlfn.XLOOKUP(1, ('0. GUIDELINES'!$E$3='[1]input-labor'!$A:$A) * (U$7='[1]input-labor'!$B:$B) * ($A30='[1]input-labor'!$C:$C), '[1]input-labor'!$D:$D),(T30+($Z30-$T30)/($Z$7-$T$7)))</f>
        <v>2836869.375</v>
      </c>
      <c r="V30" s="162" cm="1">
        <f t="array" ref="V30">_xlfn.IFNA(_xlfn.XLOOKUP(1, ('0. GUIDELINES'!$E$3='[1]input-labor'!$A:$A) * (V$7='[1]input-labor'!$B:$B) * ($A30='[1]input-labor'!$C:$C), '[1]input-labor'!$D:$D),(U30+($Z30-$T30)/($Z$7-$T$7)))</f>
        <v>3032084.5</v>
      </c>
      <c r="W30" s="162" cm="1">
        <f t="array" ref="W30">_xlfn.IFNA(_xlfn.XLOOKUP(1, ('0. GUIDELINES'!$E$3='[1]input-labor'!$A:$A) * (W$7='[1]input-labor'!$B:$B) * ($A30='[1]input-labor'!$C:$C), '[1]input-labor'!$D:$D),(V30+($Z30-$T30)/($Z$7-$T$7)))</f>
        <v>3227299.625</v>
      </c>
      <c r="X30" s="162" cm="1">
        <f t="array" ref="X30">_xlfn.IFNA(_xlfn.XLOOKUP(1, ('0. GUIDELINES'!$E$3='[1]input-labor'!$A:$A) * (X$7='[1]input-labor'!$B:$B) * ($A30='[1]input-labor'!$C:$C), '[1]input-labor'!$D:$D),(W30+($Z30-$T30)/($Z$7-$T$7)))</f>
        <v>3422514.75</v>
      </c>
      <c r="Y30" s="162" cm="1">
        <f t="array" ref="Y30">_xlfn.IFNA(_xlfn.XLOOKUP(1, ('0. GUIDELINES'!$E$3='[1]input-labor'!$A:$A) * (Y$7='[1]input-labor'!$B:$B) * ($A30='[1]input-labor'!$C:$C), '[1]input-labor'!$D:$D),(X30+($Z30-$T30)/($Z$7-$T$7)))</f>
        <v>3617729.875</v>
      </c>
      <c r="Z30" s="162" cm="1">
        <f t="array" ref="Z30">_xlfn.XLOOKUP(1, ('0. GUIDELINES'!$E$3='[1]input-labor'!$A:$A) * (Z$7='[1]input-labor'!$B:$B) * ($A30='[1]input-labor'!$C:$C), '[1]input-labor'!$D:$D)</f>
        <v>3812945</v>
      </c>
      <c r="AA30" s="150">
        <f>Z30*(1+'GROWTH RATES'!X21/100)</f>
        <v>3837329.5128894821</v>
      </c>
      <c r="AB30" s="150">
        <f>AA30*(1+'GROWTH RATES'!Y21/100)</f>
        <v>3899464.5307823787</v>
      </c>
      <c r="AC30" s="150">
        <f>AB30*(1+'GROWTH RATES'!Z21/100)</f>
        <v>3958810.8068557587</v>
      </c>
      <c r="AD30" s="150">
        <f>AC30*(1+'GROWTH RATES'!AA21/100)</f>
        <v>4024883.3298189477</v>
      </c>
    </row>
    <row r="31" spans="1:31" x14ac:dyDescent="0.2">
      <c r="A31" s="94" t="s">
        <v>581</v>
      </c>
      <c r="B31" s="304"/>
      <c r="C31" s="130"/>
      <c r="D31" s="130"/>
      <c r="E31" s="130"/>
      <c r="F31" s="129"/>
      <c r="G31" s="331" t="s">
        <v>505</v>
      </c>
      <c r="H31" s="327" t="s">
        <v>522</v>
      </c>
      <c r="I31" s="162" t="e" cm="1">
        <f t="array" ref="I31">_xlfn.XLOOKUP(1, ('0. GUIDELINES'!$E$3='[1]input-labor'!$A:$A) * (I$7='[1]input-labor'!$B:$B) * ($A31='[1]input-labor'!$C:$C), '[1]input-labor'!$D:$D)</f>
        <v>#N/A</v>
      </c>
      <c r="J31" s="162" t="e" cm="1">
        <f t="array" ref="J31">_xlfn.XLOOKUP(1, ('0. GUIDELINES'!$E$3='[1]input-labor'!$A:$A) * (J$7='[1]input-labor'!$B:$B) * ($A31='[1]input-labor'!$C:$C), '[1]input-labor'!$D:$D)</f>
        <v>#N/A</v>
      </c>
      <c r="K31" s="162" t="e" cm="1">
        <f t="array" ref="K31">_xlfn.XLOOKUP(1, ('0. GUIDELINES'!$E$3='[1]input-labor'!$A:$A) * (K$7='[1]input-labor'!$B:$B) * ($A31='[1]input-labor'!$C:$C), '[1]input-labor'!$D:$D)</f>
        <v>#N/A</v>
      </c>
      <c r="L31" s="162" t="e" cm="1">
        <f t="array" ref="L31">_xlfn.XLOOKUP(1, ('0. GUIDELINES'!$E$3='[1]input-labor'!$A:$A) * (L$7='[1]input-labor'!$B:$B) * ($A31='[1]input-labor'!$C:$C), '[1]input-labor'!$D:$D)</f>
        <v>#N/A</v>
      </c>
      <c r="M31" s="162" t="e" cm="1">
        <f t="array" ref="M31">_xlfn.XLOOKUP(1, ('0. GUIDELINES'!$E$3='[1]input-labor'!$A:$A) * (M$7='[1]input-labor'!$B:$B) * ($A31='[1]input-labor'!$C:$C), '[1]input-labor'!$D:$D)</f>
        <v>#N/A</v>
      </c>
      <c r="N31" s="162" t="e" cm="1">
        <f t="array" ref="N31">_xlfn.XLOOKUP(1, ('0. GUIDELINES'!$E$3='[1]input-labor'!$A:$A) * (N$7='[1]input-labor'!$B:$B) * ($A31='[1]input-labor'!$C:$C), '[1]input-labor'!$D:$D)</f>
        <v>#N/A</v>
      </c>
      <c r="O31" s="162" t="e" cm="1">
        <f t="array" ref="O31">_xlfn.XLOOKUP(1, ('0. GUIDELINES'!$E$3='[1]input-labor'!$A:$A) * (O$7='[1]input-labor'!$B:$B) * ($A31='[1]input-labor'!$C:$C), '[1]input-labor'!$D:$D)</f>
        <v>#N/A</v>
      </c>
      <c r="P31" s="162" t="e" cm="1">
        <f t="array" ref="P31">_xlfn.XLOOKUP(1, ('0. GUIDELINES'!$E$3='[1]input-labor'!$A:$A) * (P$7='[1]input-labor'!$B:$B) * ($A31='[1]input-labor'!$C:$C), '[1]input-labor'!$D:$D)</f>
        <v>#N/A</v>
      </c>
      <c r="Q31" s="162" t="e" cm="1">
        <f t="array" ref="Q31">_xlfn.XLOOKUP(1, ('0. GUIDELINES'!$E$3='[1]input-labor'!$A:$A) * (Q$7='[1]input-labor'!$B:$B) * ($A31='[1]input-labor'!$C:$C), '[1]input-labor'!$D:$D)</f>
        <v>#N/A</v>
      </c>
      <c r="R31" s="162" t="e" cm="1">
        <f t="array" ref="R31">_xlfn.XLOOKUP(1, ('0. GUIDELINES'!$E$3='[1]input-labor'!$A:$A) * (R$7='[1]input-labor'!$B:$B) * ($A31='[1]input-labor'!$C:$C), '[1]input-labor'!$D:$D)</f>
        <v>#N/A</v>
      </c>
      <c r="S31" s="162" t="e" cm="1">
        <f t="array" ref="S31">_xlfn.XLOOKUP(1, ('0. GUIDELINES'!$E$3='[1]input-labor'!$A:$A) * (S$7='[1]input-labor'!$B:$B) * ($A31='[1]input-labor'!$C:$C), '[1]input-labor'!$D:$D)</f>
        <v>#N/A</v>
      </c>
      <c r="T31" s="162" cm="1">
        <f t="array" ref="T31">_xlfn.XLOOKUP(1, ('0. GUIDELINES'!$E$3='[1]input-labor'!$A:$A) * (T$7='[1]input-labor'!$B:$B) * ($A31='[1]input-labor'!$C:$C), '[1]input-labor'!$D:$D)</f>
        <v>4236092</v>
      </c>
      <c r="U31" s="162" cm="1">
        <f t="array" ref="U31">_xlfn.IFNA(_xlfn.XLOOKUP(1, ('0. GUIDELINES'!$E$3='[1]input-labor'!$A:$A) * (U$7='[1]input-labor'!$B:$B) * ($A31='[1]input-labor'!$C:$C), '[1]input-labor'!$D:$D),(T31+($Z31-$T31)/($Z$7-$T$7)))</f>
        <v>3963353.875</v>
      </c>
      <c r="V31" s="162" cm="1">
        <f t="array" ref="V31">_xlfn.IFNA(_xlfn.XLOOKUP(1, ('0. GUIDELINES'!$E$3='[1]input-labor'!$A:$A) * (V$7='[1]input-labor'!$B:$B) * ($A31='[1]input-labor'!$C:$C), '[1]input-labor'!$D:$D),(U31+($Z31-$T31)/($Z$7-$T$7)))</f>
        <v>3690615.75</v>
      </c>
      <c r="W31" s="162" cm="1">
        <f t="array" ref="W31">_xlfn.IFNA(_xlfn.XLOOKUP(1, ('0. GUIDELINES'!$E$3='[1]input-labor'!$A:$A) * (W$7='[1]input-labor'!$B:$B) * ($A31='[1]input-labor'!$C:$C), '[1]input-labor'!$D:$D),(V31+($Z31-$T31)/($Z$7-$T$7)))</f>
        <v>3417877.625</v>
      </c>
      <c r="X31" s="162" cm="1">
        <f t="array" ref="X31">_xlfn.IFNA(_xlfn.XLOOKUP(1, ('0. GUIDELINES'!$E$3='[1]input-labor'!$A:$A) * (X$7='[1]input-labor'!$B:$B) * ($A31='[1]input-labor'!$C:$C), '[1]input-labor'!$D:$D),(W31+($Z31-$T31)/($Z$7-$T$7)))</f>
        <v>3145139.5</v>
      </c>
      <c r="Y31" s="162" cm="1">
        <f t="array" ref="Y31">_xlfn.IFNA(_xlfn.XLOOKUP(1, ('0. GUIDELINES'!$E$3='[1]input-labor'!$A:$A) * (Y$7='[1]input-labor'!$B:$B) * ($A31='[1]input-labor'!$C:$C), '[1]input-labor'!$D:$D),(X31+($Z31-$T31)/($Z$7-$T$7)))</f>
        <v>2872401.375</v>
      </c>
      <c r="Z31" s="162" cm="1">
        <f t="array" ref="Z31">_xlfn.XLOOKUP(1, ('0. GUIDELINES'!$E$3='[1]input-labor'!$A:$A) * (Z$7='[1]input-labor'!$B:$B) * ($A31='[1]input-labor'!$C:$C), '[1]input-labor'!$D:$D)</f>
        <v>2599663.25</v>
      </c>
      <c r="AA31" s="150">
        <f>Z31*(1+'GROWTH RATES'!X22/100)</f>
        <v>2635846.4045223249</v>
      </c>
      <c r="AB31" s="150">
        <f>AA31*(1+'GROWTH RATES'!Y22/100)</f>
        <v>2670356.5663313926</v>
      </c>
      <c r="AC31" s="150">
        <f>AB31*(1+'GROWTH RATES'!Z22/100)</f>
        <v>2695045.3281479129</v>
      </c>
      <c r="AD31" s="150">
        <f>AC31*(1+'GROWTH RATES'!AA22/100)</f>
        <v>2721946.541155424</v>
      </c>
    </row>
    <row r="32" spans="1:31" x14ac:dyDescent="0.2">
      <c r="A32" s="94" t="s">
        <v>582</v>
      </c>
      <c r="B32" s="304"/>
      <c r="C32" s="130"/>
      <c r="D32" s="130"/>
      <c r="E32" s="130"/>
      <c r="F32" s="129"/>
      <c r="G32" s="332" t="s">
        <v>506</v>
      </c>
      <c r="H32" s="333" t="s">
        <v>512</v>
      </c>
      <c r="I32" s="334" t="e" cm="1">
        <f t="array" ref="I32">_xlfn.XLOOKUP(1, ('0. GUIDELINES'!$E$3='[1]input-labor'!$A:$A) * (I$7='[1]input-labor'!$B:$B) * ($A32='[1]input-labor'!$C:$C), '[1]input-labor'!$D:$D)</f>
        <v>#N/A</v>
      </c>
      <c r="J32" s="334" t="e" cm="1">
        <f t="array" ref="J32">_xlfn.XLOOKUP(1, ('0. GUIDELINES'!$E$3='[1]input-labor'!$A:$A) * (J$7='[1]input-labor'!$B:$B) * ($A32='[1]input-labor'!$C:$C), '[1]input-labor'!$D:$D)</f>
        <v>#N/A</v>
      </c>
      <c r="K32" s="334" t="e" cm="1">
        <f t="array" ref="K32">_xlfn.XLOOKUP(1, ('0. GUIDELINES'!$E$3='[1]input-labor'!$A:$A) * (K$7='[1]input-labor'!$B:$B) * ($A32='[1]input-labor'!$C:$C), '[1]input-labor'!$D:$D)</f>
        <v>#N/A</v>
      </c>
      <c r="L32" s="334" t="e" cm="1">
        <f t="array" ref="L32">_xlfn.XLOOKUP(1, ('0. GUIDELINES'!$E$3='[1]input-labor'!$A:$A) * (L$7='[1]input-labor'!$B:$B) * ($A32='[1]input-labor'!$C:$C), '[1]input-labor'!$D:$D)</f>
        <v>#N/A</v>
      </c>
      <c r="M32" s="334" t="e" cm="1">
        <f t="array" ref="M32">_xlfn.XLOOKUP(1, ('0. GUIDELINES'!$E$3='[1]input-labor'!$A:$A) * (M$7='[1]input-labor'!$B:$B) * ($A32='[1]input-labor'!$C:$C), '[1]input-labor'!$D:$D)</f>
        <v>#N/A</v>
      </c>
      <c r="N32" s="334" t="e" cm="1">
        <f t="array" ref="N32">_xlfn.XLOOKUP(1, ('0. GUIDELINES'!$E$3='[1]input-labor'!$A:$A) * (N$7='[1]input-labor'!$B:$B) * ($A32='[1]input-labor'!$C:$C), '[1]input-labor'!$D:$D)</f>
        <v>#N/A</v>
      </c>
      <c r="O32" s="334" t="e" cm="1">
        <f t="array" ref="O32">_xlfn.XLOOKUP(1, ('0. GUIDELINES'!$E$3='[1]input-labor'!$A:$A) * (O$7='[1]input-labor'!$B:$B) * ($A32='[1]input-labor'!$C:$C), '[1]input-labor'!$D:$D)</f>
        <v>#N/A</v>
      </c>
      <c r="P32" s="334" t="e" cm="1">
        <f t="array" ref="P32">_xlfn.XLOOKUP(1, ('0. GUIDELINES'!$E$3='[1]input-labor'!$A:$A) * (P$7='[1]input-labor'!$B:$B) * ($A32='[1]input-labor'!$C:$C), '[1]input-labor'!$D:$D)</f>
        <v>#N/A</v>
      </c>
      <c r="Q32" s="334" t="e" cm="1">
        <f t="array" ref="Q32">_xlfn.XLOOKUP(1, ('0. GUIDELINES'!$E$3='[1]input-labor'!$A:$A) * (Q$7='[1]input-labor'!$B:$B) * ($A32='[1]input-labor'!$C:$C), '[1]input-labor'!$D:$D)</f>
        <v>#N/A</v>
      </c>
      <c r="R32" s="334" t="e" cm="1">
        <f t="array" ref="R32">_xlfn.XLOOKUP(1, ('0. GUIDELINES'!$E$3='[1]input-labor'!$A:$A) * (R$7='[1]input-labor'!$B:$B) * ($A32='[1]input-labor'!$C:$C), '[1]input-labor'!$D:$D)</f>
        <v>#N/A</v>
      </c>
      <c r="S32" s="334" t="e" cm="1">
        <f t="array" ref="S32">_xlfn.XLOOKUP(1, ('0. GUIDELINES'!$E$3='[1]input-labor'!$A:$A) * (S$7='[1]input-labor'!$B:$B) * ($A32='[1]input-labor'!$C:$C), '[1]input-labor'!$D:$D)</f>
        <v>#N/A</v>
      </c>
      <c r="T32" s="334" cm="1">
        <f t="array" ref="T32">_xlfn.XLOOKUP(1, ('0. GUIDELINES'!$E$3='[1]input-labor'!$A:$A) * (T$7='[1]input-labor'!$B:$B) * ($A32='[1]input-labor'!$C:$C), '[1]input-labor'!$D:$D)</f>
        <v>3173944.25</v>
      </c>
      <c r="U32" s="334" cm="1">
        <f t="array" ref="U32">_xlfn.IFNA(_xlfn.XLOOKUP(1, ('0. GUIDELINES'!$E$3='[1]input-labor'!$A:$A) * (U$7='[1]input-labor'!$B:$B) * ($A32='[1]input-labor'!$C:$C), '[1]input-labor'!$D:$D),(T32+($Z32-$T32)/($Z$7-$T$7)))</f>
        <v>3292296.875</v>
      </c>
      <c r="V32" s="334" cm="1">
        <f t="array" ref="V32">_xlfn.IFNA(_xlfn.XLOOKUP(1, ('0. GUIDELINES'!$E$3='[1]input-labor'!$A:$A) * (V$7='[1]input-labor'!$B:$B) * ($A32='[1]input-labor'!$C:$C), '[1]input-labor'!$D:$D),(U32+($Z32-$T32)/($Z$7-$T$7)))</f>
        <v>3410649.5</v>
      </c>
      <c r="W32" s="334" cm="1">
        <f t="array" ref="W32">_xlfn.IFNA(_xlfn.XLOOKUP(1, ('0. GUIDELINES'!$E$3='[1]input-labor'!$A:$A) * (W$7='[1]input-labor'!$B:$B) * ($A32='[1]input-labor'!$C:$C), '[1]input-labor'!$D:$D),(V32+($Z32-$T32)/($Z$7-$T$7)))</f>
        <v>3529002.125</v>
      </c>
      <c r="X32" s="334" cm="1">
        <f t="array" ref="X32">_xlfn.IFNA(_xlfn.XLOOKUP(1, ('0. GUIDELINES'!$E$3='[1]input-labor'!$A:$A) * (X$7='[1]input-labor'!$B:$B) * ($A32='[1]input-labor'!$C:$C), '[1]input-labor'!$D:$D),(W32+($Z32-$T32)/($Z$7-$T$7)))</f>
        <v>3647354.75</v>
      </c>
      <c r="Y32" s="334" cm="1">
        <f t="array" ref="Y32">_xlfn.IFNA(_xlfn.XLOOKUP(1, ('0. GUIDELINES'!$E$3='[1]input-labor'!$A:$A) * (Y$7='[1]input-labor'!$B:$B) * ($A32='[1]input-labor'!$C:$C), '[1]input-labor'!$D:$D),(X32+($Z32-$T32)/($Z$7-$T$7)))</f>
        <v>3765707.375</v>
      </c>
      <c r="Z32" s="334" cm="1">
        <f t="array" ref="Z32">_xlfn.XLOOKUP(1, ('0. GUIDELINES'!$E$3='[1]input-labor'!$A:$A) * (Z$7='[1]input-labor'!$B:$B) * ($A32='[1]input-labor'!$C:$C), '[1]input-labor'!$D:$D)</f>
        <v>3884060</v>
      </c>
      <c r="AA32" s="157">
        <f>Z32*(1+'GROWTH RATES'!X23/100)</f>
        <v>3938119.9030101229</v>
      </c>
      <c r="AB32" s="157">
        <f>AA32*(1+'GROWTH RATES'!Y23/100)</f>
        <v>3989680.2499420294</v>
      </c>
      <c r="AC32" s="157">
        <f>AB32*(1+'GROWTH RATES'!Z23/100)</f>
        <v>4026566.8090842855</v>
      </c>
      <c r="AD32" s="157">
        <f>AC32*(1+'GROWTH RATES'!AA23/100)</f>
        <v>4066758.9091164544</v>
      </c>
    </row>
    <row r="33" spans="1:38" x14ac:dyDescent="0.2">
      <c r="A33" s="94"/>
      <c r="B33" s="304"/>
      <c r="C33" s="130"/>
      <c r="D33" s="130"/>
      <c r="E33" s="130"/>
      <c r="F33" s="129"/>
      <c r="G33" s="347"/>
      <c r="H33" s="347"/>
      <c r="I33" s="162"/>
      <c r="J33" s="162"/>
      <c r="K33" s="162"/>
      <c r="L33" s="162"/>
      <c r="M33" s="162"/>
      <c r="N33" s="162"/>
      <c r="O33" s="162"/>
      <c r="P33" s="162"/>
      <c r="Q33" s="162"/>
      <c r="R33" s="162"/>
      <c r="S33" s="162"/>
      <c r="T33" s="162"/>
      <c r="U33" s="162"/>
      <c r="V33" s="162"/>
      <c r="W33" s="162"/>
      <c r="X33" s="162"/>
      <c r="Y33" s="162"/>
      <c r="Z33" s="162"/>
      <c r="AA33" s="348"/>
      <c r="AB33" s="348"/>
      <c r="AC33" s="348"/>
      <c r="AD33" s="348"/>
    </row>
    <row r="34" spans="1:38" ht="15" x14ac:dyDescent="0.2">
      <c r="A34" s="94"/>
      <c r="B34" s="304"/>
      <c r="C34" s="130"/>
      <c r="D34" s="130"/>
      <c r="E34" s="130"/>
      <c r="F34" s="129"/>
      <c r="G34" s="489" t="s">
        <v>159</v>
      </c>
      <c r="H34" s="489"/>
      <c r="I34" s="489"/>
      <c r="J34" s="489"/>
      <c r="K34" s="489"/>
      <c r="L34" s="489"/>
      <c r="M34" s="489"/>
      <c r="N34" s="489"/>
      <c r="O34" s="489"/>
      <c r="P34" s="489"/>
      <c r="Q34" s="489"/>
      <c r="R34" s="489"/>
      <c r="S34" s="489"/>
      <c r="T34" s="489"/>
      <c r="U34" s="489"/>
      <c r="V34" s="489"/>
      <c r="W34" s="489"/>
      <c r="X34" s="489"/>
      <c r="Y34" s="489"/>
      <c r="Z34" s="489"/>
      <c r="AA34" s="489"/>
      <c r="AB34" s="489"/>
      <c r="AC34" s="489"/>
      <c r="AD34" s="489"/>
    </row>
    <row r="35" spans="1:38" ht="14.25" customHeight="1" x14ac:dyDescent="0.2">
      <c r="A35" s="94"/>
      <c r="B35" s="317"/>
      <c r="C35" s="130"/>
      <c r="D35" s="130"/>
      <c r="E35" s="130"/>
      <c r="F35" s="129"/>
      <c r="G35" s="161"/>
      <c r="H35" s="161"/>
      <c r="I35" s="161"/>
      <c r="J35" s="161"/>
      <c r="K35" s="161"/>
      <c r="L35" s="161"/>
      <c r="M35" s="161"/>
      <c r="N35" s="161"/>
      <c r="O35" s="161"/>
      <c r="P35" s="161"/>
      <c r="Q35" s="161"/>
      <c r="R35" s="161"/>
      <c r="S35" s="161"/>
      <c r="T35" s="491" t="s">
        <v>642</v>
      </c>
      <c r="U35" s="491"/>
      <c r="V35" s="491"/>
      <c r="W35" s="491"/>
      <c r="X35" s="491"/>
      <c r="Y35" s="491"/>
      <c r="Z35" s="491"/>
      <c r="AA35" s="161"/>
      <c r="AB35" s="161"/>
      <c r="AC35" s="161"/>
      <c r="AD35" s="161"/>
    </row>
    <row r="36" spans="1:38" ht="15" customHeight="1" x14ac:dyDescent="0.2">
      <c r="A36" s="98"/>
      <c r="B36" s="317"/>
      <c r="C36" s="130"/>
      <c r="D36" s="130"/>
      <c r="E36" s="130"/>
      <c r="F36" s="129"/>
      <c r="G36" s="488" t="s">
        <v>134</v>
      </c>
      <c r="H36" s="488" t="s">
        <v>135</v>
      </c>
      <c r="I36" s="490" t="s">
        <v>122</v>
      </c>
      <c r="J36" s="490"/>
      <c r="K36" s="490"/>
      <c r="L36" s="490"/>
      <c r="M36" s="490"/>
      <c r="N36" s="490"/>
      <c r="O36" s="490"/>
      <c r="P36" s="490"/>
      <c r="Q36" s="490"/>
      <c r="R36" s="156" t="s">
        <v>136</v>
      </c>
      <c r="S36" s="156" t="s">
        <v>136</v>
      </c>
      <c r="T36" s="156" t="s">
        <v>136</v>
      </c>
      <c r="U36" s="156" t="s">
        <v>136</v>
      </c>
      <c r="V36" s="156" t="s">
        <v>136</v>
      </c>
      <c r="W36" s="156" t="s">
        <v>136</v>
      </c>
      <c r="X36" s="156" t="s">
        <v>136</v>
      </c>
      <c r="Y36" s="156" t="s">
        <v>136</v>
      </c>
      <c r="Z36" s="156" t="s">
        <v>136</v>
      </c>
      <c r="AA36" s="156" t="s">
        <v>136</v>
      </c>
      <c r="AB36" s="500" t="s">
        <v>7</v>
      </c>
      <c r="AC36" s="500"/>
      <c r="AD36" s="500"/>
      <c r="AF36" s="74"/>
      <c r="AG36" s="74"/>
      <c r="AH36" s="74"/>
      <c r="AI36" s="75"/>
      <c r="AJ36" s="74"/>
      <c r="AK36" s="74"/>
      <c r="AL36" s="74"/>
    </row>
    <row r="37" spans="1:38" ht="15" customHeight="1" x14ac:dyDescent="0.2">
      <c r="A37" s="98"/>
      <c r="B37" s="317"/>
      <c r="C37" s="130"/>
      <c r="D37" s="130"/>
      <c r="E37" s="130"/>
      <c r="F37" s="131"/>
      <c r="G37" s="488"/>
      <c r="H37" s="488"/>
      <c r="I37" s="133">
        <v>2005</v>
      </c>
      <c r="J37" s="133">
        <v>2006</v>
      </c>
      <c r="K37" s="133">
        <v>2007</v>
      </c>
      <c r="L37" s="133">
        <v>2008</v>
      </c>
      <c r="M37" s="133">
        <v>2009</v>
      </c>
      <c r="N37" s="133">
        <v>2010</v>
      </c>
      <c r="O37" s="133">
        <v>2011</v>
      </c>
      <c r="P37" s="133">
        <v>2012</v>
      </c>
      <c r="Q37" s="133">
        <v>2013</v>
      </c>
      <c r="R37" s="133">
        <v>2014</v>
      </c>
      <c r="S37" s="133">
        <v>2015</v>
      </c>
      <c r="T37" s="133">
        <v>2016</v>
      </c>
      <c r="U37" s="133">
        <v>2017</v>
      </c>
      <c r="V37" s="133">
        <v>2018</v>
      </c>
      <c r="W37" s="133">
        <v>2019</v>
      </c>
      <c r="X37" s="133">
        <v>2020</v>
      </c>
      <c r="Y37" s="133">
        <v>2021</v>
      </c>
      <c r="Z37" s="293">
        <v>2022</v>
      </c>
      <c r="AA37" s="293">
        <v>2023</v>
      </c>
      <c r="AB37" s="133">
        <v>2024</v>
      </c>
      <c r="AC37" s="133">
        <v>2025</v>
      </c>
      <c r="AD37" s="133">
        <v>2026</v>
      </c>
      <c r="AF37" s="74"/>
      <c r="AG37" s="74"/>
      <c r="AH37" s="74"/>
      <c r="AI37" s="75"/>
      <c r="AJ37" s="74"/>
      <c r="AK37" s="74"/>
      <c r="AL37" s="74"/>
    </row>
    <row r="38" spans="1:38" ht="15" customHeight="1" x14ac:dyDescent="0.2">
      <c r="A38" s="98"/>
      <c r="B38" s="317"/>
      <c r="C38" s="130"/>
      <c r="D38" s="130"/>
      <c r="E38" s="130"/>
      <c r="F38" s="131"/>
      <c r="G38" s="324" t="s">
        <v>160</v>
      </c>
      <c r="H38" s="325" t="s">
        <v>527</v>
      </c>
      <c r="I38" s="335" t="e">
        <f t="shared" ref="I38:T38" si="18">+I9/I8</f>
        <v>#N/A</v>
      </c>
      <c r="J38" s="335" t="e">
        <f t="shared" si="18"/>
        <v>#N/A</v>
      </c>
      <c r="K38" s="335" t="e">
        <f t="shared" si="18"/>
        <v>#N/A</v>
      </c>
      <c r="L38" s="335" t="e">
        <f t="shared" si="18"/>
        <v>#N/A</v>
      </c>
      <c r="M38" s="335" t="e">
        <f t="shared" si="18"/>
        <v>#N/A</v>
      </c>
      <c r="N38" s="335" t="e">
        <f t="shared" si="18"/>
        <v>#N/A</v>
      </c>
      <c r="O38" s="335" t="e">
        <f t="shared" si="18"/>
        <v>#N/A</v>
      </c>
      <c r="P38" s="335" t="e">
        <f t="shared" si="18"/>
        <v>#N/A</v>
      </c>
      <c r="Q38" s="335" t="e">
        <f t="shared" si="18"/>
        <v>#N/A</v>
      </c>
      <c r="R38" s="335" t="e">
        <f t="shared" si="18"/>
        <v>#N/A</v>
      </c>
      <c r="S38" s="335" t="e">
        <f t="shared" si="18"/>
        <v>#N/A</v>
      </c>
      <c r="T38" s="335">
        <f t="shared" si="18"/>
        <v>0.46853399167625326</v>
      </c>
      <c r="U38" s="335">
        <f t="shared" ref="U38:Y38" si="19">+U9/U8</f>
        <v>0.47009955136041914</v>
      </c>
      <c r="V38" s="335">
        <f t="shared" si="19"/>
        <v>0.47162137665390552</v>
      </c>
      <c r="W38" s="335">
        <f t="shared" si="19"/>
        <v>0.47310127491264742</v>
      </c>
      <c r="X38" s="335">
        <f t="shared" si="19"/>
        <v>0.47454095525868745</v>
      </c>
      <c r="Y38" s="335">
        <f t="shared" si="19"/>
        <v>0.47594203516474748</v>
      </c>
      <c r="Z38" s="335">
        <f>+Z9/Z8</f>
        <v>0.47730604651617442</v>
      </c>
      <c r="AA38" s="151">
        <f t="shared" ref="AA38:AD38" si="20">+AA9/AA8</f>
        <v>0.47730604651617442</v>
      </c>
      <c r="AB38" s="151">
        <f t="shared" si="20"/>
        <v>0.47730604651617442</v>
      </c>
      <c r="AC38" s="151">
        <f t="shared" si="20"/>
        <v>0.47730604651617442</v>
      </c>
      <c r="AD38" s="151">
        <f t="shared" si="20"/>
        <v>0.47730604651617442</v>
      </c>
      <c r="AF38" s="74"/>
      <c r="AG38" s="74"/>
      <c r="AH38" s="74"/>
      <c r="AI38" s="75"/>
      <c r="AJ38" s="74"/>
      <c r="AK38" s="74"/>
      <c r="AL38" s="74"/>
    </row>
    <row r="39" spans="1:38" ht="15.75" customHeight="1" x14ac:dyDescent="0.2">
      <c r="A39" s="98"/>
      <c r="B39" s="317"/>
      <c r="C39" s="130"/>
      <c r="D39" s="130"/>
      <c r="E39" s="130"/>
      <c r="F39" s="131"/>
      <c r="G39" s="324" t="s">
        <v>161</v>
      </c>
      <c r="H39" s="325" t="s">
        <v>528</v>
      </c>
      <c r="I39" s="335" t="e">
        <f t="shared" ref="I39:T39" si="21">100%-I38</f>
        <v>#N/A</v>
      </c>
      <c r="J39" s="335" t="e">
        <f t="shared" si="21"/>
        <v>#N/A</v>
      </c>
      <c r="K39" s="335" t="e">
        <f t="shared" si="21"/>
        <v>#N/A</v>
      </c>
      <c r="L39" s="335" t="e">
        <f t="shared" si="21"/>
        <v>#N/A</v>
      </c>
      <c r="M39" s="335" t="e">
        <f t="shared" si="21"/>
        <v>#N/A</v>
      </c>
      <c r="N39" s="335" t="e">
        <f t="shared" si="21"/>
        <v>#N/A</v>
      </c>
      <c r="O39" s="335" t="e">
        <f t="shared" si="21"/>
        <v>#N/A</v>
      </c>
      <c r="P39" s="335" t="e">
        <f t="shared" si="21"/>
        <v>#N/A</v>
      </c>
      <c r="Q39" s="335" t="e">
        <f t="shared" si="21"/>
        <v>#N/A</v>
      </c>
      <c r="R39" s="335" t="e">
        <f t="shared" si="21"/>
        <v>#N/A</v>
      </c>
      <c r="S39" s="335" t="e">
        <f t="shared" si="21"/>
        <v>#N/A</v>
      </c>
      <c r="T39" s="335">
        <f t="shared" si="21"/>
        <v>0.5314660083237468</v>
      </c>
      <c r="U39" s="335">
        <f t="shared" ref="U39:Y39" si="22">100%-U38</f>
        <v>0.52990044863958086</v>
      </c>
      <c r="V39" s="335">
        <f t="shared" si="22"/>
        <v>0.52837862334609453</v>
      </c>
      <c r="W39" s="335">
        <f t="shared" si="22"/>
        <v>0.52689872508735258</v>
      </c>
      <c r="X39" s="335">
        <f t="shared" si="22"/>
        <v>0.52545904474131255</v>
      </c>
      <c r="Y39" s="335">
        <f t="shared" si="22"/>
        <v>0.52405796483525258</v>
      </c>
      <c r="Z39" s="335">
        <f t="shared" ref="Z39" si="23">100%-Z38</f>
        <v>0.52269395348382552</v>
      </c>
      <c r="AA39" s="151">
        <f t="shared" ref="AA39:AD39" si="24">100%-AA38</f>
        <v>0.52269395348382552</v>
      </c>
      <c r="AB39" s="151">
        <f t="shared" si="24"/>
        <v>0.52269395348382552</v>
      </c>
      <c r="AC39" s="151">
        <f t="shared" si="24"/>
        <v>0.52269395348382552</v>
      </c>
      <c r="AD39" s="151">
        <f t="shared" si="24"/>
        <v>0.52269395348382552</v>
      </c>
      <c r="AJ39" s="74"/>
      <c r="AK39" s="74"/>
      <c r="AL39" s="74"/>
    </row>
    <row r="40" spans="1:38" ht="15.75" customHeight="1" x14ac:dyDescent="0.2">
      <c r="A40" s="98"/>
      <c r="B40" s="129"/>
      <c r="C40" s="130"/>
      <c r="D40" s="130"/>
      <c r="E40" s="131"/>
      <c r="F40" s="131"/>
      <c r="G40" s="324" t="s">
        <v>162</v>
      </c>
      <c r="H40" s="325" t="s">
        <v>529</v>
      </c>
      <c r="I40" s="336" t="e">
        <f t="shared" ref="I40:T40" si="25">+I12/I9</f>
        <v>#N/A</v>
      </c>
      <c r="J40" s="336" t="e">
        <f t="shared" si="25"/>
        <v>#N/A</v>
      </c>
      <c r="K40" s="336" t="e">
        <f t="shared" si="25"/>
        <v>#N/A</v>
      </c>
      <c r="L40" s="336" t="e">
        <f t="shared" si="25"/>
        <v>#N/A</v>
      </c>
      <c r="M40" s="336" t="e">
        <f t="shared" si="25"/>
        <v>#N/A</v>
      </c>
      <c r="N40" s="336" t="e">
        <f t="shared" si="25"/>
        <v>#N/A</v>
      </c>
      <c r="O40" s="336" t="e">
        <f t="shared" si="25"/>
        <v>#N/A</v>
      </c>
      <c r="P40" s="336" t="e">
        <f t="shared" si="25"/>
        <v>#N/A</v>
      </c>
      <c r="Q40" s="336" t="e">
        <f t="shared" si="25"/>
        <v>#N/A</v>
      </c>
      <c r="R40" s="336" t="e">
        <f t="shared" si="25"/>
        <v>#N/A</v>
      </c>
      <c r="S40" s="336" t="e">
        <f t="shared" si="25"/>
        <v>#N/A</v>
      </c>
      <c r="T40" s="336">
        <f t="shared" si="25"/>
        <v>3.3851029025926148E-2</v>
      </c>
      <c r="U40" s="336">
        <f t="shared" ref="U40:Y40" si="26">+U12/U9</f>
        <v>3.6196626658794528E-2</v>
      </c>
      <c r="V40" s="336">
        <f t="shared" si="26"/>
        <v>3.8461773213587527E-2</v>
      </c>
      <c r="W40" s="336">
        <f t="shared" si="26"/>
        <v>4.0650537962520938E-2</v>
      </c>
      <c r="X40" s="336">
        <f t="shared" si="26"/>
        <v>4.2766720292597406E-2</v>
      </c>
      <c r="Y40" s="336">
        <f t="shared" si="26"/>
        <v>4.4813871715077121E-2</v>
      </c>
      <c r="Z40" s="336">
        <f>+Z12/Z9</f>
        <v>4.6795315755635801E-2</v>
      </c>
      <c r="AA40" s="151">
        <f t="shared" ref="AA40:AD40" si="27">+AA12/AA9</f>
        <v>4.7143491105157087E-2</v>
      </c>
      <c r="AB40" s="151">
        <f t="shared" si="27"/>
        <v>4.7143491088124552E-2</v>
      </c>
      <c r="AC40" s="151">
        <f t="shared" si="27"/>
        <v>4.7143491132432838E-2</v>
      </c>
      <c r="AD40" s="151">
        <f t="shared" si="27"/>
        <v>4.7143491191830554E-2</v>
      </c>
      <c r="AE40" s="203"/>
      <c r="AJ40" s="74"/>
      <c r="AK40" s="74"/>
      <c r="AL40" s="74"/>
    </row>
    <row r="41" spans="1:38" ht="15.75" customHeight="1" x14ac:dyDescent="0.2">
      <c r="A41" s="98"/>
      <c r="B41" s="129"/>
      <c r="C41" s="130"/>
      <c r="D41" s="130"/>
      <c r="E41" s="131"/>
      <c r="F41" s="131"/>
      <c r="G41" s="324" t="s">
        <v>643</v>
      </c>
      <c r="H41" s="325"/>
      <c r="I41" s="336"/>
      <c r="J41" s="336"/>
      <c r="K41" s="336"/>
      <c r="L41" s="336"/>
      <c r="M41" s="336"/>
      <c r="N41" s="336"/>
      <c r="O41" s="336"/>
      <c r="P41" s="336"/>
      <c r="Q41" s="336"/>
      <c r="R41" s="336"/>
      <c r="S41" s="336"/>
      <c r="T41" s="336"/>
      <c r="U41" s="336">
        <f>U40-T40</f>
        <v>2.3455976328683806E-3</v>
      </c>
      <c r="V41" s="336">
        <f t="shared" ref="V41:AD41" si="28">V40-U40</f>
        <v>2.2651465547929989E-3</v>
      </c>
      <c r="W41" s="336">
        <f t="shared" si="28"/>
        <v>2.1887647489334111E-3</v>
      </c>
      <c r="X41" s="336">
        <f t="shared" si="28"/>
        <v>2.1161823300764673E-3</v>
      </c>
      <c r="Y41" s="336">
        <f t="shared" si="28"/>
        <v>2.0471514224797149E-3</v>
      </c>
      <c r="Z41" s="336">
        <f t="shared" si="28"/>
        <v>1.9814440405586803E-3</v>
      </c>
      <c r="AA41" s="151">
        <f t="shared" si="28"/>
        <v>3.4817534952128609E-4</v>
      </c>
      <c r="AB41" s="151">
        <f t="shared" si="28"/>
        <v>-1.7032535104544166E-11</v>
      </c>
      <c r="AC41" s="151">
        <f t="shared" si="28"/>
        <v>4.4308286206717895E-11</v>
      </c>
      <c r="AD41" s="151">
        <f t="shared" si="28"/>
        <v>5.9397715912457016E-11</v>
      </c>
      <c r="AE41" s="203"/>
      <c r="AJ41" s="74"/>
      <c r="AK41" s="74"/>
      <c r="AL41" s="74"/>
    </row>
    <row r="42" spans="1:38" x14ac:dyDescent="0.2">
      <c r="B42" s="129"/>
      <c r="C42" s="130"/>
      <c r="D42" s="130"/>
      <c r="E42" s="131"/>
      <c r="F42" s="131"/>
      <c r="G42" s="337" t="s">
        <v>163</v>
      </c>
      <c r="H42" s="338" t="s">
        <v>530</v>
      </c>
      <c r="I42" s="336" t="e">
        <f t="shared" ref="I42:T42" si="29">+I11/I8</f>
        <v>#N/A</v>
      </c>
      <c r="J42" s="336" t="e">
        <f t="shared" si="29"/>
        <v>#N/A</v>
      </c>
      <c r="K42" s="336" t="e">
        <f t="shared" si="29"/>
        <v>#N/A</v>
      </c>
      <c r="L42" s="336" t="e">
        <f t="shared" si="29"/>
        <v>#N/A</v>
      </c>
      <c r="M42" s="336" t="e">
        <f t="shared" si="29"/>
        <v>#N/A</v>
      </c>
      <c r="N42" s="336" t="e">
        <f t="shared" si="29"/>
        <v>#N/A</v>
      </c>
      <c r="O42" s="336" t="e">
        <f t="shared" si="29"/>
        <v>#N/A</v>
      </c>
      <c r="P42" s="336" t="e">
        <f t="shared" si="29"/>
        <v>#N/A</v>
      </c>
      <c r="Q42" s="336" t="e">
        <f t="shared" si="29"/>
        <v>#N/A</v>
      </c>
      <c r="R42" s="336" t="e">
        <f t="shared" si="29"/>
        <v>#N/A</v>
      </c>
      <c r="S42" s="336" t="e">
        <f t="shared" si="29"/>
        <v>#N/A</v>
      </c>
      <c r="T42" s="336">
        <f t="shared" si="29"/>
        <v>0.45267363392438736</v>
      </c>
      <c r="U42" s="336">
        <f t="shared" ref="U42:Y42" si="30">+U11/U8</f>
        <v>0.4530835334073593</v>
      </c>
      <c r="V42" s="336">
        <f t="shared" si="30"/>
        <v>0.45348198222236319</v>
      </c>
      <c r="W42" s="336">
        <f t="shared" si="30"/>
        <v>0.45386945357669395</v>
      </c>
      <c r="X42" s="336">
        <f t="shared" si="30"/>
        <v>0.45424639495775737</v>
      </c>
      <c r="Y42" s="336">
        <f t="shared" si="30"/>
        <v>0.45461322985706198</v>
      </c>
      <c r="Z42" s="336">
        <f>+Z11/Z8</f>
        <v>0.45497035935737584</v>
      </c>
      <c r="AA42" s="151">
        <f t="shared" ref="AA42:AD42" si="31">+AA11/AA8</f>
        <v>0.45480417315780147</v>
      </c>
      <c r="AB42" s="151">
        <f t="shared" si="31"/>
        <v>0.45480417316593119</v>
      </c>
      <c r="AC42" s="151">
        <f t="shared" si="31"/>
        <v>0.45480417314478255</v>
      </c>
      <c r="AD42" s="151">
        <f t="shared" si="31"/>
        <v>0.45480417311643168</v>
      </c>
      <c r="AJ42" s="74"/>
      <c r="AK42" s="74"/>
      <c r="AL42" s="74"/>
    </row>
    <row r="43" spans="1:38" x14ac:dyDescent="0.2">
      <c r="B43" s="129"/>
      <c r="C43" s="130"/>
      <c r="D43" s="130"/>
      <c r="E43" s="131"/>
      <c r="F43" s="131"/>
      <c r="G43" s="331" t="s">
        <v>29</v>
      </c>
      <c r="H43" s="325" t="s">
        <v>531</v>
      </c>
      <c r="I43" s="336" t="e">
        <f t="shared" ref="I43:T43" si="32">+I14/I11</f>
        <v>#N/A</v>
      </c>
      <c r="J43" s="336" t="e">
        <f t="shared" si="32"/>
        <v>#N/A</v>
      </c>
      <c r="K43" s="336" t="e">
        <f t="shared" si="32"/>
        <v>#N/A</v>
      </c>
      <c r="L43" s="336" t="e">
        <f t="shared" si="32"/>
        <v>#N/A</v>
      </c>
      <c r="M43" s="336" t="e">
        <f t="shared" si="32"/>
        <v>#N/A</v>
      </c>
      <c r="N43" s="336" t="e">
        <f t="shared" si="32"/>
        <v>#N/A</v>
      </c>
      <c r="O43" s="336" t="e">
        <f t="shared" si="32"/>
        <v>#N/A</v>
      </c>
      <c r="P43" s="336" t="e">
        <f t="shared" si="32"/>
        <v>#N/A</v>
      </c>
      <c r="Q43" s="336" t="e">
        <f t="shared" si="32"/>
        <v>#N/A</v>
      </c>
      <c r="R43" s="336" t="e">
        <f t="shared" si="32"/>
        <v>#N/A</v>
      </c>
      <c r="S43" s="336" t="e">
        <f t="shared" si="32"/>
        <v>#N/A</v>
      </c>
      <c r="T43" s="336">
        <f t="shared" si="32"/>
        <v>0.32812018597830622</v>
      </c>
      <c r="U43" s="336">
        <f t="shared" ref="U43:Y43" si="33">+U14/U11</f>
        <v>0.32733570335662254</v>
      </c>
      <c r="V43" s="336">
        <f t="shared" si="33"/>
        <v>0.3265744948031809</v>
      </c>
      <c r="W43" s="336">
        <f t="shared" si="33"/>
        <v>0.32583553971338652</v>
      </c>
      <c r="X43" s="336">
        <f t="shared" si="33"/>
        <v>0.32511787629644634</v>
      </c>
      <c r="Y43" s="336">
        <f t="shared" si="33"/>
        <v>0.3244205973989997</v>
      </c>
      <c r="Z43" s="336">
        <f>+Z14/Z11</f>
        <v>0.32374284667964215</v>
      </c>
      <c r="AA43" s="151">
        <f t="shared" ref="AA43:AD43" si="34">+AA14/AA11</f>
        <v>0.3221555456980793</v>
      </c>
      <c r="AB43" s="151">
        <f t="shared" si="34"/>
        <v>0.32041052663338188</v>
      </c>
      <c r="AC43" s="151">
        <f t="shared" si="34"/>
        <v>0.31864500800145756</v>
      </c>
      <c r="AD43" s="151">
        <f t="shared" si="34"/>
        <v>0.31698110088772147</v>
      </c>
      <c r="AJ43" s="74"/>
      <c r="AK43" s="74"/>
      <c r="AL43" s="74"/>
    </row>
    <row r="44" spans="1:38" x14ac:dyDescent="0.2">
      <c r="B44" s="129"/>
      <c r="C44" s="322"/>
      <c r="D44" s="130"/>
      <c r="E44" s="131"/>
      <c r="F44" s="131"/>
      <c r="G44" s="331" t="s">
        <v>490</v>
      </c>
      <c r="H44" s="325" t="s">
        <v>532</v>
      </c>
      <c r="I44" s="336" t="e">
        <f t="shared" ref="I44:T44" si="35">+I15/I11</f>
        <v>#N/A</v>
      </c>
      <c r="J44" s="336" t="e">
        <f t="shared" si="35"/>
        <v>#N/A</v>
      </c>
      <c r="K44" s="336" t="e">
        <f t="shared" si="35"/>
        <v>#N/A</v>
      </c>
      <c r="L44" s="336" t="e">
        <f t="shared" si="35"/>
        <v>#N/A</v>
      </c>
      <c r="M44" s="336" t="e">
        <f t="shared" si="35"/>
        <v>#N/A</v>
      </c>
      <c r="N44" s="336" t="e">
        <f t="shared" si="35"/>
        <v>#N/A</v>
      </c>
      <c r="O44" s="336" t="e">
        <f t="shared" si="35"/>
        <v>#N/A</v>
      </c>
      <c r="P44" s="336" t="e">
        <f t="shared" si="35"/>
        <v>#N/A</v>
      </c>
      <c r="Q44" s="336" t="e">
        <f t="shared" si="35"/>
        <v>#N/A</v>
      </c>
      <c r="R44" s="336" t="e">
        <f t="shared" si="35"/>
        <v>#N/A</v>
      </c>
      <c r="S44" s="336" t="e">
        <f t="shared" si="35"/>
        <v>#N/A</v>
      </c>
      <c r="T44" s="336">
        <f t="shared" si="35"/>
        <v>5.937023557898765E-2</v>
      </c>
      <c r="U44" s="336">
        <f t="shared" ref="U44:Y44" si="36">+U15/U11</f>
        <v>6.2851968285862883E-2</v>
      </c>
      <c r="V44" s="336">
        <f t="shared" si="36"/>
        <v>6.6230404778927013E-2</v>
      </c>
      <c r="W44" s="336">
        <f t="shared" si="36"/>
        <v>6.9510074760050625E-2</v>
      </c>
      <c r="X44" s="336">
        <f t="shared" si="36"/>
        <v>7.2695246900544519E-2</v>
      </c>
      <c r="Y44" s="336">
        <f t="shared" si="36"/>
        <v>7.5789947376946915E-2</v>
      </c>
      <c r="Z44" s="336">
        <f>+Z15/Z11</f>
        <v>7.8797976849456039E-2</v>
      </c>
      <c r="AA44" s="151">
        <f t="shared" ref="AA44:AD44" si="37">+AA15/AA11</f>
        <v>7.9116137336494474E-2</v>
      </c>
      <c r="AB44" s="151">
        <f t="shared" si="37"/>
        <v>7.8417771150397927E-2</v>
      </c>
      <c r="AC44" s="151">
        <f t="shared" si="37"/>
        <v>7.8662083936305804E-2</v>
      </c>
      <c r="AD44" s="151">
        <f t="shared" si="37"/>
        <v>7.9192436131863581E-2</v>
      </c>
      <c r="AJ44" s="74"/>
      <c r="AK44" s="74"/>
      <c r="AL44" s="74"/>
    </row>
    <row r="45" spans="1:38" x14ac:dyDescent="0.2">
      <c r="B45" s="129"/>
      <c r="C45" s="322"/>
      <c r="D45" s="130"/>
      <c r="E45" s="131"/>
      <c r="F45" s="131"/>
      <c r="G45" s="331" t="s">
        <v>509</v>
      </c>
      <c r="H45" s="325" t="s">
        <v>533</v>
      </c>
      <c r="I45" s="336" t="e">
        <f t="shared" ref="I45:T45" si="38">+I16/I11</f>
        <v>#N/A</v>
      </c>
      <c r="J45" s="336" t="e">
        <f t="shared" si="38"/>
        <v>#N/A</v>
      </c>
      <c r="K45" s="336" t="e">
        <f t="shared" si="38"/>
        <v>#N/A</v>
      </c>
      <c r="L45" s="336" t="e">
        <f t="shared" si="38"/>
        <v>#N/A</v>
      </c>
      <c r="M45" s="336" t="e">
        <f t="shared" si="38"/>
        <v>#N/A</v>
      </c>
      <c r="N45" s="336" t="e">
        <f t="shared" si="38"/>
        <v>#N/A</v>
      </c>
      <c r="O45" s="336" t="e">
        <f t="shared" si="38"/>
        <v>#N/A</v>
      </c>
      <c r="P45" s="336" t="e">
        <f t="shared" si="38"/>
        <v>#N/A</v>
      </c>
      <c r="Q45" s="336" t="e">
        <f t="shared" si="38"/>
        <v>#N/A</v>
      </c>
      <c r="R45" s="336" t="e">
        <f t="shared" si="38"/>
        <v>#N/A</v>
      </c>
      <c r="S45" s="336" t="e">
        <f t="shared" si="38"/>
        <v>#N/A</v>
      </c>
      <c r="T45" s="336">
        <f t="shared" si="38"/>
        <v>0.2135290322708647</v>
      </c>
      <c r="U45" s="336">
        <f t="shared" ref="U45:Y45" si="39">+U16/U11</f>
        <v>0.21828658211678742</v>
      </c>
      <c r="V45" s="336">
        <f t="shared" si="39"/>
        <v>0.22290298474450732</v>
      </c>
      <c r="W45" s="336">
        <f t="shared" si="39"/>
        <v>0.22738442968212733</v>
      </c>
      <c r="X45" s="336">
        <f t="shared" si="39"/>
        <v>0.23173674977732617</v>
      </c>
      <c r="Y45" s="336">
        <f t="shared" si="39"/>
        <v>0.23596544652524482</v>
      </c>
      <c r="Z45" s="336">
        <f>+Z16/Z11</f>
        <v>0.2400757132683547</v>
      </c>
      <c r="AA45" s="151">
        <f t="shared" ref="AA45:AD45" si="40">+AA16/AA11</f>
        <v>0.24215635299099669</v>
      </c>
      <c r="AB45" s="151">
        <f t="shared" si="40"/>
        <v>0.24388561403133371</v>
      </c>
      <c r="AC45" s="151">
        <f t="shared" si="40"/>
        <v>0.24478632169441422</v>
      </c>
      <c r="AD45" s="151">
        <f t="shared" si="40"/>
        <v>0.24490996852592634</v>
      </c>
      <c r="AJ45" s="74"/>
      <c r="AK45" s="74"/>
      <c r="AL45" s="74"/>
    </row>
    <row r="46" spans="1:38" x14ac:dyDescent="0.2">
      <c r="B46" s="129"/>
      <c r="C46" s="322"/>
      <c r="D46" s="130"/>
      <c r="E46" s="131"/>
      <c r="F46" s="131"/>
      <c r="G46" s="331" t="s">
        <v>492</v>
      </c>
      <c r="H46" s="325" t="s">
        <v>534</v>
      </c>
      <c r="I46" s="336" t="e">
        <f t="shared" ref="I46:T46" si="41">+I17/I11</f>
        <v>#N/A</v>
      </c>
      <c r="J46" s="336" t="e">
        <f t="shared" si="41"/>
        <v>#N/A</v>
      </c>
      <c r="K46" s="336" t="e">
        <f t="shared" si="41"/>
        <v>#N/A</v>
      </c>
      <c r="L46" s="336" t="e">
        <f t="shared" si="41"/>
        <v>#N/A</v>
      </c>
      <c r="M46" s="336" t="e">
        <f t="shared" si="41"/>
        <v>#N/A</v>
      </c>
      <c r="N46" s="336" t="e">
        <f t="shared" si="41"/>
        <v>#N/A</v>
      </c>
      <c r="O46" s="336" t="e">
        <f t="shared" si="41"/>
        <v>#N/A</v>
      </c>
      <c r="P46" s="336" t="e">
        <f t="shared" si="41"/>
        <v>#N/A</v>
      </c>
      <c r="Q46" s="336" t="e">
        <f t="shared" si="41"/>
        <v>#N/A</v>
      </c>
      <c r="R46" s="336" t="e">
        <f t="shared" si="41"/>
        <v>#N/A</v>
      </c>
      <c r="S46" s="336" t="e">
        <f t="shared" si="41"/>
        <v>#N/A</v>
      </c>
      <c r="T46" s="336">
        <f t="shared" si="41"/>
        <v>0.10391758720020246</v>
      </c>
      <c r="U46" s="336">
        <f t="shared" ref="U46:Y46" si="42">+U17/U11</f>
        <v>0.1017603334506597</v>
      </c>
      <c r="V46" s="336">
        <f t="shared" si="42"/>
        <v>9.9667081209365266E-2</v>
      </c>
      <c r="W46" s="336">
        <f t="shared" si="42"/>
        <v>9.7635023909254062E-2</v>
      </c>
      <c r="X46" s="336">
        <f t="shared" si="42"/>
        <v>9.5661516715708952E-2</v>
      </c>
      <c r="Y46" s="336">
        <f t="shared" si="42"/>
        <v>9.3744065041935165E-2</v>
      </c>
      <c r="Z46" s="336">
        <f>+Z17/Z11</f>
        <v>9.1880314029259363E-2</v>
      </c>
      <c r="AA46" s="151">
        <f t="shared" ref="AA46:AD46" si="43">+AA17/AA11</f>
        <v>9.1940241663457045E-2</v>
      </c>
      <c r="AB46" s="151">
        <f t="shared" si="43"/>
        <v>9.2247656077433252E-2</v>
      </c>
      <c r="AC46" s="151">
        <f t="shared" si="43"/>
        <v>9.2933697340498986E-2</v>
      </c>
      <c r="AD46" s="151">
        <f t="shared" si="43"/>
        <v>9.3527733901863086E-2</v>
      </c>
      <c r="AJ46" s="74"/>
      <c r="AK46" s="74"/>
      <c r="AL46" s="74"/>
    </row>
    <row r="47" spans="1:38" x14ac:dyDescent="0.2">
      <c r="B47" s="129"/>
      <c r="C47" s="322"/>
      <c r="D47" s="130"/>
      <c r="E47" s="131"/>
      <c r="F47" s="131"/>
      <c r="G47" s="331" t="s">
        <v>493</v>
      </c>
      <c r="H47" s="325" t="s">
        <v>535</v>
      </c>
      <c r="I47" s="336" t="e">
        <f t="shared" ref="I47:T47" si="44">+I18/I11</f>
        <v>#N/A</v>
      </c>
      <c r="J47" s="336" t="e">
        <f t="shared" si="44"/>
        <v>#N/A</v>
      </c>
      <c r="K47" s="336" t="e">
        <f t="shared" si="44"/>
        <v>#N/A</v>
      </c>
      <c r="L47" s="336" t="e">
        <f t="shared" si="44"/>
        <v>#N/A</v>
      </c>
      <c r="M47" s="336" t="e">
        <f t="shared" si="44"/>
        <v>#N/A</v>
      </c>
      <c r="N47" s="336" t="e">
        <f t="shared" si="44"/>
        <v>#N/A</v>
      </c>
      <c r="O47" s="336" t="e">
        <f t="shared" si="44"/>
        <v>#N/A</v>
      </c>
      <c r="P47" s="336" t="e">
        <f t="shared" si="44"/>
        <v>#N/A</v>
      </c>
      <c r="Q47" s="336" t="e">
        <f t="shared" si="44"/>
        <v>#N/A</v>
      </c>
      <c r="R47" s="336" t="e">
        <f t="shared" si="44"/>
        <v>#N/A</v>
      </c>
      <c r="S47" s="336" t="e">
        <f t="shared" si="44"/>
        <v>#N/A</v>
      </c>
      <c r="T47" s="336">
        <f t="shared" si="44"/>
        <v>0.13171055886079799</v>
      </c>
      <c r="U47" s="336">
        <f t="shared" ref="U47:Y47" si="45">+U18/U11</f>
        <v>0.1322248148364043</v>
      </c>
      <c r="V47" s="336">
        <f t="shared" si="45"/>
        <v>0.13272381384093271</v>
      </c>
      <c r="W47" s="336">
        <f t="shared" si="45"/>
        <v>0.13320822491662471</v>
      </c>
      <c r="X47" s="336">
        <f t="shared" si="45"/>
        <v>0.13367867855120419</v>
      </c>
      <c r="Y47" s="336">
        <f t="shared" si="45"/>
        <v>0.13413576941563471</v>
      </c>
      <c r="Z47" s="336">
        <f>+Z18/Z11</f>
        <v>0.13458005887185381</v>
      </c>
      <c r="AA47" s="151">
        <f t="shared" ref="AA47:AD47" si="46">+AA18/AA11</f>
        <v>0.13364571073467391</v>
      </c>
      <c r="AB47" s="151">
        <f t="shared" si="46"/>
        <v>0.13405350197899576</v>
      </c>
      <c r="AC47" s="151">
        <f t="shared" si="46"/>
        <v>0.13441121322378108</v>
      </c>
      <c r="AD47" s="151">
        <f t="shared" si="46"/>
        <v>0.13506127314639996</v>
      </c>
      <c r="AJ47" s="74"/>
      <c r="AK47" s="74"/>
      <c r="AL47" s="74"/>
    </row>
    <row r="48" spans="1:38" ht="14.25" customHeight="1" x14ac:dyDescent="0.2">
      <c r="B48" s="129"/>
      <c r="C48" s="130"/>
      <c r="D48" s="130"/>
      <c r="E48" s="131"/>
      <c r="F48" s="131"/>
      <c r="G48" s="331" t="s">
        <v>494</v>
      </c>
      <c r="H48" s="325" t="s">
        <v>536</v>
      </c>
      <c r="I48" s="335" t="e">
        <f t="shared" ref="I48:T48" si="47">+I19/I11</f>
        <v>#N/A</v>
      </c>
      <c r="J48" s="335" t="e">
        <f t="shared" si="47"/>
        <v>#N/A</v>
      </c>
      <c r="K48" s="335" t="e">
        <f t="shared" si="47"/>
        <v>#N/A</v>
      </c>
      <c r="L48" s="335" t="e">
        <f t="shared" si="47"/>
        <v>#N/A</v>
      </c>
      <c r="M48" s="335" t="e">
        <f t="shared" si="47"/>
        <v>#N/A</v>
      </c>
      <c r="N48" s="335" t="e">
        <f t="shared" si="47"/>
        <v>#N/A</v>
      </c>
      <c r="O48" s="335" t="e">
        <f t="shared" si="47"/>
        <v>#N/A</v>
      </c>
      <c r="P48" s="335" t="e">
        <f t="shared" si="47"/>
        <v>#N/A</v>
      </c>
      <c r="Q48" s="335" t="e">
        <f t="shared" si="47"/>
        <v>#N/A</v>
      </c>
      <c r="R48" s="335" t="e">
        <f t="shared" si="47"/>
        <v>#N/A</v>
      </c>
      <c r="S48" s="335" t="e">
        <f t="shared" si="47"/>
        <v>#N/A</v>
      </c>
      <c r="T48" s="335">
        <f t="shared" si="47"/>
        <v>0.16335237668829697</v>
      </c>
      <c r="U48" s="335">
        <f t="shared" ref="U48:Y48" si="48">+U19/U11</f>
        <v>0.15754057375292577</v>
      </c>
      <c r="V48" s="335">
        <f t="shared" si="48"/>
        <v>0.1519011956672435</v>
      </c>
      <c r="W48" s="335">
        <f t="shared" si="48"/>
        <v>0.14642668132968265</v>
      </c>
      <c r="X48" s="335">
        <f t="shared" si="48"/>
        <v>0.14110990535798587</v>
      </c>
      <c r="Y48" s="335">
        <f t="shared" si="48"/>
        <v>0.13594414714876599</v>
      </c>
      <c r="Z48" s="335">
        <f>+Z19/Z11</f>
        <v>0.13092306253664449</v>
      </c>
      <c r="AA48" s="151">
        <f t="shared" ref="AA48:AD48" si="49">+AA19/AA11</f>
        <v>0.13098601157629847</v>
      </c>
      <c r="AB48" s="151">
        <f t="shared" si="49"/>
        <v>0.13098493012845755</v>
      </c>
      <c r="AC48" s="151">
        <f t="shared" si="49"/>
        <v>0.1305616758035423</v>
      </c>
      <c r="AD48" s="151">
        <f t="shared" si="49"/>
        <v>0.13032748740622563</v>
      </c>
      <c r="AJ48" s="74"/>
      <c r="AK48" s="74"/>
      <c r="AL48" s="74"/>
    </row>
    <row r="49" spans="2:38" ht="15" customHeight="1" x14ac:dyDescent="0.2">
      <c r="B49" s="129"/>
      <c r="C49" s="130"/>
      <c r="D49" s="130"/>
      <c r="E49" s="131"/>
      <c r="F49" s="131"/>
      <c r="G49" s="324" t="s">
        <v>507</v>
      </c>
      <c r="H49" s="325" t="s">
        <v>537</v>
      </c>
      <c r="I49" s="335" t="e">
        <f t="shared" ref="I49:T49" si="50">+SUM(I21,I23,I25,I27,I29,I31)/I11</f>
        <v>#N/A</v>
      </c>
      <c r="J49" s="335" t="e">
        <f t="shared" si="50"/>
        <v>#N/A</v>
      </c>
      <c r="K49" s="335" t="e">
        <f t="shared" si="50"/>
        <v>#N/A</v>
      </c>
      <c r="L49" s="335" t="e">
        <f t="shared" si="50"/>
        <v>#N/A</v>
      </c>
      <c r="M49" s="335" t="e">
        <f t="shared" si="50"/>
        <v>#N/A</v>
      </c>
      <c r="N49" s="335" t="e">
        <f t="shared" si="50"/>
        <v>#N/A</v>
      </c>
      <c r="O49" s="335" t="e">
        <f t="shared" si="50"/>
        <v>#N/A</v>
      </c>
      <c r="P49" s="335" t="e">
        <f t="shared" si="50"/>
        <v>#N/A</v>
      </c>
      <c r="Q49" s="335" t="e">
        <f t="shared" si="50"/>
        <v>#N/A</v>
      </c>
      <c r="R49" s="335" t="e">
        <f t="shared" si="50"/>
        <v>#N/A</v>
      </c>
      <c r="S49" s="335" t="e">
        <f t="shared" si="50"/>
        <v>#N/A</v>
      </c>
      <c r="T49" s="335">
        <f t="shared" si="50"/>
        <v>0.51695252917181411</v>
      </c>
      <c r="U49" s="335">
        <f t="shared" ref="U49:Y49" si="51">+SUM(U21,U23,U25,U27,U29,U31)/U11</f>
        <v>0.50254174734845691</v>
      </c>
      <c r="V49" s="335">
        <f t="shared" si="51"/>
        <v>0.48855850529501671</v>
      </c>
      <c r="W49" s="335">
        <f t="shared" si="51"/>
        <v>0.47498405471836574</v>
      </c>
      <c r="X49" s="335">
        <f t="shared" si="51"/>
        <v>0.46180072772262742</v>
      </c>
      <c r="Y49" s="335">
        <f t="shared" si="51"/>
        <v>0.4489918600901377</v>
      </c>
      <c r="Z49" s="339">
        <f>+SUM(Z21,Z23,Z25,Z27,Z29,Z31)/Z11</f>
        <v>0.43654172100824917</v>
      </c>
      <c r="AA49" s="151">
        <f t="shared" ref="AA49:AD49" si="52">+SUM(AA21,AA23,AA25,AA27,AA29,AA31)/AA11</f>
        <v>0.43749818695263332</v>
      </c>
      <c r="AB49" s="151">
        <f t="shared" si="52"/>
        <v>0.43833665767627794</v>
      </c>
      <c r="AC49" s="151">
        <f t="shared" si="52"/>
        <v>0.43941362632684677</v>
      </c>
      <c r="AD49" s="151">
        <f t="shared" si="52"/>
        <v>0.44032368701382818</v>
      </c>
      <c r="AJ49" s="74"/>
      <c r="AK49" s="74"/>
      <c r="AL49" s="74"/>
    </row>
    <row r="50" spans="2:38" ht="15" customHeight="1" x14ac:dyDescent="0.2">
      <c r="B50" s="129"/>
      <c r="C50" s="130"/>
      <c r="D50" s="130"/>
      <c r="E50" s="131"/>
      <c r="F50" s="131"/>
      <c r="G50" s="331" t="s">
        <v>29</v>
      </c>
      <c r="H50" s="325" t="s">
        <v>538</v>
      </c>
      <c r="I50" s="340" t="e">
        <f t="shared" ref="I50:T50" si="53">+I21/I14</f>
        <v>#N/A</v>
      </c>
      <c r="J50" s="340" t="e">
        <f t="shared" si="53"/>
        <v>#N/A</v>
      </c>
      <c r="K50" s="340" t="e">
        <f t="shared" si="53"/>
        <v>#N/A</v>
      </c>
      <c r="L50" s="340" t="e">
        <f t="shared" si="53"/>
        <v>#N/A</v>
      </c>
      <c r="M50" s="340" t="e">
        <f t="shared" si="53"/>
        <v>#N/A</v>
      </c>
      <c r="N50" s="340" t="e">
        <f t="shared" si="53"/>
        <v>#N/A</v>
      </c>
      <c r="O50" s="340" t="e">
        <f t="shared" si="53"/>
        <v>#N/A</v>
      </c>
      <c r="P50" s="340" t="e">
        <f t="shared" si="53"/>
        <v>#N/A</v>
      </c>
      <c r="Q50" s="340" t="e">
        <f t="shared" si="53"/>
        <v>#N/A</v>
      </c>
      <c r="R50" s="340" t="e">
        <f t="shared" si="53"/>
        <v>#N/A</v>
      </c>
      <c r="S50" s="340" t="e">
        <f t="shared" si="53"/>
        <v>#N/A</v>
      </c>
      <c r="T50" s="340">
        <f t="shared" si="53"/>
        <v>0.12652394214775492</v>
      </c>
      <c r="U50" s="340">
        <f t="shared" ref="U50:Y50" si="54">+U21/U14</f>
        <v>0.12828642096958137</v>
      </c>
      <c r="V50" s="340">
        <f t="shared" si="54"/>
        <v>0.13000470488551566</v>
      </c>
      <c r="W50" s="340">
        <f t="shared" si="54"/>
        <v>0.13168043562116041</v>
      </c>
      <c r="X50" s="340">
        <f t="shared" si="54"/>
        <v>0.13331517458223838</v>
      </c>
      <c r="Y50" s="340">
        <f t="shared" si="54"/>
        <v>0.13491040770720789</v>
      </c>
      <c r="Z50" s="340">
        <f>+Z21/Z14</f>
        <v>0.13646754997226773</v>
      </c>
      <c r="AA50" s="151">
        <f t="shared" ref="AA50:AD50" si="55">+AA21/AA14</f>
        <v>0.1364675499722677</v>
      </c>
      <c r="AB50" s="151">
        <f t="shared" si="55"/>
        <v>0.13646754997226773</v>
      </c>
      <c r="AC50" s="151">
        <f t="shared" si="55"/>
        <v>0.13646754997226773</v>
      </c>
      <c r="AD50" s="151">
        <f t="shared" si="55"/>
        <v>0.13646754997226773</v>
      </c>
      <c r="AJ50" s="74"/>
      <c r="AK50" s="74"/>
      <c r="AL50" s="74"/>
    </row>
    <row r="51" spans="2:38" ht="15" customHeight="1" x14ac:dyDescent="0.2">
      <c r="B51" s="129"/>
      <c r="C51" s="130"/>
      <c r="D51" s="130"/>
      <c r="E51" s="131"/>
      <c r="F51" s="131"/>
      <c r="G51" s="331" t="s">
        <v>490</v>
      </c>
      <c r="H51" s="325" t="s">
        <v>539</v>
      </c>
      <c r="I51" s="340" t="e">
        <f t="shared" ref="I51:T51" si="56">+I23/I15</f>
        <v>#N/A</v>
      </c>
      <c r="J51" s="340" t="e">
        <f t="shared" si="56"/>
        <v>#N/A</v>
      </c>
      <c r="K51" s="340" t="e">
        <f t="shared" si="56"/>
        <v>#N/A</v>
      </c>
      <c r="L51" s="340" t="e">
        <f t="shared" si="56"/>
        <v>#N/A</v>
      </c>
      <c r="M51" s="340" t="e">
        <f t="shared" si="56"/>
        <v>#N/A</v>
      </c>
      <c r="N51" s="340" t="e">
        <f t="shared" si="56"/>
        <v>#N/A</v>
      </c>
      <c r="O51" s="340" t="e">
        <f t="shared" si="56"/>
        <v>#N/A</v>
      </c>
      <c r="P51" s="340" t="e">
        <f t="shared" si="56"/>
        <v>#N/A</v>
      </c>
      <c r="Q51" s="340" t="e">
        <f t="shared" si="56"/>
        <v>#N/A</v>
      </c>
      <c r="R51" s="340" t="e">
        <f t="shared" si="56"/>
        <v>#N/A</v>
      </c>
      <c r="S51" s="340" t="e">
        <f t="shared" si="56"/>
        <v>#N/A</v>
      </c>
      <c r="T51" s="340">
        <f t="shared" si="56"/>
        <v>0.69384912403852816</v>
      </c>
      <c r="U51" s="340">
        <f t="shared" ref="U51:Y51" si="57">+U23/U15</f>
        <v>0.68181186409628092</v>
      </c>
      <c r="V51" s="340">
        <f t="shared" si="57"/>
        <v>0.67134155905968385</v>
      </c>
      <c r="W51" s="340">
        <f t="shared" si="57"/>
        <v>0.66215093828267213</v>
      </c>
      <c r="X51" s="340">
        <f t="shared" si="57"/>
        <v>0.65401890769065274</v>
      </c>
      <c r="Y51" s="340">
        <f t="shared" si="57"/>
        <v>0.64677253165411908</v>
      </c>
      <c r="Z51" s="340">
        <f>+Z23/Z15</f>
        <v>0.64027459787108942</v>
      </c>
      <c r="AA51" s="151">
        <f t="shared" ref="AA51:AD51" si="58">+AA23/AA15</f>
        <v>0.64027459787108942</v>
      </c>
      <c r="AB51" s="151">
        <f t="shared" si="58"/>
        <v>0.64027459787108931</v>
      </c>
      <c r="AC51" s="151">
        <f t="shared" si="58"/>
        <v>0.64027459787108931</v>
      </c>
      <c r="AD51" s="151">
        <f t="shared" si="58"/>
        <v>0.64027459787108931</v>
      </c>
      <c r="AJ51" s="74"/>
      <c r="AK51" s="74"/>
      <c r="AL51" s="74"/>
    </row>
    <row r="52" spans="2:38" x14ac:dyDescent="0.2">
      <c r="B52" s="129"/>
      <c r="C52" s="130"/>
      <c r="D52" s="130"/>
      <c r="E52" s="131"/>
      <c r="F52" s="131"/>
      <c r="G52" s="331" t="s">
        <v>509</v>
      </c>
      <c r="H52" s="325" t="s">
        <v>540</v>
      </c>
      <c r="I52" s="340" t="e">
        <f t="shared" ref="I52:T52" si="59">+I25/I16</f>
        <v>#N/A</v>
      </c>
      <c r="J52" s="340" t="e">
        <f t="shared" si="59"/>
        <v>#N/A</v>
      </c>
      <c r="K52" s="340" t="e">
        <f t="shared" si="59"/>
        <v>#N/A</v>
      </c>
      <c r="L52" s="340" t="e">
        <f t="shared" si="59"/>
        <v>#N/A</v>
      </c>
      <c r="M52" s="340" t="e">
        <f t="shared" si="59"/>
        <v>#N/A</v>
      </c>
      <c r="N52" s="340" t="e">
        <f t="shared" si="59"/>
        <v>#N/A</v>
      </c>
      <c r="O52" s="340" t="e">
        <f t="shared" si="59"/>
        <v>#N/A</v>
      </c>
      <c r="P52" s="340" t="e">
        <f t="shared" si="59"/>
        <v>#N/A</v>
      </c>
      <c r="Q52" s="340" t="e">
        <f t="shared" si="59"/>
        <v>#N/A</v>
      </c>
      <c r="R52" s="340" t="e">
        <f t="shared" si="59"/>
        <v>#N/A</v>
      </c>
      <c r="S52" s="340" t="e">
        <f t="shared" si="59"/>
        <v>#N/A</v>
      </c>
      <c r="T52" s="340">
        <f t="shared" si="59"/>
        <v>0.78744497789437018</v>
      </c>
      <c r="U52" s="340">
        <f t="shared" ref="U52:Y52" si="60">+U25/U16</f>
        <v>0.75442249886224755</v>
      </c>
      <c r="V52" s="340">
        <f t="shared" si="60"/>
        <v>0.7237272574471435</v>
      </c>
      <c r="W52" s="340">
        <f t="shared" si="60"/>
        <v>0.69512161165707143</v>
      </c>
      <c r="X52" s="340">
        <f t="shared" si="60"/>
        <v>0.6683992096735204</v>
      </c>
      <c r="Y52" s="340">
        <f t="shared" si="60"/>
        <v>0.6433800040245069</v>
      </c>
      <c r="Z52" s="340">
        <f>+Z25/Z16</f>
        <v>0.61990618965428346</v>
      </c>
      <c r="AA52" s="151">
        <f t="shared" ref="AA52:AD52" si="61">+AA25/AA16</f>
        <v>0.61990618965428357</v>
      </c>
      <c r="AB52" s="151">
        <f t="shared" si="61"/>
        <v>0.61990618965428346</v>
      </c>
      <c r="AC52" s="151">
        <f t="shared" si="61"/>
        <v>0.61990618965428346</v>
      </c>
      <c r="AD52" s="151">
        <f t="shared" si="61"/>
        <v>0.61990618965428357</v>
      </c>
      <c r="AJ52" s="74"/>
      <c r="AK52" s="74"/>
      <c r="AL52" s="74"/>
    </row>
    <row r="53" spans="2:38" x14ac:dyDescent="0.2">
      <c r="B53" s="129"/>
      <c r="C53" s="130"/>
      <c r="D53" s="130"/>
      <c r="E53" s="131"/>
      <c r="F53" s="131"/>
      <c r="G53" s="331" t="s">
        <v>492</v>
      </c>
      <c r="H53" s="325" t="s">
        <v>541</v>
      </c>
      <c r="I53" s="340" t="e">
        <f t="shared" ref="I53:T53" si="62">+I27/I17</f>
        <v>#N/A</v>
      </c>
      <c r="J53" s="340" t="e">
        <f t="shared" si="62"/>
        <v>#N/A</v>
      </c>
      <c r="K53" s="340" t="e">
        <f t="shared" si="62"/>
        <v>#N/A</v>
      </c>
      <c r="L53" s="340" t="e">
        <f t="shared" si="62"/>
        <v>#N/A</v>
      </c>
      <c r="M53" s="340" t="e">
        <f t="shared" si="62"/>
        <v>#N/A</v>
      </c>
      <c r="N53" s="340" t="e">
        <f t="shared" si="62"/>
        <v>#N/A</v>
      </c>
      <c r="O53" s="340" t="e">
        <f t="shared" si="62"/>
        <v>#N/A</v>
      </c>
      <c r="P53" s="340" t="e">
        <f t="shared" si="62"/>
        <v>#N/A</v>
      </c>
      <c r="Q53" s="340" t="e">
        <f t="shared" si="62"/>
        <v>#N/A</v>
      </c>
      <c r="R53" s="340" t="e">
        <f t="shared" si="62"/>
        <v>#N/A</v>
      </c>
      <c r="S53" s="340" t="e">
        <f t="shared" si="62"/>
        <v>#N/A</v>
      </c>
      <c r="T53" s="340">
        <f t="shared" si="62"/>
        <v>0.95500276911482418</v>
      </c>
      <c r="U53" s="340">
        <f t="shared" ref="U53:Y53" si="63">+U27/U17</f>
        <v>0.94665113510763832</v>
      </c>
      <c r="V53" s="340">
        <f t="shared" si="63"/>
        <v>0.93820167225392659</v>
      </c>
      <c r="W53" s="340">
        <f t="shared" si="63"/>
        <v>0.92965265151482712</v>
      </c>
      <c r="X53" s="340">
        <f t="shared" si="63"/>
        <v>0.92100230286435203</v>
      </c>
      <c r="Y53" s="340">
        <f t="shared" si="63"/>
        <v>0.9122488140676388</v>
      </c>
      <c r="Z53" s="340">
        <f>+Z27/Z17</f>
        <v>0.903390329415239</v>
      </c>
      <c r="AA53" s="151">
        <f t="shared" ref="AA53:AD53" si="64">+AA27/AA17</f>
        <v>0.903390329415239</v>
      </c>
      <c r="AB53" s="151">
        <f t="shared" si="64"/>
        <v>0.90339032941523911</v>
      </c>
      <c r="AC53" s="151">
        <f t="shared" si="64"/>
        <v>0.903390329415239</v>
      </c>
      <c r="AD53" s="151">
        <f t="shared" si="64"/>
        <v>0.903390329415239</v>
      </c>
      <c r="AJ53" s="74"/>
      <c r="AK53" s="74"/>
      <c r="AL53" s="74"/>
    </row>
    <row r="54" spans="2:38" x14ac:dyDescent="0.2">
      <c r="B54" s="129"/>
      <c r="C54" s="130"/>
      <c r="D54" s="130"/>
      <c r="E54" s="131"/>
      <c r="F54" s="131"/>
      <c r="G54" s="331" t="s">
        <v>493</v>
      </c>
      <c r="H54" s="325" t="s">
        <v>542</v>
      </c>
      <c r="I54" s="340" t="e">
        <f t="shared" ref="I54:T54" si="65">+I29/I18</f>
        <v>#N/A</v>
      </c>
      <c r="J54" s="340" t="e">
        <f t="shared" si="65"/>
        <v>#N/A</v>
      </c>
      <c r="K54" s="340" t="e">
        <f t="shared" si="65"/>
        <v>#N/A</v>
      </c>
      <c r="L54" s="340" t="e">
        <f t="shared" si="65"/>
        <v>#N/A</v>
      </c>
      <c r="M54" s="340" t="e">
        <f t="shared" si="65"/>
        <v>#N/A</v>
      </c>
      <c r="N54" s="340" t="e">
        <f t="shared" si="65"/>
        <v>#N/A</v>
      </c>
      <c r="O54" s="340" t="e">
        <f t="shared" si="65"/>
        <v>#N/A</v>
      </c>
      <c r="P54" s="340" t="e">
        <f t="shared" si="65"/>
        <v>#N/A</v>
      </c>
      <c r="Q54" s="340" t="e">
        <f t="shared" si="65"/>
        <v>#N/A</v>
      </c>
      <c r="R54" s="340" t="e">
        <f t="shared" si="65"/>
        <v>#N/A</v>
      </c>
      <c r="S54" s="340" t="e">
        <f t="shared" si="65"/>
        <v>#N/A</v>
      </c>
      <c r="T54" s="340">
        <f t="shared" si="65"/>
        <v>0.55785928687109987</v>
      </c>
      <c r="U54" s="340">
        <f t="shared" ref="U54:Y54" si="66">+U29/U18</f>
        <v>0.53415394244483638</v>
      </c>
      <c r="V54" s="340">
        <f t="shared" si="66"/>
        <v>0.51132749416584888</v>
      </c>
      <c r="W54" s="340">
        <f t="shared" si="66"/>
        <v>0.48933195290121961</v>
      </c>
      <c r="X54" s="340">
        <f t="shared" si="66"/>
        <v>0.46812276077830595</v>
      </c>
      <c r="Y54" s="340">
        <f t="shared" si="66"/>
        <v>0.44765848989807905</v>
      </c>
      <c r="Z54" s="340">
        <f>+Z29/Z18</f>
        <v>0.42790057224646827</v>
      </c>
      <c r="AA54" s="151">
        <f t="shared" ref="AA54:AD54" si="67">+AA29/AA18</f>
        <v>0.42790057224646832</v>
      </c>
      <c r="AB54" s="151">
        <f t="shared" si="67"/>
        <v>0.42790057224646832</v>
      </c>
      <c r="AC54" s="151">
        <f t="shared" si="67"/>
        <v>0.42790057224646832</v>
      </c>
      <c r="AD54" s="151">
        <f t="shared" si="67"/>
        <v>0.42790057224646832</v>
      </c>
      <c r="AJ54" s="74"/>
      <c r="AK54" s="74"/>
      <c r="AL54" s="74"/>
    </row>
    <row r="55" spans="2:38" x14ac:dyDescent="0.2">
      <c r="B55" s="129"/>
      <c r="C55" s="130"/>
      <c r="D55" s="130"/>
      <c r="E55" s="131"/>
      <c r="F55" s="131"/>
      <c r="G55" s="332" t="s">
        <v>494</v>
      </c>
      <c r="H55" s="341" t="s">
        <v>543</v>
      </c>
      <c r="I55" s="342" t="e">
        <f t="shared" ref="I55:T55" si="68">+I31/I19</f>
        <v>#N/A</v>
      </c>
      <c r="J55" s="342" t="e">
        <f t="shared" si="68"/>
        <v>#N/A</v>
      </c>
      <c r="K55" s="342" t="e">
        <f t="shared" si="68"/>
        <v>#N/A</v>
      </c>
      <c r="L55" s="342" t="e">
        <f t="shared" si="68"/>
        <v>#N/A</v>
      </c>
      <c r="M55" s="342" t="e">
        <f t="shared" si="68"/>
        <v>#N/A</v>
      </c>
      <c r="N55" s="342" t="e">
        <f t="shared" si="68"/>
        <v>#N/A</v>
      </c>
      <c r="O55" s="342" t="e">
        <f t="shared" si="68"/>
        <v>#N/A</v>
      </c>
      <c r="P55" s="342" t="e">
        <f t="shared" si="68"/>
        <v>#N/A</v>
      </c>
      <c r="Q55" s="342" t="e">
        <f t="shared" si="68"/>
        <v>#N/A</v>
      </c>
      <c r="R55" s="342" t="e">
        <f t="shared" si="68"/>
        <v>#N/A</v>
      </c>
      <c r="S55" s="342" t="e">
        <f t="shared" si="68"/>
        <v>#N/A</v>
      </c>
      <c r="T55" s="342">
        <f t="shared" si="68"/>
        <v>0.57166953805387932</v>
      </c>
      <c r="U55" s="342">
        <f t="shared" ref="U55:Y55" si="69">+U31/U19</f>
        <v>0.54624375008678583</v>
      </c>
      <c r="V55" s="342">
        <f t="shared" si="69"/>
        <v>0.51971242026200892</v>
      </c>
      <c r="W55" s="342">
        <f t="shared" si="69"/>
        <v>0.4920018408264516</v>
      </c>
      <c r="X55" s="342">
        <f t="shared" si="69"/>
        <v>0.46303160286076062</v>
      </c>
      <c r="Y55" s="342">
        <f t="shared" si="69"/>
        <v>0.43271381701904177</v>
      </c>
      <c r="Z55" s="342">
        <f>+Z31/Z19</f>
        <v>0.40095222293764621</v>
      </c>
      <c r="AA55" s="155">
        <f t="shared" ref="AA55:AD55" si="70">+AA31/AA19</f>
        <v>0.40095222293764621</v>
      </c>
      <c r="AB55" s="155">
        <f t="shared" si="70"/>
        <v>0.40095222293764621</v>
      </c>
      <c r="AC55" s="155">
        <f t="shared" si="70"/>
        <v>0.40095222293764621</v>
      </c>
      <c r="AD55" s="155">
        <f t="shared" si="70"/>
        <v>0.40095222293764621</v>
      </c>
      <c r="AJ55" s="74"/>
      <c r="AK55" s="74"/>
      <c r="AL55" s="74"/>
    </row>
    <row r="56" spans="2:38" x14ac:dyDescent="0.2">
      <c r="B56" s="129"/>
      <c r="C56" s="130"/>
      <c r="D56" s="130"/>
      <c r="E56" s="131"/>
      <c r="F56" s="131"/>
      <c r="G56" s="198"/>
      <c r="H56" s="198"/>
      <c r="I56" s="199"/>
      <c r="J56" s="199"/>
      <c r="K56" s="199"/>
      <c r="L56" s="199"/>
      <c r="M56" s="199"/>
      <c r="N56" s="199"/>
      <c r="O56" s="131"/>
      <c r="P56" s="131"/>
      <c r="Q56" s="131"/>
      <c r="R56" s="131"/>
      <c r="S56" s="131"/>
      <c r="T56" s="131"/>
      <c r="U56" s="131"/>
      <c r="V56" s="131"/>
      <c r="W56" s="131"/>
      <c r="X56" s="131"/>
      <c r="Y56" s="131"/>
      <c r="Z56" s="131"/>
      <c r="AA56" s="496" t="s">
        <v>165</v>
      </c>
      <c r="AB56" s="496"/>
      <c r="AC56" s="496"/>
      <c r="AD56" s="496"/>
      <c r="AJ56" s="74"/>
      <c r="AK56" s="74"/>
      <c r="AL56" s="74"/>
    </row>
    <row r="57" spans="2:38" x14ac:dyDescent="0.2">
      <c r="B57" s="129"/>
      <c r="C57" s="130"/>
      <c r="D57" s="130"/>
      <c r="E57" s="131"/>
      <c r="F57" s="131"/>
      <c r="G57" s="343" t="s">
        <v>166</v>
      </c>
      <c r="H57" s="343"/>
      <c r="I57" s="199"/>
      <c r="J57" s="199"/>
      <c r="K57" s="199"/>
      <c r="L57" s="199"/>
      <c r="M57" s="199"/>
      <c r="N57" s="199"/>
      <c r="O57" s="131"/>
      <c r="P57" s="131"/>
      <c r="Q57" s="131"/>
      <c r="R57" s="131"/>
      <c r="S57" s="131"/>
      <c r="T57" s="131"/>
      <c r="U57" s="131"/>
      <c r="V57" s="131"/>
      <c r="W57" s="131"/>
      <c r="X57" s="131"/>
      <c r="Y57" s="131"/>
      <c r="Z57" s="131"/>
      <c r="AA57" s="131"/>
      <c r="AB57" s="131"/>
      <c r="AC57" s="131"/>
      <c r="AD57" s="131"/>
      <c r="AJ57" s="74"/>
      <c r="AK57" s="74"/>
      <c r="AL57" s="74"/>
    </row>
    <row r="58" spans="2:38" x14ac:dyDescent="0.2">
      <c r="B58" s="129"/>
      <c r="C58" s="130"/>
      <c r="D58" s="130"/>
      <c r="E58" s="131"/>
      <c r="F58" s="131"/>
      <c r="G58" s="343" t="s">
        <v>167</v>
      </c>
      <c r="H58" s="343"/>
      <c r="I58" s="199"/>
      <c r="J58" s="199"/>
      <c r="K58" s="199"/>
      <c r="L58" s="199"/>
      <c r="M58" s="199"/>
      <c r="N58" s="199"/>
      <c r="O58" s="131"/>
      <c r="P58" s="131"/>
      <c r="Q58" s="131"/>
      <c r="R58" s="131"/>
      <c r="S58" s="131"/>
      <c r="T58" s="131"/>
      <c r="U58" s="131"/>
      <c r="V58" s="131"/>
      <c r="W58" s="131"/>
      <c r="X58" s="131"/>
      <c r="Y58" s="131"/>
      <c r="Z58" s="131"/>
      <c r="AA58" s="158" t="s">
        <v>134</v>
      </c>
      <c r="AB58" s="499" t="s">
        <v>168</v>
      </c>
      <c r="AC58" s="499"/>
      <c r="AD58" s="159" t="s">
        <v>169</v>
      </c>
      <c r="AJ58" s="74"/>
      <c r="AK58" s="74"/>
      <c r="AL58" s="74"/>
    </row>
    <row r="59" spans="2:38" x14ac:dyDescent="0.2">
      <c r="B59" s="129"/>
      <c r="C59" s="130"/>
      <c r="D59" s="130"/>
      <c r="E59" s="131"/>
      <c r="F59" s="131"/>
      <c r="G59" s="198"/>
      <c r="H59" s="198"/>
      <c r="I59" s="199"/>
      <c r="J59" s="199"/>
      <c r="K59" s="199"/>
      <c r="L59" s="199"/>
      <c r="M59" s="199"/>
      <c r="N59" s="199"/>
      <c r="O59" s="131"/>
      <c r="P59" s="131"/>
      <c r="Q59" s="131"/>
      <c r="R59" s="131"/>
      <c r="S59" s="131"/>
      <c r="T59" s="131"/>
      <c r="U59" s="131"/>
      <c r="V59" s="131"/>
      <c r="W59" s="131"/>
      <c r="X59" s="131"/>
      <c r="Y59" s="131"/>
      <c r="Z59" s="131"/>
      <c r="AA59" s="160" t="s">
        <v>170</v>
      </c>
      <c r="AB59" s="159" t="s">
        <v>171</v>
      </c>
      <c r="AC59" s="159" t="s">
        <v>486</v>
      </c>
      <c r="AD59" s="159" t="s">
        <v>487</v>
      </c>
      <c r="AJ59" s="74"/>
      <c r="AK59" s="74"/>
      <c r="AL59" s="74"/>
    </row>
    <row r="60" spans="2:38" ht="15.75" x14ac:dyDescent="0.2">
      <c r="B60" s="129"/>
      <c r="C60" s="130"/>
      <c r="D60" s="130"/>
      <c r="E60" s="131"/>
      <c r="F60" s="131"/>
      <c r="G60" s="498" t="s">
        <v>172</v>
      </c>
      <c r="H60" s="498"/>
      <c r="I60" s="498"/>
      <c r="J60" s="498"/>
      <c r="K60" s="498"/>
      <c r="L60" s="199"/>
      <c r="M60" s="199"/>
      <c r="N60" s="199"/>
      <c r="O60" s="131"/>
      <c r="P60" s="131"/>
      <c r="Q60" s="131"/>
      <c r="R60" s="131"/>
      <c r="S60" s="131"/>
      <c r="T60" s="131"/>
      <c r="U60" s="131"/>
      <c r="V60" s="131"/>
      <c r="W60" s="131"/>
      <c r="X60" s="131"/>
      <c r="Y60" s="131"/>
      <c r="Z60" s="131"/>
      <c r="AA60" s="318" t="s">
        <v>173</v>
      </c>
      <c r="AB60" s="345">
        <f>AVERAGE(T38:W38)</f>
        <v>0.47083904865080628</v>
      </c>
      <c r="AC60" s="319">
        <f>AVERAGE(X38:AA38)</f>
        <v>0.47627377086394596</v>
      </c>
      <c r="AD60" s="152">
        <f>AVERAGE(AB38:AD38)</f>
        <v>0.47730604651617442</v>
      </c>
      <c r="AF60" s="74"/>
      <c r="AG60" s="74"/>
      <c r="AH60" s="74"/>
      <c r="AI60" s="75"/>
      <c r="AJ60" s="74"/>
      <c r="AK60" s="74"/>
      <c r="AL60" s="74"/>
    </row>
    <row r="61" spans="2:38" ht="15" customHeight="1" x14ac:dyDescent="0.2">
      <c r="B61" s="129"/>
      <c r="C61" s="130"/>
      <c r="D61" s="130"/>
      <c r="E61" s="131"/>
      <c r="F61" s="131"/>
      <c r="G61" s="497" t="s">
        <v>174</v>
      </c>
      <c r="H61" s="497"/>
      <c r="I61" s="497"/>
      <c r="J61" s="497"/>
      <c r="K61" s="497"/>
      <c r="L61" s="199"/>
      <c r="M61" s="199"/>
      <c r="N61" s="199"/>
      <c r="O61" s="131"/>
      <c r="P61" s="131"/>
      <c r="Q61" s="131"/>
      <c r="R61" s="131"/>
      <c r="S61" s="131"/>
      <c r="T61" s="131"/>
      <c r="U61" s="131"/>
      <c r="V61" s="131"/>
      <c r="W61" s="131"/>
      <c r="X61" s="131"/>
      <c r="Y61" s="131"/>
      <c r="Z61" s="131"/>
      <c r="AA61" s="318" t="s">
        <v>175</v>
      </c>
      <c r="AB61" s="201">
        <f>AVERAGE(T39:W39)</f>
        <v>0.52916095134919372</v>
      </c>
      <c r="AC61" s="201">
        <f>AVERAGE(X39:AA39)</f>
        <v>0.52372622913605404</v>
      </c>
      <c r="AD61" s="153">
        <f>AVERAGE(AB39:AD39)</f>
        <v>0.52269395348382552</v>
      </c>
      <c r="AF61" s="74"/>
      <c r="AG61" s="74"/>
      <c r="AH61" s="74"/>
      <c r="AI61" s="75"/>
      <c r="AJ61" s="74"/>
      <c r="AK61" s="74"/>
      <c r="AL61" s="74"/>
    </row>
    <row r="62" spans="2:38" ht="15" customHeight="1" x14ac:dyDescent="0.2">
      <c r="B62" s="129"/>
      <c r="C62" s="130"/>
      <c r="D62" s="130"/>
      <c r="E62" s="131"/>
      <c r="F62" s="131"/>
      <c r="G62" s="497"/>
      <c r="H62" s="497"/>
      <c r="I62" s="497"/>
      <c r="J62" s="497"/>
      <c r="K62" s="497"/>
      <c r="L62" s="199"/>
      <c r="M62" s="199"/>
      <c r="N62" s="199"/>
      <c r="O62" s="131"/>
      <c r="P62" s="131"/>
      <c r="Q62" s="131"/>
      <c r="R62" s="131"/>
      <c r="S62" s="131"/>
      <c r="T62" s="131"/>
      <c r="U62" s="131"/>
      <c r="V62" s="131"/>
      <c r="W62" s="131"/>
      <c r="X62" s="131"/>
      <c r="Y62" s="131"/>
      <c r="Z62" s="131"/>
      <c r="AA62" s="318" t="s">
        <v>23</v>
      </c>
      <c r="AB62" s="201">
        <f>AVERAGE(T40:W40)</f>
        <v>3.7289991715207291E-2</v>
      </c>
      <c r="AC62" s="201">
        <f>AVERAGE(X40:AA40)</f>
        <v>4.5379849717116852E-2</v>
      </c>
      <c r="AD62" s="153">
        <f>AVERAGE(AB40:AD40)</f>
        <v>4.7143491137462655E-2</v>
      </c>
      <c r="AF62" s="74"/>
      <c r="AG62" s="74"/>
      <c r="AH62" s="74"/>
      <c r="AI62" s="75"/>
      <c r="AJ62" s="74"/>
      <c r="AK62" s="74"/>
      <c r="AL62" s="74"/>
    </row>
    <row r="63" spans="2:38" ht="15" customHeight="1" x14ac:dyDescent="0.2">
      <c r="B63" s="129"/>
      <c r="C63" s="130"/>
      <c r="D63" s="130"/>
      <c r="E63" s="131"/>
      <c r="F63" s="131"/>
      <c r="G63" s="497"/>
      <c r="H63" s="497"/>
      <c r="I63" s="497"/>
      <c r="J63" s="497"/>
      <c r="K63" s="497"/>
      <c r="L63" s="199"/>
      <c r="M63" s="199"/>
      <c r="N63" s="199"/>
      <c r="O63" s="131"/>
      <c r="P63" s="131"/>
      <c r="Q63" s="131"/>
      <c r="R63" s="131"/>
      <c r="S63" s="131"/>
      <c r="T63" s="131"/>
      <c r="U63" s="131"/>
      <c r="V63" s="131"/>
      <c r="W63" s="131"/>
      <c r="X63" s="131"/>
      <c r="Y63" s="131"/>
      <c r="Z63" s="131"/>
      <c r="AA63" s="346" t="s">
        <v>21</v>
      </c>
      <c r="AB63" s="319">
        <f t="shared" ref="AB63:AB65" si="71">AVERAGE(T42:W42)</f>
        <v>0.45327715078270092</v>
      </c>
      <c r="AC63" s="319">
        <f t="shared" ref="AC63:AC65" si="72">AVERAGE(X42:AA42)</f>
        <v>0.45465853933249917</v>
      </c>
      <c r="AD63" s="152">
        <f t="shared" ref="AD63:AD65" si="73">AVERAGE(AB42:AD42)</f>
        <v>0.45480417314238181</v>
      </c>
      <c r="AF63" s="74"/>
      <c r="AG63" s="74"/>
      <c r="AH63" s="74"/>
      <c r="AI63" s="75"/>
      <c r="AJ63" s="74"/>
      <c r="AK63" s="74"/>
      <c r="AL63" s="74"/>
    </row>
    <row r="64" spans="2:38" x14ac:dyDescent="0.2">
      <c r="B64" s="129"/>
      <c r="C64" s="130"/>
      <c r="D64" s="130"/>
      <c r="E64" s="131"/>
      <c r="F64" s="131"/>
      <c r="G64" s="497"/>
      <c r="H64" s="497"/>
      <c r="I64" s="497"/>
      <c r="J64" s="497"/>
      <c r="K64" s="497"/>
      <c r="L64" s="199"/>
      <c r="M64" s="199"/>
      <c r="N64" s="199"/>
      <c r="O64" s="131"/>
      <c r="P64" s="131"/>
      <c r="Q64" s="131"/>
      <c r="R64" s="131"/>
      <c r="S64" s="131"/>
      <c r="T64" s="131"/>
      <c r="U64" s="131"/>
      <c r="V64" s="131"/>
      <c r="W64" s="131"/>
      <c r="X64" s="131"/>
      <c r="Y64" s="131"/>
      <c r="Z64" s="131"/>
      <c r="AA64" s="200" t="s">
        <v>176</v>
      </c>
      <c r="AB64" s="201">
        <f t="shared" si="71"/>
        <v>0.32696648096287406</v>
      </c>
      <c r="AC64" s="201">
        <f t="shared" si="72"/>
        <v>0.32385921651829186</v>
      </c>
      <c r="AD64" s="153">
        <f t="shared" si="73"/>
        <v>0.3186788785075203</v>
      </c>
    </row>
    <row r="65" spans="1:31" x14ac:dyDescent="0.2">
      <c r="B65" s="129"/>
      <c r="C65" s="130"/>
      <c r="D65" s="130"/>
      <c r="E65" s="131"/>
      <c r="F65" s="131"/>
      <c r="G65" s="497"/>
      <c r="H65" s="497"/>
      <c r="I65" s="497"/>
      <c r="J65" s="497"/>
      <c r="K65" s="497"/>
      <c r="L65" s="199"/>
      <c r="M65" s="199"/>
      <c r="N65" s="199"/>
      <c r="O65" s="131"/>
      <c r="P65" s="131"/>
      <c r="Q65" s="131"/>
      <c r="R65" s="131"/>
      <c r="S65" s="131"/>
      <c r="T65" s="131"/>
      <c r="U65" s="131"/>
      <c r="V65" s="131"/>
      <c r="W65" s="131"/>
      <c r="X65" s="131"/>
      <c r="Y65" s="131"/>
      <c r="Z65" s="131"/>
      <c r="AA65" s="200" t="s">
        <v>31</v>
      </c>
      <c r="AB65" s="201">
        <f t="shared" si="71"/>
        <v>6.4490670850957041E-2</v>
      </c>
      <c r="AC65" s="201">
        <f t="shared" si="72"/>
        <v>7.6599827115860483E-2</v>
      </c>
      <c r="AD65" s="153">
        <f t="shared" si="73"/>
        <v>7.8757430406189113E-2</v>
      </c>
      <c r="AE65" s="203"/>
    </row>
    <row r="66" spans="1:31" x14ac:dyDescent="0.2">
      <c r="B66" s="129"/>
      <c r="C66" s="130"/>
      <c r="D66" s="130"/>
      <c r="E66" s="131"/>
      <c r="F66" s="131"/>
      <c r="G66" s="198"/>
      <c r="H66" s="198"/>
      <c r="I66" s="199"/>
      <c r="J66" s="199"/>
      <c r="K66" s="199"/>
      <c r="L66" s="199"/>
      <c r="M66" s="199"/>
      <c r="N66" s="199"/>
      <c r="O66" s="131"/>
      <c r="P66" s="131"/>
      <c r="Q66" s="131"/>
      <c r="R66" s="131"/>
      <c r="S66" s="131"/>
      <c r="T66" s="131"/>
      <c r="U66" s="131"/>
      <c r="V66" s="131"/>
      <c r="W66" s="131"/>
      <c r="X66" s="131"/>
      <c r="Y66" s="131"/>
      <c r="Z66" s="131"/>
      <c r="AA66" s="200" t="s">
        <v>177</v>
      </c>
      <c r="AB66" s="201">
        <f t="shared" ref="AB66:AB68" si="74">AVERAGE(T48:W48)</f>
        <v>0.15480520685953722</v>
      </c>
      <c r="AC66" s="201">
        <f t="shared" ref="AC66:AC68" si="75">AVERAGE(X48:AA48)</f>
        <v>0.1347407816549237</v>
      </c>
      <c r="AD66" s="153">
        <f t="shared" ref="AD66:AD68" si="76">AVERAGE(AB48:AD48)</f>
        <v>0.13062469777940849</v>
      </c>
    </row>
    <row r="67" spans="1:31" x14ac:dyDescent="0.2">
      <c r="B67" s="129"/>
      <c r="C67" s="130"/>
      <c r="D67" s="130"/>
      <c r="E67" s="131"/>
      <c r="F67" s="131"/>
      <c r="G67" s="198"/>
      <c r="H67" s="198"/>
      <c r="I67" s="199"/>
      <c r="J67" s="199"/>
      <c r="K67" s="199"/>
      <c r="L67" s="199"/>
      <c r="M67" s="199"/>
      <c r="N67" s="199"/>
      <c r="O67" s="131"/>
      <c r="P67" s="131"/>
      <c r="Q67" s="131"/>
      <c r="R67" s="131"/>
      <c r="S67" s="131"/>
      <c r="T67" s="131"/>
      <c r="U67" s="131"/>
      <c r="V67" s="131"/>
      <c r="W67" s="131"/>
      <c r="X67" s="131"/>
      <c r="Y67" s="131"/>
      <c r="Z67" s="131"/>
      <c r="AA67" s="318" t="s">
        <v>35</v>
      </c>
      <c r="AB67" s="319">
        <f t="shared" si="74"/>
        <v>0.49575920913341337</v>
      </c>
      <c r="AC67" s="319">
        <f t="shared" si="75"/>
        <v>0.44620812394341192</v>
      </c>
      <c r="AD67" s="152">
        <f t="shared" si="76"/>
        <v>0.43935799033898432</v>
      </c>
    </row>
    <row r="68" spans="1:31" x14ac:dyDescent="0.2">
      <c r="B68" s="129"/>
      <c r="C68" s="130"/>
      <c r="D68" s="130"/>
      <c r="E68" s="131"/>
      <c r="F68" s="131"/>
      <c r="G68" s="198"/>
      <c r="H68" s="198"/>
      <c r="I68" s="199"/>
      <c r="J68" s="199"/>
      <c r="K68" s="199"/>
      <c r="L68" s="199"/>
      <c r="M68" s="199"/>
      <c r="N68" s="199"/>
      <c r="O68" s="131"/>
      <c r="P68" s="131"/>
      <c r="Q68" s="131"/>
      <c r="R68" s="131"/>
      <c r="S68" s="131"/>
      <c r="T68" s="131"/>
      <c r="U68" s="131"/>
      <c r="V68" s="131"/>
      <c r="W68" s="131"/>
      <c r="X68" s="131"/>
      <c r="Y68" s="131"/>
      <c r="Z68" s="131"/>
      <c r="AA68" s="200" t="s">
        <v>176</v>
      </c>
      <c r="AB68" s="201">
        <f t="shared" si="74"/>
        <v>0.12912387590600308</v>
      </c>
      <c r="AC68" s="201">
        <f t="shared" si="75"/>
        <v>0.13529017055849543</v>
      </c>
      <c r="AD68" s="153">
        <f t="shared" si="76"/>
        <v>0.13646754997226773</v>
      </c>
    </row>
    <row r="69" spans="1:31" x14ac:dyDescent="0.2">
      <c r="B69" s="129"/>
      <c r="C69" s="130"/>
      <c r="D69" s="130"/>
      <c r="E69" s="131"/>
      <c r="F69" s="131"/>
      <c r="G69" s="198"/>
      <c r="H69" s="198"/>
      <c r="I69" s="199"/>
      <c r="J69" s="199"/>
      <c r="K69" s="199"/>
      <c r="L69" s="199"/>
      <c r="M69" s="199"/>
      <c r="N69" s="199"/>
      <c r="O69" s="131"/>
      <c r="P69" s="131"/>
      <c r="Q69" s="131"/>
      <c r="R69" s="131"/>
      <c r="S69" s="131"/>
      <c r="T69" s="131"/>
      <c r="U69" s="131"/>
      <c r="V69" s="131"/>
      <c r="W69" s="131"/>
      <c r="X69" s="131"/>
      <c r="Y69" s="131"/>
      <c r="Z69" s="131"/>
      <c r="AA69" s="200" t="s">
        <v>31</v>
      </c>
      <c r="AB69" s="201">
        <f>AVERAGE(T52:W52)</f>
        <v>0.74017908646520814</v>
      </c>
      <c r="AC69" s="201">
        <f>AVERAGE(X52:AA52)</f>
        <v>0.63789789825164855</v>
      </c>
      <c r="AD69" s="153">
        <f>AVERAGE(AB52:AD52)</f>
        <v>0.61990618965428357</v>
      </c>
    </row>
    <row r="70" spans="1:31" x14ac:dyDescent="0.2">
      <c r="B70" s="129"/>
      <c r="C70" s="130"/>
      <c r="D70" s="130"/>
      <c r="E70" s="131"/>
      <c r="F70" s="131"/>
      <c r="G70" s="198"/>
      <c r="H70" s="198"/>
      <c r="I70" s="199"/>
      <c r="J70" s="199"/>
      <c r="K70" s="199"/>
      <c r="L70" s="199"/>
      <c r="M70" s="199"/>
      <c r="N70" s="199"/>
      <c r="O70" s="131"/>
      <c r="P70" s="131"/>
      <c r="Q70" s="131"/>
      <c r="R70" s="131"/>
      <c r="S70" s="131"/>
      <c r="T70" s="131"/>
      <c r="U70" s="131"/>
      <c r="V70" s="131"/>
      <c r="W70" s="131"/>
      <c r="X70" s="131"/>
      <c r="Y70" s="131"/>
      <c r="Z70" s="131"/>
      <c r="AA70" s="320" t="s">
        <v>177</v>
      </c>
      <c r="AB70" s="321">
        <f t="shared" ref="AB70" si="77">AVERAGE(T55:W55)</f>
        <v>0.53240688730728147</v>
      </c>
      <c r="AC70" s="321">
        <f t="shared" ref="AC70" si="78">AVERAGE(X55:AA55)</f>
        <v>0.42441246643877373</v>
      </c>
      <c r="AD70" s="154">
        <f t="shared" ref="AD70" si="79">AVERAGE(AB55:AD55)</f>
        <v>0.40095222293764615</v>
      </c>
      <c r="AE70" s="203"/>
    </row>
    <row r="71" spans="1:31" x14ac:dyDescent="0.2">
      <c r="B71" s="129"/>
      <c r="C71" s="130"/>
      <c r="D71" s="130"/>
      <c r="E71" s="131"/>
      <c r="F71" s="131"/>
      <c r="G71" s="198"/>
      <c r="H71" s="198"/>
      <c r="I71" s="199"/>
      <c r="J71" s="199"/>
      <c r="K71" s="199"/>
      <c r="L71" s="199"/>
      <c r="M71" s="199"/>
      <c r="N71" s="199"/>
      <c r="O71" s="131"/>
      <c r="P71" s="131"/>
      <c r="Q71" s="131"/>
      <c r="R71" s="131"/>
      <c r="S71" s="131"/>
      <c r="T71" s="131"/>
      <c r="U71" s="131"/>
      <c r="V71" s="131"/>
      <c r="W71" s="131"/>
      <c r="X71" s="131"/>
      <c r="Y71" s="131"/>
      <c r="Z71" s="131"/>
      <c r="AA71" s="200"/>
      <c r="AB71" s="201"/>
      <c r="AC71" s="201"/>
      <c r="AD71" s="202"/>
      <c r="AE71" s="203"/>
    </row>
    <row r="72" spans="1:31" x14ac:dyDescent="0.2">
      <c r="A72" s="129"/>
      <c r="B72" s="129"/>
      <c r="C72" s="130"/>
      <c r="D72" s="130"/>
      <c r="E72" s="131"/>
      <c r="F72" s="131"/>
      <c r="G72" s="131"/>
      <c r="H72" s="131"/>
      <c r="I72" s="131"/>
      <c r="J72" s="131"/>
      <c r="K72" s="131"/>
      <c r="L72" s="131"/>
      <c r="M72" s="131"/>
      <c r="N72" s="131"/>
      <c r="O72" s="131"/>
      <c r="P72" s="131"/>
      <c r="Q72" s="131"/>
      <c r="R72" s="131"/>
      <c r="S72" s="131"/>
      <c r="T72" s="131"/>
      <c r="U72" s="131"/>
      <c r="V72" s="131"/>
      <c r="W72" s="131"/>
      <c r="X72" s="131"/>
      <c r="Y72" s="131"/>
      <c r="Z72" s="131"/>
      <c r="AA72" s="131"/>
      <c r="AB72" s="131"/>
      <c r="AC72" s="131"/>
    </row>
    <row r="73" spans="1:31" ht="14.25" hidden="1" customHeight="1" x14ac:dyDescent="0.2">
      <c r="G73" s="76"/>
      <c r="H73" s="76"/>
      <c r="I73" s="77"/>
      <c r="J73" s="77"/>
      <c r="K73" s="77"/>
      <c r="L73" s="77"/>
      <c r="M73" s="77"/>
      <c r="N73" s="77"/>
    </row>
    <row r="74" spans="1:31" ht="14.25" hidden="1" customHeight="1" x14ac:dyDescent="0.2">
      <c r="G74" s="76"/>
      <c r="H74" s="76"/>
      <c r="I74" s="77"/>
      <c r="J74" s="77"/>
      <c r="K74" s="77"/>
      <c r="L74" s="77"/>
      <c r="M74" s="77"/>
      <c r="N74" s="77"/>
    </row>
    <row r="75" spans="1:31" ht="14.25" hidden="1" customHeight="1" x14ac:dyDescent="0.2">
      <c r="G75" s="76"/>
      <c r="H75" s="76"/>
      <c r="I75" s="77"/>
      <c r="J75" s="77"/>
      <c r="K75" s="77"/>
      <c r="L75" s="77"/>
      <c r="M75" s="77"/>
      <c r="N75" s="77"/>
    </row>
    <row r="76" spans="1:31" ht="14.25" hidden="1" customHeight="1" x14ac:dyDescent="0.2">
      <c r="G76" s="76"/>
      <c r="H76" s="76"/>
      <c r="I76" s="77"/>
      <c r="J76" s="77"/>
      <c r="K76" s="77"/>
      <c r="L76" s="77"/>
      <c r="M76" s="77"/>
      <c r="N76" s="77"/>
    </row>
    <row r="77" spans="1:31" hidden="1" x14ac:dyDescent="0.2">
      <c r="G77" s="76"/>
      <c r="H77" s="76"/>
      <c r="I77" s="77"/>
      <c r="J77" s="77"/>
      <c r="K77" s="77"/>
      <c r="L77" s="77"/>
      <c r="M77" s="77"/>
      <c r="N77" s="77"/>
    </row>
    <row r="78" spans="1:31" hidden="1" x14ac:dyDescent="0.2">
      <c r="G78" s="76"/>
      <c r="H78" s="76"/>
      <c r="I78" s="77"/>
      <c r="J78" s="77"/>
      <c r="K78" s="77"/>
      <c r="L78" s="77"/>
      <c r="M78" s="77"/>
      <c r="N78" s="77"/>
      <c r="AA78" s="80"/>
    </row>
    <row r="79" spans="1:31" hidden="1" x14ac:dyDescent="0.2">
      <c r="G79" s="78"/>
      <c r="H79" s="78"/>
      <c r="O79" s="79"/>
      <c r="P79" s="79"/>
      <c r="Q79" s="79"/>
      <c r="R79" s="79"/>
      <c r="S79" s="79"/>
      <c r="T79" s="79"/>
      <c r="U79" s="79"/>
      <c r="V79" s="79"/>
      <c r="W79" s="79"/>
      <c r="X79" s="80"/>
      <c r="Y79" s="80"/>
      <c r="Z79" s="80"/>
      <c r="AA79" s="80"/>
    </row>
    <row r="80" spans="1:31" hidden="1" x14ac:dyDescent="0.2">
      <c r="G80" s="78"/>
      <c r="H80" s="78"/>
      <c r="O80" s="79"/>
      <c r="P80" s="79"/>
      <c r="Q80" s="79"/>
      <c r="R80" s="79"/>
      <c r="S80" s="79"/>
      <c r="T80" s="79"/>
      <c r="U80" s="79"/>
      <c r="V80" s="79"/>
      <c r="W80" s="79"/>
      <c r="X80" s="80"/>
      <c r="Y80" s="80"/>
      <c r="Z80" s="80"/>
      <c r="AA80" s="80"/>
    </row>
    <row r="81" spans="7:27" hidden="1" x14ac:dyDescent="0.2">
      <c r="G81" s="78"/>
      <c r="H81" s="78"/>
      <c r="O81" s="79"/>
      <c r="P81" s="79"/>
      <c r="Q81" s="79"/>
      <c r="R81" s="79"/>
      <c r="S81" s="79"/>
      <c r="T81" s="79"/>
      <c r="U81" s="79"/>
      <c r="V81" s="79"/>
      <c r="W81" s="79"/>
      <c r="X81" s="80"/>
      <c r="Y81" s="80"/>
      <c r="Z81" s="80"/>
      <c r="AA81" s="82"/>
    </row>
    <row r="82" spans="7:27" hidden="1" x14ac:dyDescent="0.2">
      <c r="G82" s="78"/>
      <c r="H82" s="78"/>
      <c r="O82" s="81"/>
      <c r="P82" s="81"/>
      <c r="Q82" s="81"/>
      <c r="R82" s="81"/>
      <c r="S82" s="81"/>
      <c r="T82" s="81"/>
      <c r="U82" s="81"/>
      <c r="V82" s="81"/>
      <c r="W82" s="81"/>
      <c r="X82" s="82"/>
      <c r="Y82" s="82"/>
      <c r="Z82" s="82"/>
    </row>
  </sheetData>
  <sheetProtection formatCells="0" formatColumns="0" formatRows="0" insertColumns="0" insertRows="0" insertHyperlinks="0" deleteColumns="0" deleteRows="0" sort="0" autoFilter="0" pivotTables="0"/>
  <mergeCells count="24">
    <mergeCell ref="AA56:AD56"/>
    <mergeCell ref="G61:K65"/>
    <mergeCell ref="G60:K60"/>
    <mergeCell ref="AB58:AC58"/>
    <mergeCell ref="AB36:AD36"/>
    <mergeCell ref="C2:E2"/>
    <mergeCell ref="G2:AD2"/>
    <mergeCell ref="C4:E4"/>
    <mergeCell ref="G4:AD4"/>
    <mergeCell ref="C5:E8"/>
    <mergeCell ref="G6:G7"/>
    <mergeCell ref="I6:Q6"/>
    <mergeCell ref="H6:H7"/>
    <mergeCell ref="AA6:AD6"/>
    <mergeCell ref="T5:Z5"/>
    <mergeCell ref="C9:D10"/>
    <mergeCell ref="E9:E10"/>
    <mergeCell ref="C11:D12"/>
    <mergeCell ref="C13:D14"/>
    <mergeCell ref="G36:G37"/>
    <mergeCell ref="G34:AD34"/>
    <mergeCell ref="I36:Q36"/>
    <mergeCell ref="H36:H37"/>
    <mergeCell ref="T35:Z35"/>
  </mergeCells>
  <phoneticPr fontId="24" type="noConversion"/>
  <conditionalFormatting sqref="AB38:AD55">
    <cfRule type="expression" dxfId="30" priority="23">
      <formula>(AB38-AA38)&gt;5%</formula>
    </cfRule>
    <cfRule type="expression" dxfId="29" priority="24">
      <formula>(AB38-AA38)&lt;-5%</formula>
    </cfRule>
    <cfRule type="cellIs" dxfId="28" priority="25" operator="lessThan">
      <formula>0</formula>
    </cfRule>
  </conditionalFormatting>
  <conditionalFormatting sqref="AA33:AD33 AB8:AD32">
    <cfRule type="cellIs" dxfId="27" priority="22" operator="lessThan">
      <formula>0</formula>
    </cfRule>
  </conditionalFormatting>
  <conditionalFormatting sqref="I60:K60">
    <cfRule type="containsBlanks" priority="21">
      <formula>LEN(TRIM(I60))=0</formula>
    </cfRule>
  </conditionalFormatting>
  <conditionalFormatting sqref="AA8:AA32">
    <cfRule type="cellIs" dxfId="26" priority="4" operator="lessThan">
      <formula>0</formula>
    </cfRule>
  </conditionalFormatting>
  <conditionalFormatting sqref="AA38:AA55">
    <cfRule type="expression" dxfId="25" priority="1">
      <formula>(AA38-Z38)&gt;5%</formula>
    </cfRule>
    <cfRule type="expression" dxfId="24" priority="2">
      <formula>(AA38-Z38)&lt;-5%</formula>
    </cfRule>
    <cfRule type="cellIs" dxfId="23" priority="3" operator="lessThan">
      <formula>0</formula>
    </cfRule>
  </conditionalFormatting>
  <hyperlinks>
    <hyperlink ref="E12" location="ELASTICITY!A1" display="Click to go to Elasticities" xr:uid="{193E5843-A55B-4160-8C23-57F4085BD46F}"/>
    <hyperlink ref="AA56" location="ELASTICITY!A1" display="Click to Revise Elasticities" xr:uid="{7F926F35-AE24-4FD2-B473-162D79C8C4D2}"/>
    <hyperlink ref="E14" location="'GROWTH RATES'!A1" display="Click to go to Elasticities" xr:uid="{5EF7B48F-8C6C-4E77-8290-579CB74BB711}"/>
  </hyperlinks>
  <pageMargins left="0.7" right="0.7" top="0.75" bottom="0.75" header="0.3" footer="0.3"/>
  <pageSetup orientation="portrait" r:id="rId1"/>
  <ignoredErrors>
    <ignoredError sqref="H12 H8"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66561" r:id="rId4" name="Check Box 1">
              <controlPr defaultSize="0" autoFill="0" autoLine="0" autoPict="0">
                <anchor moveWithCells="1">
                  <from>
                    <xdr:col>4</xdr:col>
                    <xdr:colOff>28575</xdr:colOff>
                    <xdr:row>8</xdr:row>
                    <xdr:rowOff>76200</xdr:rowOff>
                  </from>
                  <to>
                    <xdr:col>4</xdr:col>
                    <xdr:colOff>790575</xdr:colOff>
                    <xdr:row>9</xdr:row>
                    <xdr:rowOff>142875</xdr:rowOff>
                  </to>
                </anchor>
              </controlPr>
            </control>
          </mc:Choice>
        </mc:AlternateContent>
        <mc:AlternateContent xmlns:mc="http://schemas.openxmlformats.org/markup-compatibility/2006">
          <mc:Choice Requires="x14">
            <control shapeId="66562" r:id="rId5" name="Check Box 2">
              <controlPr defaultSize="0" autoFill="0" autoLine="0" autoPict="0">
                <anchor moveWithCells="1">
                  <from>
                    <xdr:col>4</xdr:col>
                    <xdr:colOff>28575</xdr:colOff>
                    <xdr:row>9</xdr:row>
                    <xdr:rowOff>190500</xdr:rowOff>
                  </from>
                  <to>
                    <xdr:col>4</xdr:col>
                    <xdr:colOff>790575</xdr:colOff>
                    <xdr:row>11</xdr:row>
                    <xdr:rowOff>66675</xdr:rowOff>
                  </to>
                </anchor>
              </controlPr>
            </control>
          </mc:Choice>
        </mc:AlternateContent>
        <mc:AlternateContent xmlns:mc="http://schemas.openxmlformats.org/markup-compatibility/2006">
          <mc:Choice Requires="x14">
            <control shapeId="66563" r:id="rId6" name="Check Box 3">
              <controlPr defaultSize="0" autoFill="0" autoLine="0" autoPict="0">
                <anchor moveWithCells="1">
                  <from>
                    <xdr:col>4</xdr:col>
                    <xdr:colOff>38100</xdr:colOff>
                    <xdr:row>11</xdr:row>
                    <xdr:rowOff>295275</xdr:rowOff>
                  </from>
                  <to>
                    <xdr:col>4</xdr:col>
                    <xdr:colOff>800100</xdr:colOff>
                    <xdr:row>13</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4134C305-7A20-43C7-B742-23A8104B3AFB}">
            <xm:f>I$7='0. GUIDELINES'!$E$4</xm:f>
            <x14:dxf>
              <font>
                <color auto="1"/>
              </font>
              <fill>
                <patternFill>
                  <bgColor theme="8" tint="0.79998168889431442"/>
                </patternFill>
              </fill>
            </x14:dxf>
          </x14:cfRule>
          <xm:sqref>I7:Y33 R6:AA6 R36:Y36 Z36:Z55 I37:Y55</xm:sqref>
        </x14:conditionalFormatting>
        <x14:conditionalFormatting xmlns:xm="http://schemas.microsoft.com/office/excel/2006/main">
          <x14:cfRule type="expression" priority="9" id="{B2D310D4-93FE-4054-971A-F9C55FDB3F79}">
            <xm:f>Z$7='0. GUIDELINES'!$E$4</xm:f>
            <x14:dxf>
              <font>
                <color auto="1"/>
              </font>
              <fill>
                <patternFill>
                  <bgColor theme="8" tint="0.79998168889431442"/>
                </patternFill>
              </fill>
            </x14:dxf>
          </x14:cfRule>
          <xm:sqref>Z8:Z33</xm:sqref>
        </x14:conditionalFormatting>
        <x14:conditionalFormatting xmlns:xm="http://schemas.microsoft.com/office/excel/2006/main">
          <x14:cfRule type="expression" priority="63" id="{4134C305-7A20-43C7-B742-23A8104B3AFB}">
            <xm:f>Q$7='0. GUIDELINES'!$E$4</xm:f>
            <x14:dxf>
              <font>
                <color auto="1"/>
              </font>
              <fill>
                <patternFill>
                  <bgColor theme="8" tint="0.79998168889431442"/>
                </patternFill>
              </fill>
            </x14:dxf>
          </x14:cfRule>
          <xm:sqref>I36 I6</xm:sqref>
        </x14:conditionalFormatting>
        <x14:conditionalFormatting xmlns:xm="http://schemas.microsoft.com/office/excel/2006/main">
          <x14:cfRule type="expression" priority="8" id="{4237738C-B1DF-4A83-9C74-83CD27E53890}">
            <xm:f>Z$7='0. GUIDELINES'!$E$4</xm:f>
            <x14:dxf>
              <font>
                <color auto="1"/>
              </font>
              <fill>
                <patternFill>
                  <bgColor theme="8" tint="0.79998168889431442"/>
                </patternFill>
              </fill>
            </x14:dxf>
          </x14:cfRule>
          <xm:sqref>Z7</xm:sqref>
        </x14:conditionalFormatting>
        <x14:conditionalFormatting xmlns:xm="http://schemas.microsoft.com/office/excel/2006/main">
          <x14:cfRule type="expression" priority="7" id="{D4379418-482F-4415-8A4F-AC4011067506}">
            <xm:f>AA$7='0. GUIDELINES'!$E$4</xm:f>
            <x14:dxf>
              <font>
                <color auto="1"/>
              </font>
              <fill>
                <patternFill>
                  <bgColor theme="8" tint="0.79998168889431442"/>
                </patternFill>
              </fill>
            </x14:dxf>
          </x14:cfRule>
          <xm:sqref>AA7</xm:sqref>
        </x14:conditionalFormatting>
        <x14:conditionalFormatting xmlns:xm="http://schemas.microsoft.com/office/excel/2006/main">
          <x14:cfRule type="expression" priority="6" id="{8519F1C2-B9EE-4021-AB7A-3635FC47ED14}">
            <xm:f>AA$7='0. GUIDELINES'!$E$4</xm:f>
            <x14:dxf>
              <font>
                <color auto="1"/>
              </font>
              <fill>
                <patternFill>
                  <bgColor theme="8" tint="0.79998168889431442"/>
                </patternFill>
              </fill>
            </x14:dxf>
          </x14:cfRule>
          <xm:sqref>AA37</xm:sqref>
        </x14:conditionalFormatting>
        <x14:conditionalFormatting xmlns:xm="http://schemas.microsoft.com/office/excel/2006/main">
          <x14:cfRule type="expression" priority="5" id="{C4CAF34F-B6A8-4D4E-AF69-93D3A7E8021E}">
            <xm:f>AA$7='0. GUIDELINES'!$E$4</xm:f>
            <x14:dxf>
              <font>
                <color auto="1"/>
              </font>
              <fill>
                <patternFill>
                  <bgColor theme="8" tint="0.79998168889431442"/>
                </patternFill>
              </fill>
            </x14:dxf>
          </x14:cfRule>
          <xm:sqref>AA36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BE9F-AD59-4375-8526-CB188EA6324B}">
  <sheetPr codeName="Sheet14">
    <tabColor theme="8" tint="0.79998168889431442"/>
  </sheetPr>
  <dimension ref="A1:BE45"/>
  <sheetViews>
    <sheetView workbookViewId="0">
      <selection activeCell="H16" sqref="H16"/>
    </sheetView>
  </sheetViews>
  <sheetFormatPr defaultColWidth="0" defaultRowHeight="0" customHeight="1" zeroHeight="1" x14ac:dyDescent="0.2"/>
  <cols>
    <col min="1" max="1" width="16.42578125" style="88" customWidth="1"/>
    <col min="2" max="2" width="16.140625" style="88" customWidth="1"/>
    <col min="3" max="3" width="17.28515625" style="88" customWidth="1"/>
    <col min="4" max="4" width="2.85546875" style="88" customWidth="1"/>
    <col min="5" max="5" width="9.140625" style="88" customWidth="1"/>
    <col min="6" max="8" width="9.140625" style="87" customWidth="1"/>
    <col min="9" max="9" width="33.5703125" style="87" bestFit="1" customWidth="1"/>
    <col min="10" max="10" width="7" style="87" customWidth="1"/>
    <col min="11" max="11" width="6.42578125" style="87" customWidth="1"/>
    <col min="12" max="12" width="7.140625" style="87" customWidth="1"/>
    <col min="13" max="13" width="7.28515625" style="87" customWidth="1"/>
    <col min="14" max="14" width="6.140625" style="87" bestFit="1" customWidth="1"/>
    <col min="15" max="15" width="9.42578125" style="87" customWidth="1"/>
    <col min="16" max="21" width="11.42578125" style="87" customWidth="1"/>
    <col min="22" max="22" width="15.140625" style="87" customWidth="1"/>
    <col min="23" max="40" width="8.5703125" style="87" customWidth="1"/>
    <col min="41" max="41" width="9.140625" style="89" customWidth="1"/>
    <col min="42" max="44" width="9.5703125" style="89" hidden="1" customWidth="1"/>
    <col min="45" max="45" width="9.140625" style="89" hidden="1" customWidth="1"/>
    <col min="46" max="46" width="8.5703125" style="89" customWidth="1"/>
    <col min="47" max="53" width="9.140625" style="87" customWidth="1"/>
    <col min="54" max="54" width="8.5703125" style="87" customWidth="1"/>
    <col min="55" max="57" width="0" style="87" hidden="1" customWidth="1"/>
    <col min="58" max="16384" width="9.140625" style="87" hidden="1"/>
  </cols>
  <sheetData>
    <row r="1" spans="1:54" s="89" customFormat="1" ht="15" customHeight="1" x14ac:dyDescent="0.2">
      <c r="A1" s="136"/>
      <c r="B1" s="136"/>
      <c r="C1" s="136"/>
      <c r="D1" s="136"/>
      <c r="E1" s="136"/>
    </row>
    <row r="2" spans="1:54" ht="18" x14ac:dyDescent="0.25">
      <c r="A2" s="86"/>
      <c r="B2" s="86"/>
      <c r="C2" s="86"/>
      <c r="D2" s="136"/>
      <c r="E2" s="503" t="s">
        <v>57</v>
      </c>
      <c r="F2" s="503"/>
      <c r="G2" s="503"/>
      <c r="H2" s="131"/>
      <c r="I2" s="501" t="s">
        <v>57</v>
      </c>
      <c r="J2" s="501"/>
      <c r="K2" s="501"/>
      <c r="L2" s="501"/>
      <c r="M2" s="501"/>
      <c r="N2" s="501"/>
      <c r="O2" s="501"/>
      <c r="P2" s="501"/>
      <c r="Q2" s="501"/>
      <c r="R2" s="501"/>
      <c r="S2" s="501"/>
      <c r="T2" s="501"/>
      <c r="U2" s="501"/>
      <c r="V2" s="361"/>
      <c r="W2" s="131"/>
      <c r="X2" s="501" t="s">
        <v>178</v>
      </c>
      <c r="Y2" s="501"/>
      <c r="Z2" s="501"/>
      <c r="AA2" s="501"/>
      <c r="AB2" s="501"/>
      <c r="AC2" s="501"/>
      <c r="AD2" s="501"/>
      <c r="AE2" s="501"/>
      <c r="AF2" s="501"/>
      <c r="AG2" s="501"/>
      <c r="AH2" s="501"/>
      <c r="AI2" s="501"/>
      <c r="AJ2" s="501"/>
      <c r="AK2" s="501"/>
      <c r="AL2" s="501"/>
      <c r="AM2" s="501"/>
      <c r="AN2" s="501"/>
      <c r="AU2" s="89"/>
      <c r="AV2" s="89"/>
      <c r="AW2" s="136"/>
      <c r="AX2" s="136"/>
      <c r="AY2" s="89"/>
      <c r="AZ2" s="89"/>
      <c r="BA2" s="89"/>
      <c r="BB2" s="89"/>
    </row>
    <row r="3" spans="1:54" ht="14.25" x14ac:dyDescent="0.2">
      <c r="A3" s="86"/>
      <c r="B3" s="86"/>
      <c r="C3" s="86"/>
      <c r="D3" s="136"/>
      <c r="E3" s="136"/>
      <c r="F3" s="89"/>
      <c r="G3" s="89"/>
      <c r="H3" s="131"/>
      <c r="I3" s="505" t="s">
        <v>179</v>
      </c>
      <c r="J3" s="505"/>
      <c r="K3" s="505"/>
      <c r="L3" s="505"/>
      <c r="M3" s="505"/>
      <c r="N3" s="505"/>
      <c r="O3" s="505"/>
      <c r="P3" s="505"/>
      <c r="Q3" s="505"/>
      <c r="R3" s="505"/>
      <c r="S3" s="505"/>
      <c r="T3" s="505"/>
      <c r="U3" s="505"/>
      <c r="V3" s="361"/>
      <c r="W3" s="131"/>
      <c r="X3" s="351"/>
      <c r="Y3" s="351"/>
      <c r="Z3" s="351"/>
      <c r="AA3" s="351"/>
      <c r="AB3" s="351"/>
      <c r="AC3" s="351"/>
      <c r="AD3" s="351"/>
      <c r="AE3" s="351"/>
      <c r="AF3" s="351"/>
      <c r="AG3" s="351"/>
      <c r="AH3" s="351"/>
      <c r="AI3" s="351"/>
      <c r="AJ3" s="351"/>
      <c r="AK3" s="351"/>
      <c r="AL3" s="351"/>
      <c r="AM3" s="351"/>
      <c r="AN3" s="351"/>
      <c r="AU3" s="89"/>
      <c r="AV3" s="89"/>
      <c r="AW3" s="89"/>
      <c r="AX3" s="136"/>
      <c r="AY3" s="89"/>
      <c r="AZ3" s="89"/>
      <c r="BA3" s="89"/>
      <c r="BB3" s="89"/>
    </row>
    <row r="4" spans="1:54" ht="18" x14ac:dyDescent="0.25">
      <c r="A4" s="86"/>
      <c r="B4" s="86"/>
      <c r="C4" s="86"/>
      <c r="D4" s="136"/>
      <c r="E4" s="136"/>
      <c r="F4" s="89"/>
      <c r="G4" s="89"/>
      <c r="H4" s="131"/>
      <c r="I4" s="505"/>
      <c r="J4" s="505"/>
      <c r="K4" s="505"/>
      <c r="L4" s="505"/>
      <c r="M4" s="505"/>
      <c r="N4" s="505"/>
      <c r="O4" s="505"/>
      <c r="P4" s="505"/>
      <c r="Q4" s="505"/>
      <c r="R4" s="505"/>
      <c r="S4" s="505"/>
      <c r="T4" s="505"/>
      <c r="U4" s="505"/>
      <c r="V4" s="361"/>
      <c r="W4" s="131"/>
      <c r="X4" s="351"/>
      <c r="Y4" s="351"/>
      <c r="Z4" s="351"/>
      <c r="AA4" s="351"/>
      <c r="AB4" s="351"/>
      <c r="AC4" s="351"/>
      <c r="AD4" s="351"/>
      <c r="AE4" s="351"/>
      <c r="AF4" s="351"/>
      <c r="AG4" s="351"/>
      <c r="AH4" s="351"/>
      <c r="AI4" s="351"/>
      <c r="AJ4" s="351"/>
      <c r="AK4" s="351"/>
      <c r="AL4" s="351"/>
      <c r="AM4" s="351"/>
      <c r="AN4" s="351"/>
      <c r="AT4" s="507" t="s">
        <v>180</v>
      </c>
      <c r="AU4" s="507"/>
      <c r="AV4" s="507"/>
      <c r="AW4" s="507"/>
      <c r="AX4" s="507"/>
      <c r="AY4" s="507"/>
      <c r="AZ4" s="507"/>
      <c r="BA4" s="507"/>
      <c r="BB4" s="89"/>
    </row>
    <row r="5" spans="1:54" ht="14.25" customHeight="1" x14ac:dyDescent="0.2">
      <c r="A5" s="86"/>
      <c r="B5" s="86"/>
      <c r="C5" s="86"/>
      <c r="D5" s="136"/>
      <c r="E5" s="505" t="s">
        <v>181</v>
      </c>
      <c r="F5" s="505"/>
      <c r="G5" s="505"/>
      <c r="H5" s="131"/>
      <c r="I5" s="505"/>
      <c r="J5" s="505"/>
      <c r="K5" s="505"/>
      <c r="L5" s="505"/>
      <c r="M5" s="505"/>
      <c r="N5" s="505"/>
      <c r="O5" s="505"/>
      <c r="P5" s="505"/>
      <c r="Q5" s="505"/>
      <c r="R5" s="505"/>
      <c r="S5" s="505"/>
      <c r="T5" s="505"/>
      <c r="U5" s="505"/>
      <c r="V5" s="361"/>
      <c r="W5" s="131"/>
      <c r="X5" s="351"/>
      <c r="Y5" s="351"/>
      <c r="Z5" s="351"/>
      <c r="AA5" s="351"/>
      <c r="AB5" s="351"/>
      <c r="AC5" s="351"/>
      <c r="AD5" s="351"/>
      <c r="AE5" s="351"/>
      <c r="AF5" s="351"/>
      <c r="AG5" s="351"/>
      <c r="AH5" s="351"/>
      <c r="AI5" s="351"/>
      <c r="AJ5" s="351"/>
      <c r="AK5" s="351"/>
      <c r="AL5" s="351"/>
      <c r="AM5" s="351"/>
      <c r="AN5" s="351"/>
      <c r="AU5" s="89"/>
      <c r="AV5" s="89"/>
      <c r="AW5" s="136"/>
      <c r="AX5" s="136"/>
      <c r="AY5" s="89"/>
      <c r="AZ5" s="89"/>
      <c r="BA5" s="89"/>
      <c r="BB5" s="89"/>
    </row>
    <row r="6" spans="1:54" ht="14.25" x14ac:dyDescent="0.2">
      <c r="A6" s="86"/>
      <c r="B6" s="86"/>
      <c r="C6" s="86"/>
      <c r="D6" s="136"/>
      <c r="E6" s="505"/>
      <c r="F6" s="505"/>
      <c r="G6" s="505"/>
      <c r="H6" s="131"/>
      <c r="I6" s="197"/>
      <c r="J6" s="197"/>
      <c r="K6" s="197"/>
      <c r="L6" s="197"/>
      <c r="M6" s="197"/>
      <c r="N6" s="197"/>
      <c r="O6" s="197"/>
      <c r="P6" s="197"/>
      <c r="Q6" s="197"/>
      <c r="R6" s="197"/>
      <c r="S6" s="197"/>
      <c r="T6" s="197"/>
      <c r="U6" s="197"/>
      <c r="V6" s="361"/>
      <c r="W6" s="131"/>
      <c r="X6" s="351"/>
      <c r="Y6" s="351"/>
      <c r="Z6" s="351"/>
      <c r="AA6" s="351"/>
      <c r="AB6" s="351"/>
      <c r="AC6" s="351"/>
      <c r="AD6" s="351"/>
      <c r="AE6" s="351"/>
      <c r="AF6" s="351"/>
      <c r="AG6" s="351"/>
      <c r="AH6" s="351"/>
      <c r="AI6" s="351"/>
      <c r="AJ6" s="351"/>
      <c r="AK6" s="351"/>
      <c r="AL6" s="351"/>
      <c r="AM6" s="351"/>
      <c r="AN6" s="351"/>
      <c r="AU6" s="89"/>
      <c r="AV6" s="89"/>
      <c r="AW6" s="136"/>
      <c r="AX6" s="136"/>
      <c r="AY6" s="89"/>
      <c r="AZ6" s="89"/>
      <c r="BA6" s="89"/>
      <c r="BB6" s="89"/>
    </row>
    <row r="7" spans="1:54" ht="15" customHeight="1" x14ac:dyDescent="0.2">
      <c r="A7" s="86"/>
      <c r="B7" s="86"/>
      <c r="C7" s="86"/>
      <c r="D7" s="136"/>
      <c r="E7" s="505"/>
      <c r="F7" s="505"/>
      <c r="G7" s="505"/>
      <c r="H7" s="131"/>
      <c r="I7" s="453" t="s">
        <v>644</v>
      </c>
      <c r="J7" s="453"/>
      <c r="K7" s="454">
        <v>0.251</v>
      </c>
      <c r="L7" s="454">
        <v>0.24559138775080852</v>
      </c>
      <c r="M7" s="454">
        <v>0.22381005061871498</v>
      </c>
      <c r="N7" s="454">
        <v>0.20353649478915475</v>
      </c>
      <c r="O7" s="351"/>
      <c r="P7" s="502" t="s">
        <v>182</v>
      </c>
      <c r="Q7" s="502"/>
      <c r="R7" s="502"/>
      <c r="S7" s="502"/>
      <c r="T7" s="502"/>
      <c r="U7" s="502"/>
      <c r="V7" s="361"/>
      <c r="W7" s="131"/>
      <c r="X7" s="351"/>
      <c r="Y7" s="351"/>
      <c r="Z7" s="351"/>
      <c r="AA7" s="351"/>
      <c r="AB7" s="351"/>
      <c r="AC7" s="351"/>
      <c r="AD7" s="351"/>
      <c r="AE7" s="351"/>
      <c r="AF7" s="351"/>
      <c r="AG7" s="351"/>
      <c r="AH7" s="351"/>
      <c r="AI7" s="351"/>
      <c r="AJ7" s="351"/>
      <c r="AK7" s="351"/>
      <c r="AL7" s="351"/>
      <c r="AM7" s="351"/>
      <c r="AN7" s="351"/>
      <c r="AU7" s="89"/>
      <c r="AV7" s="89"/>
      <c r="AW7" s="136"/>
      <c r="AX7" s="136"/>
      <c r="AY7" s="89"/>
      <c r="AZ7" s="89"/>
      <c r="BA7" s="89"/>
      <c r="BB7" s="89"/>
    </row>
    <row r="8" spans="1:54" ht="15.6" customHeight="1" x14ac:dyDescent="0.2">
      <c r="A8" s="86"/>
      <c r="B8" s="86"/>
      <c r="C8" s="86"/>
      <c r="D8" s="136"/>
      <c r="E8" s="505"/>
      <c r="F8" s="505"/>
      <c r="G8" s="505"/>
      <c r="H8" s="131"/>
      <c r="I8" s="512" t="s">
        <v>183</v>
      </c>
      <c r="J8" s="504" t="s">
        <v>184</v>
      </c>
      <c r="K8" s="504"/>
      <c r="L8" s="504"/>
      <c r="M8" s="504"/>
      <c r="N8" s="504"/>
      <c r="O8" s="353"/>
      <c r="P8" s="504" t="s">
        <v>185</v>
      </c>
      <c r="Q8" s="504"/>
      <c r="R8" s="513"/>
      <c r="S8" s="504" t="s">
        <v>186</v>
      </c>
      <c r="T8" s="504"/>
      <c r="U8" s="504"/>
      <c r="V8" s="361"/>
      <c r="W8" s="131"/>
      <c r="X8" s="504" t="s">
        <v>187</v>
      </c>
      <c r="Y8" s="504"/>
      <c r="Z8" s="504"/>
      <c r="AA8" s="504"/>
      <c r="AB8" s="504"/>
      <c r="AC8" s="504"/>
      <c r="AD8" s="504"/>
      <c r="AE8" s="504"/>
      <c r="AF8" s="504"/>
      <c r="AG8" s="504"/>
      <c r="AH8" s="504"/>
      <c r="AI8" s="504"/>
      <c r="AJ8" s="504"/>
      <c r="AK8" s="504"/>
      <c r="AL8" s="504"/>
      <c r="AM8" s="504"/>
      <c r="AN8" s="504"/>
      <c r="AU8" s="89"/>
      <c r="AV8" s="89"/>
      <c r="AW8" s="136"/>
      <c r="AX8" s="136"/>
      <c r="AY8" s="89"/>
      <c r="AZ8" s="89"/>
      <c r="BA8" s="89"/>
      <c r="BB8" s="89"/>
    </row>
    <row r="9" spans="1:54" ht="15.6" customHeight="1" x14ac:dyDescent="0.2">
      <c r="A9" s="96"/>
      <c r="B9" s="96"/>
      <c r="C9" s="96"/>
      <c r="D9" s="349"/>
      <c r="E9" s="506" t="s">
        <v>188</v>
      </c>
      <c r="F9" s="506"/>
      <c r="G9" s="508"/>
      <c r="H9" s="131"/>
      <c r="I9" s="512"/>
      <c r="J9" s="504"/>
      <c r="K9" s="504"/>
      <c r="L9" s="504"/>
      <c r="M9" s="504"/>
      <c r="N9" s="504"/>
      <c r="O9" s="353"/>
      <c r="P9" s="504"/>
      <c r="Q9" s="504"/>
      <c r="R9" s="513"/>
      <c r="S9" s="504"/>
      <c r="T9" s="504"/>
      <c r="U9" s="504"/>
      <c r="V9" s="361"/>
      <c r="W9" s="131"/>
      <c r="X9" s="504"/>
      <c r="Y9" s="504"/>
      <c r="Z9" s="504"/>
      <c r="AA9" s="504"/>
      <c r="AB9" s="504"/>
      <c r="AC9" s="504"/>
      <c r="AD9" s="504"/>
      <c r="AE9" s="504"/>
      <c r="AF9" s="504"/>
      <c r="AG9" s="504"/>
      <c r="AH9" s="504"/>
      <c r="AI9" s="504"/>
      <c r="AJ9" s="504"/>
      <c r="AK9" s="504"/>
      <c r="AL9" s="504"/>
      <c r="AM9" s="504"/>
      <c r="AN9" s="504"/>
      <c r="AU9" s="89"/>
      <c r="AV9" s="89"/>
      <c r="AW9" s="136"/>
      <c r="AX9" s="136"/>
      <c r="AY9" s="89"/>
      <c r="AZ9" s="89"/>
      <c r="BA9" s="89"/>
      <c r="BB9" s="89"/>
    </row>
    <row r="10" spans="1:54" ht="14.25" x14ac:dyDescent="0.2">
      <c r="A10" s="97"/>
      <c r="B10" s="97"/>
      <c r="C10" s="97"/>
      <c r="D10" s="350"/>
      <c r="E10" s="506"/>
      <c r="F10" s="506"/>
      <c r="G10" s="508"/>
      <c r="H10" s="131"/>
      <c r="I10" s="512"/>
      <c r="J10" s="163">
        <v>2022</v>
      </c>
      <c r="K10" s="163">
        <v>2023</v>
      </c>
      <c r="L10" s="163">
        <v>2024</v>
      </c>
      <c r="M10" s="163">
        <v>2025</v>
      </c>
      <c r="N10" s="163">
        <v>2026</v>
      </c>
      <c r="O10" s="353"/>
      <c r="P10" s="164" t="e" cm="1">
        <f t="array" ref="P10">_xlfn.XLOOKUP(1, ('0. GUIDELINES'!$E$3=[1]Elasticities!$A:$A) * ("Long"=[1]Elasticities!$B:$B) * ($A$11=[1]Elasticities!$D:$D) * ($C11=[1]Elasticities!$E:$E), [1]Elasticities!$C:$C)</f>
        <v>#N/A</v>
      </c>
      <c r="Q10" s="164" t="e" cm="1">
        <f t="array" ref="Q10">_xlfn.XLOOKUP(1, ('0. GUIDELINES'!$E$3=[1]Elasticities!$A:$A) * ("Middle"=[1]Elasticities!$B:$B) * ($A$11=[1]Elasticities!$D:$D) * ($C11=[1]Elasticities!$E:$E), [1]Elasticities!$C:$C)</f>
        <v>#N/A</v>
      </c>
      <c r="R10" s="165" t="e" cm="1">
        <f t="array" ref="R10">_xlfn.XLOOKUP(1, ('0. GUIDELINES'!$E$3=[1]Elasticities!$A:$A) * ("Short"=[1]Elasticities!$B:$B) * ($A$11=[1]Elasticities!$D:$D) * ($C11=[1]Elasticities!$E:$E), [1]Elasticities!$C:$C)</f>
        <v>#N/A</v>
      </c>
      <c r="S10" s="164" t="e" cm="1">
        <f t="array" ref="S10">_xlfn.XLOOKUP(1, ('0. GUIDELINES'!$E$3=[1]Elasticities!$A:$A) * ("Long"=[1]Elasticities!$B:$B) * ($B$11=[1]Elasticities!$D:$D) * ($C11=[1]Elasticities!$E:$E), [1]Elasticities!$C:$C)</f>
        <v>#N/A</v>
      </c>
      <c r="T10" s="164" t="e" cm="1">
        <f t="array" ref="T10">_xlfn.XLOOKUP(1, ('0. GUIDELINES'!$E$3=[1]Elasticities!$A:$A) * ("Middle"=[1]Elasticities!$B:$B) * ($B$11=[1]Elasticities!$D:$D) * ($C11=[1]Elasticities!$E:$E), [1]Elasticities!$C:$C)</f>
        <v>#N/A</v>
      </c>
      <c r="U10" s="164" t="e" cm="1">
        <f t="array" ref="U10">_xlfn.XLOOKUP(1, ('0. GUIDELINES'!$E$3=[1]Elasticities!$A:$A) * ("Short"=[1]Elasticities!$B:$B) * ($B$11=[1]Elasticities!$D:$D) * ($C11=[1]Elasticities!$E:$E), [1]Elasticities!$C:$C)</f>
        <v>#N/A</v>
      </c>
      <c r="V10" s="131"/>
      <c r="W10" s="131"/>
      <c r="X10" s="138">
        <v>2007</v>
      </c>
      <c r="Y10" s="138">
        <v>2008</v>
      </c>
      <c r="Z10" s="294">
        <v>2009</v>
      </c>
      <c r="AA10" s="294">
        <v>2010</v>
      </c>
      <c r="AB10" s="294">
        <v>2011</v>
      </c>
      <c r="AC10" s="294">
        <v>2012</v>
      </c>
      <c r="AD10" s="294">
        <v>2013</v>
      </c>
      <c r="AE10" s="294">
        <v>2014</v>
      </c>
      <c r="AF10" s="294">
        <v>2015</v>
      </c>
      <c r="AG10" s="294">
        <v>2016</v>
      </c>
      <c r="AH10" s="294">
        <v>2017</v>
      </c>
      <c r="AI10" s="294">
        <v>2018</v>
      </c>
      <c r="AJ10" s="294">
        <v>2019</v>
      </c>
      <c r="AK10" s="294">
        <v>2020</v>
      </c>
      <c r="AL10" s="294">
        <v>2021</v>
      </c>
      <c r="AM10" s="294">
        <v>2022</v>
      </c>
      <c r="AN10" s="294">
        <v>2023</v>
      </c>
      <c r="AP10" s="89" t="s">
        <v>189</v>
      </c>
      <c r="AQ10" s="89" t="s">
        <v>190</v>
      </c>
      <c r="AR10" s="89" t="s">
        <v>191</v>
      </c>
      <c r="AU10" s="89"/>
      <c r="AV10" s="89"/>
      <c r="AW10" s="136"/>
      <c r="AX10" s="136"/>
      <c r="AY10" s="89"/>
      <c r="AZ10" s="89"/>
      <c r="BA10" s="89"/>
      <c r="BB10" s="89"/>
    </row>
    <row r="11" spans="1:54" ht="14.25" x14ac:dyDescent="0.2">
      <c r="A11" s="93" t="str">
        <f>VLOOKUP(P$8, 'CONTROL '!$D$1:$E$8, 2, 0)</f>
        <v>avg</v>
      </c>
      <c r="B11" s="93" t="str">
        <f>VLOOKUP(S$8, 'CONTROL '!$D$1:$E$8, 2, 0)</f>
        <v>reg</v>
      </c>
      <c r="C11" s="93" t="str">
        <f>'CONTROL '!$C2</f>
        <v>gdp_activity</v>
      </c>
      <c r="D11" s="129"/>
      <c r="E11" s="130" t="s">
        <v>192</v>
      </c>
      <c r="F11" s="89"/>
      <c r="G11" s="89"/>
      <c r="H11" s="89"/>
      <c r="I11" s="140" t="s">
        <v>193</v>
      </c>
      <c r="J11" s="139"/>
      <c r="K11" s="139">
        <f t="shared" ref="K11:N23" si="0">0+K$7</f>
        <v>0.251</v>
      </c>
      <c r="L11" s="139">
        <f t="shared" si="0"/>
        <v>0.24559138775080852</v>
      </c>
      <c r="M11" s="139">
        <f t="shared" si="0"/>
        <v>0.22381005061871498</v>
      </c>
      <c r="N11" s="139">
        <f>0+N$7</f>
        <v>0.20353649478915475</v>
      </c>
      <c r="O11" s="353"/>
      <c r="P11" s="356" t="e" cm="1">
        <f t="array" ref="P11">_xlfn.XLOOKUP(1, ('0. GUIDELINES'!$E$3=[1]Elasticities!$A:$A) * ("Long"=[1]Elasticities!$B:$B) * ($A$11=[1]Elasticities!$D:$D) * ($C11=[1]Elasticities!$E:$E), [1]Elasticities!$F:$F)</f>
        <v>#N/A</v>
      </c>
      <c r="Q11" s="356" t="e" cm="1">
        <f t="array" ref="Q11">_xlfn.XLOOKUP(1, ('0. GUIDELINES'!$E$3=[1]Elasticities!$A:$A) * ("Middle"=[1]Elasticities!$B:$B) * ($A$11=[1]Elasticities!$D:$D) * ($C11=[1]Elasticities!$E:$E), [1]Elasticities!$F:$F)</f>
        <v>#N/A</v>
      </c>
      <c r="R11" s="357" t="e" cm="1">
        <f t="array" ref="R11">_xlfn.XLOOKUP(1, ('0. GUIDELINES'!$E$3=[1]Elasticities!$A:$A) * ("Short"=[1]Elasticities!$B:$B) * ($A$11=[1]Elasticities!$D:$D) * ($C11=[1]Elasticities!$E:$E), [1]Elasticities!$F:$F)</f>
        <v>#N/A</v>
      </c>
      <c r="S11" s="356" t="e" cm="1">
        <f t="array" ref="S11">_xlfn.XLOOKUP(1, ('0. GUIDELINES'!$E$3=[1]Elasticities!$A:$A) * ("Long"=[1]Elasticities!$B:$B) * ($B$11=[1]Elasticities!$D:$D) * ($C11=[1]Elasticities!$E:$E), [1]Elasticities!$F:$F)</f>
        <v>#N/A</v>
      </c>
      <c r="T11" s="356" t="e" cm="1">
        <f t="array" ref="T11">_xlfn.XLOOKUP(1, ('0. GUIDELINES'!$E$3=[1]Elasticities!$A:$A) * ("Middle"=[1]Elasticities!$B:$B) * ($B$11=[1]Elasticities!$D:$D) * ($C11=[1]Elasticities!$E:$E), [1]Elasticities!$F:$F)</f>
        <v>#N/A</v>
      </c>
      <c r="U11" s="356" t="e" cm="1">
        <f t="array" ref="U11">_xlfn.XLOOKUP(1, ('0. GUIDELINES'!$E$3=[1]Elasticities!$A:$A) * ("Short"=[1]Elasticities!$B:$B) * ($B$11=[1]Elasticities!$D:$D) * ($C11=[1]Elasticities!$E:$E), [1]Elasticities!$F:$F)</f>
        <v>#N/A</v>
      </c>
      <c r="V11" s="132"/>
      <c r="W11" s="131"/>
      <c r="X11" s="168" t="e" cm="1">
        <f t="array" ref="X11">_xlfn.XLOOKUP(1, ('0. GUIDELINES'!$E$3='[1]Elasticities by year'!$A:$A) * (X$10='[1]Elasticities by year'!$B:$B)* ($C11='[1]Elasticities by year'!$C:$C), '[1]Elasticities by year'!$D:$D)</f>
        <v>#N/A</v>
      </c>
      <c r="Y11" s="168" t="e" cm="1">
        <f t="array" ref="Y11">_xlfn.XLOOKUP(1, ('0. GUIDELINES'!$E$3='[1]Elasticities by year'!$A:$A) * (Y$10='[1]Elasticities by year'!$B:$B)* ($C11='[1]Elasticities by year'!$C:$C), '[1]Elasticities by year'!$D:$D)</f>
        <v>#N/A</v>
      </c>
      <c r="Z11" s="168" t="e" cm="1">
        <f t="array" ref="Z11">_xlfn.XLOOKUP(1, ('0. GUIDELINES'!$E$3='[1]Elasticities by year'!$A:$A) * (Z$10='[1]Elasticities by year'!$B:$B)* ($C11='[1]Elasticities by year'!$C:$C), '[1]Elasticities by year'!$D:$D)</f>
        <v>#N/A</v>
      </c>
      <c r="AA11" s="168" t="e" cm="1">
        <f t="array" ref="AA11">_xlfn.XLOOKUP(1, ('0. GUIDELINES'!$E$3='[1]Elasticities by year'!$A:$A) * (AA$10='[1]Elasticities by year'!$B:$B)* ($C11='[1]Elasticities by year'!$C:$C), '[1]Elasticities by year'!$D:$D)</f>
        <v>#N/A</v>
      </c>
      <c r="AB11" s="168" t="e" cm="1">
        <f t="array" ref="AB11">_xlfn.XLOOKUP(1, ('0. GUIDELINES'!$E$3='[1]Elasticities by year'!$A:$A) * (AB$10='[1]Elasticities by year'!$B:$B)* ($C11='[1]Elasticities by year'!$C:$C), '[1]Elasticities by year'!$D:$D)</f>
        <v>#N/A</v>
      </c>
      <c r="AC11" s="168" t="e" cm="1">
        <f t="array" ref="AC11">_xlfn.XLOOKUP(1, ('0. GUIDELINES'!$E$3='[1]Elasticities by year'!$A:$A) * (AC$10='[1]Elasticities by year'!$B:$B)* ($C11='[1]Elasticities by year'!$C:$C), '[1]Elasticities by year'!$D:$D)</f>
        <v>#N/A</v>
      </c>
      <c r="AD11" s="168" t="e" cm="1">
        <f t="array" ref="AD11">_xlfn.XLOOKUP(1, ('0. GUIDELINES'!$E$3='[1]Elasticities by year'!$A:$A) * (AD$10='[1]Elasticities by year'!$B:$B)* ($C11='[1]Elasticities by year'!$C:$C), '[1]Elasticities by year'!$D:$D)</f>
        <v>#N/A</v>
      </c>
      <c r="AE11" s="168" t="e" cm="1">
        <f t="array" ref="AE11">_xlfn.XLOOKUP(1, ('0. GUIDELINES'!$E$3='[1]Elasticities by year'!$A:$A) * (AE$10='[1]Elasticities by year'!$B:$B)* ($C11='[1]Elasticities by year'!$C:$C), '[1]Elasticities by year'!$D:$D)</f>
        <v>#N/A</v>
      </c>
      <c r="AF11" s="168" t="e" cm="1">
        <f t="array" ref="AF11">_xlfn.XLOOKUP(1, ('0. GUIDELINES'!$E$3='[1]Elasticities by year'!$A:$A) * (AF$10='[1]Elasticities by year'!$B:$B)* ($C11='[1]Elasticities by year'!$C:$C), '[1]Elasticities by year'!$D:$D)</f>
        <v>#N/A</v>
      </c>
      <c r="AG11" s="168" t="e" cm="1">
        <f t="array" ref="AG11">_xlfn.XLOOKUP(1, ('0. GUIDELINES'!$E$3='[1]Elasticities by year'!$A:$A) * (AG$10='[1]Elasticities by year'!$B:$B)* ($C11='[1]Elasticities by year'!$C:$C), '[1]Elasticities by year'!$D:$D)</f>
        <v>#N/A</v>
      </c>
      <c r="AH11" s="168" t="e" cm="1">
        <f t="array" ref="AH11">_xlfn.XLOOKUP(1, ('0. GUIDELINES'!$E$3='[1]Elasticities by year'!$A:$A) * (AH$10='[1]Elasticities by year'!$B:$B)* ($C11='[1]Elasticities by year'!$C:$C), '[1]Elasticities by year'!$D:$D)</f>
        <v>#N/A</v>
      </c>
      <c r="AI11" s="168" t="e" cm="1">
        <f t="array" ref="AI11">_xlfn.XLOOKUP(1, ('0. GUIDELINES'!$E$3='[1]Elasticities by year'!$A:$A) * (AI$10='[1]Elasticities by year'!$B:$B)* ($C11='[1]Elasticities by year'!$C:$C), '[1]Elasticities by year'!$D:$D)</f>
        <v>#N/A</v>
      </c>
      <c r="AJ11" s="168" t="e" cm="1">
        <f t="array" ref="AJ11">_xlfn.XLOOKUP(1, ('0. GUIDELINES'!$E$3='[1]Elasticities by year'!$A:$A) * (AJ$10='[1]Elasticities by year'!$B:$B)* ($C11='[1]Elasticities by year'!$C:$C), '[1]Elasticities by year'!$D:$D)</f>
        <v>#N/A</v>
      </c>
      <c r="AK11" s="168" t="e" cm="1">
        <f t="array" ref="AK11">_xlfn.XLOOKUP(1, ('0. GUIDELINES'!$E$3='[1]Elasticities by year'!$A:$A) * (AK$10='[1]Elasticities by year'!$B:$B)* ($C11='[1]Elasticities by year'!$C:$C), '[1]Elasticities by year'!$D:$D)</f>
        <v>#N/A</v>
      </c>
      <c r="AL11" s="168" t="e" cm="1">
        <f t="array" ref="AL11">_xlfn.XLOOKUP(1, ('0. GUIDELINES'!$E$3='[1]Elasticities by year'!$A:$A) * (AL$10='[1]Elasticities by year'!$B:$B)* ($C11='[1]Elasticities by year'!$C:$C), '[1]Elasticities by year'!$D:$D)</f>
        <v>#N/A</v>
      </c>
      <c r="AM11" s="168" t="e" cm="1">
        <f t="array" ref="AM11">_xlfn.XLOOKUP(1, ('0. GUIDELINES'!$E$3='[1]Elasticities by year'!$A:$A) * (AM$10='[1]Elasticities by year'!$B:$B)* ($C11='[1]Elasticities by year'!$C:$C), '[1]Elasticities by year'!$D:$D)</f>
        <v>#N/A</v>
      </c>
      <c r="AN11" s="168" t="e" cm="1">
        <f t="array" ref="AN11">_xlfn.XLOOKUP(1, ('0. GUIDELINES'!$E$3='[1]Elasticities by year'!$A:$A) * (AN$10='[1]Elasticities by year'!$B:$B)* ($C11='[1]Elasticities by year'!$C:$C), '[1]Elasticities by year'!$D:$D)</f>
        <v>#N/A</v>
      </c>
      <c r="AP11" s="355" t="e">
        <f>AVERAGEIF(X11:AK11, "&lt;&gt;#N/A")</f>
        <v>#DIV/0!</v>
      </c>
      <c r="AQ11" s="355" t="e">
        <f>AVERAGEIF(AC11:AK11, "&lt;&gt;#N/A")</f>
        <v>#DIV/0!</v>
      </c>
      <c r="AR11" s="355" t="e">
        <f>AVERAGEIF(AH11:AK11, "&lt;&gt;#N/A")</f>
        <v>#DIV/0!</v>
      </c>
      <c r="AU11" s="89"/>
      <c r="AV11" s="89"/>
      <c r="AW11" s="136"/>
      <c r="AX11" s="136"/>
      <c r="AY11" s="89"/>
      <c r="AZ11" s="89"/>
      <c r="BA11" s="89"/>
      <c r="BB11" s="89"/>
    </row>
    <row r="12" spans="1:54" ht="14.25" x14ac:dyDescent="0.2">
      <c r="A12" s="93"/>
      <c r="B12" s="93"/>
      <c r="C12" s="93" t="str">
        <f>'CONTROL '!$C3</f>
        <v>gdp_s0_a1</v>
      </c>
      <c r="D12" s="129"/>
      <c r="E12" s="89"/>
      <c r="F12" s="89"/>
      <c r="G12" s="89"/>
      <c r="H12" s="89"/>
      <c r="I12" s="140" t="s">
        <v>496</v>
      </c>
      <c r="J12" s="139"/>
      <c r="K12" s="139">
        <f t="shared" si="0"/>
        <v>0.251</v>
      </c>
      <c r="L12" s="139">
        <f t="shared" si="0"/>
        <v>0.24559138775080852</v>
      </c>
      <c r="M12" s="139">
        <f t="shared" si="0"/>
        <v>0.22381005061871498</v>
      </c>
      <c r="N12" s="139">
        <f t="shared" si="0"/>
        <v>0.20353649478915475</v>
      </c>
      <c r="O12" s="353"/>
      <c r="P12" s="356" t="e" cm="1">
        <f t="array" ref="P12">_xlfn.XLOOKUP(1, ('0. GUIDELINES'!$E$3=[1]Elasticities!$A:$A) * ("Long"=[1]Elasticities!$B:$B) * ($A$11=[1]Elasticities!$D:$D) * ($C12=[1]Elasticities!$E:$E), [1]Elasticities!$F:$F)</f>
        <v>#N/A</v>
      </c>
      <c r="Q12" s="356" t="e" cm="1">
        <f t="array" ref="Q12">_xlfn.XLOOKUP(1, ('0. GUIDELINES'!$E$3=[1]Elasticities!$A:$A) * ("Middle"=[1]Elasticities!$B:$B) * ($A$11=[1]Elasticities!$D:$D) * ($C12=[1]Elasticities!$E:$E), [1]Elasticities!$F:$F)</f>
        <v>#N/A</v>
      </c>
      <c r="R12" s="357" t="e" cm="1">
        <f t="array" ref="R12">_xlfn.XLOOKUP(1, ('0. GUIDELINES'!$E$3=[1]Elasticities!$A:$A) * ("Short"=[1]Elasticities!$B:$B) * ($A$11=[1]Elasticities!$D:$D) * ($C12=[1]Elasticities!$E:$E), [1]Elasticities!$F:$F)</f>
        <v>#N/A</v>
      </c>
      <c r="S12" s="356" t="e" cm="1">
        <f t="array" ref="S12">_xlfn.XLOOKUP(1, ('0. GUIDELINES'!$E$3=[1]Elasticities!$A:$A) * ("Long"=[1]Elasticities!$B:$B) * ($B$11=[1]Elasticities!$D:$D) * ($C12=[1]Elasticities!$E:$E), [1]Elasticities!$F:$F)</f>
        <v>#N/A</v>
      </c>
      <c r="T12" s="356" t="e" cm="1">
        <f t="array" ref="T12">_xlfn.XLOOKUP(1, ('0. GUIDELINES'!$E$3=[1]Elasticities!$A:$A) * ("Middle"=[1]Elasticities!$B:$B) * ($B$11=[1]Elasticities!$D:$D) * ($C12=[1]Elasticities!$E:$E), [1]Elasticities!$F:$F)</f>
        <v>#N/A</v>
      </c>
      <c r="U12" s="356" t="e" cm="1">
        <f t="array" ref="U12">_xlfn.XLOOKUP(1, ('0. GUIDELINES'!$E$3=[1]Elasticities!$A:$A) * ("Short"=[1]Elasticities!$B:$B) * ($B$11=[1]Elasticities!$D:$D) * ($C12=[1]Elasticities!$E:$E), [1]Elasticities!$F:$F)</f>
        <v>#N/A</v>
      </c>
      <c r="V12" s="132"/>
      <c r="W12" s="131"/>
      <c r="X12" s="168" t="e" cm="1">
        <f t="array" ref="X12">_xlfn.XLOOKUP(1, ('0. GUIDELINES'!$E$3='[1]Elasticities by year'!$A:$A) * (X$10='[1]Elasticities by year'!$B:$B)* ($C12='[1]Elasticities by year'!$C:$C), '[1]Elasticities by year'!$D:$D)</f>
        <v>#N/A</v>
      </c>
      <c r="Y12" s="168" t="e" cm="1">
        <f t="array" ref="Y12">_xlfn.XLOOKUP(1, ('0. GUIDELINES'!$E$3='[1]Elasticities by year'!$A:$A) * (Y$10='[1]Elasticities by year'!$B:$B)* ($C12='[1]Elasticities by year'!$C:$C), '[1]Elasticities by year'!$D:$D)</f>
        <v>#N/A</v>
      </c>
      <c r="Z12" s="168" t="e" cm="1">
        <f t="array" ref="Z12">_xlfn.XLOOKUP(1, ('0. GUIDELINES'!$E$3='[1]Elasticities by year'!$A:$A) * (Z$10='[1]Elasticities by year'!$B:$B)* ($C12='[1]Elasticities by year'!$C:$C), '[1]Elasticities by year'!$D:$D)</f>
        <v>#N/A</v>
      </c>
      <c r="AA12" s="168" t="e" cm="1">
        <f t="array" ref="AA12">_xlfn.XLOOKUP(1, ('0. GUIDELINES'!$E$3='[1]Elasticities by year'!$A:$A) * (AA$10='[1]Elasticities by year'!$B:$B)* ($C12='[1]Elasticities by year'!$C:$C), '[1]Elasticities by year'!$D:$D)</f>
        <v>#N/A</v>
      </c>
      <c r="AB12" s="168" t="e" cm="1">
        <f t="array" ref="AB12">_xlfn.XLOOKUP(1, ('0. GUIDELINES'!$E$3='[1]Elasticities by year'!$A:$A) * (AB$10='[1]Elasticities by year'!$B:$B)* ($C12='[1]Elasticities by year'!$C:$C), '[1]Elasticities by year'!$D:$D)</f>
        <v>#N/A</v>
      </c>
      <c r="AC12" s="168" t="e" cm="1">
        <f t="array" ref="AC12">_xlfn.XLOOKUP(1, ('0. GUIDELINES'!$E$3='[1]Elasticities by year'!$A:$A) * (AC$10='[1]Elasticities by year'!$B:$B)* ($C12='[1]Elasticities by year'!$C:$C), '[1]Elasticities by year'!$D:$D)</f>
        <v>#N/A</v>
      </c>
      <c r="AD12" s="168" t="e" cm="1">
        <f t="array" ref="AD12">_xlfn.XLOOKUP(1, ('0. GUIDELINES'!$E$3='[1]Elasticities by year'!$A:$A) * (AD$10='[1]Elasticities by year'!$B:$B)* ($C12='[1]Elasticities by year'!$C:$C), '[1]Elasticities by year'!$D:$D)</f>
        <v>#N/A</v>
      </c>
      <c r="AE12" s="168" t="e" cm="1">
        <f t="array" ref="AE12">_xlfn.XLOOKUP(1, ('0. GUIDELINES'!$E$3='[1]Elasticities by year'!$A:$A) * (AE$10='[1]Elasticities by year'!$B:$B)* ($C12='[1]Elasticities by year'!$C:$C), '[1]Elasticities by year'!$D:$D)</f>
        <v>#N/A</v>
      </c>
      <c r="AF12" s="168" t="e" cm="1">
        <f t="array" ref="AF12">_xlfn.XLOOKUP(1, ('0. GUIDELINES'!$E$3='[1]Elasticities by year'!$A:$A) * (AF$10='[1]Elasticities by year'!$B:$B)* ($C12='[1]Elasticities by year'!$C:$C), '[1]Elasticities by year'!$D:$D)</f>
        <v>#N/A</v>
      </c>
      <c r="AG12" s="168" t="e" cm="1">
        <f t="array" ref="AG12">_xlfn.XLOOKUP(1, ('0. GUIDELINES'!$E$3='[1]Elasticities by year'!$A:$A) * (AG$10='[1]Elasticities by year'!$B:$B)* ($C12='[1]Elasticities by year'!$C:$C), '[1]Elasticities by year'!$D:$D)</f>
        <v>#N/A</v>
      </c>
      <c r="AH12" s="168" t="e" cm="1">
        <f t="array" ref="AH12">_xlfn.XLOOKUP(1, ('0. GUIDELINES'!$E$3='[1]Elasticities by year'!$A:$A) * (AH$10='[1]Elasticities by year'!$B:$B)* ($C12='[1]Elasticities by year'!$C:$C), '[1]Elasticities by year'!$D:$D)</f>
        <v>#N/A</v>
      </c>
      <c r="AI12" s="168" t="e" cm="1">
        <f t="array" ref="AI12">_xlfn.XLOOKUP(1, ('0. GUIDELINES'!$E$3='[1]Elasticities by year'!$A:$A) * (AI$10='[1]Elasticities by year'!$B:$B)* ($C12='[1]Elasticities by year'!$C:$C), '[1]Elasticities by year'!$D:$D)</f>
        <v>#N/A</v>
      </c>
      <c r="AJ12" s="168" t="e" cm="1">
        <f t="array" ref="AJ12">_xlfn.XLOOKUP(1, ('0. GUIDELINES'!$E$3='[1]Elasticities by year'!$A:$A) * (AJ$10='[1]Elasticities by year'!$B:$B)* ($C12='[1]Elasticities by year'!$C:$C), '[1]Elasticities by year'!$D:$D)</f>
        <v>#N/A</v>
      </c>
      <c r="AK12" s="168" t="e" cm="1">
        <f t="array" ref="AK12">_xlfn.XLOOKUP(1, ('0. GUIDELINES'!$E$3='[1]Elasticities by year'!$A:$A) * (AK$10='[1]Elasticities by year'!$B:$B)* ($C12='[1]Elasticities by year'!$C:$C), '[1]Elasticities by year'!$D:$D)</f>
        <v>#N/A</v>
      </c>
      <c r="AL12" s="168" t="e" cm="1">
        <f t="array" ref="AL12">_xlfn.XLOOKUP(1, ('0. GUIDELINES'!$E$3='[1]Elasticities by year'!$A:$A) * (AL$10='[1]Elasticities by year'!$B:$B)* ($C12='[1]Elasticities by year'!$C:$C), '[1]Elasticities by year'!$D:$D)</f>
        <v>#N/A</v>
      </c>
      <c r="AM12" s="168" t="e" cm="1">
        <f t="array" ref="AM12">_xlfn.XLOOKUP(1, ('0. GUIDELINES'!$E$3='[1]Elasticities by year'!$A:$A) * (AM$10='[1]Elasticities by year'!$B:$B)* ($C12='[1]Elasticities by year'!$C:$C), '[1]Elasticities by year'!$D:$D)</f>
        <v>#N/A</v>
      </c>
      <c r="AN12" s="168" t="e" cm="1">
        <f t="array" ref="AN12">_xlfn.XLOOKUP(1, ('0. GUIDELINES'!$E$3='[1]Elasticities by year'!$A:$A) * (AN$10='[1]Elasticities by year'!$B:$B)* ($C12='[1]Elasticities by year'!$C:$C), '[1]Elasticities by year'!$D:$D)</f>
        <v>#N/A</v>
      </c>
      <c r="AP12" s="355" t="e">
        <f t="shared" ref="AP12:AP23" si="1">AVERAGEIF(X12:AK12, "&lt;&gt;#N/A")</f>
        <v>#DIV/0!</v>
      </c>
      <c r="AQ12" s="355" t="e">
        <f t="shared" ref="AQ12:AQ23" si="2">AVERAGEIF(AC12:AK12, "&lt;&gt;#N/A")</f>
        <v>#DIV/0!</v>
      </c>
      <c r="AR12" s="355" t="e">
        <f t="shared" ref="AR12:AR23" si="3">AVERAGEIF(AH12:AK12, "&lt;&gt;#N/A")</f>
        <v>#DIV/0!</v>
      </c>
      <c r="AU12" s="89"/>
      <c r="AV12" s="89"/>
      <c r="AW12" s="136"/>
      <c r="AX12" s="136"/>
      <c r="AY12" s="89"/>
      <c r="AZ12" s="89"/>
      <c r="BA12" s="89"/>
      <c r="BB12" s="89"/>
    </row>
    <row r="13" spans="1:54" ht="14.25" x14ac:dyDescent="0.2">
      <c r="A13" s="93"/>
      <c r="B13" s="93"/>
      <c r="C13" s="93" t="str">
        <f>'CONTROL '!$C4</f>
        <v>gdp_s1_a1</v>
      </c>
      <c r="D13" s="129"/>
      <c r="E13" s="89"/>
      <c r="F13" s="89"/>
      <c r="G13" s="89"/>
      <c r="H13" s="89"/>
      <c r="I13" s="140" t="s">
        <v>495</v>
      </c>
      <c r="J13" s="139"/>
      <c r="K13" s="139">
        <f t="shared" si="0"/>
        <v>0.251</v>
      </c>
      <c r="L13" s="139">
        <f t="shared" si="0"/>
        <v>0.24559138775080852</v>
      </c>
      <c r="M13" s="139">
        <f t="shared" si="0"/>
        <v>0.22381005061871498</v>
      </c>
      <c r="N13" s="139">
        <f t="shared" si="0"/>
        <v>0.20353649478915475</v>
      </c>
      <c r="O13" s="353"/>
      <c r="P13" s="356" t="e" cm="1">
        <f t="array" ref="P13">_xlfn.XLOOKUP(1, ('0. GUIDELINES'!$E$3=[1]Elasticities!$A:$A) * ("Long"=[1]Elasticities!$B:$B) * ($A$11=[1]Elasticities!$D:$D) * ($C13=[1]Elasticities!$E:$E), [1]Elasticities!$F:$F)</f>
        <v>#N/A</v>
      </c>
      <c r="Q13" s="356" t="e" cm="1">
        <f t="array" ref="Q13">_xlfn.XLOOKUP(1, ('0. GUIDELINES'!$E$3=[1]Elasticities!$A:$A) * ("Middle"=[1]Elasticities!$B:$B) * ($A$11=[1]Elasticities!$D:$D) * ($C13=[1]Elasticities!$E:$E), [1]Elasticities!$F:$F)</f>
        <v>#N/A</v>
      </c>
      <c r="R13" s="357" t="e" cm="1">
        <f t="array" ref="R13">_xlfn.XLOOKUP(1, ('0. GUIDELINES'!$E$3=[1]Elasticities!$A:$A) * ("Short"=[1]Elasticities!$B:$B) * ($A$11=[1]Elasticities!$D:$D) * ($C13=[1]Elasticities!$E:$E), [1]Elasticities!$F:$F)</f>
        <v>#N/A</v>
      </c>
      <c r="S13" s="356" t="e" cm="1">
        <f t="array" ref="S13">_xlfn.XLOOKUP(1, ('0. GUIDELINES'!$E$3=[1]Elasticities!$A:$A) * ("Long"=[1]Elasticities!$B:$B) * ($B$11=[1]Elasticities!$D:$D) * ($C13=[1]Elasticities!$E:$E), [1]Elasticities!$F:$F)</f>
        <v>#N/A</v>
      </c>
      <c r="T13" s="356" t="e" cm="1">
        <f t="array" ref="T13">_xlfn.XLOOKUP(1, ('0. GUIDELINES'!$E$3=[1]Elasticities!$A:$A) * ("Middle"=[1]Elasticities!$B:$B) * ($B$11=[1]Elasticities!$D:$D) * ($C13=[1]Elasticities!$E:$E), [1]Elasticities!$F:$F)</f>
        <v>#N/A</v>
      </c>
      <c r="U13" s="356" t="e" cm="1">
        <f t="array" ref="U13">_xlfn.XLOOKUP(1, ('0. GUIDELINES'!$E$3=[1]Elasticities!$A:$A) * ("Short"=[1]Elasticities!$B:$B) * ($B$11=[1]Elasticities!$D:$D) * ($C13=[1]Elasticities!$E:$E), [1]Elasticities!$F:$F)</f>
        <v>#N/A</v>
      </c>
      <c r="V13" s="132"/>
      <c r="W13" s="131"/>
      <c r="X13" s="168" t="e" cm="1">
        <f t="array" ref="X13">_xlfn.XLOOKUP(1, ('0. GUIDELINES'!$E$3='[1]Elasticities by year'!$A:$A) * (X$10='[1]Elasticities by year'!$B:$B)* ($C13='[1]Elasticities by year'!$C:$C), '[1]Elasticities by year'!$D:$D)</f>
        <v>#N/A</v>
      </c>
      <c r="Y13" s="168" t="e" cm="1">
        <f t="array" ref="Y13">_xlfn.XLOOKUP(1, ('0. GUIDELINES'!$E$3='[1]Elasticities by year'!$A:$A) * (Y$10='[1]Elasticities by year'!$B:$B)* ($C13='[1]Elasticities by year'!$C:$C), '[1]Elasticities by year'!$D:$D)</f>
        <v>#N/A</v>
      </c>
      <c r="Z13" s="168" t="e" cm="1">
        <f t="array" ref="Z13">_xlfn.XLOOKUP(1, ('0. GUIDELINES'!$E$3='[1]Elasticities by year'!$A:$A) * (Z$10='[1]Elasticities by year'!$B:$B)* ($C13='[1]Elasticities by year'!$C:$C), '[1]Elasticities by year'!$D:$D)</f>
        <v>#N/A</v>
      </c>
      <c r="AA13" s="168" t="e" cm="1">
        <f t="array" ref="AA13">_xlfn.XLOOKUP(1, ('0. GUIDELINES'!$E$3='[1]Elasticities by year'!$A:$A) * (AA$10='[1]Elasticities by year'!$B:$B)* ($C13='[1]Elasticities by year'!$C:$C), '[1]Elasticities by year'!$D:$D)</f>
        <v>#N/A</v>
      </c>
      <c r="AB13" s="168" t="e" cm="1">
        <f t="array" ref="AB13">_xlfn.XLOOKUP(1, ('0. GUIDELINES'!$E$3='[1]Elasticities by year'!$A:$A) * (AB$10='[1]Elasticities by year'!$B:$B)* ($C13='[1]Elasticities by year'!$C:$C), '[1]Elasticities by year'!$D:$D)</f>
        <v>#N/A</v>
      </c>
      <c r="AC13" s="168" t="e" cm="1">
        <f t="array" ref="AC13">_xlfn.XLOOKUP(1, ('0. GUIDELINES'!$E$3='[1]Elasticities by year'!$A:$A) * (AC$10='[1]Elasticities by year'!$B:$B)* ($C13='[1]Elasticities by year'!$C:$C), '[1]Elasticities by year'!$D:$D)</f>
        <v>#N/A</v>
      </c>
      <c r="AD13" s="168" t="e" cm="1">
        <f t="array" ref="AD13">_xlfn.XLOOKUP(1, ('0. GUIDELINES'!$E$3='[1]Elasticities by year'!$A:$A) * (AD$10='[1]Elasticities by year'!$B:$B)* ($C13='[1]Elasticities by year'!$C:$C), '[1]Elasticities by year'!$D:$D)</f>
        <v>#N/A</v>
      </c>
      <c r="AE13" s="168" t="e" cm="1">
        <f t="array" ref="AE13">_xlfn.XLOOKUP(1, ('0. GUIDELINES'!$E$3='[1]Elasticities by year'!$A:$A) * (AE$10='[1]Elasticities by year'!$B:$B)* ($C13='[1]Elasticities by year'!$C:$C), '[1]Elasticities by year'!$D:$D)</f>
        <v>#N/A</v>
      </c>
      <c r="AF13" s="168" t="e" cm="1">
        <f t="array" ref="AF13">_xlfn.XLOOKUP(1, ('0. GUIDELINES'!$E$3='[1]Elasticities by year'!$A:$A) * (AF$10='[1]Elasticities by year'!$B:$B)* ($C13='[1]Elasticities by year'!$C:$C), '[1]Elasticities by year'!$D:$D)</f>
        <v>#N/A</v>
      </c>
      <c r="AG13" s="168" t="e" cm="1">
        <f t="array" ref="AG13">_xlfn.XLOOKUP(1, ('0. GUIDELINES'!$E$3='[1]Elasticities by year'!$A:$A) * (AG$10='[1]Elasticities by year'!$B:$B)* ($C13='[1]Elasticities by year'!$C:$C), '[1]Elasticities by year'!$D:$D)</f>
        <v>#N/A</v>
      </c>
      <c r="AH13" s="168" t="e" cm="1">
        <f t="array" ref="AH13">_xlfn.XLOOKUP(1, ('0. GUIDELINES'!$E$3='[1]Elasticities by year'!$A:$A) * (AH$10='[1]Elasticities by year'!$B:$B)* ($C13='[1]Elasticities by year'!$C:$C), '[1]Elasticities by year'!$D:$D)</f>
        <v>#N/A</v>
      </c>
      <c r="AI13" s="168" t="e" cm="1">
        <f t="array" ref="AI13">_xlfn.XLOOKUP(1, ('0. GUIDELINES'!$E$3='[1]Elasticities by year'!$A:$A) * (AI$10='[1]Elasticities by year'!$B:$B)* ($C13='[1]Elasticities by year'!$C:$C), '[1]Elasticities by year'!$D:$D)</f>
        <v>#N/A</v>
      </c>
      <c r="AJ13" s="168" t="e" cm="1">
        <f t="array" ref="AJ13">_xlfn.XLOOKUP(1, ('0. GUIDELINES'!$E$3='[1]Elasticities by year'!$A:$A) * (AJ$10='[1]Elasticities by year'!$B:$B)* ($C13='[1]Elasticities by year'!$C:$C), '[1]Elasticities by year'!$D:$D)</f>
        <v>#N/A</v>
      </c>
      <c r="AK13" s="168" t="e" cm="1">
        <f t="array" ref="AK13">_xlfn.XLOOKUP(1, ('0. GUIDELINES'!$E$3='[1]Elasticities by year'!$A:$A) * (AK$10='[1]Elasticities by year'!$B:$B)* ($C13='[1]Elasticities by year'!$C:$C), '[1]Elasticities by year'!$D:$D)</f>
        <v>#N/A</v>
      </c>
      <c r="AL13" s="168" t="e" cm="1">
        <f t="array" ref="AL13">_xlfn.XLOOKUP(1, ('0. GUIDELINES'!$E$3='[1]Elasticities by year'!$A:$A) * (AL$10='[1]Elasticities by year'!$B:$B)* ($C13='[1]Elasticities by year'!$C:$C), '[1]Elasticities by year'!$D:$D)</f>
        <v>#N/A</v>
      </c>
      <c r="AM13" s="168" t="e" cm="1">
        <f t="array" ref="AM13">_xlfn.XLOOKUP(1, ('0. GUIDELINES'!$E$3='[1]Elasticities by year'!$A:$A) * (AM$10='[1]Elasticities by year'!$B:$B)* ($C13='[1]Elasticities by year'!$C:$C), '[1]Elasticities by year'!$D:$D)</f>
        <v>#N/A</v>
      </c>
      <c r="AN13" s="168" t="e" cm="1">
        <f t="array" ref="AN13">_xlfn.XLOOKUP(1, ('0. GUIDELINES'!$E$3='[1]Elasticities by year'!$A:$A) * (AN$10='[1]Elasticities by year'!$B:$B)* ($C13='[1]Elasticities by year'!$C:$C), '[1]Elasticities by year'!$D:$D)</f>
        <v>#N/A</v>
      </c>
      <c r="AP13" s="355" t="e">
        <f t="shared" si="1"/>
        <v>#DIV/0!</v>
      </c>
      <c r="AQ13" s="355" t="e">
        <f t="shared" si="2"/>
        <v>#DIV/0!</v>
      </c>
      <c r="AR13" s="355" t="e">
        <f t="shared" si="3"/>
        <v>#DIV/0!</v>
      </c>
      <c r="AU13" s="89"/>
      <c r="AV13" s="89"/>
      <c r="AW13" s="136"/>
      <c r="AX13" s="136"/>
      <c r="AY13" s="89"/>
      <c r="AZ13" s="89"/>
      <c r="BA13" s="89"/>
      <c r="BB13" s="89"/>
    </row>
    <row r="14" spans="1:54" ht="14.25" x14ac:dyDescent="0.2">
      <c r="A14" s="93"/>
      <c r="B14" s="93"/>
      <c r="C14" s="93" t="str">
        <f>'CONTROL '!$C5</f>
        <v>gdp_s0_a2</v>
      </c>
      <c r="D14" s="129"/>
      <c r="E14" s="89"/>
      <c r="F14" s="89"/>
      <c r="G14" s="89"/>
      <c r="H14" s="89"/>
      <c r="I14" s="140" t="s">
        <v>497</v>
      </c>
      <c r="J14" s="139"/>
      <c r="K14" s="139">
        <f t="shared" si="0"/>
        <v>0.251</v>
      </c>
      <c r="L14" s="139">
        <f t="shared" si="0"/>
        <v>0.24559138775080852</v>
      </c>
      <c r="M14" s="139">
        <f t="shared" si="0"/>
        <v>0.22381005061871498</v>
      </c>
      <c r="N14" s="139">
        <f t="shared" si="0"/>
        <v>0.20353649478915475</v>
      </c>
      <c r="O14" s="419"/>
      <c r="P14" s="356"/>
      <c r="Q14" s="356"/>
      <c r="R14" s="357"/>
      <c r="S14" s="356"/>
      <c r="T14" s="356"/>
      <c r="U14" s="356"/>
      <c r="V14" s="132"/>
      <c r="W14" s="131"/>
      <c r="X14" s="168"/>
      <c r="Y14" s="168"/>
      <c r="Z14" s="168"/>
      <c r="AA14" s="168"/>
      <c r="AB14" s="168"/>
      <c r="AC14" s="168"/>
      <c r="AD14" s="168"/>
      <c r="AE14" s="168"/>
      <c r="AF14" s="168"/>
      <c r="AG14" s="168"/>
      <c r="AH14" s="168"/>
      <c r="AI14" s="168"/>
      <c r="AJ14" s="168"/>
      <c r="AK14" s="168"/>
      <c r="AL14" s="168"/>
      <c r="AM14" s="168"/>
      <c r="AN14" s="168"/>
      <c r="AP14" s="355"/>
      <c r="AQ14" s="355"/>
      <c r="AR14" s="355"/>
      <c r="AU14" s="89"/>
      <c r="AV14" s="89"/>
      <c r="AW14" s="136"/>
      <c r="AX14" s="136"/>
      <c r="AY14" s="89"/>
      <c r="AZ14" s="89"/>
      <c r="BA14" s="89"/>
      <c r="BB14" s="89"/>
    </row>
    <row r="15" spans="1:54" ht="14.25" x14ac:dyDescent="0.2">
      <c r="A15" s="93"/>
      <c r="B15" s="93"/>
      <c r="C15" s="93" t="str">
        <f>'CONTROL '!$C6</f>
        <v>gdp_s1_a2</v>
      </c>
      <c r="D15" s="129"/>
      <c r="E15" s="89"/>
      <c r="F15" s="89"/>
      <c r="G15" s="89"/>
      <c r="H15" s="89"/>
      <c r="I15" s="140" t="s">
        <v>498</v>
      </c>
      <c r="J15" s="139"/>
      <c r="K15" s="139">
        <f t="shared" si="0"/>
        <v>0.251</v>
      </c>
      <c r="L15" s="139">
        <f t="shared" si="0"/>
        <v>0.24559138775080852</v>
      </c>
      <c r="M15" s="139">
        <f t="shared" si="0"/>
        <v>0.22381005061871498</v>
      </c>
      <c r="N15" s="139">
        <f t="shared" si="0"/>
        <v>0.20353649478915475</v>
      </c>
      <c r="O15" s="419"/>
      <c r="P15" s="356"/>
      <c r="Q15" s="356"/>
      <c r="R15" s="357"/>
      <c r="S15" s="356"/>
      <c r="T15" s="356"/>
      <c r="U15" s="356"/>
      <c r="V15" s="132"/>
      <c r="W15" s="131"/>
      <c r="X15" s="168"/>
      <c r="Y15" s="168"/>
      <c r="Z15" s="168"/>
      <c r="AA15" s="168"/>
      <c r="AB15" s="168"/>
      <c r="AC15" s="168"/>
      <c r="AD15" s="168"/>
      <c r="AE15" s="168"/>
      <c r="AF15" s="168"/>
      <c r="AG15" s="168"/>
      <c r="AH15" s="168"/>
      <c r="AI15" s="168"/>
      <c r="AJ15" s="168"/>
      <c r="AK15" s="168"/>
      <c r="AL15" s="168"/>
      <c r="AM15" s="168"/>
      <c r="AN15" s="168"/>
      <c r="AP15" s="355"/>
      <c r="AQ15" s="355"/>
      <c r="AR15" s="355"/>
      <c r="AU15" s="89"/>
      <c r="AV15" s="89"/>
      <c r="AW15" s="136"/>
      <c r="AX15" s="136"/>
      <c r="AY15" s="89"/>
      <c r="AZ15" s="89"/>
      <c r="BA15" s="89"/>
      <c r="BB15" s="89"/>
    </row>
    <row r="16" spans="1:54" ht="14.25" x14ac:dyDescent="0.2">
      <c r="A16" s="93"/>
      <c r="B16" s="93"/>
      <c r="C16" s="93" t="str">
        <f>'CONTROL '!$C7</f>
        <v>gdp_s0_a3</v>
      </c>
      <c r="D16" s="129"/>
      <c r="E16" s="89"/>
      <c r="F16" s="89"/>
      <c r="G16" s="89"/>
      <c r="H16" s="89"/>
      <c r="I16" s="140" t="s">
        <v>510</v>
      </c>
      <c r="J16" s="139"/>
      <c r="K16" s="139">
        <f t="shared" si="0"/>
        <v>0.251</v>
      </c>
      <c r="L16" s="139">
        <f t="shared" si="0"/>
        <v>0.24559138775080852</v>
      </c>
      <c r="M16" s="139">
        <f t="shared" si="0"/>
        <v>0.22381005061871498</v>
      </c>
      <c r="N16" s="139">
        <f t="shared" si="0"/>
        <v>0.20353649478915475</v>
      </c>
      <c r="O16" s="419"/>
      <c r="P16" s="356"/>
      <c r="Q16" s="356"/>
      <c r="R16" s="357"/>
      <c r="S16" s="356"/>
      <c r="T16" s="356"/>
      <c r="U16" s="356"/>
      <c r="V16" s="132"/>
      <c r="W16" s="131"/>
      <c r="X16" s="168"/>
      <c r="Y16" s="168"/>
      <c r="Z16" s="168"/>
      <c r="AA16" s="168"/>
      <c r="AB16" s="168"/>
      <c r="AC16" s="168"/>
      <c r="AD16" s="168"/>
      <c r="AE16" s="168"/>
      <c r="AF16" s="168"/>
      <c r="AG16" s="168"/>
      <c r="AH16" s="168"/>
      <c r="AI16" s="168"/>
      <c r="AJ16" s="168"/>
      <c r="AK16" s="168"/>
      <c r="AL16" s="168"/>
      <c r="AM16" s="168"/>
      <c r="AN16" s="168"/>
      <c r="AP16" s="355"/>
      <c r="AQ16" s="355"/>
      <c r="AR16" s="355"/>
      <c r="AU16" s="89"/>
      <c r="AV16" s="89"/>
      <c r="AW16" s="136"/>
      <c r="AX16" s="136"/>
      <c r="AY16" s="89"/>
      <c r="AZ16" s="89"/>
      <c r="BA16" s="89"/>
      <c r="BB16" s="89"/>
    </row>
    <row r="17" spans="1:54" ht="14.25" x14ac:dyDescent="0.2">
      <c r="A17" s="93"/>
      <c r="B17" s="93"/>
      <c r="C17" s="93" t="str">
        <f>'CONTROL '!$C8</f>
        <v>gdp_s1_a3</v>
      </c>
      <c r="D17" s="129"/>
      <c r="E17" s="89"/>
      <c r="F17" s="89"/>
      <c r="G17" s="89"/>
      <c r="H17" s="89"/>
      <c r="I17" s="140" t="s">
        <v>499</v>
      </c>
      <c r="J17" s="139"/>
      <c r="K17" s="139">
        <f t="shared" si="0"/>
        <v>0.251</v>
      </c>
      <c r="L17" s="139">
        <f t="shared" si="0"/>
        <v>0.24559138775080852</v>
      </c>
      <c r="M17" s="139">
        <f t="shared" si="0"/>
        <v>0.22381005061871498</v>
      </c>
      <c r="N17" s="139">
        <f t="shared" si="0"/>
        <v>0.20353649478915475</v>
      </c>
      <c r="O17" s="419"/>
      <c r="P17" s="356"/>
      <c r="Q17" s="356"/>
      <c r="R17" s="357"/>
      <c r="S17" s="356"/>
      <c r="T17" s="356"/>
      <c r="U17" s="356"/>
      <c r="V17" s="132"/>
      <c r="W17" s="131"/>
      <c r="X17" s="168"/>
      <c r="Y17" s="168"/>
      <c r="Z17" s="168"/>
      <c r="AA17" s="168"/>
      <c r="AB17" s="168"/>
      <c r="AC17" s="168"/>
      <c r="AD17" s="168"/>
      <c r="AE17" s="168"/>
      <c r="AF17" s="168"/>
      <c r="AG17" s="168"/>
      <c r="AH17" s="168"/>
      <c r="AI17" s="168"/>
      <c r="AJ17" s="168"/>
      <c r="AK17" s="168"/>
      <c r="AL17" s="168"/>
      <c r="AM17" s="168"/>
      <c r="AN17" s="168"/>
      <c r="AP17" s="355"/>
      <c r="AQ17" s="355"/>
      <c r="AR17" s="355"/>
      <c r="AU17" s="89"/>
      <c r="AV17" s="89"/>
      <c r="AW17" s="136"/>
      <c r="AX17" s="136"/>
      <c r="AY17" s="89"/>
      <c r="AZ17" s="89"/>
      <c r="BA17" s="89"/>
      <c r="BB17" s="89"/>
    </row>
    <row r="18" spans="1:54" ht="14.25" x14ac:dyDescent="0.2">
      <c r="A18" s="93"/>
      <c r="B18" s="93"/>
      <c r="C18" s="93" t="str">
        <f>'CONTROL '!$C9</f>
        <v>gdp_s0_a4</v>
      </c>
      <c r="D18" s="129"/>
      <c r="E18" s="89"/>
      <c r="F18" s="89"/>
      <c r="G18" s="89"/>
      <c r="H18" s="89"/>
      <c r="I18" s="140" t="s">
        <v>501</v>
      </c>
      <c r="J18" s="139"/>
      <c r="K18" s="139">
        <f t="shared" si="0"/>
        <v>0.251</v>
      </c>
      <c r="L18" s="139">
        <f t="shared" si="0"/>
        <v>0.24559138775080852</v>
      </c>
      <c r="M18" s="139">
        <f t="shared" si="0"/>
        <v>0.22381005061871498</v>
      </c>
      <c r="N18" s="139">
        <f t="shared" si="0"/>
        <v>0.20353649478915475</v>
      </c>
      <c r="O18" s="419"/>
      <c r="P18" s="356"/>
      <c r="Q18" s="356"/>
      <c r="R18" s="357"/>
      <c r="S18" s="356"/>
      <c r="T18" s="356"/>
      <c r="U18" s="356"/>
      <c r="V18" s="132"/>
      <c r="W18" s="131"/>
      <c r="X18" s="168"/>
      <c r="Y18" s="168"/>
      <c r="Z18" s="168"/>
      <c r="AA18" s="168"/>
      <c r="AB18" s="168"/>
      <c r="AC18" s="168"/>
      <c r="AD18" s="168"/>
      <c r="AE18" s="168"/>
      <c r="AF18" s="168"/>
      <c r="AG18" s="168"/>
      <c r="AH18" s="168"/>
      <c r="AI18" s="168"/>
      <c r="AJ18" s="168"/>
      <c r="AK18" s="168"/>
      <c r="AL18" s="168"/>
      <c r="AM18" s="168"/>
      <c r="AN18" s="168"/>
      <c r="AP18" s="355"/>
      <c r="AQ18" s="355"/>
      <c r="AR18" s="355"/>
      <c r="AU18" s="89"/>
      <c r="AV18" s="89"/>
      <c r="AW18" s="136"/>
      <c r="AX18" s="136"/>
      <c r="AY18" s="89"/>
      <c r="AZ18" s="89"/>
      <c r="BA18" s="89"/>
      <c r="BB18" s="89"/>
    </row>
    <row r="19" spans="1:54" ht="14.25" x14ac:dyDescent="0.2">
      <c r="A19" s="93"/>
      <c r="B19" s="93"/>
      <c r="C19" s="93" t="str">
        <f>'CONTROL '!$C10</f>
        <v>gdp_s1_a4</v>
      </c>
      <c r="D19" s="129"/>
      <c r="E19" s="89"/>
      <c r="F19" s="89"/>
      <c r="G19" s="89"/>
      <c r="H19" s="89"/>
      <c r="I19" s="140" t="s">
        <v>502</v>
      </c>
      <c r="J19" s="139"/>
      <c r="K19" s="139">
        <f t="shared" si="0"/>
        <v>0.251</v>
      </c>
      <c r="L19" s="139">
        <f t="shared" si="0"/>
        <v>0.24559138775080852</v>
      </c>
      <c r="M19" s="139">
        <f t="shared" si="0"/>
        <v>0.22381005061871498</v>
      </c>
      <c r="N19" s="139">
        <f t="shared" si="0"/>
        <v>0.20353649478915475</v>
      </c>
      <c r="O19" s="419"/>
      <c r="P19" s="356"/>
      <c r="Q19" s="356"/>
      <c r="R19" s="357"/>
      <c r="S19" s="356"/>
      <c r="T19" s="356"/>
      <c r="U19" s="356"/>
      <c r="V19" s="132"/>
      <c r="W19" s="131"/>
      <c r="X19" s="168"/>
      <c r="Y19" s="168"/>
      <c r="Z19" s="168"/>
      <c r="AA19" s="168"/>
      <c r="AB19" s="168"/>
      <c r="AC19" s="168"/>
      <c r="AD19" s="168"/>
      <c r="AE19" s="168"/>
      <c r="AF19" s="168"/>
      <c r="AG19" s="168"/>
      <c r="AH19" s="168"/>
      <c r="AI19" s="168"/>
      <c r="AJ19" s="168"/>
      <c r="AK19" s="168"/>
      <c r="AL19" s="168"/>
      <c r="AM19" s="168"/>
      <c r="AN19" s="168"/>
      <c r="AP19" s="355"/>
      <c r="AQ19" s="355"/>
      <c r="AR19" s="355"/>
      <c r="AU19" s="89"/>
      <c r="AV19" s="89"/>
      <c r="AW19" s="136"/>
      <c r="AX19" s="136"/>
      <c r="AY19" s="89"/>
      <c r="AZ19" s="89"/>
      <c r="BA19" s="89"/>
      <c r="BB19" s="89"/>
    </row>
    <row r="20" spans="1:54" ht="14.25" x14ac:dyDescent="0.2">
      <c r="A20" s="93"/>
      <c r="B20" s="93"/>
      <c r="C20" s="93" t="str">
        <f>'CONTROL '!$C11</f>
        <v>gdp_s0_a5</v>
      </c>
      <c r="D20" s="129"/>
      <c r="E20" s="89"/>
      <c r="F20" s="89"/>
      <c r="G20" s="89"/>
      <c r="H20" s="89"/>
      <c r="I20" s="140" t="s">
        <v>503</v>
      </c>
      <c r="J20" s="139"/>
      <c r="K20" s="139">
        <f t="shared" si="0"/>
        <v>0.251</v>
      </c>
      <c r="L20" s="139">
        <f t="shared" si="0"/>
        <v>0.24559138775080852</v>
      </c>
      <c r="M20" s="139">
        <f t="shared" si="0"/>
        <v>0.22381005061871498</v>
      </c>
      <c r="N20" s="139">
        <f t="shared" si="0"/>
        <v>0.20353649478915475</v>
      </c>
      <c r="O20" s="353"/>
      <c r="P20" s="356" t="e" cm="1">
        <f t="array" ref="P20">_xlfn.XLOOKUP(1, ('0. GUIDELINES'!$E$3=[1]Elasticities!$A:$A) * ("Long"=[1]Elasticities!$B:$B) * ($A$11=[1]Elasticities!$D:$D) * ($C20=[1]Elasticities!$E:$E), [1]Elasticities!$F:$F)</f>
        <v>#N/A</v>
      </c>
      <c r="Q20" s="356" t="e" cm="1">
        <f t="array" ref="Q20">_xlfn.XLOOKUP(1, ('0. GUIDELINES'!$E$3=[1]Elasticities!$A:$A) * ("Middle"=[1]Elasticities!$B:$B) * ($A$11=[1]Elasticities!$D:$D) * ($C20=[1]Elasticities!$E:$E), [1]Elasticities!$F:$F)</f>
        <v>#N/A</v>
      </c>
      <c r="R20" s="357" t="e" cm="1">
        <f t="array" ref="R20">_xlfn.XLOOKUP(1, ('0. GUIDELINES'!$E$3=[1]Elasticities!$A:$A) * ("Short"=[1]Elasticities!$B:$B) * ($A$11=[1]Elasticities!$D:$D) * ($C20=[1]Elasticities!$E:$E), [1]Elasticities!$F:$F)</f>
        <v>#N/A</v>
      </c>
      <c r="S20" s="356" t="e" cm="1">
        <f t="array" ref="S20">_xlfn.XLOOKUP(1, ('0. GUIDELINES'!$E$3=[1]Elasticities!$A:$A) * ("Long"=[1]Elasticities!$B:$B) * ($B$11=[1]Elasticities!$D:$D) * ($C20=[1]Elasticities!$E:$E), [1]Elasticities!$F:$F)</f>
        <v>#N/A</v>
      </c>
      <c r="T20" s="356" t="e" cm="1">
        <f t="array" ref="T20">_xlfn.XLOOKUP(1, ('0. GUIDELINES'!$E$3=[1]Elasticities!$A:$A) * ("Middle"=[1]Elasticities!$B:$B) * ($B$11=[1]Elasticities!$D:$D) * ($C20=[1]Elasticities!$E:$E), [1]Elasticities!$F:$F)</f>
        <v>#N/A</v>
      </c>
      <c r="U20" s="356" t="e" cm="1">
        <f t="array" ref="U20">_xlfn.XLOOKUP(1, ('0. GUIDELINES'!$E$3=[1]Elasticities!$A:$A) * ("Short"=[1]Elasticities!$B:$B) * ($B$11=[1]Elasticities!$D:$D) * ($C20=[1]Elasticities!$E:$E), [1]Elasticities!$F:$F)</f>
        <v>#N/A</v>
      </c>
      <c r="V20" s="132"/>
      <c r="W20" s="131"/>
      <c r="X20" s="168" t="e" cm="1">
        <f t="array" ref="X20">_xlfn.XLOOKUP(1, ('0. GUIDELINES'!$E$3='[1]Elasticities by year'!$A:$A) * (X$10='[1]Elasticities by year'!$B:$B)* ($C20='[1]Elasticities by year'!$C:$C), '[1]Elasticities by year'!$D:$D)</f>
        <v>#N/A</v>
      </c>
      <c r="Y20" s="168" t="e" cm="1">
        <f t="array" ref="Y20">_xlfn.XLOOKUP(1, ('0. GUIDELINES'!$E$3='[1]Elasticities by year'!$A:$A) * (Y$10='[1]Elasticities by year'!$B:$B)* ($C20='[1]Elasticities by year'!$C:$C), '[1]Elasticities by year'!$D:$D)</f>
        <v>#N/A</v>
      </c>
      <c r="Z20" s="168" t="e" cm="1">
        <f t="array" ref="Z20">_xlfn.XLOOKUP(1, ('0. GUIDELINES'!$E$3='[1]Elasticities by year'!$A:$A) * (Z$10='[1]Elasticities by year'!$B:$B)* ($C20='[1]Elasticities by year'!$C:$C), '[1]Elasticities by year'!$D:$D)</f>
        <v>#N/A</v>
      </c>
      <c r="AA20" s="168" t="e" cm="1">
        <f t="array" ref="AA20">_xlfn.XLOOKUP(1, ('0. GUIDELINES'!$E$3='[1]Elasticities by year'!$A:$A) * (AA$10='[1]Elasticities by year'!$B:$B)* ($C20='[1]Elasticities by year'!$C:$C), '[1]Elasticities by year'!$D:$D)</f>
        <v>#N/A</v>
      </c>
      <c r="AB20" s="168" t="e" cm="1">
        <f t="array" ref="AB20">_xlfn.XLOOKUP(1, ('0. GUIDELINES'!$E$3='[1]Elasticities by year'!$A:$A) * (AB$10='[1]Elasticities by year'!$B:$B)* ($C20='[1]Elasticities by year'!$C:$C), '[1]Elasticities by year'!$D:$D)</f>
        <v>#N/A</v>
      </c>
      <c r="AC20" s="168" t="e" cm="1">
        <f t="array" ref="AC20">_xlfn.XLOOKUP(1, ('0. GUIDELINES'!$E$3='[1]Elasticities by year'!$A:$A) * (AC$10='[1]Elasticities by year'!$B:$B)* ($C20='[1]Elasticities by year'!$C:$C), '[1]Elasticities by year'!$D:$D)</f>
        <v>#N/A</v>
      </c>
      <c r="AD20" s="168" t="e" cm="1">
        <f t="array" ref="AD20">_xlfn.XLOOKUP(1, ('0. GUIDELINES'!$E$3='[1]Elasticities by year'!$A:$A) * (AD$10='[1]Elasticities by year'!$B:$B)* ($C20='[1]Elasticities by year'!$C:$C), '[1]Elasticities by year'!$D:$D)</f>
        <v>#N/A</v>
      </c>
      <c r="AE20" s="168" t="e" cm="1">
        <f t="array" ref="AE20">_xlfn.XLOOKUP(1, ('0. GUIDELINES'!$E$3='[1]Elasticities by year'!$A:$A) * (AE$10='[1]Elasticities by year'!$B:$B)* ($C20='[1]Elasticities by year'!$C:$C), '[1]Elasticities by year'!$D:$D)</f>
        <v>#N/A</v>
      </c>
      <c r="AF20" s="168" t="e" cm="1">
        <f t="array" ref="AF20">_xlfn.XLOOKUP(1, ('0. GUIDELINES'!$E$3='[1]Elasticities by year'!$A:$A) * (AF$10='[1]Elasticities by year'!$B:$B)* ($C20='[1]Elasticities by year'!$C:$C), '[1]Elasticities by year'!$D:$D)</f>
        <v>#N/A</v>
      </c>
      <c r="AG20" s="168" t="e" cm="1">
        <f t="array" ref="AG20">_xlfn.XLOOKUP(1, ('0. GUIDELINES'!$E$3='[1]Elasticities by year'!$A:$A) * (AG$10='[1]Elasticities by year'!$B:$B)* ($C20='[1]Elasticities by year'!$C:$C), '[1]Elasticities by year'!$D:$D)</f>
        <v>#N/A</v>
      </c>
      <c r="AH20" s="168" t="e" cm="1">
        <f t="array" ref="AH20">_xlfn.XLOOKUP(1, ('0. GUIDELINES'!$E$3='[1]Elasticities by year'!$A:$A) * (AH$10='[1]Elasticities by year'!$B:$B)* ($C20='[1]Elasticities by year'!$C:$C), '[1]Elasticities by year'!$D:$D)</f>
        <v>#N/A</v>
      </c>
      <c r="AI20" s="168" t="e" cm="1">
        <f t="array" ref="AI20">_xlfn.XLOOKUP(1, ('0. GUIDELINES'!$E$3='[1]Elasticities by year'!$A:$A) * (AI$10='[1]Elasticities by year'!$B:$B)* ($C20='[1]Elasticities by year'!$C:$C), '[1]Elasticities by year'!$D:$D)</f>
        <v>#N/A</v>
      </c>
      <c r="AJ20" s="168" t="e" cm="1">
        <f t="array" ref="AJ20">_xlfn.XLOOKUP(1, ('0. GUIDELINES'!$E$3='[1]Elasticities by year'!$A:$A) * (AJ$10='[1]Elasticities by year'!$B:$B)* ($C20='[1]Elasticities by year'!$C:$C), '[1]Elasticities by year'!$D:$D)</f>
        <v>#N/A</v>
      </c>
      <c r="AK20" s="168" t="e" cm="1">
        <f t="array" ref="AK20">_xlfn.XLOOKUP(1, ('0. GUIDELINES'!$E$3='[1]Elasticities by year'!$A:$A) * (AK$10='[1]Elasticities by year'!$B:$B)* ($C20='[1]Elasticities by year'!$C:$C), '[1]Elasticities by year'!$D:$D)</f>
        <v>#N/A</v>
      </c>
      <c r="AL20" s="168" t="e" cm="1">
        <f t="array" ref="AL20">_xlfn.XLOOKUP(1, ('0. GUIDELINES'!$E$3='[1]Elasticities by year'!$A:$A) * (AL$10='[1]Elasticities by year'!$B:$B)* ($C20='[1]Elasticities by year'!$C:$C), '[1]Elasticities by year'!$D:$D)</f>
        <v>#N/A</v>
      </c>
      <c r="AM20" s="168" t="e" cm="1">
        <f t="array" ref="AM20">_xlfn.XLOOKUP(1, ('0. GUIDELINES'!$E$3='[1]Elasticities by year'!$A:$A) * (AM$10='[1]Elasticities by year'!$B:$B)* ($C20='[1]Elasticities by year'!$C:$C), '[1]Elasticities by year'!$D:$D)</f>
        <v>#N/A</v>
      </c>
      <c r="AN20" s="168" t="e" cm="1">
        <f t="array" ref="AN20">_xlfn.XLOOKUP(1, ('0. GUIDELINES'!$E$3='[1]Elasticities by year'!$A:$A) * (AN$10='[1]Elasticities by year'!$B:$B)* ($C20='[1]Elasticities by year'!$C:$C), '[1]Elasticities by year'!$D:$D)</f>
        <v>#N/A</v>
      </c>
      <c r="AP20" s="355" t="e">
        <f t="shared" si="1"/>
        <v>#DIV/0!</v>
      </c>
      <c r="AQ20" s="355" t="e">
        <f t="shared" si="2"/>
        <v>#DIV/0!</v>
      </c>
      <c r="AR20" s="355" t="e">
        <f t="shared" si="3"/>
        <v>#DIV/0!</v>
      </c>
      <c r="AU20" s="89"/>
      <c r="AV20" s="89"/>
      <c r="AW20" s="136"/>
      <c r="AX20" s="136"/>
      <c r="AY20" s="89"/>
      <c r="AZ20" s="89"/>
      <c r="BA20" s="89"/>
      <c r="BB20" s="89"/>
    </row>
    <row r="21" spans="1:54" ht="14.25" x14ac:dyDescent="0.2">
      <c r="A21" s="93"/>
      <c r="B21" s="93"/>
      <c r="C21" s="93" t="str">
        <f>'CONTROL '!$C12</f>
        <v>gdp_s1_a5</v>
      </c>
      <c r="D21" s="129"/>
      <c r="E21" s="89"/>
      <c r="F21" s="89"/>
      <c r="G21" s="89"/>
      <c r="H21" s="89"/>
      <c r="I21" s="140" t="s">
        <v>504</v>
      </c>
      <c r="J21" s="139"/>
      <c r="K21" s="139">
        <f t="shared" si="0"/>
        <v>0.251</v>
      </c>
      <c r="L21" s="139">
        <f t="shared" si="0"/>
        <v>0.24559138775080852</v>
      </c>
      <c r="M21" s="139">
        <f t="shared" si="0"/>
        <v>0.22381005061871498</v>
      </c>
      <c r="N21" s="139">
        <f t="shared" si="0"/>
        <v>0.20353649478915475</v>
      </c>
      <c r="O21" s="353"/>
      <c r="P21" s="356" t="e" cm="1">
        <f t="array" ref="P21">_xlfn.XLOOKUP(1, ('0. GUIDELINES'!$E$3=[1]Elasticities!$A:$A) * ("Long"=[1]Elasticities!$B:$B) * ($A$11=[1]Elasticities!$D:$D) * ($C21=[1]Elasticities!$E:$E), [1]Elasticities!$F:$F)</f>
        <v>#N/A</v>
      </c>
      <c r="Q21" s="356" t="e" cm="1">
        <f t="array" ref="Q21">_xlfn.XLOOKUP(1, ('0. GUIDELINES'!$E$3=[1]Elasticities!$A:$A) * ("Middle"=[1]Elasticities!$B:$B) * ($A$11=[1]Elasticities!$D:$D) * ($C21=[1]Elasticities!$E:$E), [1]Elasticities!$F:$F)</f>
        <v>#N/A</v>
      </c>
      <c r="R21" s="357" t="e" cm="1">
        <f t="array" ref="R21">_xlfn.XLOOKUP(1, ('0. GUIDELINES'!$E$3=[1]Elasticities!$A:$A) * ("Short"=[1]Elasticities!$B:$B) * ($A$11=[1]Elasticities!$D:$D) * ($C21=[1]Elasticities!$E:$E), [1]Elasticities!$F:$F)</f>
        <v>#N/A</v>
      </c>
      <c r="S21" s="356" t="e" cm="1">
        <f t="array" ref="S21">_xlfn.XLOOKUP(1, ('0. GUIDELINES'!$E$3=[1]Elasticities!$A:$A) * ("Long"=[1]Elasticities!$B:$B) * ($B$11=[1]Elasticities!$D:$D) * ($C21=[1]Elasticities!$E:$E), [1]Elasticities!$F:$F)</f>
        <v>#N/A</v>
      </c>
      <c r="T21" s="356" t="e" cm="1">
        <f t="array" ref="T21">_xlfn.XLOOKUP(1, ('0. GUIDELINES'!$E$3=[1]Elasticities!$A:$A) * ("Middle"=[1]Elasticities!$B:$B) * ($B$11=[1]Elasticities!$D:$D) * ($C21=[1]Elasticities!$E:$E), [1]Elasticities!$F:$F)</f>
        <v>#N/A</v>
      </c>
      <c r="U21" s="356" t="e" cm="1">
        <f t="array" ref="U21">_xlfn.XLOOKUP(1, ('0. GUIDELINES'!$E$3=[1]Elasticities!$A:$A) * ("Short"=[1]Elasticities!$B:$B) * ($B$11=[1]Elasticities!$D:$D) * ($C21=[1]Elasticities!$E:$E), [1]Elasticities!$F:$F)</f>
        <v>#N/A</v>
      </c>
      <c r="V21" s="132"/>
      <c r="W21" s="131"/>
      <c r="X21" s="168" t="e" cm="1">
        <f t="array" ref="X21">_xlfn.XLOOKUP(1, ('0. GUIDELINES'!$E$3='[1]Elasticities by year'!$A:$A) * (X$10='[1]Elasticities by year'!$B:$B)* ($C21='[1]Elasticities by year'!$C:$C), '[1]Elasticities by year'!$D:$D)</f>
        <v>#N/A</v>
      </c>
      <c r="Y21" s="168" t="e" cm="1">
        <f t="array" ref="Y21">_xlfn.XLOOKUP(1, ('0. GUIDELINES'!$E$3='[1]Elasticities by year'!$A:$A) * (Y$10='[1]Elasticities by year'!$B:$B)* ($C21='[1]Elasticities by year'!$C:$C), '[1]Elasticities by year'!$D:$D)</f>
        <v>#N/A</v>
      </c>
      <c r="Z21" s="168" t="e" cm="1">
        <f t="array" ref="Z21">_xlfn.XLOOKUP(1, ('0. GUIDELINES'!$E$3='[1]Elasticities by year'!$A:$A) * (Z$10='[1]Elasticities by year'!$B:$B)* ($C21='[1]Elasticities by year'!$C:$C), '[1]Elasticities by year'!$D:$D)</f>
        <v>#N/A</v>
      </c>
      <c r="AA21" s="168" t="e" cm="1">
        <f t="array" ref="AA21">_xlfn.XLOOKUP(1, ('0. GUIDELINES'!$E$3='[1]Elasticities by year'!$A:$A) * (AA$10='[1]Elasticities by year'!$B:$B)* ($C21='[1]Elasticities by year'!$C:$C), '[1]Elasticities by year'!$D:$D)</f>
        <v>#N/A</v>
      </c>
      <c r="AB21" s="168" t="e" cm="1">
        <f t="array" ref="AB21">_xlfn.XLOOKUP(1, ('0. GUIDELINES'!$E$3='[1]Elasticities by year'!$A:$A) * (AB$10='[1]Elasticities by year'!$B:$B)* ($C21='[1]Elasticities by year'!$C:$C), '[1]Elasticities by year'!$D:$D)</f>
        <v>#N/A</v>
      </c>
      <c r="AC21" s="168" t="e" cm="1">
        <f t="array" ref="AC21">_xlfn.XLOOKUP(1, ('0. GUIDELINES'!$E$3='[1]Elasticities by year'!$A:$A) * (AC$10='[1]Elasticities by year'!$B:$B)* ($C21='[1]Elasticities by year'!$C:$C), '[1]Elasticities by year'!$D:$D)</f>
        <v>#N/A</v>
      </c>
      <c r="AD21" s="168" t="e" cm="1">
        <f t="array" ref="AD21">_xlfn.XLOOKUP(1, ('0. GUIDELINES'!$E$3='[1]Elasticities by year'!$A:$A) * (AD$10='[1]Elasticities by year'!$B:$B)* ($C21='[1]Elasticities by year'!$C:$C), '[1]Elasticities by year'!$D:$D)</f>
        <v>#N/A</v>
      </c>
      <c r="AE21" s="168" t="e" cm="1">
        <f t="array" ref="AE21">_xlfn.XLOOKUP(1, ('0. GUIDELINES'!$E$3='[1]Elasticities by year'!$A:$A) * (AE$10='[1]Elasticities by year'!$B:$B)* ($C21='[1]Elasticities by year'!$C:$C), '[1]Elasticities by year'!$D:$D)</f>
        <v>#N/A</v>
      </c>
      <c r="AF21" s="168" t="e" cm="1">
        <f t="array" ref="AF21">_xlfn.XLOOKUP(1, ('0. GUIDELINES'!$E$3='[1]Elasticities by year'!$A:$A) * (AF$10='[1]Elasticities by year'!$B:$B)* ($C21='[1]Elasticities by year'!$C:$C), '[1]Elasticities by year'!$D:$D)</f>
        <v>#N/A</v>
      </c>
      <c r="AG21" s="168" t="e" cm="1">
        <f t="array" ref="AG21">_xlfn.XLOOKUP(1, ('0. GUIDELINES'!$E$3='[1]Elasticities by year'!$A:$A) * (AG$10='[1]Elasticities by year'!$B:$B)* ($C21='[1]Elasticities by year'!$C:$C), '[1]Elasticities by year'!$D:$D)</f>
        <v>#N/A</v>
      </c>
      <c r="AH21" s="168" t="e" cm="1">
        <f t="array" ref="AH21">_xlfn.XLOOKUP(1, ('0. GUIDELINES'!$E$3='[1]Elasticities by year'!$A:$A) * (AH$10='[1]Elasticities by year'!$B:$B)* ($C21='[1]Elasticities by year'!$C:$C), '[1]Elasticities by year'!$D:$D)</f>
        <v>#N/A</v>
      </c>
      <c r="AI21" s="168" t="e" cm="1">
        <f t="array" ref="AI21">_xlfn.XLOOKUP(1, ('0. GUIDELINES'!$E$3='[1]Elasticities by year'!$A:$A) * (AI$10='[1]Elasticities by year'!$B:$B)* ($C21='[1]Elasticities by year'!$C:$C), '[1]Elasticities by year'!$D:$D)</f>
        <v>#N/A</v>
      </c>
      <c r="AJ21" s="168" t="e" cm="1">
        <f t="array" ref="AJ21">_xlfn.XLOOKUP(1, ('0. GUIDELINES'!$E$3='[1]Elasticities by year'!$A:$A) * (AJ$10='[1]Elasticities by year'!$B:$B)* ($C21='[1]Elasticities by year'!$C:$C), '[1]Elasticities by year'!$D:$D)</f>
        <v>#N/A</v>
      </c>
      <c r="AK21" s="168" t="e" cm="1">
        <f t="array" ref="AK21">_xlfn.XLOOKUP(1, ('0. GUIDELINES'!$E$3='[1]Elasticities by year'!$A:$A) * (AK$10='[1]Elasticities by year'!$B:$B)* ($C21='[1]Elasticities by year'!$C:$C), '[1]Elasticities by year'!$D:$D)</f>
        <v>#N/A</v>
      </c>
      <c r="AL21" s="168" t="e" cm="1">
        <f t="array" ref="AL21">_xlfn.XLOOKUP(1, ('0. GUIDELINES'!$E$3='[1]Elasticities by year'!$A:$A) * (AL$10='[1]Elasticities by year'!$B:$B)* ($C21='[1]Elasticities by year'!$C:$C), '[1]Elasticities by year'!$D:$D)</f>
        <v>#N/A</v>
      </c>
      <c r="AM21" s="168" t="e" cm="1">
        <f t="array" ref="AM21">_xlfn.XLOOKUP(1, ('0. GUIDELINES'!$E$3='[1]Elasticities by year'!$A:$A) * (AM$10='[1]Elasticities by year'!$B:$B)* ($C21='[1]Elasticities by year'!$C:$C), '[1]Elasticities by year'!$D:$D)</f>
        <v>#N/A</v>
      </c>
      <c r="AN21" s="168" t="e" cm="1">
        <f t="array" ref="AN21">_xlfn.XLOOKUP(1, ('0. GUIDELINES'!$E$3='[1]Elasticities by year'!$A:$A) * (AN$10='[1]Elasticities by year'!$B:$B)* ($C21='[1]Elasticities by year'!$C:$C), '[1]Elasticities by year'!$D:$D)</f>
        <v>#N/A</v>
      </c>
      <c r="AP21" s="355" t="e">
        <f t="shared" si="1"/>
        <v>#DIV/0!</v>
      </c>
      <c r="AQ21" s="355" t="e">
        <f t="shared" si="2"/>
        <v>#DIV/0!</v>
      </c>
      <c r="AR21" s="355" t="e">
        <f t="shared" si="3"/>
        <v>#DIV/0!</v>
      </c>
      <c r="AU21" s="89"/>
      <c r="AV21" s="89"/>
      <c r="AW21" s="136"/>
      <c r="AX21" s="136"/>
      <c r="AY21" s="89"/>
      <c r="AZ21" s="89"/>
      <c r="BA21" s="89"/>
      <c r="BB21" s="89"/>
    </row>
    <row r="22" spans="1:54" ht="14.25" x14ac:dyDescent="0.2">
      <c r="A22" s="93"/>
      <c r="B22" s="93"/>
      <c r="C22" s="93" t="str">
        <f>'CONTROL '!$C13</f>
        <v>gdp_s0_a6</v>
      </c>
      <c r="D22" s="129"/>
      <c r="E22" s="89"/>
      <c r="F22" s="89"/>
      <c r="G22" s="89"/>
      <c r="H22" s="89"/>
      <c r="I22" s="140" t="s">
        <v>505</v>
      </c>
      <c r="J22" s="139"/>
      <c r="K22" s="139">
        <f t="shared" si="0"/>
        <v>0.251</v>
      </c>
      <c r="L22" s="139">
        <f t="shared" si="0"/>
        <v>0.24559138775080852</v>
      </c>
      <c r="M22" s="139">
        <f t="shared" si="0"/>
        <v>0.22381005061871498</v>
      </c>
      <c r="N22" s="139">
        <f t="shared" si="0"/>
        <v>0.20353649478915475</v>
      </c>
      <c r="O22" s="353"/>
      <c r="P22" s="356" t="e" cm="1">
        <f t="array" ref="P22">_xlfn.XLOOKUP(1, ('0. GUIDELINES'!$E$3=[1]Elasticities!$A:$A) * ("Long"=[1]Elasticities!$B:$B) * ($A$11=[1]Elasticities!$D:$D) * ($C22=[1]Elasticities!$E:$E), [1]Elasticities!$F:$F)</f>
        <v>#N/A</v>
      </c>
      <c r="Q22" s="356" t="e" cm="1">
        <f t="array" ref="Q22">_xlfn.XLOOKUP(1, ('0. GUIDELINES'!$E$3=[1]Elasticities!$A:$A) * ("Middle"=[1]Elasticities!$B:$B) * ($A$11=[1]Elasticities!$D:$D) * ($C22=[1]Elasticities!$E:$E), [1]Elasticities!$F:$F)</f>
        <v>#N/A</v>
      </c>
      <c r="R22" s="357" t="e" cm="1">
        <f t="array" ref="R22">_xlfn.XLOOKUP(1, ('0. GUIDELINES'!$E$3=[1]Elasticities!$A:$A) * ("Short"=[1]Elasticities!$B:$B) * ($A$11=[1]Elasticities!$D:$D) * ($C22=[1]Elasticities!$E:$E), [1]Elasticities!$F:$F)</f>
        <v>#N/A</v>
      </c>
      <c r="S22" s="356" t="e" cm="1">
        <f t="array" ref="S22">_xlfn.XLOOKUP(1, ('0. GUIDELINES'!$E$3=[1]Elasticities!$A:$A) * ("Long"=[1]Elasticities!$B:$B) * ($B$11=[1]Elasticities!$D:$D) * ($C22=[1]Elasticities!$E:$E), [1]Elasticities!$F:$F)</f>
        <v>#N/A</v>
      </c>
      <c r="T22" s="356" t="e" cm="1">
        <f t="array" ref="T22">_xlfn.XLOOKUP(1, ('0. GUIDELINES'!$E$3=[1]Elasticities!$A:$A) * ("Middle"=[1]Elasticities!$B:$B) * ($B$11=[1]Elasticities!$D:$D) * ($C22=[1]Elasticities!$E:$E), [1]Elasticities!$F:$F)</f>
        <v>#N/A</v>
      </c>
      <c r="U22" s="356" t="e" cm="1">
        <f t="array" ref="U22">_xlfn.XLOOKUP(1, ('0. GUIDELINES'!$E$3=[1]Elasticities!$A:$A) * ("Short"=[1]Elasticities!$B:$B) * ($B$11=[1]Elasticities!$D:$D) * ($C22=[1]Elasticities!$E:$E), [1]Elasticities!$F:$F)</f>
        <v>#N/A</v>
      </c>
      <c r="V22" s="132"/>
      <c r="W22" s="131"/>
      <c r="X22" s="168" t="e" cm="1">
        <f t="array" ref="X22">_xlfn.XLOOKUP(1, ('0. GUIDELINES'!$E$3='[1]Elasticities by year'!$A:$A) * (X$10='[1]Elasticities by year'!$B:$B)* ($C22='[1]Elasticities by year'!$C:$C), '[1]Elasticities by year'!$D:$D)</f>
        <v>#N/A</v>
      </c>
      <c r="Y22" s="168" t="e" cm="1">
        <f t="array" ref="Y22">_xlfn.XLOOKUP(1, ('0. GUIDELINES'!$E$3='[1]Elasticities by year'!$A:$A) * (Y$10='[1]Elasticities by year'!$B:$B)* ($C22='[1]Elasticities by year'!$C:$C), '[1]Elasticities by year'!$D:$D)</f>
        <v>#N/A</v>
      </c>
      <c r="Z22" s="168" t="e" cm="1">
        <f t="array" ref="Z22">_xlfn.XLOOKUP(1, ('0. GUIDELINES'!$E$3='[1]Elasticities by year'!$A:$A) * (Z$10='[1]Elasticities by year'!$B:$B)* ($C22='[1]Elasticities by year'!$C:$C), '[1]Elasticities by year'!$D:$D)</f>
        <v>#N/A</v>
      </c>
      <c r="AA22" s="168" t="e" cm="1">
        <f t="array" ref="AA22">_xlfn.XLOOKUP(1, ('0. GUIDELINES'!$E$3='[1]Elasticities by year'!$A:$A) * (AA$10='[1]Elasticities by year'!$B:$B)* ($C22='[1]Elasticities by year'!$C:$C), '[1]Elasticities by year'!$D:$D)</f>
        <v>#N/A</v>
      </c>
      <c r="AB22" s="168" t="e" cm="1">
        <f t="array" ref="AB22">_xlfn.XLOOKUP(1, ('0. GUIDELINES'!$E$3='[1]Elasticities by year'!$A:$A) * (AB$10='[1]Elasticities by year'!$B:$B)* ($C22='[1]Elasticities by year'!$C:$C), '[1]Elasticities by year'!$D:$D)</f>
        <v>#N/A</v>
      </c>
      <c r="AC22" s="168" t="e" cm="1">
        <f t="array" ref="AC22">_xlfn.XLOOKUP(1, ('0. GUIDELINES'!$E$3='[1]Elasticities by year'!$A:$A) * (AC$10='[1]Elasticities by year'!$B:$B)* ($C22='[1]Elasticities by year'!$C:$C), '[1]Elasticities by year'!$D:$D)</f>
        <v>#N/A</v>
      </c>
      <c r="AD22" s="168" t="e" cm="1">
        <f t="array" ref="AD22">_xlfn.XLOOKUP(1, ('0. GUIDELINES'!$E$3='[1]Elasticities by year'!$A:$A) * (AD$10='[1]Elasticities by year'!$B:$B)* ($C22='[1]Elasticities by year'!$C:$C), '[1]Elasticities by year'!$D:$D)</f>
        <v>#N/A</v>
      </c>
      <c r="AE22" s="168" t="e" cm="1">
        <f t="array" ref="AE22">_xlfn.XLOOKUP(1, ('0. GUIDELINES'!$E$3='[1]Elasticities by year'!$A:$A) * (AE$10='[1]Elasticities by year'!$B:$B)* ($C22='[1]Elasticities by year'!$C:$C), '[1]Elasticities by year'!$D:$D)</f>
        <v>#N/A</v>
      </c>
      <c r="AF22" s="168" t="e" cm="1">
        <f t="array" ref="AF22">_xlfn.XLOOKUP(1, ('0. GUIDELINES'!$E$3='[1]Elasticities by year'!$A:$A) * (AF$10='[1]Elasticities by year'!$B:$B)* ($C22='[1]Elasticities by year'!$C:$C), '[1]Elasticities by year'!$D:$D)</f>
        <v>#N/A</v>
      </c>
      <c r="AG22" s="168" t="e" cm="1">
        <f t="array" ref="AG22">_xlfn.XLOOKUP(1, ('0. GUIDELINES'!$E$3='[1]Elasticities by year'!$A:$A) * (AG$10='[1]Elasticities by year'!$B:$B)* ($C22='[1]Elasticities by year'!$C:$C), '[1]Elasticities by year'!$D:$D)</f>
        <v>#N/A</v>
      </c>
      <c r="AH22" s="168" t="e" cm="1">
        <f t="array" ref="AH22">_xlfn.XLOOKUP(1, ('0. GUIDELINES'!$E$3='[1]Elasticities by year'!$A:$A) * (AH$10='[1]Elasticities by year'!$B:$B)* ($C22='[1]Elasticities by year'!$C:$C), '[1]Elasticities by year'!$D:$D)</f>
        <v>#N/A</v>
      </c>
      <c r="AI22" s="168" t="e" cm="1">
        <f t="array" ref="AI22">_xlfn.XLOOKUP(1, ('0. GUIDELINES'!$E$3='[1]Elasticities by year'!$A:$A) * (AI$10='[1]Elasticities by year'!$B:$B)* ($C22='[1]Elasticities by year'!$C:$C), '[1]Elasticities by year'!$D:$D)</f>
        <v>#N/A</v>
      </c>
      <c r="AJ22" s="168" t="e" cm="1">
        <f t="array" ref="AJ22">_xlfn.XLOOKUP(1, ('0. GUIDELINES'!$E$3='[1]Elasticities by year'!$A:$A) * (AJ$10='[1]Elasticities by year'!$B:$B)* ($C22='[1]Elasticities by year'!$C:$C), '[1]Elasticities by year'!$D:$D)</f>
        <v>#N/A</v>
      </c>
      <c r="AK22" s="168" t="e" cm="1">
        <f t="array" ref="AK22">_xlfn.XLOOKUP(1, ('0. GUIDELINES'!$E$3='[1]Elasticities by year'!$A:$A) * (AK$10='[1]Elasticities by year'!$B:$B)* ($C22='[1]Elasticities by year'!$C:$C), '[1]Elasticities by year'!$D:$D)</f>
        <v>#N/A</v>
      </c>
      <c r="AL22" s="168" t="e" cm="1">
        <f t="array" ref="AL22">_xlfn.XLOOKUP(1, ('0. GUIDELINES'!$E$3='[1]Elasticities by year'!$A:$A) * (AL$10='[1]Elasticities by year'!$B:$B)* ($C22='[1]Elasticities by year'!$C:$C), '[1]Elasticities by year'!$D:$D)</f>
        <v>#N/A</v>
      </c>
      <c r="AM22" s="168" t="e" cm="1">
        <f t="array" ref="AM22">_xlfn.XLOOKUP(1, ('0. GUIDELINES'!$E$3='[1]Elasticities by year'!$A:$A) * (AM$10='[1]Elasticities by year'!$B:$B)* ($C22='[1]Elasticities by year'!$C:$C), '[1]Elasticities by year'!$D:$D)</f>
        <v>#N/A</v>
      </c>
      <c r="AN22" s="168" t="e" cm="1">
        <f t="array" ref="AN22">_xlfn.XLOOKUP(1, ('0. GUIDELINES'!$E$3='[1]Elasticities by year'!$A:$A) * (AN$10='[1]Elasticities by year'!$B:$B)* ($C22='[1]Elasticities by year'!$C:$C), '[1]Elasticities by year'!$D:$D)</f>
        <v>#N/A</v>
      </c>
      <c r="AP22" s="355" t="e">
        <f t="shared" si="1"/>
        <v>#DIV/0!</v>
      </c>
      <c r="AQ22" s="355" t="e">
        <f t="shared" si="2"/>
        <v>#DIV/0!</v>
      </c>
      <c r="AR22" s="355" t="e">
        <f t="shared" si="3"/>
        <v>#DIV/0!</v>
      </c>
      <c r="AU22" s="89"/>
      <c r="AV22" s="89"/>
      <c r="AW22" s="136"/>
      <c r="AX22" s="136"/>
      <c r="AY22" s="89"/>
      <c r="AZ22" s="89"/>
      <c r="BA22" s="89"/>
      <c r="BB22" s="89"/>
    </row>
    <row r="23" spans="1:54" ht="14.25" x14ac:dyDescent="0.2">
      <c r="A23" s="93"/>
      <c r="B23" s="93"/>
      <c r="C23" s="93" t="str">
        <f>'CONTROL '!$C14</f>
        <v>gdp_s1_a6</v>
      </c>
      <c r="D23" s="129"/>
      <c r="E23" s="89"/>
      <c r="F23" s="89"/>
      <c r="G23" s="89"/>
      <c r="H23" s="89"/>
      <c r="I23" s="166" t="s">
        <v>506</v>
      </c>
      <c r="J23" s="167"/>
      <c r="K23" s="167">
        <f t="shared" si="0"/>
        <v>0.251</v>
      </c>
      <c r="L23" s="167">
        <f t="shared" si="0"/>
        <v>0.24559138775080852</v>
      </c>
      <c r="M23" s="167">
        <f t="shared" si="0"/>
        <v>0.22381005061871498</v>
      </c>
      <c r="N23" s="167">
        <f t="shared" si="0"/>
        <v>0.20353649478915475</v>
      </c>
      <c r="O23" s="353"/>
      <c r="P23" s="358" t="e" cm="1">
        <f t="array" ref="P23">_xlfn.XLOOKUP(1, ('0. GUIDELINES'!$E$3=[1]Elasticities!$A:$A) * ("Long"=[1]Elasticities!$B:$B) * ($A$11=[1]Elasticities!$D:$D) * ($C23=[1]Elasticities!$E:$E), [1]Elasticities!$F:$F)</f>
        <v>#N/A</v>
      </c>
      <c r="Q23" s="358" t="e" cm="1">
        <f t="array" ref="Q23">_xlfn.XLOOKUP(1, ('0. GUIDELINES'!$E$3=[1]Elasticities!$A:$A) * ("Middle"=[1]Elasticities!$B:$B) * ($A$11=[1]Elasticities!$D:$D) * ($C23=[1]Elasticities!$E:$E), [1]Elasticities!$F:$F)</f>
        <v>#N/A</v>
      </c>
      <c r="R23" s="359" t="e" cm="1">
        <f t="array" ref="R23">_xlfn.XLOOKUP(1, ('0. GUIDELINES'!$E$3=[1]Elasticities!$A:$A) * ("Short"=[1]Elasticities!$B:$B) * ($A$11=[1]Elasticities!$D:$D) * ($C23=[1]Elasticities!$E:$E), [1]Elasticities!$F:$F)</f>
        <v>#N/A</v>
      </c>
      <c r="S23" s="358" t="e" cm="1">
        <f t="array" ref="S23">_xlfn.XLOOKUP(1, ('0. GUIDELINES'!$E$3=[1]Elasticities!$A:$A) * ("Long"=[1]Elasticities!$B:$B) * ($B$11=[1]Elasticities!$D:$D) * ($C23=[1]Elasticities!$E:$E), [1]Elasticities!$F:$F)</f>
        <v>#N/A</v>
      </c>
      <c r="T23" s="358" t="e" cm="1">
        <f t="array" ref="T23">_xlfn.XLOOKUP(1, ('0. GUIDELINES'!$E$3=[1]Elasticities!$A:$A) * ("Middle"=[1]Elasticities!$B:$B) * ($B$11=[1]Elasticities!$D:$D) * ($C23=[1]Elasticities!$E:$E), [1]Elasticities!$F:$F)</f>
        <v>#N/A</v>
      </c>
      <c r="U23" s="358" t="e" cm="1">
        <f t="array" ref="U23">_xlfn.XLOOKUP(1, ('0. GUIDELINES'!$E$3=[1]Elasticities!$A:$A) * ("Short"=[1]Elasticities!$B:$B) * ($B$11=[1]Elasticities!$D:$D) * ($C23=[1]Elasticities!$E:$E), [1]Elasticities!$F:$F)</f>
        <v>#N/A</v>
      </c>
      <c r="V23" s="132"/>
      <c r="W23" s="131"/>
      <c r="X23" s="169" t="e" cm="1">
        <f t="array" ref="X23">_xlfn.XLOOKUP(1, ('0. GUIDELINES'!$E$3='[1]Elasticities by year'!$A:$A) * (X$10='[1]Elasticities by year'!$B:$B)* ($C23='[1]Elasticities by year'!$C:$C), '[1]Elasticities by year'!$D:$D)</f>
        <v>#N/A</v>
      </c>
      <c r="Y23" s="169" t="e" cm="1">
        <f t="array" ref="Y23">_xlfn.XLOOKUP(1, ('0. GUIDELINES'!$E$3='[1]Elasticities by year'!$A:$A) * (Y$10='[1]Elasticities by year'!$B:$B)* ($C23='[1]Elasticities by year'!$C:$C), '[1]Elasticities by year'!$D:$D)</f>
        <v>#N/A</v>
      </c>
      <c r="Z23" s="169" t="e" cm="1">
        <f t="array" ref="Z23">_xlfn.XLOOKUP(1, ('0. GUIDELINES'!$E$3='[1]Elasticities by year'!$A:$A) * (Z$10='[1]Elasticities by year'!$B:$B)* ($C23='[1]Elasticities by year'!$C:$C), '[1]Elasticities by year'!$D:$D)</f>
        <v>#N/A</v>
      </c>
      <c r="AA23" s="169" t="e" cm="1">
        <f t="array" ref="AA23">_xlfn.XLOOKUP(1, ('0. GUIDELINES'!$E$3='[1]Elasticities by year'!$A:$A) * (AA$10='[1]Elasticities by year'!$B:$B)* ($C23='[1]Elasticities by year'!$C:$C), '[1]Elasticities by year'!$D:$D)</f>
        <v>#N/A</v>
      </c>
      <c r="AB23" s="169" t="e" cm="1">
        <f t="array" ref="AB23">_xlfn.XLOOKUP(1, ('0. GUIDELINES'!$E$3='[1]Elasticities by year'!$A:$A) * (AB$10='[1]Elasticities by year'!$B:$B)* ($C23='[1]Elasticities by year'!$C:$C), '[1]Elasticities by year'!$D:$D)</f>
        <v>#N/A</v>
      </c>
      <c r="AC23" s="169" t="e" cm="1">
        <f t="array" ref="AC23">_xlfn.XLOOKUP(1, ('0. GUIDELINES'!$E$3='[1]Elasticities by year'!$A:$A) * (AC$10='[1]Elasticities by year'!$B:$B)* ($C23='[1]Elasticities by year'!$C:$C), '[1]Elasticities by year'!$D:$D)</f>
        <v>#N/A</v>
      </c>
      <c r="AD23" s="169" t="e" cm="1">
        <f t="array" ref="AD23">_xlfn.XLOOKUP(1, ('0. GUIDELINES'!$E$3='[1]Elasticities by year'!$A:$A) * (AD$10='[1]Elasticities by year'!$B:$B)* ($C23='[1]Elasticities by year'!$C:$C), '[1]Elasticities by year'!$D:$D)</f>
        <v>#N/A</v>
      </c>
      <c r="AE23" s="169" t="e" cm="1">
        <f t="array" ref="AE23">_xlfn.XLOOKUP(1, ('0. GUIDELINES'!$E$3='[1]Elasticities by year'!$A:$A) * (AE$10='[1]Elasticities by year'!$B:$B)* ($C23='[1]Elasticities by year'!$C:$C), '[1]Elasticities by year'!$D:$D)</f>
        <v>#N/A</v>
      </c>
      <c r="AF23" s="169" t="e" cm="1">
        <f t="array" ref="AF23">_xlfn.XLOOKUP(1, ('0. GUIDELINES'!$E$3='[1]Elasticities by year'!$A:$A) * (AF$10='[1]Elasticities by year'!$B:$B)* ($C23='[1]Elasticities by year'!$C:$C), '[1]Elasticities by year'!$D:$D)</f>
        <v>#N/A</v>
      </c>
      <c r="AG23" s="169" t="e" cm="1">
        <f t="array" ref="AG23">_xlfn.XLOOKUP(1, ('0. GUIDELINES'!$E$3='[1]Elasticities by year'!$A:$A) * (AG$10='[1]Elasticities by year'!$B:$B)* ($C23='[1]Elasticities by year'!$C:$C), '[1]Elasticities by year'!$D:$D)</f>
        <v>#N/A</v>
      </c>
      <c r="AH23" s="169" t="e" cm="1">
        <f t="array" ref="AH23">_xlfn.XLOOKUP(1, ('0. GUIDELINES'!$E$3='[1]Elasticities by year'!$A:$A) * (AH$10='[1]Elasticities by year'!$B:$B)* ($C23='[1]Elasticities by year'!$C:$C), '[1]Elasticities by year'!$D:$D)</f>
        <v>#N/A</v>
      </c>
      <c r="AI23" s="169" t="e" cm="1">
        <f t="array" ref="AI23">_xlfn.XLOOKUP(1, ('0. GUIDELINES'!$E$3='[1]Elasticities by year'!$A:$A) * (AI$10='[1]Elasticities by year'!$B:$B)* ($C23='[1]Elasticities by year'!$C:$C), '[1]Elasticities by year'!$D:$D)</f>
        <v>#N/A</v>
      </c>
      <c r="AJ23" s="169" t="e" cm="1">
        <f t="array" ref="AJ23">_xlfn.XLOOKUP(1, ('0. GUIDELINES'!$E$3='[1]Elasticities by year'!$A:$A) * (AJ$10='[1]Elasticities by year'!$B:$B)* ($C23='[1]Elasticities by year'!$C:$C), '[1]Elasticities by year'!$D:$D)</f>
        <v>#N/A</v>
      </c>
      <c r="AK23" s="169" t="e" cm="1">
        <f t="array" ref="AK23">_xlfn.XLOOKUP(1, ('0. GUIDELINES'!$E$3='[1]Elasticities by year'!$A:$A) * (AK$10='[1]Elasticities by year'!$B:$B)* ($C23='[1]Elasticities by year'!$C:$C), '[1]Elasticities by year'!$D:$D)</f>
        <v>#N/A</v>
      </c>
      <c r="AL23" s="169" t="e" cm="1">
        <f t="array" ref="AL23">_xlfn.XLOOKUP(1, ('0. GUIDELINES'!$E$3='[1]Elasticities by year'!$A:$A) * (AL$10='[1]Elasticities by year'!$B:$B)* ($C23='[1]Elasticities by year'!$C:$C), '[1]Elasticities by year'!$D:$D)</f>
        <v>#N/A</v>
      </c>
      <c r="AM23" s="169" t="e" cm="1">
        <f t="array" ref="AM23">_xlfn.XLOOKUP(1, ('0. GUIDELINES'!$E$3='[1]Elasticities by year'!$A:$A) * (AM$10='[1]Elasticities by year'!$B:$B)* ($C23='[1]Elasticities by year'!$C:$C), '[1]Elasticities by year'!$D:$D)</f>
        <v>#N/A</v>
      </c>
      <c r="AN23" s="169" t="e" cm="1">
        <f t="array" ref="AN23">_xlfn.XLOOKUP(1, ('0. GUIDELINES'!$E$3='[1]Elasticities by year'!$A:$A) * (AN$10='[1]Elasticities by year'!$B:$B)* ($C23='[1]Elasticities by year'!$C:$C), '[1]Elasticities by year'!$D:$D)</f>
        <v>#N/A</v>
      </c>
      <c r="AP23" s="355" t="e">
        <f t="shared" si="1"/>
        <v>#DIV/0!</v>
      </c>
      <c r="AQ23" s="355" t="e">
        <f t="shared" si="2"/>
        <v>#DIV/0!</v>
      </c>
      <c r="AR23" s="355" t="e">
        <f t="shared" si="3"/>
        <v>#DIV/0!</v>
      </c>
      <c r="AU23" s="89"/>
      <c r="AV23" s="89"/>
      <c r="AW23" s="136"/>
      <c r="AX23" s="136"/>
      <c r="AY23" s="89"/>
      <c r="AZ23" s="89"/>
      <c r="BA23" s="89"/>
      <c r="BB23" s="89"/>
    </row>
    <row r="24" spans="1:54" ht="14.25" x14ac:dyDescent="0.2">
      <c r="A24" s="96"/>
      <c r="B24" s="96"/>
      <c r="C24" s="96"/>
      <c r="D24" s="349"/>
      <c r="E24" s="136"/>
      <c r="F24" s="89"/>
      <c r="G24" s="89"/>
      <c r="H24" s="89"/>
      <c r="I24" s="510" t="s">
        <v>194</v>
      </c>
      <c r="J24" s="510"/>
      <c r="K24" s="510"/>
      <c r="L24" s="510"/>
      <c r="M24" s="510"/>
      <c r="N24" s="510"/>
      <c r="O24" s="353"/>
      <c r="P24" s="354" t="s">
        <v>195</v>
      </c>
      <c r="Q24" s="360"/>
      <c r="R24" s="360"/>
      <c r="S24" s="360"/>
      <c r="T24" s="360"/>
      <c r="U24" s="360"/>
      <c r="V24" s="353"/>
      <c r="W24" s="131"/>
      <c r="X24" s="363"/>
      <c r="Y24" s="363"/>
      <c r="Z24" s="363"/>
      <c r="AA24" s="363"/>
      <c r="AB24" s="363"/>
      <c r="AC24" s="363"/>
      <c r="AD24" s="363"/>
      <c r="AE24" s="363"/>
      <c r="AF24" s="363"/>
      <c r="AG24" s="364"/>
      <c r="AH24" s="364"/>
      <c r="AI24" s="363"/>
      <c r="AJ24" s="363"/>
      <c r="AK24" s="363"/>
      <c r="AL24" s="363"/>
      <c r="AM24" s="363"/>
      <c r="AN24" s="363"/>
      <c r="AU24" s="89"/>
      <c r="AV24" s="89"/>
      <c r="AW24" s="136"/>
      <c r="AX24" s="136"/>
      <c r="AY24" s="89"/>
      <c r="AZ24" s="89"/>
      <c r="BA24" s="89"/>
      <c r="BB24" s="89"/>
    </row>
    <row r="25" spans="1:54" ht="14.25" x14ac:dyDescent="0.2">
      <c r="A25" s="96"/>
      <c r="B25" s="96"/>
      <c r="C25" s="96"/>
      <c r="D25" s="349"/>
      <c r="E25" s="136"/>
      <c r="F25" s="89"/>
      <c r="G25" s="89"/>
      <c r="H25" s="89"/>
      <c r="I25" s="510" t="s">
        <v>196</v>
      </c>
      <c r="J25" s="510"/>
      <c r="K25" s="510"/>
      <c r="L25" s="510"/>
      <c r="M25" s="510"/>
      <c r="N25" s="510"/>
      <c r="O25" s="353"/>
      <c r="P25" s="353"/>
      <c r="Q25" s="353"/>
      <c r="R25" s="353"/>
      <c r="S25" s="353"/>
      <c r="T25" s="353"/>
      <c r="U25" s="353"/>
      <c r="V25" s="353"/>
      <c r="W25" s="131"/>
      <c r="X25" s="363"/>
      <c r="Y25" s="363"/>
      <c r="Z25" s="363"/>
      <c r="AA25" s="363"/>
      <c r="AB25" s="363"/>
      <c r="AC25" s="363"/>
      <c r="AD25" s="363"/>
      <c r="AE25" s="363"/>
      <c r="AF25" s="363"/>
      <c r="AG25" s="364"/>
      <c r="AH25" s="364"/>
      <c r="AI25" s="363"/>
      <c r="AJ25" s="363"/>
      <c r="AK25" s="363"/>
      <c r="AL25" s="363"/>
      <c r="AM25" s="363"/>
      <c r="AN25" s="363"/>
      <c r="AU25" s="89"/>
      <c r="AV25" s="89"/>
      <c r="AW25" s="136"/>
      <c r="AX25" s="136"/>
      <c r="AY25" s="89"/>
      <c r="AZ25" s="89"/>
      <c r="BA25" s="89"/>
      <c r="BB25" s="89"/>
    </row>
    <row r="26" spans="1:54" ht="14.25" x14ac:dyDescent="0.2">
      <c r="A26" s="96"/>
      <c r="B26" s="96"/>
      <c r="C26" s="96"/>
      <c r="D26" s="349"/>
      <c r="E26" s="136"/>
      <c r="F26" s="89"/>
      <c r="G26" s="89"/>
      <c r="H26" s="89"/>
      <c r="I26" s="352"/>
      <c r="J26" s="352"/>
      <c r="K26" s="352"/>
      <c r="L26" s="352"/>
      <c r="M26" s="352"/>
      <c r="N26" s="352"/>
      <c r="O26" s="353"/>
      <c r="P26" s="514" t="s">
        <v>182</v>
      </c>
      <c r="Q26" s="514"/>
      <c r="R26" s="514"/>
      <c r="S26" s="514"/>
      <c r="T26" s="514"/>
      <c r="U26" s="514"/>
      <c r="V26" s="131"/>
      <c r="W26" s="131"/>
      <c r="X26" s="363"/>
      <c r="Y26" s="363"/>
      <c r="Z26" s="363"/>
      <c r="AA26" s="363"/>
      <c r="AB26" s="363"/>
      <c r="AC26" s="363"/>
      <c r="AD26" s="363"/>
      <c r="AE26" s="363"/>
      <c r="AF26" s="363"/>
      <c r="AG26" s="364"/>
      <c r="AH26" s="364"/>
      <c r="AI26" s="363"/>
      <c r="AJ26" s="363"/>
      <c r="AK26" s="363"/>
      <c r="AL26" s="363"/>
      <c r="AM26" s="363"/>
      <c r="AN26" s="363"/>
      <c r="AU26" s="89"/>
      <c r="AV26" s="89"/>
      <c r="AW26" s="136"/>
      <c r="AX26" s="136"/>
      <c r="AY26" s="89"/>
      <c r="AZ26" s="89"/>
      <c r="BA26" s="89"/>
      <c r="BB26" s="89"/>
    </row>
    <row r="27" spans="1:54" ht="15" customHeight="1" x14ac:dyDescent="0.2">
      <c r="A27" s="96"/>
      <c r="B27" s="96"/>
      <c r="C27" s="96"/>
      <c r="D27" s="349"/>
      <c r="E27" s="136"/>
      <c r="F27" s="89"/>
      <c r="G27" s="89"/>
      <c r="H27" s="89"/>
      <c r="I27" s="512" t="s">
        <v>197</v>
      </c>
      <c r="J27" s="504" t="s">
        <v>184</v>
      </c>
      <c r="K27" s="504"/>
      <c r="L27" s="504"/>
      <c r="M27" s="504"/>
      <c r="N27" s="504"/>
      <c r="O27" s="353"/>
      <c r="P27" s="504" t="s">
        <v>185</v>
      </c>
      <c r="Q27" s="504"/>
      <c r="R27" s="513"/>
      <c r="S27" s="504" t="s">
        <v>186</v>
      </c>
      <c r="T27" s="504"/>
      <c r="U27" s="504"/>
      <c r="V27" s="131"/>
      <c r="W27" s="131"/>
      <c r="X27" s="504" t="s">
        <v>198</v>
      </c>
      <c r="Y27" s="504"/>
      <c r="Z27" s="504"/>
      <c r="AA27" s="504"/>
      <c r="AB27" s="504"/>
      <c r="AC27" s="504"/>
      <c r="AD27" s="504"/>
      <c r="AE27" s="504"/>
      <c r="AF27" s="504"/>
      <c r="AG27" s="504"/>
      <c r="AH27" s="504"/>
      <c r="AI27" s="504"/>
      <c r="AJ27" s="504"/>
      <c r="AK27" s="504"/>
      <c r="AL27" s="504"/>
      <c r="AM27" s="504"/>
      <c r="AN27" s="504"/>
      <c r="AU27" s="89"/>
      <c r="AV27" s="89"/>
      <c r="AW27" s="136"/>
      <c r="AX27" s="136"/>
      <c r="AY27" s="89"/>
      <c r="AZ27" s="89"/>
      <c r="BA27" s="89"/>
      <c r="BB27" s="89"/>
    </row>
    <row r="28" spans="1:54" ht="15.6" customHeight="1" x14ac:dyDescent="0.2">
      <c r="A28" s="96"/>
      <c r="B28" s="96"/>
      <c r="C28" s="96"/>
      <c r="D28" s="349"/>
      <c r="E28" s="136"/>
      <c r="F28" s="89"/>
      <c r="G28" s="89"/>
      <c r="H28" s="89"/>
      <c r="I28" s="512"/>
      <c r="J28" s="504"/>
      <c r="K28" s="504"/>
      <c r="L28" s="504"/>
      <c r="M28" s="504"/>
      <c r="N28" s="504"/>
      <c r="O28" s="353"/>
      <c r="P28" s="504"/>
      <c r="Q28" s="504"/>
      <c r="R28" s="513"/>
      <c r="S28" s="504"/>
      <c r="T28" s="504"/>
      <c r="U28" s="504"/>
      <c r="V28" s="131"/>
      <c r="W28" s="131"/>
      <c r="X28" s="504"/>
      <c r="Y28" s="504"/>
      <c r="Z28" s="504"/>
      <c r="AA28" s="504"/>
      <c r="AB28" s="504"/>
      <c r="AC28" s="504"/>
      <c r="AD28" s="504"/>
      <c r="AE28" s="504"/>
      <c r="AF28" s="504"/>
      <c r="AG28" s="504"/>
      <c r="AH28" s="504"/>
      <c r="AI28" s="504"/>
      <c r="AJ28" s="504"/>
      <c r="AK28" s="504"/>
      <c r="AL28" s="504"/>
      <c r="AM28" s="504"/>
      <c r="AN28" s="504"/>
      <c r="AU28" s="89"/>
      <c r="AV28" s="89"/>
      <c r="AW28" s="136"/>
      <c r="AX28" s="136"/>
      <c r="AY28" s="89"/>
      <c r="AZ28" s="89"/>
      <c r="BA28" s="89"/>
      <c r="BB28" s="89"/>
    </row>
    <row r="29" spans="1:54" ht="14.25" x14ac:dyDescent="0.2">
      <c r="A29" s="96"/>
      <c r="B29" s="96"/>
      <c r="C29" s="96"/>
      <c r="D29" s="349"/>
      <c r="E29" s="136"/>
      <c r="F29" s="89"/>
      <c r="G29" s="89"/>
      <c r="H29" s="89"/>
      <c r="I29" s="512"/>
      <c r="J29" s="163">
        <v>2022</v>
      </c>
      <c r="K29" s="163">
        <v>2023</v>
      </c>
      <c r="L29" s="163">
        <v>2024</v>
      </c>
      <c r="M29" s="163">
        <v>2025</v>
      </c>
      <c r="N29" s="163">
        <v>2026</v>
      </c>
      <c r="O29" s="353"/>
      <c r="P29" s="164" t="e" cm="1">
        <f t="array" ref="P29">_xlfn.XLOOKUP(1, ('0. GUIDELINES'!$E$3=[1]Elasticities!$A:$A) * ("Long"=[1]Elasticities!$B:$B) * ($A$30=[1]Elasticities!$D:$D) * ($C30=[1]Elasticities!$E:$E), [1]Elasticities!$C:$C)</f>
        <v>#N/A</v>
      </c>
      <c r="Q29" s="164" t="e" cm="1">
        <f t="array" ref="Q29">_xlfn.XLOOKUP(1, ('0. GUIDELINES'!$E$3=[1]Elasticities!$A:$A) * ("Middle"=[1]Elasticities!$B:$B) * ($A$30=[1]Elasticities!$D:$D) * ($C30=[1]Elasticities!$E:$E), [1]Elasticities!$C:$C)</f>
        <v>#N/A</v>
      </c>
      <c r="R29" s="165" t="e" cm="1">
        <f t="array" ref="R29">_xlfn.XLOOKUP(1, ('0. GUIDELINES'!$E$3=[1]Elasticities!$A:$A) * ("Short"=[1]Elasticities!$B:$B) * ($A$30=[1]Elasticities!$D:$D) * ($C30=[1]Elasticities!$E:$E), [1]Elasticities!$C:$C)</f>
        <v>#N/A</v>
      </c>
      <c r="S29" s="164" t="e" cm="1">
        <f t="array" ref="S29">_xlfn.XLOOKUP(1, ('0. GUIDELINES'!$E$3=[1]Elasticities!$A:$A) * ("Long"=[1]Elasticities!$B:$B) * ($B$30=[1]Elasticities!$D:$D) * ($C30=[1]Elasticities!$E:$E), [1]Elasticities!$C:$C)</f>
        <v>#N/A</v>
      </c>
      <c r="T29" s="164" t="e" cm="1">
        <f t="array" ref="T29">_xlfn.XLOOKUP(1, ('0. GUIDELINES'!$E$3=[1]Elasticities!$A:$A) * ("Middle"=[1]Elasticities!$B:$B) * ($B$30=[1]Elasticities!$D:$D) * ($C30=[1]Elasticities!$E:$E), [1]Elasticities!$C:$C)</f>
        <v>#N/A</v>
      </c>
      <c r="U29" s="164" t="e" cm="1">
        <f t="array" ref="U29">_xlfn.XLOOKUP(1, ('0. GUIDELINES'!$E$3=[1]Elasticities!$A:$A) * ("Short"=[1]Elasticities!$B:$B) * ($B$30=[1]Elasticities!$D:$D) * ($C30=[1]Elasticities!$E:$E), [1]Elasticities!$C:$C)</f>
        <v>#N/A</v>
      </c>
      <c r="V29" s="131"/>
      <c r="W29" s="131"/>
      <c r="X29" s="138">
        <v>2007</v>
      </c>
      <c r="Y29" s="138">
        <v>2008</v>
      </c>
      <c r="Z29" s="294">
        <v>2009</v>
      </c>
      <c r="AA29" s="294">
        <v>2010</v>
      </c>
      <c r="AB29" s="294">
        <v>2011</v>
      </c>
      <c r="AC29" s="294">
        <v>2012</v>
      </c>
      <c r="AD29" s="294">
        <v>2013</v>
      </c>
      <c r="AE29" s="294">
        <v>2014</v>
      </c>
      <c r="AF29" s="294">
        <v>2015</v>
      </c>
      <c r="AG29" s="294">
        <v>2016</v>
      </c>
      <c r="AH29" s="294">
        <v>2017</v>
      </c>
      <c r="AI29" s="294">
        <v>2018</v>
      </c>
      <c r="AJ29" s="294">
        <v>2019</v>
      </c>
      <c r="AK29" s="294">
        <v>2020</v>
      </c>
      <c r="AL29" s="294">
        <v>2021</v>
      </c>
      <c r="AM29" s="294">
        <v>2022</v>
      </c>
      <c r="AN29" s="294">
        <v>2023</v>
      </c>
      <c r="AP29" s="89" t="s">
        <v>189</v>
      </c>
      <c r="AQ29" s="89" t="s">
        <v>190</v>
      </c>
      <c r="AR29" s="89" t="s">
        <v>191</v>
      </c>
      <c r="AU29" s="89"/>
      <c r="AV29" s="89"/>
      <c r="AW29" s="89"/>
      <c r="AX29" s="89"/>
      <c r="AY29" s="89"/>
      <c r="AZ29" s="89"/>
      <c r="BA29" s="89"/>
      <c r="BB29" s="89"/>
    </row>
    <row r="30" spans="1:54" ht="14.25" x14ac:dyDescent="0.2">
      <c r="A30" s="93" t="str">
        <f>VLOOKUP(P$27, 'CONTROL '!$D$1:$E$8, 2, 0)</f>
        <v>avg</v>
      </c>
      <c r="B30" s="93" t="str">
        <f>VLOOKUP(S$27, 'CONTROL '!$D$1:$E$8, 2, 0)</f>
        <v>reg</v>
      </c>
      <c r="C30" s="93" t="str">
        <f>'CONTROL '!$C15</f>
        <v>prod_s0_a1</v>
      </c>
      <c r="D30" s="129"/>
      <c r="E30" s="136"/>
      <c r="F30" s="89"/>
      <c r="G30" s="89"/>
      <c r="H30" s="89"/>
      <c r="I30" s="140" t="s">
        <v>496</v>
      </c>
      <c r="J30" s="139"/>
      <c r="K30" s="139">
        <f t="shared" ref="K30:N30" si="4">K12</f>
        <v>0.251</v>
      </c>
      <c r="L30" s="139">
        <f t="shared" si="4"/>
        <v>0.24559138775080852</v>
      </c>
      <c r="M30" s="139">
        <f t="shared" si="4"/>
        <v>0.22381005061871498</v>
      </c>
      <c r="N30" s="139">
        <f t="shared" si="4"/>
        <v>0.20353649478915475</v>
      </c>
      <c r="O30" s="353"/>
      <c r="P30" s="356" t="e" cm="1">
        <f t="array" ref="P30">_xlfn.XLOOKUP(1, ('0. GUIDELINES'!$E$3=[1]Elasticities!$A:$A) * ("Long"=[1]Elasticities!$B:$B) * ($A$30=[1]Elasticities!$D:$D) * ($C30=[1]Elasticities!$E:$E), [1]Elasticities!$F:$F)</f>
        <v>#N/A</v>
      </c>
      <c r="Q30" s="356" t="e" cm="1">
        <f t="array" ref="Q30">_xlfn.XLOOKUP(1, ('0. GUIDELINES'!$E$3=[1]Elasticities!$A:$A) * ("Middle"=[1]Elasticities!$B:$B) * ($A$30=[1]Elasticities!$D:$D) * ($C30=[1]Elasticities!$E:$E), [1]Elasticities!$F:$F)</f>
        <v>#N/A</v>
      </c>
      <c r="R30" s="357" t="e" cm="1">
        <f t="array" ref="R30">_xlfn.XLOOKUP(1, ('0. GUIDELINES'!$E$3=[1]Elasticities!$A:$A) * ("Short"=[1]Elasticities!$B:$B) * ($A$30=[1]Elasticities!$D:$D) * ($C30=[1]Elasticities!$E:$E), [1]Elasticities!$F:$F)</f>
        <v>#N/A</v>
      </c>
      <c r="S30" s="356" t="e" cm="1">
        <f t="array" ref="S30">_xlfn.XLOOKUP(1, ('0. GUIDELINES'!$E$3=[1]Elasticities!$A:$A) * ("Long"=[1]Elasticities!$B:$B) * ($B$30=[1]Elasticities!$D:$D) * ($C30=[1]Elasticities!$E:$E), [1]Elasticities!$F:$F)</f>
        <v>#N/A</v>
      </c>
      <c r="T30" s="356" t="e" cm="1">
        <f t="array" ref="T30">_xlfn.XLOOKUP(1, ('0. GUIDELINES'!$E$3=[1]Elasticities!$A:$A) * ("Middle"=[1]Elasticities!$B:$B) * ($B$30=[1]Elasticities!$D:$D) * ($C30=[1]Elasticities!$E:$E), [1]Elasticities!$F:$F)</f>
        <v>#N/A</v>
      </c>
      <c r="U30" s="356" t="e" cm="1">
        <f t="array" ref="U30">_xlfn.XLOOKUP(1, ('0. GUIDELINES'!$E$3=[1]Elasticities!$A:$A) * ("Short"=[1]Elasticities!$B:$B) * ($B$30=[1]Elasticities!$D:$D) * ($C30=[1]Elasticities!$E:$E), [1]Elasticities!$F:$F)</f>
        <v>#N/A</v>
      </c>
      <c r="V30" s="362"/>
      <c r="W30" s="362"/>
      <c r="X30" s="168" t="e" cm="1">
        <f t="array" ref="X30">_xlfn.XLOOKUP(1, ('0. GUIDELINES'!$E$3='[1]Elasticities by year'!$A:$A) * (X$10='[1]Elasticities by year'!$B:$B)* ($C30='[1]Elasticities by year'!$C:$C), '[1]Elasticities by year'!$D:$D)</f>
        <v>#N/A</v>
      </c>
      <c r="Y30" s="168" t="e" cm="1">
        <f t="array" ref="Y30">_xlfn.XLOOKUP(1, ('0. GUIDELINES'!$E$3='[1]Elasticities by year'!$A:$A) * (Y$10='[1]Elasticities by year'!$B:$B)* ($C30='[1]Elasticities by year'!$C:$C), '[1]Elasticities by year'!$D:$D)</f>
        <v>#N/A</v>
      </c>
      <c r="Z30" s="168" t="e" cm="1">
        <f t="array" ref="Z30">_xlfn.XLOOKUP(1, ('0. GUIDELINES'!$E$3='[1]Elasticities by year'!$A:$A) * (Z$10='[1]Elasticities by year'!$B:$B)* ($C30='[1]Elasticities by year'!$C:$C), '[1]Elasticities by year'!$D:$D)</f>
        <v>#N/A</v>
      </c>
      <c r="AA30" s="168" t="e" cm="1">
        <f t="array" ref="AA30">_xlfn.XLOOKUP(1, ('0. GUIDELINES'!$E$3='[1]Elasticities by year'!$A:$A) * (AA$10='[1]Elasticities by year'!$B:$B)* ($C30='[1]Elasticities by year'!$C:$C), '[1]Elasticities by year'!$D:$D)</f>
        <v>#N/A</v>
      </c>
      <c r="AB30" s="168" t="e" cm="1">
        <f t="array" ref="AB30">_xlfn.XLOOKUP(1, ('0. GUIDELINES'!$E$3='[1]Elasticities by year'!$A:$A) * (AB$10='[1]Elasticities by year'!$B:$B)* ($C30='[1]Elasticities by year'!$C:$C), '[1]Elasticities by year'!$D:$D)</f>
        <v>#N/A</v>
      </c>
      <c r="AC30" s="168" t="e" cm="1">
        <f t="array" ref="AC30">_xlfn.XLOOKUP(1, ('0. GUIDELINES'!$E$3='[1]Elasticities by year'!$A:$A) * (AC$10='[1]Elasticities by year'!$B:$B)* ($C30='[1]Elasticities by year'!$C:$C), '[1]Elasticities by year'!$D:$D)</f>
        <v>#N/A</v>
      </c>
      <c r="AD30" s="168" t="e" cm="1">
        <f t="array" ref="AD30">_xlfn.XLOOKUP(1, ('0. GUIDELINES'!$E$3='[1]Elasticities by year'!$A:$A) * (AD$10='[1]Elasticities by year'!$B:$B)* ($C30='[1]Elasticities by year'!$C:$C), '[1]Elasticities by year'!$D:$D)</f>
        <v>#N/A</v>
      </c>
      <c r="AE30" s="168" t="e" cm="1">
        <f t="array" ref="AE30">_xlfn.XLOOKUP(1, ('0. GUIDELINES'!$E$3='[1]Elasticities by year'!$A:$A) * (AE$10='[1]Elasticities by year'!$B:$B)* ($C30='[1]Elasticities by year'!$C:$C), '[1]Elasticities by year'!$D:$D)</f>
        <v>#N/A</v>
      </c>
      <c r="AF30" s="168" t="e" cm="1">
        <f t="array" ref="AF30">_xlfn.XLOOKUP(1, ('0. GUIDELINES'!$E$3='[1]Elasticities by year'!$A:$A) * (AF$10='[1]Elasticities by year'!$B:$B)* ($C30='[1]Elasticities by year'!$C:$C), '[1]Elasticities by year'!$D:$D)</f>
        <v>#N/A</v>
      </c>
      <c r="AG30" s="168" t="e" cm="1">
        <f t="array" ref="AG30">_xlfn.XLOOKUP(1, ('0. GUIDELINES'!$E$3='[1]Elasticities by year'!$A:$A) * (AG$10='[1]Elasticities by year'!$B:$B)* ($C30='[1]Elasticities by year'!$C:$C), '[1]Elasticities by year'!$D:$D)</f>
        <v>#N/A</v>
      </c>
      <c r="AH30" s="168" t="e" cm="1">
        <f t="array" ref="AH30">_xlfn.XLOOKUP(1, ('0. GUIDELINES'!$E$3='[1]Elasticities by year'!$A:$A) * (AH$10='[1]Elasticities by year'!$B:$B)* ($C30='[1]Elasticities by year'!$C:$C), '[1]Elasticities by year'!$D:$D)</f>
        <v>#N/A</v>
      </c>
      <c r="AI30" s="168" t="e" cm="1">
        <f t="array" ref="AI30">_xlfn.XLOOKUP(1, ('0. GUIDELINES'!$E$3='[1]Elasticities by year'!$A:$A) * (AI$10='[1]Elasticities by year'!$B:$B)* ($C30='[1]Elasticities by year'!$C:$C), '[1]Elasticities by year'!$D:$D)</f>
        <v>#N/A</v>
      </c>
      <c r="AJ30" s="168" t="e" cm="1">
        <f t="array" ref="AJ30">_xlfn.XLOOKUP(1, ('0. GUIDELINES'!$E$3='[1]Elasticities by year'!$A:$A) * (AJ$10='[1]Elasticities by year'!$B:$B)* ($C30='[1]Elasticities by year'!$C:$C), '[1]Elasticities by year'!$D:$D)</f>
        <v>#N/A</v>
      </c>
      <c r="AK30" s="168" t="e" cm="1">
        <f t="array" ref="AK30">_xlfn.XLOOKUP(1, ('0. GUIDELINES'!$E$3='[1]Elasticities by year'!$A:$A) * (AK$10='[1]Elasticities by year'!$B:$B)* ($C30='[1]Elasticities by year'!$C:$C), '[1]Elasticities by year'!$D:$D)</f>
        <v>#N/A</v>
      </c>
      <c r="AL30" s="168" t="e" cm="1">
        <f t="array" ref="AL30">_xlfn.XLOOKUP(1, ('0. GUIDELINES'!$E$3='[1]Elasticities by year'!$A:$A) * (AL$10='[1]Elasticities by year'!$B:$B)* ($C30='[1]Elasticities by year'!$C:$C), '[1]Elasticities by year'!$D:$D)</f>
        <v>#N/A</v>
      </c>
      <c r="AM30" s="168" t="e" cm="1">
        <f t="array" ref="AM30">_xlfn.XLOOKUP(1, ('0. GUIDELINES'!$E$3='[1]Elasticities by year'!$A:$A) * (AM$10='[1]Elasticities by year'!$B:$B)* ($C30='[1]Elasticities by year'!$C:$C), '[1]Elasticities by year'!$D:$D)</f>
        <v>#N/A</v>
      </c>
      <c r="AN30" s="168" t="e" cm="1">
        <f t="array" ref="AN30">_xlfn.XLOOKUP(1, ('0. GUIDELINES'!$E$3='[1]Elasticities by year'!$A:$A) * (AN$10='[1]Elasticities by year'!$B:$B)* ($C30='[1]Elasticities by year'!$C:$C), '[1]Elasticities by year'!$D:$D)</f>
        <v>#N/A</v>
      </c>
      <c r="AP30" s="355" t="e">
        <f>AVERAGEIF(X30:AK30, "&lt;&gt;#N/A")</f>
        <v>#DIV/0!</v>
      </c>
      <c r="AQ30" s="355" t="e">
        <f>AVERAGEIF(AC30:AK30, "&lt;&gt;#N/A")</f>
        <v>#DIV/0!</v>
      </c>
      <c r="AR30" s="355" t="e">
        <f>AVERAGEIF(AH30:AK30, "&lt;&gt;#N/A")</f>
        <v>#DIV/0!</v>
      </c>
      <c r="AU30" s="89"/>
      <c r="AV30" s="89"/>
      <c r="AW30" s="89"/>
      <c r="AX30" s="89"/>
      <c r="AY30" s="89"/>
      <c r="AZ30" s="89"/>
      <c r="BA30" s="89"/>
      <c r="BB30" s="89"/>
    </row>
    <row r="31" spans="1:54" ht="14.25" x14ac:dyDescent="0.2">
      <c r="A31" s="93"/>
      <c r="B31" s="93"/>
      <c r="C31" s="93" t="str">
        <f>'CONTROL '!$C16</f>
        <v>prod_s1_a1</v>
      </c>
      <c r="D31" s="129"/>
      <c r="E31" s="136"/>
      <c r="F31" s="89"/>
      <c r="G31" s="89"/>
      <c r="H31" s="89"/>
      <c r="I31" s="140" t="s">
        <v>495</v>
      </c>
      <c r="J31" s="139"/>
      <c r="K31" s="139">
        <f t="shared" ref="K31:N31" si="5">K13</f>
        <v>0.251</v>
      </c>
      <c r="L31" s="139">
        <f t="shared" si="5"/>
        <v>0.24559138775080852</v>
      </c>
      <c r="M31" s="139">
        <f t="shared" si="5"/>
        <v>0.22381005061871498</v>
      </c>
      <c r="N31" s="139">
        <f t="shared" si="5"/>
        <v>0.20353649478915475</v>
      </c>
      <c r="O31" s="353"/>
      <c r="P31" s="356" t="e" cm="1">
        <f t="array" ref="P31">_xlfn.XLOOKUP(1, ('0. GUIDELINES'!$E$3=[1]Elasticities!$A:$A) * ("Long"=[1]Elasticities!$B:$B) * ($A$30=[1]Elasticities!$D:$D) * ($C31=[1]Elasticities!$E:$E), [1]Elasticities!$F:$F)</f>
        <v>#N/A</v>
      </c>
      <c r="Q31" s="356" t="e" cm="1">
        <f t="array" ref="Q31">_xlfn.XLOOKUP(1, ('0. GUIDELINES'!$E$3=[1]Elasticities!$A:$A) * ("Middle"=[1]Elasticities!$B:$B) * ($A$30=[1]Elasticities!$D:$D) * ($C31=[1]Elasticities!$E:$E), [1]Elasticities!$F:$F)</f>
        <v>#N/A</v>
      </c>
      <c r="R31" s="357" t="e" cm="1">
        <f t="array" ref="R31">_xlfn.XLOOKUP(1, ('0. GUIDELINES'!$E$3=[1]Elasticities!$A:$A) * ("Short"=[1]Elasticities!$B:$B) * ($A$30=[1]Elasticities!$D:$D) * ($C31=[1]Elasticities!$E:$E), [1]Elasticities!$F:$F)</f>
        <v>#N/A</v>
      </c>
      <c r="S31" s="356" t="e" cm="1">
        <f t="array" ref="S31">_xlfn.XLOOKUP(1, ('0. GUIDELINES'!$E$3=[1]Elasticities!$A:$A) * ("Long"=[1]Elasticities!$B:$B) * ($B$30=[1]Elasticities!$D:$D) * ($C31=[1]Elasticities!$E:$E), [1]Elasticities!$F:$F)</f>
        <v>#N/A</v>
      </c>
      <c r="T31" s="356" t="e" cm="1">
        <f t="array" ref="T31">_xlfn.XLOOKUP(1, ('0. GUIDELINES'!$E$3=[1]Elasticities!$A:$A) * ("Middle"=[1]Elasticities!$B:$B) * ($B$30=[1]Elasticities!$D:$D) * ($C31=[1]Elasticities!$E:$E), [1]Elasticities!$F:$F)</f>
        <v>#N/A</v>
      </c>
      <c r="U31" s="356" t="e" cm="1">
        <f t="array" ref="U31">_xlfn.XLOOKUP(1, ('0. GUIDELINES'!$E$3=[1]Elasticities!$A:$A) * ("Short"=[1]Elasticities!$B:$B) * ($B$30=[1]Elasticities!$D:$D) * ($C31=[1]Elasticities!$E:$E), [1]Elasticities!$F:$F)</f>
        <v>#N/A</v>
      </c>
      <c r="V31" s="362"/>
      <c r="W31" s="362"/>
      <c r="X31" s="168" t="e" cm="1">
        <f t="array" ref="X31">_xlfn.XLOOKUP(1, ('0. GUIDELINES'!$E$3='[1]Elasticities by year'!$A:$A) * (X$10='[1]Elasticities by year'!$B:$B)* ($C31='[1]Elasticities by year'!$C:$C), '[1]Elasticities by year'!$D:$D)</f>
        <v>#N/A</v>
      </c>
      <c r="Y31" s="168" t="e" cm="1">
        <f t="array" ref="Y31">_xlfn.XLOOKUP(1, ('0. GUIDELINES'!$E$3='[1]Elasticities by year'!$A:$A) * (Y$10='[1]Elasticities by year'!$B:$B)* ($C31='[1]Elasticities by year'!$C:$C), '[1]Elasticities by year'!$D:$D)</f>
        <v>#N/A</v>
      </c>
      <c r="Z31" s="168" t="e" cm="1">
        <f t="array" ref="Z31">_xlfn.XLOOKUP(1, ('0. GUIDELINES'!$E$3='[1]Elasticities by year'!$A:$A) * (Z$10='[1]Elasticities by year'!$B:$B)* ($C31='[1]Elasticities by year'!$C:$C), '[1]Elasticities by year'!$D:$D)</f>
        <v>#N/A</v>
      </c>
      <c r="AA31" s="168" t="e" cm="1">
        <f t="array" ref="AA31">_xlfn.XLOOKUP(1, ('0. GUIDELINES'!$E$3='[1]Elasticities by year'!$A:$A) * (AA$10='[1]Elasticities by year'!$B:$B)* ($C31='[1]Elasticities by year'!$C:$C), '[1]Elasticities by year'!$D:$D)</f>
        <v>#N/A</v>
      </c>
      <c r="AB31" s="168" t="e" cm="1">
        <f t="array" ref="AB31">_xlfn.XLOOKUP(1, ('0. GUIDELINES'!$E$3='[1]Elasticities by year'!$A:$A) * (AB$10='[1]Elasticities by year'!$B:$B)* ($C31='[1]Elasticities by year'!$C:$C), '[1]Elasticities by year'!$D:$D)</f>
        <v>#N/A</v>
      </c>
      <c r="AC31" s="168" t="e" cm="1">
        <f t="array" ref="AC31">_xlfn.XLOOKUP(1, ('0. GUIDELINES'!$E$3='[1]Elasticities by year'!$A:$A) * (AC$10='[1]Elasticities by year'!$B:$B)* ($C31='[1]Elasticities by year'!$C:$C), '[1]Elasticities by year'!$D:$D)</f>
        <v>#N/A</v>
      </c>
      <c r="AD31" s="168" t="e" cm="1">
        <f t="array" ref="AD31">_xlfn.XLOOKUP(1, ('0. GUIDELINES'!$E$3='[1]Elasticities by year'!$A:$A) * (AD$10='[1]Elasticities by year'!$B:$B)* ($C31='[1]Elasticities by year'!$C:$C), '[1]Elasticities by year'!$D:$D)</f>
        <v>#N/A</v>
      </c>
      <c r="AE31" s="168" t="e" cm="1">
        <f t="array" ref="AE31">_xlfn.XLOOKUP(1, ('0. GUIDELINES'!$E$3='[1]Elasticities by year'!$A:$A) * (AE$10='[1]Elasticities by year'!$B:$B)* ($C31='[1]Elasticities by year'!$C:$C), '[1]Elasticities by year'!$D:$D)</f>
        <v>#N/A</v>
      </c>
      <c r="AF31" s="168" t="e" cm="1">
        <f t="array" ref="AF31">_xlfn.XLOOKUP(1, ('0. GUIDELINES'!$E$3='[1]Elasticities by year'!$A:$A) * (AF$10='[1]Elasticities by year'!$B:$B)* ($C31='[1]Elasticities by year'!$C:$C), '[1]Elasticities by year'!$D:$D)</f>
        <v>#N/A</v>
      </c>
      <c r="AG31" s="168" t="e" cm="1">
        <f t="array" ref="AG31">_xlfn.XLOOKUP(1, ('0. GUIDELINES'!$E$3='[1]Elasticities by year'!$A:$A) * (AG$10='[1]Elasticities by year'!$B:$B)* ($C31='[1]Elasticities by year'!$C:$C), '[1]Elasticities by year'!$D:$D)</f>
        <v>#N/A</v>
      </c>
      <c r="AH31" s="168" t="e" cm="1">
        <f t="array" ref="AH31">_xlfn.XLOOKUP(1, ('0. GUIDELINES'!$E$3='[1]Elasticities by year'!$A:$A) * (AH$10='[1]Elasticities by year'!$B:$B)* ($C31='[1]Elasticities by year'!$C:$C), '[1]Elasticities by year'!$D:$D)</f>
        <v>#N/A</v>
      </c>
      <c r="AI31" s="168" t="e" cm="1">
        <f t="array" ref="AI31">_xlfn.XLOOKUP(1, ('0. GUIDELINES'!$E$3='[1]Elasticities by year'!$A:$A) * (AI$10='[1]Elasticities by year'!$B:$B)* ($C31='[1]Elasticities by year'!$C:$C), '[1]Elasticities by year'!$D:$D)</f>
        <v>#N/A</v>
      </c>
      <c r="AJ31" s="168" t="e" cm="1">
        <f t="array" ref="AJ31">_xlfn.XLOOKUP(1, ('0. GUIDELINES'!$E$3='[1]Elasticities by year'!$A:$A) * (AJ$10='[1]Elasticities by year'!$B:$B)* ($C31='[1]Elasticities by year'!$C:$C), '[1]Elasticities by year'!$D:$D)</f>
        <v>#N/A</v>
      </c>
      <c r="AK31" s="168" t="e" cm="1">
        <f t="array" ref="AK31">_xlfn.XLOOKUP(1, ('0. GUIDELINES'!$E$3='[1]Elasticities by year'!$A:$A) * (AK$10='[1]Elasticities by year'!$B:$B)* ($C31='[1]Elasticities by year'!$C:$C), '[1]Elasticities by year'!$D:$D)</f>
        <v>#N/A</v>
      </c>
      <c r="AL31" s="168" t="e" cm="1">
        <f t="array" ref="AL31">_xlfn.XLOOKUP(1, ('0. GUIDELINES'!$E$3='[1]Elasticities by year'!$A:$A) * (AL$10='[1]Elasticities by year'!$B:$B)* ($C31='[1]Elasticities by year'!$C:$C), '[1]Elasticities by year'!$D:$D)</f>
        <v>#N/A</v>
      </c>
      <c r="AM31" s="168" t="e" cm="1">
        <f t="array" ref="AM31">_xlfn.XLOOKUP(1, ('0. GUIDELINES'!$E$3='[1]Elasticities by year'!$A:$A) * (AM$10='[1]Elasticities by year'!$B:$B)* ($C31='[1]Elasticities by year'!$C:$C), '[1]Elasticities by year'!$D:$D)</f>
        <v>#N/A</v>
      </c>
      <c r="AN31" s="168" t="e" cm="1">
        <f t="array" ref="AN31">_xlfn.XLOOKUP(1, ('0. GUIDELINES'!$E$3='[1]Elasticities by year'!$A:$A) * (AN$10='[1]Elasticities by year'!$B:$B)* ($C31='[1]Elasticities by year'!$C:$C), '[1]Elasticities by year'!$D:$D)</f>
        <v>#N/A</v>
      </c>
      <c r="AP31" s="355" t="e">
        <f t="shared" ref="AP31:AP41" si="6">AVERAGEIF(X31:AK31, "&lt;&gt;#N/A")</f>
        <v>#DIV/0!</v>
      </c>
      <c r="AQ31" s="355" t="e">
        <f t="shared" ref="AQ31:AQ41" si="7">AVERAGEIF(AC31:AK31, "&lt;&gt;#N/A")</f>
        <v>#DIV/0!</v>
      </c>
      <c r="AR31" s="355" t="e">
        <f t="shared" ref="AR31:AR41" si="8">AVERAGEIF(AH31:AK31, "&lt;&gt;#N/A")</f>
        <v>#DIV/0!</v>
      </c>
      <c r="AU31" s="89"/>
      <c r="AV31" s="89"/>
      <c r="AW31" s="89"/>
      <c r="AX31" s="89"/>
      <c r="AY31" s="89"/>
      <c r="AZ31" s="89"/>
      <c r="BA31" s="89"/>
      <c r="BB31" s="89"/>
    </row>
    <row r="32" spans="1:54" ht="14.25" x14ac:dyDescent="0.2">
      <c r="A32" s="93"/>
      <c r="B32" s="93"/>
      <c r="C32" s="93" t="str">
        <f>'CONTROL '!$C17</f>
        <v>prod_s0_a2</v>
      </c>
      <c r="D32" s="129"/>
      <c r="E32" s="136"/>
      <c r="F32" s="89"/>
      <c r="G32" s="89"/>
      <c r="H32" s="89"/>
      <c r="I32" s="140" t="s">
        <v>497</v>
      </c>
      <c r="J32" s="139"/>
      <c r="K32" s="139">
        <f t="shared" ref="K32:N32" si="9">K14</f>
        <v>0.251</v>
      </c>
      <c r="L32" s="139">
        <f t="shared" si="9"/>
        <v>0.24559138775080852</v>
      </c>
      <c r="M32" s="139">
        <f t="shared" si="9"/>
        <v>0.22381005061871498</v>
      </c>
      <c r="N32" s="139">
        <f t="shared" si="9"/>
        <v>0.20353649478915475</v>
      </c>
      <c r="O32" s="419"/>
      <c r="P32" s="356"/>
      <c r="Q32" s="356"/>
      <c r="R32" s="357"/>
      <c r="S32" s="356"/>
      <c r="T32" s="356"/>
      <c r="U32" s="356"/>
      <c r="V32" s="362"/>
      <c r="W32" s="362"/>
      <c r="X32" s="168"/>
      <c r="Y32" s="168"/>
      <c r="Z32" s="168"/>
      <c r="AA32" s="168"/>
      <c r="AB32" s="168"/>
      <c r="AC32" s="168"/>
      <c r="AD32" s="168"/>
      <c r="AE32" s="168"/>
      <c r="AF32" s="168"/>
      <c r="AG32" s="168"/>
      <c r="AH32" s="168"/>
      <c r="AI32" s="168"/>
      <c r="AJ32" s="168"/>
      <c r="AK32" s="168"/>
      <c r="AL32" s="168"/>
      <c r="AM32" s="168"/>
      <c r="AN32" s="168"/>
      <c r="AP32" s="355"/>
      <c r="AQ32" s="355"/>
      <c r="AR32" s="355"/>
      <c r="AU32" s="89"/>
      <c r="AV32" s="89"/>
      <c r="AW32" s="89"/>
      <c r="AX32" s="89"/>
      <c r="AY32" s="89"/>
      <c r="AZ32" s="89"/>
      <c r="BA32" s="89"/>
      <c r="BB32" s="89"/>
    </row>
    <row r="33" spans="1:54" ht="14.25" x14ac:dyDescent="0.2">
      <c r="A33" s="93"/>
      <c r="B33" s="93"/>
      <c r="C33" s="93" t="str">
        <f>'CONTROL '!$C18</f>
        <v>prod_s1_a2</v>
      </c>
      <c r="D33" s="129"/>
      <c r="E33" s="136"/>
      <c r="F33" s="89"/>
      <c r="G33" s="89"/>
      <c r="H33" s="89"/>
      <c r="I33" s="140" t="s">
        <v>498</v>
      </c>
      <c r="J33" s="139"/>
      <c r="K33" s="139">
        <f t="shared" ref="K33:N33" si="10">K15</f>
        <v>0.251</v>
      </c>
      <c r="L33" s="139">
        <f t="shared" si="10"/>
        <v>0.24559138775080852</v>
      </c>
      <c r="M33" s="139">
        <f t="shared" si="10"/>
        <v>0.22381005061871498</v>
      </c>
      <c r="N33" s="139">
        <f t="shared" si="10"/>
        <v>0.20353649478915475</v>
      </c>
      <c r="O33" s="419"/>
      <c r="P33" s="356"/>
      <c r="Q33" s="356"/>
      <c r="R33" s="357"/>
      <c r="S33" s="356"/>
      <c r="T33" s="356"/>
      <c r="U33" s="356"/>
      <c r="V33" s="362"/>
      <c r="W33" s="362"/>
      <c r="X33" s="168"/>
      <c r="Y33" s="168"/>
      <c r="Z33" s="168"/>
      <c r="AA33" s="168"/>
      <c r="AB33" s="168"/>
      <c r="AC33" s="168"/>
      <c r="AD33" s="168"/>
      <c r="AE33" s="168"/>
      <c r="AF33" s="168"/>
      <c r="AG33" s="168"/>
      <c r="AH33" s="168"/>
      <c r="AI33" s="168"/>
      <c r="AJ33" s="168"/>
      <c r="AK33" s="168"/>
      <c r="AL33" s="168"/>
      <c r="AM33" s="168"/>
      <c r="AN33" s="168"/>
      <c r="AP33" s="355"/>
      <c r="AQ33" s="355"/>
      <c r="AR33" s="355"/>
      <c r="AU33" s="89"/>
      <c r="AV33" s="89"/>
      <c r="AW33" s="89"/>
      <c r="AX33" s="89"/>
      <c r="AY33" s="89"/>
      <c r="AZ33" s="89"/>
      <c r="BA33" s="89"/>
      <c r="BB33" s="89"/>
    </row>
    <row r="34" spans="1:54" ht="14.25" x14ac:dyDescent="0.2">
      <c r="A34" s="93"/>
      <c r="B34" s="93"/>
      <c r="C34" s="93" t="str">
        <f>'CONTROL '!$C19</f>
        <v>prod_s0_a3</v>
      </c>
      <c r="D34" s="129"/>
      <c r="E34" s="136"/>
      <c r="F34" s="89"/>
      <c r="G34" s="89"/>
      <c r="H34" s="89"/>
      <c r="I34" s="140" t="s">
        <v>510</v>
      </c>
      <c r="J34" s="139"/>
      <c r="K34" s="139">
        <f t="shared" ref="K34:N34" si="11">K16</f>
        <v>0.251</v>
      </c>
      <c r="L34" s="139">
        <f t="shared" si="11"/>
        <v>0.24559138775080852</v>
      </c>
      <c r="M34" s="139">
        <f t="shared" si="11"/>
        <v>0.22381005061871498</v>
      </c>
      <c r="N34" s="139">
        <f t="shared" si="11"/>
        <v>0.20353649478915475</v>
      </c>
      <c r="O34" s="419"/>
      <c r="P34" s="356"/>
      <c r="Q34" s="356"/>
      <c r="R34" s="357"/>
      <c r="S34" s="356"/>
      <c r="T34" s="356"/>
      <c r="U34" s="356"/>
      <c r="V34" s="362"/>
      <c r="W34" s="362"/>
      <c r="X34" s="168"/>
      <c r="Y34" s="168"/>
      <c r="Z34" s="168"/>
      <c r="AA34" s="168"/>
      <c r="AB34" s="168"/>
      <c r="AC34" s="168"/>
      <c r="AD34" s="168"/>
      <c r="AE34" s="168"/>
      <c r="AF34" s="168"/>
      <c r="AG34" s="168"/>
      <c r="AH34" s="168"/>
      <c r="AI34" s="168"/>
      <c r="AJ34" s="168"/>
      <c r="AK34" s="168"/>
      <c r="AL34" s="168"/>
      <c r="AM34" s="168"/>
      <c r="AN34" s="168"/>
      <c r="AP34" s="355"/>
      <c r="AQ34" s="355"/>
      <c r="AR34" s="355"/>
      <c r="AU34" s="89"/>
      <c r="AV34" s="89"/>
      <c r="AW34" s="89"/>
      <c r="AX34" s="89"/>
      <c r="AY34" s="89"/>
      <c r="AZ34" s="89"/>
      <c r="BA34" s="89"/>
      <c r="BB34" s="89"/>
    </row>
    <row r="35" spans="1:54" ht="14.25" x14ac:dyDescent="0.2">
      <c r="A35" s="93"/>
      <c r="B35" s="93"/>
      <c r="C35" s="93" t="str">
        <f>'CONTROL '!$C20</f>
        <v>prod_s1_a3</v>
      </c>
      <c r="D35" s="129"/>
      <c r="E35" s="136"/>
      <c r="F35" s="89"/>
      <c r="G35" s="89"/>
      <c r="H35" s="89"/>
      <c r="I35" s="140" t="s">
        <v>499</v>
      </c>
      <c r="J35" s="139"/>
      <c r="K35" s="139">
        <f t="shared" ref="K35:N35" si="12">K17</f>
        <v>0.251</v>
      </c>
      <c r="L35" s="139">
        <f t="shared" si="12"/>
        <v>0.24559138775080852</v>
      </c>
      <c r="M35" s="139">
        <f t="shared" si="12"/>
        <v>0.22381005061871498</v>
      </c>
      <c r="N35" s="139">
        <f t="shared" si="12"/>
        <v>0.20353649478915475</v>
      </c>
      <c r="O35" s="419"/>
      <c r="P35" s="356"/>
      <c r="Q35" s="356"/>
      <c r="R35" s="357"/>
      <c r="S35" s="356"/>
      <c r="T35" s="356"/>
      <c r="U35" s="356"/>
      <c r="V35" s="362"/>
      <c r="W35" s="362"/>
      <c r="X35" s="168"/>
      <c r="Y35" s="168"/>
      <c r="Z35" s="168"/>
      <c r="AA35" s="168"/>
      <c r="AB35" s="168"/>
      <c r="AC35" s="168"/>
      <c r="AD35" s="168"/>
      <c r="AE35" s="168"/>
      <c r="AF35" s="168"/>
      <c r="AG35" s="168"/>
      <c r="AH35" s="168"/>
      <c r="AI35" s="168"/>
      <c r="AJ35" s="168"/>
      <c r="AK35" s="168"/>
      <c r="AL35" s="168"/>
      <c r="AM35" s="168"/>
      <c r="AN35" s="168"/>
      <c r="AP35" s="355"/>
      <c r="AQ35" s="355"/>
      <c r="AR35" s="355"/>
      <c r="AU35" s="89"/>
      <c r="AV35" s="89"/>
      <c r="AW35" s="89"/>
      <c r="AX35" s="89"/>
      <c r="AY35" s="89"/>
      <c r="AZ35" s="89"/>
      <c r="BA35" s="89"/>
      <c r="BB35" s="89"/>
    </row>
    <row r="36" spans="1:54" ht="14.25" x14ac:dyDescent="0.2">
      <c r="A36" s="93"/>
      <c r="B36" s="93"/>
      <c r="C36" s="93" t="str">
        <f>'CONTROL '!$C21</f>
        <v>prod_s0_a4</v>
      </c>
      <c r="D36" s="129"/>
      <c r="E36" s="136"/>
      <c r="F36" s="89"/>
      <c r="G36" s="89"/>
      <c r="H36" s="89"/>
      <c r="I36" s="140" t="s">
        <v>501</v>
      </c>
      <c r="J36" s="139"/>
      <c r="K36" s="139">
        <f t="shared" ref="K36:N36" si="13">K18</f>
        <v>0.251</v>
      </c>
      <c r="L36" s="139">
        <f t="shared" si="13"/>
        <v>0.24559138775080852</v>
      </c>
      <c r="M36" s="139">
        <f t="shared" si="13"/>
        <v>0.22381005061871498</v>
      </c>
      <c r="N36" s="139">
        <f t="shared" si="13"/>
        <v>0.20353649478915475</v>
      </c>
      <c r="O36" s="419"/>
      <c r="P36" s="356"/>
      <c r="Q36" s="356"/>
      <c r="R36" s="357"/>
      <c r="S36" s="356"/>
      <c r="T36" s="356"/>
      <c r="U36" s="356"/>
      <c r="V36" s="362"/>
      <c r="W36" s="362"/>
      <c r="X36" s="168"/>
      <c r="Y36" s="168"/>
      <c r="Z36" s="168"/>
      <c r="AA36" s="168"/>
      <c r="AB36" s="168"/>
      <c r="AC36" s="168"/>
      <c r="AD36" s="168"/>
      <c r="AE36" s="168"/>
      <c r="AF36" s="168"/>
      <c r="AG36" s="168"/>
      <c r="AH36" s="168"/>
      <c r="AI36" s="168"/>
      <c r="AJ36" s="168"/>
      <c r="AK36" s="168"/>
      <c r="AL36" s="168"/>
      <c r="AM36" s="168"/>
      <c r="AN36" s="168"/>
      <c r="AP36" s="355"/>
      <c r="AQ36" s="355"/>
      <c r="AR36" s="355"/>
      <c r="AU36" s="89"/>
      <c r="AV36" s="89"/>
      <c r="AW36" s="89"/>
      <c r="AX36" s="89"/>
      <c r="AY36" s="89"/>
      <c r="AZ36" s="89"/>
      <c r="BA36" s="89"/>
      <c r="BB36" s="89"/>
    </row>
    <row r="37" spans="1:54" ht="14.25" x14ac:dyDescent="0.2">
      <c r="A37" s="93"/>
      <c r="B37" s="93"/>
      <c r="C37" s="93" t="str">
        <f>'CONTROL '!$C22</f>
        <v>prod_s1_a4</v>
      </c>
      <c r="D37" s="129"/>
      <c r="E37" s="136"/>
      <c r="F37" s="89"/>
      <c r="G37" s="89"/>
      <c r="H37" s="89"/>
      <c r="I37" s="140" t="s">
        <v>502</v>
      </c>
      <c r="J37" s="139"/>
      <c r="K37" s="139">
        <f t="shared" ref="K37:N37" si="14">K19</f>
        <v>0.251</v>
      </c>
      <c r="L37" s="139">
        <f t="shared" si="14"/>
        <v>0.24559138775080852</v>
      </c>
      <c r="M37" s="139">
        <f t="shared" si="14"/>
        <v>0.22381005061871498</v>
      </c>
      <c r="N37" s="139">
        <f t="shared" si="14"/>
        <v>0.20353649478915475</v>
      </c>
      <c r="O37" s="419"/>
      <c r="P37" s="356"/>
      <c r="Q37" s="356"/>
      <c r="R37" s="357"/>
      <c r="S37" s="356"/>
      <c r="T37" s="356"/>
      <c r="U37" s="356"/>
      <c r="V37" s="362"/>
      <c r="W37" s="362"/>
      <c r="X37" s="168"/>
      <c r="Y37" s="168"/>
      <c r="Z37" s="168"/>
      <c r="AA37" s="168"/>
      <c r="AB37" s="168"/>
      <c r="AC37" s="168"/>
      <c r="AD37" s="168"/>
      <c r="AE37" s="168"/>
      <c r="AF37" s="168"/>
      <c r="AG37" s="168"/>
      <c r="AH37" s="168"/>
      <c r="AI37" s="168"/>
      <c r="AJ37" s="168"/>
      <c r="AK37" s="168"/>
      <c r="AL37" s="168"/>
      <c r="AM37" s="168"/>
      <c r="AN37" s="168"/>
      <c r="AP37" s="355"/>
      <c r="AQ37" s="355"/>
      <c r="AR37" s="355"/>
      <c r="AU37" s="89"/>
      <c r="AV37" s="89"/>
      <c r="AW37" s="89"/>
      <c r="AX37" s="89"/>
      <c r="AY37" s="89"/>
      <c r="AZ37" s="89"/>
      <c r="BA37" s="89"/>
      <c r="BB37" s="89"/>
    </row>
    <row r="38" spans="1:54" ht="14.25" x14ac:dyDescent="0.2">
      <c r="A38" s="93"/>
      <c r="B38" s="93"/>
      <c r="C38" s="93" t="str">
        <f>'CONTROL '!$C23</f>
        <v>prod_s0_a5</v>
      </c>
      <c r="D38" s="129"/>
      <c r="E38" s="136"/>
      <c r="F38" s="89"/>
      <c r="G38" s="89"/>
      <c r="H38" s="89"/>
      <c r="I38" s="140" t="s">
        <v>503</v>
      </c>
      <c r="J38" s="139"/>
      <c r="K38" s="139">
        <f t="shared" ref="K38:N38" si="15">K20</f>
        <v>0.251</v>
      </c>
      <c r="L38" s="139">
        <f t="shared" si="15"/>
        <v>0.24559138775080852</v>
      </c>
      <c r="M38" s="139">
        <f t="shared" si="15"/>
        <v>0.22381005061871498</v>
      </c>
      <c r="N38" s="139">
        <f t="shared" si="15"/>
        <v>0.20353649478915475</v>
      </c>
      <c r="O38" s="353"/>
      <c r="P38" s="356" t="e" cm="1">
        <f t="array" ref="P38">_xlfn.XLOOKUP(1, ('0. GUIDELINES'!$E$3=[1]Elasticities!$A:$A) * ("Long"=[1]Elasticities!$B:$B) * ($A$30=[1]Elasticities!$D:$D) * ($C38=[1]Elasticities!$E:$E), [1]Elasticities!$F:$F)</f>
        <v>#N/A</v>
      </c>
      <c r="Q38" s="356" t="e" cm="1">
        <f t="array" ref="Q38">_xlfn.XLOOKUP(1, ('0. GUIDELINES'!$E$3=[1]Elasticities!$A:$A) * ("Middle"=[1]Elasticities!$B:$B) * ($A$30=[1]Elasticities!$D:$D) * ($C38=[1]Elasticities!$E:$E), [1]Elasticities!$F:$F)</f>
        <v>#N/A</v>
      </c>
      <c r="R38" s="357" t="e" cm="1">
        <f t="array" ref="R38">_xlfn.XLOOKUP(1, ('0. GUIDELINES'!$E$3=[1]Elasticities!$A:$A) * ("Short"=[1]Elasticities!$B:$B) * ($A$30=[1]Elasticities!$D:$D) * ($C38=[1]Elasticities!$E:$E), [1]Elasticities!$F:$F)</f>
        <v>#N/A</v>
      </c>
      <c r="S38" s="356" t="e" cm="1">
        <f t="array" ref="S38">_xlfn.XLOOKUP(1, ('0. GUIDELINES'!$E$3=[1]Elasticities!$A:$A) * ("Long"=[1]Elasticities!$B:$B) * ($B$30=[1]Elasticities!$D:$D) * ($C38=[1]Elasticities!$E:$E), [1]Elasticities!$F:$F)</f>
        <v>#N/A</v>
      </c>
      <c r="T38" s="356" t="e" cm="1">
        <f t="array" ref="T38">_xlfn.XLOOKUP(1, ('0. GUIDELINES'!$E$3=[1]Elasticities!$A:$A) * ("Middle"=[1]Elasticities!$B:$B) * ($B$30=[1]Elasticities!$D:$D) * ($C38=[1]Elasticities!$E:$E), [1]Elasticities!$F:$F)</f>
        <v>#N/A</v>
      </c>
      <c r="U38" s="356" t="e" cm="1">
        <f t="array" ref="U38">_xlfn.XLOOKUP(1, ('0. GUIDELINES'!$E$3=[1]Elasticities!$A:$A) * ("Short"=[1]Elasticities!$B:$B) * ($B$30=[1]Elasticities!$D:$D) * ($C38=[1]Elasticities!$E:$E), [1]Elasticities!$F:$F)</f>
        <v>#N/A</v>
      </c>
      <c r="V38" s="362"/>
      <c r="W38" s="362"/>
      <c r="X38" s="168" t="e" cm="1">
        <f t="array" ref="X38">_xlfn.XLOOKUP(1, ('0. GUIDELINES'!$E$3='[1]Elasticities by year'!$A:$A) * (X$10='[1]Elasticities by year'!$B:$B)* ($C38='[1]Elasticities by year'!$C:$C), '[1]Elasticities by year'!$D:$D)</f>
        <v>#N/A</v>
      </c>
      <c r="Y38" s="168" t="e" cm="1">
        <f t="array" ref="Y38">_xlfn.XLOOKUP(1, ('0. GUIDELINES'!$E$3='[1]Elasticities by year'!$A:$A) * (Y$10='[1]Elasticities by year'!$B:$B)* ($C38='[1]Elasticities by year'!$C:$C), '[1]Elasticities by year'!$D:$D)</f>
        <v>#N/A</v>
      </c>
      <c r="Z38" s="168" t="e" cm="1">
        <f t="array" ref="Z38">_xlfn.XLOOKUP(1, ('0. GUIDELINES'!$E$3='[1]Elasticities by year'!$A:$A) * (Z$10='[1]Elasticities by year'!$B:$B)* ($C38='[1]Elasticities by year'!$C:$C), '[1]Elasticities by year'!$D:$D)</f>
        <v>#N/A</v>
      </c>
      <c r="AA38" s="168" t="e" cm="1">
        <f t="array" ref="AA38">_xlfn.XLOOKUP(1, ('0. GUIDELINES'!$E$3='[1]Elasticities by year'!$A:$A) * (AA$10='[1]Elasticities by year'!$B:$B)* ($C38='[1]Elasticities by year'!$C:$C), '[1]Elasticities by year'!$D:$D)</f>
        <v>#N/A</v>
      </c>
      <c r="AB38" s="168" t="e" cm="1">
        <f t="array" ref="AB38">_xlfn.XLOOKUP(1, ('0. GUIDELINES'!$E$3='[1]Elasticities by year'!$A:$A) * (AB$10='[1]Elasticities by year'!$B:$B)* ($C38='[1]Elasticities by year'!$C:$C), '[1]Elasticities by year'!$D:$D)</f>
        <v>#N/A</v>
      </c>
      <c r="AC38" s="168" t="e" cm="1">
        <f t="array" ref="AC38">_xlfn.XLOOKUP(1, ('0. GUIDELINES'!$E$3='[1]Elasticities by year'!$A:$A) * (AC$10='[1]Elasticities by year'!$B:$B)* ($C38='[1]Elasticities by year'!$C:$C), '[1]Elasticities by year'!$D:$D)</f>
        <v>#N/A</v>
      </c>
      <c r="AD38" s="168" t="e" cm="1">
        <f t="array" ref="AD38">_xlfn.XLOOKUP(1, ('0. GUIDELINES'!$E$3='[1]Elasticities by year'!$A:$A) * (AD$10='[1]Elasticities by year'!$B:$B)* ($C38='[1]Elasticities by year'!$C:$C), '[1]Elasticities by year'!$D:$D)</f>
        <v>#N/A</v>
      </c>
      <c r="AE38" s="168" t="e" cm="1">
        <f t="array" ref="AE38">_xlfn.XLOOKUP(1, ('0. GUIDELINES'!$E$3='[1]Elasticities by year'!$A:$A) * (AE$10='[1]Elasticities by year'!$B:$B)* ($C38='[1]Elasticities by year'!$C:$C), '[1]Elasticities by year'!$D:$D)</f>
        <v>#N/A</v>
      </c>
      <c r="AF38" s="168" t="e" cm="1">
        <f t="array" ref="AF38">_xlfn.XLOOKUP(1, ('0. GUIDELINES'!$E$3='[1]Elasticities by year'!$A:$A) * (AF$10='[1]Elasticities by year'!$B:$B)* ($C38='[1]Elasticities by year'!$C:$C), '[1]Elasticities by year'!$D:$D)</f>
        <v>#N/A</v>
      </c>
      <c r="AG38" s="168" t="e" cm="1">
        <f t="array" ref="AG38">_xlfn.XLOOKUP(1, ('0. GUIDELINES'!$E$3='[1]Elasticities by year'!$A:$A) * (AG$10='[1]Elasticities by year'!$B:$B)* ($C38='[1]Elasticities by year'!$C:$C), '[1]Elasticities by year'!$D:$D)</f>
        <v>#N/A</v>
      </c>
      <c r="AH38" s="168" t="e" cm="1">
        <f t="array" ref="AH38">_xlfn.XLOOKUP(1, ('0. GUIDELINES'!$E$3='[1]Elasticities by year'!$A:$A) * (AH$10='[1]Elasticities by year'!$B:$B)* ($C38='[1]Elasticities by year'!$C:$C), '[1]Elasticities by year'!$D:$D)</f>
        <v>#N/A</v>
      </c>
      <c r="AI38" s="168" t="e" cm="1">
        <f t="array" ref="AI38">_xlfn.XLOOKUP(1, ('0. GUIDELINES'!$E$3='[1]Elasticities by year'!$A:$A) * (AI$10='[1]Elasticities by year'!$B:$B)* ($C38='[1]Elasticities by year'!$C:$C), '[1]Elasticities by year'!$D:$D)</f>
        <v>#N/A</v>
      </c>
      <c r="AJ38" s="168" t="e" cm="1">
        <f t="array" ref="AJ38">_xlfn.XLOOKUP(1, ('0. GUIDELINES'!$E$3='[1]Elasticities by year'!$A:$A) * (AJ$10='[1]Elasticities by year'!$B:$B)* ($C38='[1]Elasticities by year'!$C:$C), '[1]Elasticities by year'!$D:$D)</f>
        <v>#N/A</v>
      </c>
      <c r="AK38" s="168" t="e" cm="1">
        <f t="array" ref="AK38">_xlfn.XLOOKUP(1, ('0. GUIDELINES'!$E$3='[1]Elasticities by year'!$A:$A) * (AK$10='[1]Elasticities by year'!$B:$B)* ($C38='[1]Elasticities by year'!$C:$C), '[1]Elasticities by year'!$D:$D)</f>
        <v>#N/A</v>
      </c>
      <c r="AL38" s="168" t="e" cm="1">
        <f t="array" ref="AL38">_xlfn.XLOOKUP(1, ('0. GUIDELINES'!$E$3='[1]Elasticities by year'!$A:$A) * (AL$10='[1]Elasticities by year'!$B:$B)* ($C38='[1]Elasticities by year'!$C:$C), '[1]Elasticities by year'!$D:$D)</f>
        <v>#N/A</v>
      </c>
      <c r="AM38" s="168" t="e" cm="1">
        <f t="array" ref="AM38">_xlfn.XLOOKUP(1, ('0. GUIDELINES'!$E$3='[1]Elasticities by year'!$A:$A) * (AM$10='[1]Elasticities by year'!$B:$B)* ($C38='[1]Elasticities by year'!$C:$C), '[1]Elasticities by year'!$D:$D)</f>
        <v>#N/A</v>
      </c>
      <c r="AN38" s="168" t="e" cm="1">
        <f t="array" ref="AN38">_xlfn.XLOOKUP(1, ('0. GUIDELINES'!$E$3='[1]Elasticities by year'!$A:$A) * (AN$10='[1]Elasticities by year'!$B:$B)* ($C38='[1]Elasticities by year'!$C:$C), '[1]Elasticities by year'!$D:$D)</f>
        <v>#N/A</v>
      </c>
      <c r="AP38" s="355" t="e">
        <f t="shared" si="6"/>
        <v>#DIV/0!</v>
      </c>
      <c r="AQ38" s="355" t="e">
        <f t="shared" si="7"/>
        <v>#DIV/0!</v>
      </c>
      <c r="AR38" s="355" t="e">
        <f t="shared" si="8"/>
        <v>#DIV/0!</v>
      </c>
      <c r="AU38" s="89"/>
      <c r="AV38" s="89"/>
      <c r="AW38" s="89"/>
      <c r="AX38" s="89"/>
      <c r="AY38" s="89"/>
      <c r="AZ38" s="89"/>
      <c r="BA38" s="89"/>
      <c r="BB38" s="89"/>
    </row>
    <row r="39" spans="1:54" ht="14.25" x14ac:dyDescent="0.2">
      <c r="A39" s="93"/>
      <c r="B39" s="93"/>
      <c r="C39" s="93" t="str">
        <f>'CONTROL '!$C24</f>
        <v>prod_s1_a5</v>
      </c>
      <c r="D39" s="129"/>
      <c r="E39" s="136"/>
      <c r="F39" s="89"/>
      <c r="G39" s="89"/>
      <c r="H39" s="89"/>
      <c r="I39" s="140" t="s">
        <v>504</v>
      </c>
      <c r="J39" s="139"/>
      <c r="K39" s="139">
        <f t="shared" ref="K39:N39" si="16">K21</f>
        <v>0.251</v>
      </c>
      <c r="L39" s="139">
        <f t="shared" si="16"/>
        <v>0.24559138775080852</v>
      </c>
      <c r="M39" s="139">
        <f t="shared" si="16"/>
        <v>0.22381005061871498</v>
      </c>
      <c r="N39" s="139">
        <f t="shared" si="16"/>
        <v>0.20353649478915475</v>
      </c>
      <c r="O39" s="353"/>
      <c r="P39" s="356" t="e" cm="1">
        <f t="array" ref="P39">_xlfn.XLOOKUP(1, ('0. GUIDELINES'!$E$3=[1]Elasticities!$A:$A) * ("Long"=[1]Elasticities!$B:$B) * ($A$30=[1]Elasticities!$D:$D) * ($C39=[1]Elasticities!$E:$E), [1]Elasticities!$F:$F)</f>
        <v>#N/A</v>
      </c>
      <c r="Q39" s="356" t="e" cm="1">
        <f t="array" ref="Q39">_xlfn.XLOOKUP(1, ('0. GUIDELINES'!$E$3=[1]Elasticities!$A:$A) * ("Middle"=[1]Elasticities!$B:$B) * ($A$30=[1]Elasticities!$D:$D) * ($C39=[1]Elasticities!$E:$E), [1]Elasticities!$F:$F)</f>
        <v>#N/A</v>
      </c>
      <c r="R39" s="357" t="e" cm="1">
        <f t="array" ref="R39">_xlfn.XLOOKUP(1, ('0. GUIDELINES'!$E$3=[1]Elasticities!$A:$A) * ("Short"=[1]Elasticities!$B:$B) * ($A$30=[1]Elasticities!$D:$D) * ($C39=[1]Elasticities!$E:$E), [1]Elasticities!$F:$F)</f>
        <v>#N/A</v>
      </c>
      <c r="S39" s="356" t="e" cm="1">
        <f t="array" ref="S39">_xlfn.XLOOKUP(1, ('0. GUIDELINES'!$E$3=[1]Elasticities!$A:$A) * ("Long"=[1]Elasticities!$B:$B) * ($B$30=[1]Elasticities!$D:$D) * ($C39=[1]Elasticities!$E:$E), [1]Elasticities!$F:$F)</f>
        <v>#N/A</v>
      </c>
      <c r="T39" s="356" t="e" cm="1">
        <f t="array" ref="T39">_xlfn.XLOOKUP(1, ('0. GUIDELINES'!$E$3=[1]Elasticities!$A:$A) * ("Middle"=[1]Elasticities!$B:$B) * ($B$30=[1]Elasticities!$D:$D) * ($C39=[1]Elasticities!$E:$E), [1]Elasticities!$F:$F)</f>
        <v>#N/A</v>
      </c>
      <c r="U39" s="356" t="e" cm="1">
        <f t="array" ref="U39">_xlfn.XLOOKUP(1, ('0. GUIDELINES'!$E$3=[1]Elasticities!$A:$A) * ("Short"=[1]Elasticities!$B:$B) * ($B$30=[1]Elasticities!$D:$D) * ($C39=[1]Elasticities!$E:$E), [1]Elasticities!$F:$F)</f>
        <v>#N/A</v>
      </c>
      <c r="V39" s="362"/>
      <c r="W39" s="362"/>
      <c r="X39" s="168" t="e" cm="1">
        <f t="array" ref="X39">_xlfn.XLOOKUP(1, ('0. GUIDELINES'!$E$3='[1]Elasticities by year'!$A:$A) * (X$10='[1]Elasticities by year'!$B:$B)* ($C39='[1]Elasticities by year'!$C:$C), '[1]Elasticities by year'!$D:$D)</f>
        <v>#N/A</v>
      </c>
      <c r="Y39" s="168" t="e" cm="1">
        <f t="array" ref="Y39">_xlfn.XLOOKUP(1, ('0. GUIDELINES'!$E$3='[1]Elasticities by year'!$A:$A) * (Y$10='[1]Elasticities by year'!$B:$B)* ($C39='[1]Elasticities by year'!$C:$C), '[1]Elasticities by year'!$D:$D)</f>
        <v>#N/A</v>
      </c>
      <c r="Z39" s="168" t="e" cm="1">
        <f t="array" ref="Z39">_xlfn.XLOOKUP(1, ('0. GUIDELINES'!$E$3='[1]Elasticities by year'!$A:$A) * (Z$10='[1]Elasticities by year'!$B:$B)* ($C39='[1]Elasticities by year'!$C:$C), '[1]Elasticities by year'!$D:$D)</f>
        <v>#N/A</v>
      </c>
      <c r="AA39" s="168" t="e" cm="1">
        <f t="array" ref="AA39">_xlfn.XLOOKUP(1, ('0. GUIDELINES'!$E$3='[1]Elasticities by year'!$A:$A) * (AA$10='[1]Elasticities by year'!$B:$B)* ($C39='[1]Elasticities by year'!$C:$C), '[1]Elasticities by year'!$D:$D)</f>
        <v>#N/A</v>
      </c>
      <c r="AB39" s="168" t="e" cm="1">
        <f t="array" ref="AB39">_xlfn.XLOOKUP(1, ('0. GUIDELINES'!$E$3='[1]Elasticities by year'!$A:$A) * (AB$10='[1]Elasticities by year'!$B:$B)* ($C39='[1]Elasticities by year'!$C:$C), '[1]Elasticities by year'!$D:$D)</f>
        <v>#N/A</v>
      </c>
      <c r="AC39" s="168" t="e" cm="1">
        <f t="array" ref="AC39">_xlfn.XLOOKUP(1, ('0. GUIDELINES'!$E$3='[1]Elasticities by year'!$A:$A) * (AC$10='[1]Elasticities by year'!$B:$B)* ($C39='[1]Elasticities by year'!$C:$C), '[1]Elasticities by year'!$D:$D)</f>
        <v>#N/A</v>
      </c>
      <c r="AD39" s="168" t="e" cm="1">
        <f t="array" ref="AD39">_xlfn.XLOOKUP(1, ('0. GUIDELINES'!$E$3='[1]Elasticities by year'!$A:$A) * (AD$10='[1]Elasticities by year'!$B:$B)* ($C39='[1]Elasticities by year'!$C:$C), '[1]Elasticities by year'!$D:$D)</f>
        <v>#N/A</v>
      </c>
      <c r="AE39" s="168" t="e" cm="1">
        <f t="array" ref="AE39">_xlfn.XLOOKUP(1, ('0. GUIDELINES'!$E$3='[1]Elasticities by year'!$A:$A) * (AE$10='[1]Elasticities by year'!$B:$B)* ($C39='[1]Elasticities by year'!$C:$C), '[1]Elasticities by year'!$D:$D)</f>
        <v>#N/A</v>
      </c>
      <c r="AF39" s="168" t="e" cm="1">
        <f t="array" ref="AF39">_xlfn.XLOOKUP(1, ('0. GUIDELINES'!$E$3='[1]Elasticities by year'!$A:$A) * (AF$10='[1]Elasticities by year'!$B:$B)* ($C39='[1]Elasticities by year'!$C:$C), '[1]Elasticities by year'!$D:$D)</f>
        <v>#N/A</v>
      </c>
      <c r="AG39" s="168" t="e" cm="1">
        <f t="array" ref="AG39">_xlfn.XLOOKUP(1, ('0. GUIDELINES'!$E$3='[1]Elasticities by year'!$A:$A) * (AG$10='[1]Elasticities by year'!$B:$B)* ($C39='[1]Elasticities by year'!$C:$C), '[1]Elasticities by year'!$D:$D)</f>
        <v>#N/A</v>
      </c>
      <c r="AH39" s="168" t="e" cm="1">
        <f t="array" ref="AH39">_xlfn.XLOOKUP(1, ('0. GUIDELINES'!$E$3='[1]Elasticities by year'!$A:$A) * (AH$10='[1]Elasticities by year'!$B:$B)* ($C39='[1]Elasticities by year'!$C:$C), '[1]Elasticities by year'!$D:$D)</f>
        <v>#N/A</v>
      </c>
      <c r="AI39" s="168" t="e" cm="1">
        <f t="array" ref="AI39">_xlfn.XLOOKUP(1, ('0. GUIDELINES'!$E$3='[1]Elasticities by year'!$A:$A) * (AI$10='[1]Elasticities by year'!$B:$B)* ($C39='[1]Elasticities by year'!$C:$C), '[1]Elasticities by year'!$D:$D)</f>
        <v>#N/A</v>
      </c>
      <c r="AJ39" s="168" t="e" cm="1">
        <f t="array" ref="AJ39">_xlfn.XLOOKUP(1, ('0. GUIDELINES'!$E$3='[1]Elasticities by year'!$A:$A) * (AJ$10='[1]Elasticities by year'!$B:$B)* ($C39='[1]Elasticities by year'!$C:$C), '[1]Elasticities by year'!$D:$D)</f>
        <v>#N/A</v>
      </c>
      <c r="AK39" s="168" t="e" cm="1">
        <f t="array" ref="AK39">_xlfn.XLOOKUP(1, ('0. GUIDELINES'!$E$3='[1]Elasticities by year'!$A:$A) * (AK$10='[1]Elasticities by year'!$B:$B)* ($C39='[1]Elasticities by year'!$C:$C), '[1]Elasticities by year'!$D:$D)</f>
        <v>#N/A</v>
      </c>
      <c r="AL39" s="168" t="e" cm="1">
        <f t="array" ref="AL39">_xlfn.XLOOKUP(1, ('0. GUIDELINES'!$E$3='[1]Elasticities by year'!$A:$A) * (AL$10='[1]Elasticities by year'!$B:$B)* ($C39='[1]Elasticities by year'!$C:$C), '[1]Elasticities by year'!$D:$D)</f>
        <v>#N/A</v>
      </c>
      <c r="AM39" s="168" t="e" cm="1">
        <f t="array" ref="AM39">_xlfn.XLOOKUP(1, ('0. GUIDELINES'!$E$3='[1]Elasticities by year'!$A:$A) * (AM$10='[1]Elasticities by year'!$B:$B)* ($C39='[1]Elasticities by year'!$C:$C), '[1]Elasticities by year'!$D:$D)</f>
        <v>#N/A</v>
      </c>
      <c r="AN39" s="168" t="e" cm="1">
        <f t="array" ref="AN39">_xlfn.XLOOKUP(1, ('0. GUIDELINES'!$E$3='[1]Elasticities by year'!$A:$A) * (AN$10='[1]Elasticities by year'!$B:$B)* ($C39='[1]Elasticities by year'!$C:$C), '[1]Elasticities by year'!$D:$D)</f>
        <v>#N/A</v>
      </c>
      <c r="AP39" s="355" t="e">
        <f t="shared" si="6"/>
        <v>#DIV/0!</v>
      </c>
      <c r="AQ39" s="355" t="e">
        <f t="shared" si="7"/>
        <v>#DIV/0!</v>
      </c>
      <c r="AR39" s="355" t="e">
        <f t="shared" si="8"/>
        <v>#DIV/0!</v>
      </c>
      <c r="AU39" s="89"/>
      <c r="AV39" s="89"/>
      <c r="AW39" s="89"/>
      <c r="AX39" s="89"/>
      <c r="AY39" s="89"/>
      <c r="AZ39" s="89"/>
      <c r="BA39" s="89"/>
      <c r="BB39" s="89"/>
    </row>
    <row r="40" spans="1:54" ht="14.25" x14ac:dyDescent="0.2">
      <c r="A40" s="93"/>
      <c r="B40" s="93"/>
      <c r="C40" s="93" t="str">
        <f>'CONTROL '!$C25</f>
        <v>prod_s0_a6</v>
      </c>
      <c r="D40" s="129"/>
      <c r="E40" s="136"/>
      <c r="F40" s="89"/>
      <c r="G40" s="89"/>
      <c r="H40" s="89"/>
      <c r="I40" s="140" t="s">
        <v>505</v>
      </c>
      <c r="J40" s="139"/>
      <c r="K40" s="139">
        <f t="shared" ref="K40:N40" si="17">K22</f>
        <v>0.251</v>
      </c>
      <c r="L40" s="139">
        <f t="shared" si="17"/>
        <v>0.24559138775080852</v>
      </c>
      <c r="M40" s="139">
        <f t="shared" si="17"/>
        <v>0.22381005061871498</v>
      </c>
      <c r="N40" s="139">
        <f t="shared" si="17"/>
        <v>0.20353649478915475</v>
      </c>
      <c r="O40" s="353"/>
      <c r="P40" s="356" t="e" cm="1">
        <f t="array" ref="P40">_xlfn.XLOOKUP(1, ('0. GUIDELINES'!$E$3=[1]Elasticities!$A:$A) * ("Long"=[1]Elasticities!$B:$B) * ($A$30=[1]Elasticities!$D:$D) * ($C40=[1]Elasticities!$E:$E), [1]Elasticities!$F:$F)</f>
        <v>#N/A</v>
      </c>
      <c r="Q40" s="356" t="e" cm="1">
        <f t="array" ref="Q40">_xlfn.XLOOKUP(1, ('0. GUIDELINES'!$E$3=[1]Elasticities!$A:$A) * ("Middle"=[1]Elasticities!$B:$B) * ($A$30=[1]Elasticities!$D:$D) * ($C40=[1]Elasticities!$E:$E), [1]Elasticities!$F:$F)</f>
        <v>#N/A</v>
      </c>
      <c r="R40" s="357" t="e" cm="1">
        <f t="array" ref="R40">_xlfn.XLOOKUP(1, ('0. GUIDELINES'!$E$3=[1]Elasticities!$A:$A) * ("Short"=[1]Elasticities!$B:$B) * ($A$30=[1]Elasticities!$D:$D) * ($C40=[1]Elasticities!$E:$E), [1]Elasticities!$F:$F)</f>
        <v>#N/A</v>
      </c>
      <c r="S40" s="356" t="e" cm="1">
        <f t="array" ref="S40">_xlfn.XLOOKUP(1, ('0. GUIDELINES'!$E$3=[1]Elasticities!$A:$A) * ("Long"=[1]Elasticities!$B:$B) * ($B$30=[1]Elasticities!$D:$D) * ($C40=[1]Elasticities!$E:$E), [1]Elasticities!$F:$F)</f>
        <v>#N/A</v>
      </c>
      <c r="T40" s="356" t="e" cm="1">
        <f t="array" ref="T40">_xlfn.XLOOKUP(1, ('0. GUIDELINES'!$E$3=[1]Elasticities!$A:$A) * ("Middle"=[1]Elasticities!$B:$B) * ($B$30=[1]Elasticities!$D:$D) * ($C40=[1]Elasticities!$E:$E), [1]Elasticities!$F:$F)</f>
        <v>#N/A</v>
      </c>
      <c r="U40" s="356" t="e" cm="1">
        <f t="array" ref="U40">_xlfn.XLOOKUP(1, ('0. GUIDELINES'!$E$3=[1]Elasticities!$A:$A) * ("Short"=[1]Elasticities!$B:$B) * ($B$30=[1]Elasticities!$D:$D) * ($C40=[1]Elasticities!$E:$E), [1]Elasticities!$F:$F)</f>
        <v>#N/A</v>
      </c>
      <c r="V40" s="362"/>
      <c r="W40" s="362"/>
      <c r="X40" s="168" t="e" cm="1">
        <f t="array" ref="X40">_xlfn.XLOOKUP(1, ('0. GUIDELINES'!$E$3='[1]Elasticities by year'!$A:$A) * (X$10='[1]Elasticities by year'!$B:$B)* ($C40='[1]Elasticities by year'!$C:$C), '[1]Elasticities by year'!$D:$D)</f>
        <v>#N/A</v>
      </c>
      <c r="Y40" s="168" t="e" cm="1">
        <f t="array" ref="Y40">_xlfn.XLOOKUP(1, ('0. GUIDELINES'!$E$3='[1]Elasticities by year'!$A:$A) * (Y$10='[1]Elasticities by year'!$B:$B)* ($C40='[1]Elasticities by year'!$C:$C), '[1]Elasticities by year'!$D:$D)</f>
        <v>#N/A</v>
      </c>
      <c r="Z40" s="168" t="e" cm="1">
        <f t="array" ref="Z40">_xlfn.XLOOKUP(1, ('0. GUIDELINES'!$E$3='[1]Elasticities by year'!$A:$A) * (Z$10='[1]Elasticities by year'!$B:$B)* ($C40='[1]Elasticities by year'!$C:$C), '[1]Elasticities by year'!$D:$D)</f>
        <v>#N/A</v>
      </c>
      <c r="AA40" s="168" t="e" cm="1">
        <f t="array" ref="AA40">_xlfn.XLOOKUP(1, ('0. GUIDELINES'!$E$3='[1]Elasticities by year'!$A:$A) * (AA$10='[1]Elasticities by year'!$B:$B)* ($C40='[1]Elasticities by year'!$C:$C), '[1]Elasticities by year'!$D:$D)</f>
        <v>#N/A</v>
      </c>
      <c r="AB40" s="168" t="e" cm="1">
        <f t="array" ref="AB40">_xlfn.XLOOKUP(1, ('0. GUIDELINES'!$E$3='[1]Elasticities by year'!$A:$A) * (AB$10='[1]Elasticities by year'!$B:$B)* ($C40='[1]Elasticities by year'!$C:$C), '[1]Elasticities by year'!$D:$D)</f>
        <v>#N/A</v>
      </c>
      <c r="AC40" s="168" t="e" cm="1">
        <f t="array" ref="AC40">_xlfn.XLOOKUP(1, ('0. GUIDELINES'!$E$3='[1]Elasticities by year'!$A:$A) * (AC$10='[1]Elasticities by year'!$B:$B)* ($C40='[1]Elasticities by year'!$C:$C), '[1]Elasticities by year'!$D:$D)</f>
        <v>#N/A</v>
      </c>
      <c r="AD40" s="168" t="e" cm="1">
        <f t="array" ref="AD40">_xlfn.XLOOKUP(1, ('0. GUIDELINES'!$E$3='[1]Elasticities by year'!$A:$A) * (AD$10='[1]Elasticities by year'!$B:$B)* ($C40='[1]Elasticities by year'!$C:$C), '[1]Elasticities by year'!$D:$D)</f>
        <v>#N/A</v>
      </c>
      <c r="AE40" s="168" t="e" cm="1">
        <f t="array" ref="AE40">_xlfn.XLOOKUP(1, ('0. GUIDELINES'!$E$3='[1]Elasticities by year'!$A:$A) * (AE$10='[1]Elasticities by year'!$B:$B)* ($C40='[1]Elasticities by year'!$C:$C), '[1]Elasticities by year'!$D:$D)</f>
        <v>#N/A</v>
      </c>
      <c r="AF40" s="168" t="e" cm="1">
        <f t="array" ref="AF40">_xlfn.XLOOKUP(1, ('0. GUIDELINES'!$E$3='[1]Elasticities by year'!$A:$A) * (AF$10='[1]Elasticities by year'!$B:$B)* ($C40='[1]Elasticities by year'!$C:$C), '[1]Elasticities by year'!$D:$D)</f>
        <v>#N/A</v>
      </c>
      <c r="AG40" s="168" t="e" cm="1">
        <f t="array" ref="AG40">_xlfn.XLOOKUP(1, ('0. GUIDELINES'!$E$3='[1]Elasticities by year'!$A:$A) * (AG$10='[1]Elasticities by year'!$B:$B)* ($C40='[1]Elasticities by year'!$C:$C), '[1]Elasticities by year'!$D:$D)</f>
        <v>#N/A</v>
      </c>
      <c r="AH40" s="168" t="e" cm="1">
        <f t="array" ref="AH40">_xlfn.XLOOKUP(1, ('0. GUIDELINES'!$E$3='[1]Elasticities by year'!$A:$A) * (AH$10='[1]Elasticities by year'!$B:$B)* ($C40='[1]Elasticities by year'!$C:$C), '[1]Elasticities by year'!$D:$D)</f>
        <v>#N/A</v>
      </c>
      <c r="AI40" s="168" t="e" cm="1">
        <f t="array" ref="AI40">_xlfn.XLOOKUP(1, ('0. GUIDELINES'!$E$3='[1]Elasticities by year'!$A:$A) * (AI$10='[1]Elasticities by year'!$B:$B)* ($C40='[1]Elasticities by year'!$C:$C), '[1]Elasticities by year'!$D:$D)</f>
        <v>#N/A</v>
      </c>
      <c r="AJ40" s="168" t="e" cm="1">
        <f t="array" ref="AJ40">_xlfn.XLOOKUP(1, ('0. GUIDELINES'!$E$3='[1]Elasticities by year'!$A:$A) * (AJ$10='[1]Elasticities by year'!$B:$B)* ($C40='[1]Elasticities by year'!$C:$C), '[1]Elasticities by year'!$D:$D)</f>
        <v>#N/A</v>
      </c>
      <c r="AK40" s="168" t="e" cm="1">
        <f t="array" ref="AK40">_xlfn.XLOOKUP(1, ('0. GUIDELINES'!$E$3='[1]Elasticities by year'!$A:$A) * (AK$10='[1]Elasticities by year'!$B:$B)* ($C40='[1]Elasticities by year'!$C:$C), '[1]Elasticities by year'!$D:$D)</f>
        <v>#N/A</v>
      </c>
      <c r="AL40" s="168" t="e" cm="1">
        <f t="array" ref="AL40">_xlfn.XLOOKUP(1, ('0. GUIDELINES'!$E$3='[1]Elasticities by year'!$A:$A) * (AL$10='[1]Elasticities by year'!$B:$B)* ($C40='[1]Elasticities by year'!$C:$C), '[1]Elasticities by year'!$D:$D)</f>
        <v>#N/A</v>
      </c>
      <c r="AM40" s="168" t="e" cm="1">
        <f t="array" ref="AM40">_xlfn.XLOOKUP(1, ('0. GUIDELINES'!$E$3='[1]Elasticities by year'!$A:$A) * (AM$10='[1]Elasticities by year'!$B:$B)* ($C40='[1]Elasticities by year'!$C:$C), '[1]Elasticities by year'!$D:$D)</f>
        <v>#N/A</v>
      </c>
      <c r="AN40" s="168" t="e" cm="1">
        <f t="array" ref="AN40">_xlfn.XLOOKUP(1, ('0. GUIDELINES'!$E$3='[1]Elasticities by year'!$A:$A) * (AN$10='[1]Elasticities by year'!$B:$B)* ($C40='[1]Elasticities by year'!$C:$C), '[1]Elasticities by year'!$D:$D)</f>
        <v>#N/A</v>
      </c>
      <c r="AP40" s="355" t="e">
        <f t="shared" si="6"/>
        <v>#DIV/0!</v>
      </c>
      <c r="AQ40" s="355" t="e">
        <f t="shared" si="7"/>
        <v>#DIV/0!</v>
      </c>
      <c r="AR40" s="355" t="e">
        <f t="shared" si="8"/>
        <v>#DIV/0!</v>
      </c>
      <c r="AT40" s="509"/>
      <c r="AU40" s="509"/>
      <c r="AV40" s="89"/>
      <c r="AW40" s="89"/>
      <c r="AX40" s="89"/>
      <c r="AY40" s="89"/>
      <c r="AZ40" s="89"/>
      <c r="BA40" s="89"/>
      <c r="BB40" s="89"/>
    </row>
    <row r="41" spans="1:54" ht="14.25" x14ac:dyDescent="0.2">
      <c r="A41" s="93"/>
      <c r="B41" s="93"/>
      <c r="C41" s="93" t="str">
        <f>'CONTROL '!$C26</f>
        <v>prod_s1_a6</v>
      </c>
      <c r="D41" s="129"/>
      <c r="E41" s="136"/>
      <c r="F41" s="89"/>
      <c r="G41" s="89"/>
      <c r="H41" s="89"/>
      <c r="I41" s="166" t="s">
        <v>506</v>
      </c>
      <c r="J41" s="167"/>
      <c r="K41" s="167">
        <f t="shared" ref="K41:N41" si="18">K23</f>
        <v>0.251</v>
      </c>
      <c r="L41" s="167">
        <f t="shared" si="18"/>
        <v>0.24559138775080852</v>
      </c>
      <c r="M41" s="167">
        <f t="shared" si="18"/>
        <v>0.22381005061871498</v>
      </c>
      <c r="N41" s="167">
        <f t="shared" si="18"/>
        <v>0.20353649478915475</v>
      </c>
      <c r="O41" s="353"/>
      <c r="P41" s="358" t="e" cm="1">
        <f t="array" ref="P41">_xlfn.XLOOKUP(1, ('0. GUIDELINES'!$E$3=[1]Elasticities!$A:$A) * ("Long"=[1]Elasticities!$B:$B) * ($A$30=[1]Elasticities!$D:$D) * ($C41=[1]Elasticities!$E:$E), [1]Elasticities!$F:$F)</f>
        <v>#N/A</v>
      </c>
      <c r="Q41" s="358" t="e" cm="1">
        <f t="array" ref="Q41">_xlfn.XLOOKUP(1, ('0. GUIDELINES'!$E$3=[1]Elasticities!$A:$A) * ("Middle"=[1]Elasticities!$B:$B) * ($A$30=[1]Elasticities!$D:$D) * ($C41=[1]Elasticities!$E:$E), [1]Elasticities!$F:$F)</f>
        <v>#N/A</v>
      </c>
      <c r="R41" s="359" t="e" cm="1">
        <f t="array" ref="R41">_xlfn.XLOOKUP(1, ('0. GUIDELINES'!$E$3=[1]Elasticities!$A:$A) * ("Short"=[1]Elasticities!$B:$B) * ($A$30=[1]Elasticities!$D:$D) * ($C41=[1]Elasticities!$E:$E), [1]Elasticities!$F:$F)</f>
        <v>#N/A</v>
      </c>
      <c r="S41" s="358" t="e" cm="1">
        <f t="array" ref="S41">_xlfn.XLOOKUP(1, ('0. GUIDELINES'!$E$3=[1]Elasticities!$A:$A) * ("Long"=[1]Elasticities!$B:$B) * ($B$30=[1]Elasticities!$D:$D) * ($C41=[1]Elasticities!$E:$E), [1]Elasticities!$F:$F)</f>
        <v>#N/A</v>
      </c>
      <c r="T41" s="358" t="e" cm="1">
        <f t="array" ref="T41">_xlfn.XLOOKUP(1, ('0. GUIDELINES'!$E$3=[1]Elasticities!$A:$A) * ("Middle"=[1]Elasticities!$B:$B) * ($B$30=[1]Elasticities!$D:$D) * ($C41=[1]Elasticities!$E:$E), [1]Elasticities!$F:$F)</f>
        <v>#N/A</v>
      </c>
      <c r="U41" s="358" t="e" cm="1">
        <f t="array" ref="U41">_xlfn.XLOOKUP(1, ('0. GUIDELINES'!$E$3=[1]Elasticities!$A:$A) * ("Short"=[1]Elasticities!$B:$B) * ($B$30=[1]Elasticities!$D:$D) * ($C41=[1]Elasticities!$E:$E), [1]Elasticities!$F:$F)</f>
        <v>#N/A</v>
      </c>
      <c r="V41" s="362"/>
      <c r="W41" s="362"/>
      <c r="X41" s="169" t="e" cm="1">
        <f t="array" ref="X41">_xlfn.XLOOKUP(1, ('0. GUIDELINES'!$E$3='[1]Elasticities by year'!$A:$A) * (X$10='[1]Elasticities by year'!$B:$B)* ($C41='[1]Elasticities by year'!$C:$C), '[1]Elasticities by year'!$D:$D)</f>
        <v>#N/A</v>
      </c>
      <c r="Y41" s="169" t="e" cm="1">
        <f t="array" ref="Y41">_xlfn.XLOOKUP(1, ('0. GUIDELINES'!$E$3='[1]Elasticities by year'!$A:$A) * (Y$10='[1]Elasticities by year'!$B:$B)* ($C41='[1]Elasticities by year'!$C:$C), '[1]Elasticities by year'!$D:$D)</f>
        <v>#N/A</v>
      </c>
      <c r="Z41" s="169" t="e" cm="1">
        <f t="array" ref="Z41">_xlfn.XLOOKUP(1, ('0. GUIDELINES'!$E$3='[1]Elasticities by year'!$A:$A) * (Z$10='[1]Elasticities by year'!$B:$B)* ($C41='[1]Elasticities by year'!$C:$C), '[1]Elasticities by year'!$D:$D)</f>
        <v>#N/A</v>
      </c>
      <c r="AA41" s="169" t="e" cm="1">
        <f t="array" ref="AA41">_xlfn.XLOOKUP(1, ('0. GUIDELINES'!$E$3='[1]Elasticities by year'!$A:$A) * (AA$10='[1]Elasticities by year'!$B:$B)* ($C41='[1]Elasticities by year'!$C:$C), '[1]Elasticities by year'!$D:$D)</f>
        <v>#N/A</v>
      </c>
      <c r="AB41" s="169" t="e" cm="1">
        <f t="array" ref="AB41">_xlfn.XLOOKUP(1, ('0. GUIDELINES'!$E$3='[1]Elasticities by year'!$A:$A) * (AB$10='[1]Elasticities by year'!$B:$B)* ($C41='[1]Elasticities by year'!$C:$C), '[1]Elasticities by year'!$D:$D)</f>
        <v>#N/A</v>
      </c>
      <c r="AC41" s="169" t="e" cm="1">
        <f t="array" ref="AC41">_xlfn.XLOOKUP(1, ('0. GUIDELINES'!$E$3='[1]Elasticities by year'!$A:$A) * (AC$10='[1]Elasticities by year'!$B:$B)* ($C41='[1]Elasticities by year'!$C:$C), '[1]Elasticities by year'!$D:$D)</f>
        <v>#N/A</v>
      </c>
      <c r="AD41" s="169" t="e" cm="1">
        <f t="array" ref="AD41">_xlfn.XLOOKUP(1, ('0. GUIDELINES'!$E$3='[1]Elasticities by year'!$A:$A) * (AD$10='[1]Elasticities by year'!$B:$B)* ($C41='[1]Elasticities by year'!$C:$C), '[1]Elasticities by year'!$D:$D)</f>
        <v>#N/A</v>
      </c>
      <c r="AE41" s="169" t="e" cm="1">
        <f t="array" ref="AE41">_xlfn.XLOOKUP(1, ('0. GUIDELINES'!$E$3='[1]Elasticities by year'!$A:$A) * (AE$10='[1]Elasticities by year'!$B:$B)* ($C41='[1]Elasticities by year'!$C:$C), '[1]Elasticities by year'!$D:$D)</f>
        <v>#N/A</v>
      </c>
      <c r="AF41" s="169" t="e" cm="1">
        <f t="array" ref="AF41">_xlfn.XLOOKUP(1, ('0. GUIDELINES'!$E$3='[1]Elasticities by year'!$A:$A) * (AF$10='[1]Elasticities by year'!$B:$B)* ($C41='[1]Elasticities by year'!$C:$C), '[1]Elasticities by year'!$D:$D)</f>
        <v>#N/A</v>
      </c>
      <c r="AG41" s="169" t="e" cm="1">
        <f t="array" ref="AG41">_xlfn.XLOOKUP(1, ('0. GUIDELINES'!$E$3='[1]Elasticities by year'!$A:$A) * (AG$10='[1]Elasticities by year'!$B:$B)* ($C41='[1]Elasticities by year'!$C:$C), '[1]Elasticities by year'!$D:$D)</f>
        <v>#N/A</v>
      </c>
      <c r="AH41" s="169" t="e" cm="1">
        <f t="array" ref="AH41">_xlfn.XLOOKUP(1, ('0. GUIDELINES'!$E$3='[1]Elasticities by year'!$A:$A) * (AH$10='[1]Elasticities by year'!$B:$B)* ($C41='[1]Elasticities by year'!$C:$C), '[1]Elasticities by year'!$D:$D)</f>
        <v>#N/A</v>
      </c>
      <c r="AI41" s="169" t="e" cm="1">
        <f t="array" ref="AI41">_xlfn.XLOOKUP(1, ('0. GUIDELINES'!$E$3='[1]Elasticities by year'!$A:$A) * (AI$10='[1]Elasticities by year'!$B:$B)* ($C41='[1]Elasticities by year'!$C:$C), '[1]Elasticities by year'!$D:$D)</f>
        <v>#N/A</v>
      </c>
      <c r="AJ41" s="169" t="e" cm="1">
        <f t="array" ref="AJ41">_xlfn.XLOOKUP(1, ('0. GUIDELINES'!$E$3='[1]Elasticities by year'!$A:$A) * (AJ$10='[1]Elasticities by year'!$B:$B)* ($C41='[1]Elasticities by year'!$C:$C), '[1]Elasticities by year'!$D:$D)</f>
        <v>#N/A</v>
      </c>
      <c r="AK41" s="169" t="e" cm="1">
        <f t="array" ref="AK41">_xlfn.XLOOKUP(1, ('0. GUIDELINES'!$E$3='[1]Elasticities by year'!$A:$A) * (AK$10='[1]Elasticities by year'!$B:$B)* ($C41='[1]Elasticities by year'!$C:$C), '[1]Elasticities by year'!$D:$D)</f>
        <v>#N/A</v>
      </c>
      <c r="AL41" s="169" t="e" cm="1">
        <f t="array" ref="AL41">_xlfn.XLOOKUP(1, ('0. GUIDELINES'!$E$3='[1]Elasticities by year'!$A:$A) * (AL$10='[1]Elasticities by year'!$B:$B)* ($C41='[1]Elasticities by year'!$C:$C), '[1]Elasticities by year'!$D:$D)</f>
        <v>#N/A</v>
      </c>
      <c r="AM41" s="169" t="e" cm="1">
        <f t="array" ref="AM41">_xlfn.XLOOKUP(1, ('0. GUIDELINES'!$E$3='[1]Elasticities by year'!$A:$A) * (AM$10='[1]Elasticities by year'!$B:$B)* ($C41='[1]Elasticities by year'!$C:$C), '[1]Elasticities by year'!$D:$D)</f>
        <v>#N/A</v>
      </c>
      <c r="AN41" s="169" t="e" cm="1">
        <f t="array" ref="AN41">_xlfn.XLOOKUP(1, ('0. GUIDELINES'!$E$3='[1]Elasticities by year'!$A:$A) * (AN$10='[1]Elasticities by year'!$B:$B)* ($C41='[1]Elasticities by year'!$C:$C), '[1]Elasticities by year'!$D:$D)</f>
        <v>#N/A</v>
      </c>
      <c r="AP41" s="355" t="e">
        <f t="shared" si="6"/>
        <v>#DIV/0!</v>
      </c>
      <c r="AQ41" s="355" t="e">
        <f t="shared" si="7"/>
        <v>#DIV/0!</v>
      </c>
      <c r="AR41" s="355" t="e">
        <f t="shared" si="8"/>
        <v>#DIV/0!</v>
      </c>
      <c r="AT41" s="137"/>
      <c r="AU41" s="137"/>
      <c r="AV41" s="89"/>
      <c r="AW41" s="89"/>
      <c r="AX41" s="89"/>
      <c r="AY41" s="89"/>
      <c r="AZ41" s="89"/>
      <c r="BA41" s="89"/>
      <c r="BB41" s="89"/>
    </row>
    <row r="42" spans="1:54" ht="14.25" x14ac:dyDescent="0.2">
      <c r="A42" s="86"/>
      <c r="B42" s="86"/>
      <c r="C42" s="86"/>
      <c r="D42" s="136"/>
      <c r="E42" s="136"/>
      <c r="F42" s="89"/>
      <c r="G42" s="89"/>
      <c r="H42" s="89"/>
      <c r="I42" s="510" t="s">
        <v>199</v>
      </c>
      <c r="J42" s="510"/>
      <c r="K42" s="510"/>
      <c r="L42" s="510"/>
      <c r="M42" s="510"/>
      <c r="N42" s="510"/>
      <c r="O42" s="353"/>
      <c r="P42" s="354" t="s">
        <v>195</v>
      </c>
      <c r="Q42" s="89"/>
      <c r="R42" s="89"/>
      <c r="S42" s="89"/>
      <c r="T42" s="89"/>
      <c r="U42" s="89"/>
      <c r="V42" s="131"/>
      <c r="W42" s="131"/>
      <c r="X42" s="89"/>
      <c r="Y42" s="89"/>
      <c r="Z42" s="89"/>
      <c r="AA42" s="89"/>
      <c r="AB42" s="89"/>
      <c r="AC42" s="89"/>
      <c r="AD42" s="89"/>
      <c r="AE42" s="89"/>
      <c r="AF42" s="89"/>
      <c r="AG42" s="89"/>
      <c r="AH42" s="89"/>
      <c r="AI42" s="89"/>
      <c r="AJ42" s="89"/>
      <c r="AK42" s="89"/>
      <c r="AL42" s="89"/>
      <c r="AM42" s="89"/>
      <c r="AN42" s="89"/>
      <c r="AP42" s="355"/>
      <c r="AQ42" s="355"/>
      <c r="AR42" s="355"/>
      <c r="AU42" s="89"/>
      <c r="AV42" s="89"/>
      <c r="AW42" s="89"/>
      <c r="AX42" s="89"/>
      <c r="AY42" s="89"/>
      <c r="AZ42" s="89"/>
      <c r="BA42" s="89"/>
      <c r="BB42" s="89"/>
    </row>
    <row r="43" spans="1:54" ht="14.25" x14ac:dyDescent="0.2">
      <c r="A43" s="136"/>
      <c r="B43" s="136"/>
      <c r="C43" s="136"/>
      <c r="D43" s="136"/>
      <c r="E43" s="136"/>
      <c r="F43" s="89"/>
      <c r="G43" s="89"/>
      <c r="H43" s="89"/>
      <c r="I43" s="511"/>
      <c r="J43" s="511"/>
      <c r="K43" s="511"/>
      <c r="L43" s="511"/>
      <c r="M43" s="353"/>
      <c r="N43" s="353"/>
      <c r="O43" s="353"/>
      <c r="P43" s="89"/>
      <c r="Q43" s="89"/>
      <c r="R43" s="89"/>
      <c r="S43" s="89"/>
      <c r="T43" s="89"/>
      <c r="U43" s="89"/>
      <c r="V43" s="131"/>
      <c r="W43" s="131"/>
      <c r="X43" s="89"/>
      <c r="Y43" s="89"/>
      <c r="Z43" s="89"/>
      <c r="AA43" s="89"/>
      <c r="AB43" s="89"/>
      <c r="AC43" s="89"/>
      <c r="AD43" s="89"/>
      <c r="AE43" s="89"/>
      <c r="AF43" s="89"/>
      <c r="AG43" s="89"/>
      <c r="AH43" s="89"/>
      <c r="AI43" s="89"/>
      <c r="AJ43" s="89"/>
      <c r="AK43" s="89"/>
      <c r="AL43" s="89"/>
      <c r="AM43" s="89"/>
      <c r="AN43" s="89"/>
      <c r="AU43" s="89"/>
      <c r="AV43" s="89"/>
      <c r="AW43" s="89"/>
      <c r="AX43" s="89"/>
      <c r="AY43" s="89"/>
      <c r="AZ43" s="89"/>
      <c r="BA43" s="89"/>
      <c r="BB43" s="89"/>
    </row>
    <row r="44" spans="1:54" s="89" customFormat="1" ht="14.25" x14ac:dyDescent="0.2">
      <c r="A44" s="136"/>
      <c r="B44" s="136"/>
      <c r="C44" s="136"/>
      <c r="D44" s="136"/>
      <c r="E44" s="136"/>
      <c r="V44" s="131"/>
      <c r="W44" s="131"/>
    </row>
    <row r="45" spans="1:54" ht="14.25" hidden="1" x14ac:dyDescent="0.2">
      <c r="R45" s="91"/>
      <c r="V45" s="90"/>
      <c r="W45" s="90"/>
    </row>
  </sheetData>
  <sheetProtection formatCells="0" formatColumns="0" formatRows="0" insertColumns="0" insertRows="0" insertHyperlinks="0" deleteColumns="0" deleteRows="0" sort="0" autoFilter="0" pivotTables="0"/>
  <mergeCells count="25">
    <mergeCell ref="I43:L43"/>
    <mergeCell ref="S8:U9"/>
    <mergeCell ref="S27:U28"/>
    <mergeCell ref="I27:I29"/>
    <mergeCell ref="J27:N28"/>
    <mergeCell ref="P27:R28"/>
    <mergeCell ref="I24:N24"/>
    <mergeCell ref="I25:N25"/>
    <mergeCell ref="I8:I10"/>
    <mergeCell ref="J8:N9"/>
    <mergeCell ref="P8:R9"/>
    <mergeCell ref="P26:U26"/>
    <mergeCell ref="AT4:BA4"/>
    <mergeCell ref="G9:G10"/>
    <mergeCell ref="I3:U5"/>
    <mergeCell ref="AT40:AU40"/>
    <mergeCell ref="I42:N42"/>
    <mergeCell ref="I2:U2"/>
    <mergeCell ref="P7:U7"/>
    <mergeCell ref="E2:G2"/>
    <mergeCell ref="X27:AN28"/>
    <mergeCell ref="X8:AN9"/>
    <mergeCell ref="X2:AN2"/>
    <mergeCell ref="E5:G8"/>
    <mergeCell ref="E9:F10"/>
  </mergeCells>
  <hyperlinks>
    <hyperlink ref="I24:L24" location="'2.1 LABOR MARKET STRUCTURE'!C27" display="Click to go to Labor Market " xr:uid="{1FA9E95E-ECD4-43E5-947E-58B1A5EB0C0D}"/>
    <hyperlink ref="I42:L42" location="'2.2 LABOR INCOME &amp; PRODUCTIVITY'!C14" display="Click to go to Labor Income" xr:uid="{79B22DC1-3194-4139-BEC9-B27772475E6D}"/>
    <hyperlink ref="I25:L25" location="'1. GDP'!A1" display="Click to go to GDP" xr:uid="{28F25AE8-1B47-4BEE-A7DE-8EC5D9D1E136}"/>
    <hyperlink ref="I24:N24" location="'2.1 LABOR STRUCTURE'!A1" display="Click to revise Labor Market " xr:uid="{82AAD715-8D76-497F-9DD0-5132217083D7}"/>
    <hyperlink ref="I25:N25" location="'1. GDP'!A1" display="Click to revise GDP" xr:uid="{914864F5-0120-403E-9C3A-CE097AD01BD8}"/>
    <hyperlink ref="I42:N42" location="'2.2 LABOR INCOME &amp; PRODUCTIVITY'!A1" display="Click to revise Labor Income and Productivity" xr:uid="{32B0B4F1-AEE7-418A-84E1-8A6EE81E5B7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Check Box 1">
              <controlPr defaultSize="0" autoFill="0" autoLine="0" autoPict="0">
                <anchor moveWithCells="1">
                  <from>
                    <xdr:col>6</xdr:col>
                    <xdr:colOff>276225</xdr:colOff>
                    <xdr:row>8</xdr:row>
                    <xdr:rowOff>161925</xdr:rowOff>
                  </from>
                  <to>
                    <xdr:col>8</xdr:col>
                    <xdr:colOff>0</xdr:colOff>
                    <xdr:row>10</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2E866466-0F40-4B96-A9EB-3B2D26B77D87}">
          <x14:formula1>
            <xm:f>'CONTROL '!$D$2:$D$4</xm:f>
          </x14:formula1>
          <xm:sqref>P27:Q27 P8:Q8</xm:sqref>
        </x14:dataValidation>
        <x14:dataValidation type="list" allowBlank="1" showInputMessage="1" showErrorMessage="1" promptTitle="Select Regression Elasticity" xr:uid="{FA6913CC-615E-4856-9311-3884FC9CDCE1}">
          <x14:formula1>
            <xm:f>'CONTROL '!$D$5:$D$8</xm:f>
          </x14:formula1>
          <xm:sqref>S27 S8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71CB8-8926-4196-B403-85A1589162C4}">
  <sheetPr codeName="Sheet13">
    <tabColor theme="8" tint="0.79998168889431442"/>
  </sheetPr>
  <dimension ref="A1:AX50"/>
  <sheetViews>
    <sheetView workbookViewId="0">
      <selection activeCell="X16" sqref="X16"/>
    </sheetView>
  </sheetViews>
  <sheetFormatPr defaultColWidth="0" defaultRowHeight="14.25" zeroHeight="1" x14ac:dyDescent="0.2"/>
  <cols>
    <col min="1" max="1" width="2.85546875" style="171" customWidth="1"/>
    <col min="2" max="2" width="24.42578125" style="170" customWidth="1"/>
    <col min="3" max="3" width="10" style="170" customWidth="1"/>
    <col min="4" max="4" width="7.42578125" style="171" customWidth="1"/>
    <col min="5" max="5" width="26" style="170" customWidth="1"/>
    <col min="6" max="44" width="8.5703125" style="170" customWidth="1"/>
    <col min="45" max="50" width="0" style="170" hidden="1" customWidth="1"/>
    <col min="51" max="16384" width="8.5703125" style="170" hidden="1"/>
  </cols>
  <sheetData>
    <row r="1" spans="2:44" s="171" customFormat="1" ht="15" customHeight="1" x14ac:dyDescent="0.2">
      <c r="E1" s="172"/>
      <c r="F1" s="172"/>
      <c r="G1" s="172"/>
      <c r="H1" s="172"/>
      <c r="I1" s="172"/>
      <c r="J1" s="172"/>
      <c r="K1" s="172"/>
      <c r="L1" s="172"/>
      <c r="M1" s="172"/>
      <c r="N1" s="172"/>
      <c r="O1" s="172"/>
      <c r="P1" s="172"/>
      <c r="Q1" s="172"/>
      <c r="R1" s="172"/>
      <c r="S1" s="172"/>
      <c r="T1" s="172"/>
      <c r="U1" s="172"/>
      <c r="V1" s="172"/>
      <c r="W1" s="172"/>
      <c r="X1" s="172"/>
      <c r="Y1" s="172"/>
      <c r="Z1" s="172"/>
      <c r="AA1" s="172"/>
      <c r="AB1" s="172"/>
      <c r="AC1" s="172"/>
      <c r="AD1" s="172"/>
      <c r="AE1" s="172"/>
      <c r="AF1" s="172"/>
      <c r="AG1" s="172"/>
      <c r="AH1" s="172"/>
      <c r="AI1" s="172"/>
      <c r="AJ1" s="172"/>
      <c r="AK1" s="172"/>
      <c r="AL1" s="172"/>
      <c r="AM1" s="172"/>
      <c r="AN1" s="172"/>
      <c r="AO1" s="172"/>
      <c r="AP1" s="172"/>
      <c r="AQ1" s="172"/>
    </row>
    <row r="2" spans="2:44" ht="18" customHeight="1" x14ac:dyDescent="0.2">
      <c r="B2" s="171"/>
      <c r="C2" s="171"/>
      <c r="E2" s="517" t="s">
        <v>200</v>
      </c>
      <c r="F2" s="517"/>
      <c r="G2" s="517"/>
      <c r="H2" s="517"/>
      <c r="I2" s="517"/>
      <c r="J2" s="517"/>
      <c r="K2" s="517"/>
      <c r="L2" s="517"/>
      <c r="M2" s="517"/>
      <c r="N2" s="517"/>
      <c r="O2" s="517"/>
      <c r="P2" s="517"/>
      <c r="Q2" s="517"/>
      <c r="R2" s="517"/>
      <c r="S2" s="517"/>
      <c r="T2" s="517"/>
      <c r="U2" s="517"/>
      <c r="V2" s="517"/>
      <c r="W2" s="517"/>
      <c r="X2" s="517"/>
      <c r="Y2" s="517"/>
      <c r="Z2" s="517"/>
      <c r="AA2" s="517"/>
      <c r="AB2" s="517"/>
      <c r="AC2" s="517"/>
      <c r="AD2" s="517"/>
      <c r="AE2" s="517"/>
      <c r="AF2" s="517"/>
      <c r="AG2" s="517"/>
      <c r="AH2" s="517"/>
      <c r="AI2" s="517"/>
      <c r="AJ2" s="517"/>
      <c r="AK2" s="517"/>
      <c r="AL2" s="517"/>
      <c r="AM2" s="517"/>
      <c r="AN2" s="517"/>
      <c r="AO2" s="517"/>
      <c r="AP2" s="517"/>
      <c r="AQ2" s="517"/>
    </row>
    <row r="3" spans="2:44" s="171" customFormat="1" ht="20.25" x14ac:dyDescent="0.2">
      <c r="E3" s="172"/>
      <c r="F3" s="172"/>
      <c r="G3" s="172"/>
      <c r="H3" s="172"/>
      <c r="I3" s="172"/>
      <c r="J3" s="172"/>
      <c r="K3" s="172"/>
      <c r="L3" s="172"/>
      <c r="M3" s="172"/>
      <c r="N3" s="172"/>
      <c r="O3" s="172"/>
      <c r="P3" s="172"/>
      <c r="Q3" s="172"/>
      <c r="R3" s="172"/>
      <c r="S3" s="172"/>
      <c r="T3" s="172"/>
      <c r="U3" s="172"/>
      <c r="V3" s="172"/>
      <c r="W3" s="172"/>
      <c r="X3" s="172"/>
      <c r="Y3" s="172"/>
      <c r="Z3" s="172"/>
      <c r="AA3" s="172"/>
      <c r="AB3" s="172"/>
      <c r="AC3" s="172"/>
      <c r="AD3" s="172"/>
      <c r="AE3" s="172"/>
      <c r="AF3" s="172"/>
      <c r="AG3" s="172"/>
      <c r="AH3" s="172"/>
      <c r="AI3" s="172"/>
      <c r="AJ3" s="172"/>
      <c r="AK3" s="172"/>
      <c r="AL3" s="172"/>
      <c r="AM3" s="172"/>
      <c r="AN3" s="172"/>
      <c r="AO3" s="172"/>
      <c r="AP3" s="172"/>
      <c r="AQ3" s="172"/>
    </row>
    <row r="4" spans="2:44" ht="20.25" customHeight="1" x14ac:dyDescent="0.2">
      <c r="B4" s="515" t="s">
        <v>201</v>
      </c>
      <c r="C4" s="515"/>
      <c r="E4" s="518" t="s">
        <v>202</v>
      </c>
      <c r="F4" s="518"/>
      <c r="G4" s="518"/>
      <c r="H4" s="518"/>
      <c r="I4" s="518"/>
      <c r="J4" s="518"/>
      <c r="K4" s="518"/>
      <c r="L4" s="518"/>
      <c r="M4" s="518"/>
      <c r="N4" s="518"/>
      <c r="O4" s="518"/>
      <c r="P4" s="518"/>
      <c r="Q4" s="518"/>
      <c r="R4" s="518"/>
      <c r="S4" s="518"/>
      <c r="T4" s="518"/>
      <c r="U4" s="518"/>
      <c r="V4" s="518"/>
      <c r="W4" s="518"/>
      <c r="X4" s="518"/>
      <c r="Y4" s="518"/>
      <c r="Z4" s="518"/>
      <c r="AA4" s="518"/>
      <c r="AB4" s="518"/>
      <c r="AC4" s="518"/>
      <c r="AD4" s="518"/>
      <c r="AE4" s="518"/>
      <c r="AF4" s="518"/>
      <c r="AG4" s="518"/>
      <c r="AH4" s="518"/>
      <c r="AI4" s="518"/>
      <c r="AJ4" s="518"/>
      <c r="AK4" s="518"/>
      <c r="AL4" s="518"/>
      <c r="AM4" s="518"/>
      <c r="AN4" s="518"/>
      <c r="AO4" s="518"/>
      <c r="AP4" s="518"/>
      <c r="AQ4" s="518"/>
    </row>
    <row r="5" spans="2:44" x14ac:dyDescent="0.2">
      <c r="B5" s="515"/>
      <c r="C5" s="515"/>
      <c r="E5" s="171"/>
      <c r="F5" s="171"/>
      <c r="G5" s="171"/>
      <c r="H5" s="171"/>
      <c r="I5" s="171"/>
      <c r="J5" s="171"/>
      <c r="K5" s="171"/>
      <c r="L5" s="171"/>
      <c r="M5" s="171"/>
      <c r="N5" s="171"/>
      <c r="O5" s="171"/>
      <c r="P5" s="171"/>
      <c r="Q5" s="171"/>
      <c r="R5" s="171"/>
      <c r="S5" s="171"/>
      <c r="T5" s="171"/>
      <c r="U5" s="171"/>
      <c r="V5" s="171"/>
      <c r="W5" s="171"/>
      <c r="X5" s="171"/>
      <c r="Y5" s="171"/>
      <c r="Z5" s="171"/>
      <c r="AA5" s="171"/>
      <c r="AB5" s="171"/>
      <c r="AC5" s="171"/>
      <c r="AD5" s="171"/>
      <c r="AE5" s="171"/>
      <c r="AF5" s="171"/>
      <c r="AG5" s="171"/>
      <c r="AH5" s="171"/>
      <c r="AI5" s="171"/>
      <c r="AJ5" s="171"/>
      <c r="AK5" s="171"/>
      <c r="AL5" s="171"/>
      <c r="AM5" s="171"/>
      <c r="AN5" s="171"/>
      <c r="AO5" s="171"/>
      <c r="AP5" s="171"/>
      <c r="AQ5" s="171"/>
      <c r="AR5" s="171"/>
    </row>
    <row r="6" spans="2:44" x14ac:dyDescent="0.2">
      <c r="B6" s="515"/>
      <c r="C6" s="515"/>
      <c r="E6" s="516" t="s">
        <v>134</v>
      </c>
      <c r="F6" s="175"/>
      <c r="G6" s="175"/>
      <c r="H6" s="175"/>
      <c r="I6" s="175"/>
      <c r="J6" s="175"/>
      <c r="K6" s="175"/>
      <c r="L6" s="175"/>
      <c r="M6" s="175"/>
      <c r="N6" s="175"/>
      <c r="O6" s="175"/>
      <c r="P6" s="175"/>
      <c r="Q6" s="175"/>
      <c r="R6" s="175"/>
      <c r="S6" s="175"/>
      <c r="T6" s="175"/>
      <c r="U6" s="175"/>
      <c r="V6" s="175"/>
      <c r="W6" s="175"/>
      <c r="X6" s="175"/>
      <c r="Y6" s="520" t="s">
        <v>7</v>
      </c>
      <c r="Z6" s="520"/>
      <c r="AA6" s="520"/>
      <c r="AB6" s="171"/>
      <c r="AC6" s="171"/>
      <c r="AD6" s="171"/>
      <c r="AE6" s="171"/>
      <c r="AF6" s="171"/>
      <c r="AG6" s="171"/>
      <c r="AH6" s="171"/>
      <c r="AI6" s="171"/>
      <c r="AJ6" s="171"/>
      <c r="AK6" s="171"/>
      <c r="AL6" s="171"/>
      <c r="AM6" s="171"/>
      <c r="AN6" s="171"/>
      <c r="AO6" s="171"/>
      <c r="AP6" s="171"/>
      <c r="AQ6" s="171"/>
      <c r="AR6" s="171"/>
    </row>
    <row r="7" spans="2:44" x14ac:dyDescent="0.2">
      <c r="B7" s="485" t="s">
        <v>203</v>
      </c>
      <c r="C7" s="519"/>
      <c r="E7" s="516"/>
      <c r="F7" s="176">
        <v>2005</v>
      </c>
      <c r="G7" s="176">
        <v>2006</v>
      </c>
      <c r="H7" s="176">
        <v>2007</v>
      </c>
      <c r="I7" s="176">
        <v>2008</v>
      </c>
      <c r="J7" s="176">
        <v>2009</v>
      </c>
      <c r="K7" s="176">
        <v>2010</v>
      </c>
      <c r="L7" s="176">
        <v>2011</v>
      </c>
      <c r="M7" s="176">
        <v>2012</v>
      </c>
      <c r="N7" s="176">
        <v>2013</v>
      </c>
      <c r="O7" s="176">
        <v>2014</v>
      </c>
      <c r="P7" s="176">
        <v>2015</v>
      </c>
      <c r="Q7" s="176">
        <v>2016</v>
      </c>
      <c r="R7" s="176">
        <v>2017</v>
      </c>
      <c r="S7" s="176">
        <v>2018</v>
      </c>
      <c r="T7" s="176">
        <v>2019</v>
      </c>
      <c r="U7" s="176">
        <v>2020</v>
      </c>
      <c r="V7" s="176">
        <v>2021</v>
      </c>
      <c r="W7" s="176">
        <v>2022</v>
      </c>
      <c r="X7" s="295">
        <v>2023</v>
      </c>
      <c r="Y7" s="177">
        <v>2024</v>
      </c>
      <c r="Z7" s="177">
        <v>2025</v>
      </c>
      <c r="AA7" s="177">
        <v>2026</v>
      </c>
      <c r="AB7" s="171"/>
      <c r="AC7" s="171"/>
      <c r="AD7" s="171"/>
      <c r="AE7" s="171"/>
      <c r="AF7" s="171"/>
      <c r="AG7" s="171"/>
      <c r="AH7" s="171"/>
      <c r="AI7" s="171"/>
      <c r="AJ7" s="171"/>
      <c r="AK7" s="171"/>
      <c r="AL7" s="171"/>
      <c r="AM7" s="171"/>
      <c r="AN7" s="171"/>
      <c r="AO7" s="171"/>
      <c r="AP7" s="171"/>
      <c r="AQ7" s="171"/>
      <c r="AR7" s="171"/>
    </row>
    <row r="8" spans="2:44" x14ac:dyDescent="0.2">
      <c r="B8" s="485"/>
      <c r="C8" s="519"/>
      <c r="E8" s="365" t="s">
        <v>17</v>
      </c>
      <c r="F8" s="366" t="e">
        <v>#N/A</v>
      </c>
      <c r="G8" s="366" t="e">
        <f>+('2.1 LABOR STRUCTURE'!J9/'2.1 LABOR STRUCTURE'!I9-1)*100</f>
        <v>#N/A</v>
      </c>
      <c r="H8" s="366" t="e">
        <f>+('2.1 LABOR STRUCTURE'!K9/'2.1 LABOR STRUCTURE'!J9-1)*100</f>
        <v>#N/A</v>
      </c>
      <c r="I8" s="366" t="e">
        <f>+('2.1 LABOR STRUCTURE'!L9/'2.1 LABOR STRUCTURE'!K9-1)*100</f>
        <v>#N/A</v>
      </c>
      <c r="J8" s="366" t="e">
        <f>+('2.1 LABOR STRUCTURE'!M9/'2.1 LABOR STRUCTURE'!L9-1)*100</f>
        <v>#N/A</v>
      </c>
      <c r="K8" s="366" t="e">
        <f>+('2.1 LABOR STRUCTURE'!N9/'2.1 LABOR STRUCTURE'!M9-1)*100</f>
        <v>#N/A</v>
      </c>
      <c r="L8" s="366" t="e">
        <f>+('2.1 LABOR STRUCTURE'!O9/'2.1 LABOR STRUCTURE'!N9-1)*100</f>
        <v>#N/A</v>
      </c>
      <c r="M8" s="366" t="e">
        <f>+('2.1 LABOR STRUCTURE'!P9/'2.1 LABOR STRUCTURE'!O9-1)*100</f>
        <v>#N/A</v>
      </c>
      <c r="N8" s="366" t="e">
        <f>+('2.1 LABOR STRUCTURE'!Q9/'2.1 LABOR STRUCTURE'!P9-1)*100</f>
        <v>#N/A</v>
      </c>
      <c r="O8" s="366" t="e">
        <f>+('2.1 LABOR STRUCTURE'!R9/'2.1 LABOR STRUCTURE'!Q9-1)*100</f>
        <v>#N/A</v>
      </c>
      <c r="P8" s="366" t="e">
        <f>+('2.1 LABOR STRUCTURE'!S9/'2.1 LABOR STRUCTURE'!R9-1)*100</f>
        <v>#N/A</v>
      </c>
      <c r="Q8" s="366" t="e">
        <f>+('2.1 LABOR STRUCTURE'!T9/'2.1 LABOR STRUCTURE'!S9-1)*100</f>
        <v>#N/A</v>
      </c>
      <c r="R8" s="366">
        <f>IF($P$1="yoy",+('2.1 LABOR STRUCTURE'!U9/'2.1 LABOR STRUCTURE'!S9-1)*100,((('2.1 LABOR STRUCTURE'!$Z9/'2.1 LABOR STRUCTURE'!$T9)^(1/(2022-2016)))-1)*100)</f>
        <v>1.7017816335759717</v>
      </c>
      <c r="S8" s="367">
        <f>IF($P$1="yoy",+('2.1 LABOR STRUCTURE'!V9/'2.1 LABOR STRUCTURE'!T9-1)*100,((('2.1 LABOR STRUCTURE'!$Z9/'2.1 LABOR STRUCTURE'!$T9)^(1/(2022-2016)))-1)*100)</f>
        <v>1.7017816335759717</v>
      </c>
      <c r="T8" s="367">
        <f>IF($P$1="yoy",+('2.1 LABOR STRUCTURE'!W9/'2.1 LABOR STRUCTURE'!U9-1)*100,((('2.1 LABOR STRUCTURE'!$Z9/'2.1 LABOR STRUCTURE'!$T9)^(1/(2022-2016)))-1)*100)</f>
        <v>1.7017816335759717</v>
      </c>
      <c r="U8" s="367">
        <f>IF($P$1="yoy",+('2.1 LABOR STRUCTURE'!X9/'2.1 LABOR STRUCTURE'!V9-1)*100,((('2.1 LABOR STRUCTURE'!$Z9/'2.1 LABOR STRUCTURE'!$T9)^(1/(2022-2016)))-1)*100)</f>
        <v>1.7017816335759717</v>
      </c>
      <c r="V8" s="367">
        <f>IF($P$1="yoy",+('2.1 LABOR STRUCTURE'!Y9/'2.1 LABOR STRUCTURE'!W9-1)*100,((('2.1 LABOR STRUCTURE'!$Z9/'2.1 LABOR STRUCTURE'!$T9)^(1/(2022-2016)))-1)*100)</f>
        <v>1.7017816335759717</v>
      </c>
      <c r="W8" s="367">
        <f>IF($P$1="yoy",+('2.1 LABOR STRUCTURE'!Z9/'2.1 LABOR STRUCTURE'!X9-1)*100,((('2.1 LABOR STRUCTURE'!$Z9/'2.1 LABOR STRUCTURE'!$T9)^(1/(2022-2016)))-1)*100)</f>
        <v>1.7017816335759717</v>
      </c>
      <c r="X8" s="367">
        <f>'1. GDP'!Z38*ELASTICITY!K$11</f>
        <v>1.4495523779124415</v>
      </c>
      <c r="Y8" s="178">
        <f>'1. GDP'!AA38*ELASTICITY!L$11</f>
        <v>1.3858789106785809</v>
      </c>
      <c r="Z8" s="178">
        <f>'1. GDP'!AB38*ELASTICITY!M$11</f>
        <v>1.2716925278297497</v>
      </c>
      <c r="AA8" s="178">
        <f>'1. GDP'!AC38*ELASTICITY!N$11</f>
        <v>1.2053248684027782</v>
      </c>
      <c r="AB8" s="171"/>
      <c r="AC8" s="171"/>
      <c r="AD8" s="171"/>
      <c r="AE8" s="171"/>
      <c r="AF8" s="171"/>
      <c r="AG8" s="171"/>
      <c r="AH8" s="171"/>
      <c r="AI8" s="171"/>
      <c r="AJ8" s="171"/>
      <c r="AK8" s="171"/>
      <c r="AL8" s="171"/>
      <c r="AM8" s="171"/>
      <c r="AN8" s="171"/>
      <c r="AO8" s="171"/>
      <c r="AP8" s="171"/>
      <c r="AQ8" s="171"/>
      <c r="AR8" s="171"/>
    </row>
    <row r="9" spans="2:44" x14ac:dyDescent="0.2">
      <c r="B9" s="171"/>
      <c r="C9" s="171"/>
      <c r="E9" s="365" t="s">
        <v>19</v>
      </c>
      <c r="F9" s="366" t="e">
        <v>#N/A</v>
      </c>
      <c r="G9" s="366" t="e">
        <f>+('2.1 LABOR STRUCTURE'!J10/'2.1 LABOR STRUCTURE'!I10-1)*100</f>
        <v>#N/A</v>
      </c>
      <c r="H9" s="366" t="e">
        <f>+('2.1 LABOR STRUCTURE'!K10/'2.1 LABOR STRUCTURE'!J10-1)*100</f>
        <v>#N/A</v>
      </c>
      <c r="I9" s="366" t="e">
        <f>+('2.1 LABOR STRUCTURE'!L10/'2.1 LABOR STRUCTURE'!K10-1)*100</f>
        <v>#N/A</v>
      </c>
      <c r="J9" s="366" t="e">
        <f>+('2.1 LABOR STRUCTURE'!M10/'2.1 LABOR STRUCTURE'!L10-1)*100</f>
        <v>#N/A</v>
      </c>
      <c r="K9" s="366" t="e">
        <f>+('2.1 LABOR STRUCTURE'!N10/'2.1 LABOR STRUCTURE'!M10-1)*100</f>
        <v>#N/A</v>
      </c>
      <c r="L9" s="366" t="e">
        <f>+('2.1 LABOR STRUCTURE'!O10/'2.1 LABOR STRUCTURE'!N10-1)*100</f>
        <v>#N/A</v>
      </c>
      <c r="M9" s="366" t="e">
        <f>+('2.1 LABOR STRUCTURE'!P10/'2.1 LABOR STRUCTURE'!O10-1)*100</f>
        <v>#N/A</v>
      </c>
      <c r="N9" s="366" t="e">
        <f>+('2.1 LABOR STRUCTURE'!Q10/'2.1 LABOR STRUCTURE'!P10-1)*100</f>
        <v>#N/A</v>
      </c>
      <c r="O9" s="366" t="e">
        <f>+('2.1 LABOR STRUCTURE'!R10/'2.1 LABOR STRUCTURE'!Q10-1)*100</f>
        <v>#N/A</v>
      </c>
      <c r="P9" s="366" t="e">
        <f>+('2.1 LABOR STRUCTURE'!S10/'2.1 LABOR STRUCTURE'!R10-1)*100</f>
        <v>#N/A</v>
      </c>
      <c r="Q9" s="366" t="e">
        <f>+('2.1 LABOR STRUCTURE'!T10/'2.1 LABOR STRUCTURE'!S10-1)*100</f>
        <v>#N/A</v>
      </c>
      <c r="R9" s="366">
        <f>IF($P$1="yoy",+('2.1 LABOR STRUCTURE'!U10/'2.1 LABOR STRUCTURE'!S10-1)*100,((('2.1 LABOR STRUCTURE'!$Z10/'2.1 LABOR STRUCTURE'!$T10)^(1/(2022-2016)))-1)*100)</f>
        <v>1.1070079142940781</v>
      </c>
      <c r="S9" s="367">
        <f>IF($P$1="yoy",+('2.1 LABOR STRUCTURE'!V10/'2.1 LABOR STRUCTURE'!T10-1)*100,((('2.1 LABOR STRUCTURE'!$Z10/'2.1 LABOR STRUCTURE'!$T10)^(1/(2022-2016)))-1)*100)</f>
        <v>1.1070079142940781</v>
      </c>
      <c r="T9" s="367">
        <f>IF($P$1="yoy",+('2.1 LABOR STRUCTURE'!W10/'2.1 LABOR STRUCTURE'!U10-1)*100,((('2.1 LABOR STRUCTURE'!$Z10/'2.1 LABOR STRUCTURE'!$T10)^(1/(2022-2016)))-1)*100)</f>
        <v>1.1070079142940781</v>
      </c>
      <c r="U9" s="367">
        <f>IF($P$1="yoy",+('2.1 LABOR STRUCTURE'!X10/'2.1 LABOR STRUCTURE'!V10-1)*100,((('2.1 LABOR STRUCTURE'!$Z10/'2.1 LABOR STRUCTURE'!$T10)^(1/(2022-2016)))-1)*100)</f>
        <v>1.1070079142940781</v>
      </c>
      <c r="V9" s="367">
        <f>IF($P$1="yoy",+('2.1 LABOR STRUCTURE'!Y10/'2.1 LABOR STRUCTURE'!W10-1)*100,((('2.1 LABOR STRUCTURE'!$Z10/'2.1 LABOR STRUCTURE'!$T10)^(1/(2022-2016)))-1)*100)</f>
        <v>1.1070079142940781</v>
      </c>
      <c r="W9" s="367">
        <f>IF($P$1="yoy",+('2.1 LABOR STRUCTURE'!Z10/'2.1 LABOR STRUCTURE'!X10-1)*100,((('2.1 LABOR STRUCTURE'!$Z10/'2.1 LABOR STRUCTURE'!$T10)^(1/(2022-2016)))-1)*100)</f>
        <v>1.1070079142940781</v>
      </c>
      <c r="X9" s="367">
        <f>('2.1 LABOR STRUCTURE'!AA10/'2.1 LABOR STRUCTURE'!Z10-1)*100</f>
        <v>1.380141606413221</v>
      </c>
      <c r="Y9" s="179">
        <f>('2.1 LABOR STRUCTURE'!AB10/'2.1 LABOR STRUCTURE'!AA10-1)*100</f>
        <v>1.3100994392190923</v>
      </c>
      <c r="Z9" s="179">
        <f>('2.1 LABOR STRUCTURE'!AC10/'2.1 LABOR STRUCTURE'!AB10-1)*100</f>
        <v>1.2517260677220365</v>
      </c>
      <c r="AA9" s="179">
        <f>('2.1 LABOR STRUCTURE'!AD10/'2.1 LABOR STRUCTURE'!AC10-1)*100</f>
        <v>1.1796588312673384</v>
      </c>
      <c r="AB9" s="171"/>
      <c r="AC9" s="171"/>
      <c r="AD9" s="171"/>
      <c r="AE9" s="171"/>
      <c r="AF9" s="171"/>
      <c r="AG9" s="171"/>
      <c r="AH9" s="171"/>
      <c r="AI9" s="171"/>
      <c r="AJ9" s="171"/>
      <c r="AK9" s="171"/>
      <c r="AL9" s="171"/>
      <c r="AM9" s="171"/>
      <c r="AN9" s="171"/>
      <c r="AO9" s="171"/>
      <c r="AP9" s="171"/>
      <c r="AQ9" s="171"/>
      <c r="AR9" s="171"/>
    </row>
    <row r="10" spans="2:44" x14ac:dyDescent="0.2">
      <c r="B10" s="171"/>
      <c r="C10" s="171"/>
      <c r="E10" s="365" t="s">
        <v>144</v>
      </c>
      <c r="F10" s="366" t="e">
        <v>#N/A</v>
      </c>
      <c r="G10" s="366" t="e">
        <f>+('2.1 LABOR STRUCTURE'!J11/'2.1 LABOR STRUCTURE'!I11-1)*100</f>
        <v>#N/A</v>
      </c>
      <c r="H10" s="366" t="e">
        <f>+('2.1 LABOR STRUCTURE'!K11/'2.1 LABOR STRUCTURE'!J11-1)*100</f>
        <v>#N/A</v>
      </c>
      <c r="I10" s="366" t="e">
        <f>+('2.1 LABOR STRUCTURE'!L11/'2.1 LABOR STRUCTURE'!K11-1)*100</f>
        <v>#N/A</v>
      </c>
      <c r="J10" s="366" t="e">
        <f>+('2.1 LABOR STRUCTURE'!M11/'2.1 LABOR STRUCTURE'!L11-1)*100</f>
        <v>#N/A</v>
      </c>
      <c r="K10" s="366" t="e">
        <f>+('2.1 LABOR STRUCTURE'!N11/'2.1 LABOR STRUCTURE'!M11-1)*100</f>
        <v>#N/A</v>
      </c>
      <c r="L10" s="366" t="e">
        <f>+('2.1 LABOR STRUCTURE'!O11/'2.1 LABOR STRUCTURE'!N11-1)*100</f>
        <v>#N/A</v>
      </c>
      <c r="M10" s="366" t="e">
        <f>+('2.1 LABOR STRUCTURE'!P11/'2.1 LABOR STRUCTURE'!O11-1)*100</f>
        <v>#N/A</v>
      </c>
      <c r="N10" s="366" t="e">
        <f>+('2.1 LABOR STRUCTURE'!Q11/'2.1 LABOR STRUCTURE'!P11-1)*100</f>
        <v>#N/A</v>
      </c>
      <c r="O10" s="366" t="e">
        <f>+('2.1 LABOR STRUCTURE'!R11/'2.1 LABOR STRUCTURE'!Q11-1)*100</f>
        <v>#N/A</v>
      </c>
      <c r="P10" s="366" t="e">
        <f>+('2.1 LABOR STRUCTURE'!S11/'2.1 LABOR STRUCTURE'!R11-1)*100</f>
        <v>#N/A</v>
      </c>
      <c r="Q10" s="366" t="e">
        <f>+('2.1 LABOR STRUCTURE'!T11/'2.1 LABOR STRUCTURE'!S11-1)*100</f>
        <v>#N/A</v>
      </c>
      <c r="R10" s="366">
        <f>IF($P$1="yoy",+('2.1 LABOR STRUCTURE'!U11/'2.1 LABOR STRUCTURE'!S11-1)*100,((('2.1 LABOR STRUCTURE'!$Z11/'2.1 LABOR STRUCTURE'!$T11)^(1/(2022-2016)))-1)*100)</f>
        <v>1.4734064329329666</v>
      </c>
      <c r="S10" s="367">
        <f>IF($P$1="yoy",+('2.1 LABOR STRUCTURE'!V11/'2.1 LABOR STRUCTURE'!T11-1)*100,((('2.1 LABOR STRUCTURE'!$Z11/'2.1 LABOR STRUCTURE'!$T11)^(1/(2022-2016)))-1)*100)</f>
        <v>1.4734064329329666</v>
      </c>
      <c r="T10" s="367">
        <f>IF($P$1="yoy",+('2.1 LABOR STRUCTURE'!W11/'2.1 LABOR STRUCTURE'!U11-1)*100,((('2.1 LABOR STRUCTURE'!$Z11/'2.1 LABOR STRUCTURE'!$T11)^(1/(2022-2016)))-1)*100)</f>
        <v>1.4734064329329666</v>
      </c>
      <c r="U10" s="367">
        <f>IF($P$1="yoy",+('2.1 LABOR STRUCTURE'!X11/'2.1 LABOR STRUCTURE'!V11-1)*100,((('2.1 LABOR STRUCTURE'!$Z11/'2.1 LABOR STRUCTURE'!$T11)^(1/(2022-2016)))-1)*100)</f>
        <v>1.4734064329329666</v>
      </c>
      <c r="V10" s="367">
        <f>IF($P$1="yoy",+('2.1 LABOR STRUCTURE'!Y11/'2.1 LABOR STRUCTURE'!W11-1)*100,((('2.1 LABOR STRUCTURE'!$Z11/'2.1 LABOR STRUCTURE'!$T11)^(1/(2022-2016)))-1)*100)</f>
        <v>1.4734064329329666</v>
      </c>
      <c r="W10" s="367">
        <f>IF($P$1="yoy",+('2.1 LABOR STRUCTURE'!Z11/'2.1 LABOR STRUCTURE'!X11-1)*100,((('2.1 LABOR STRUCTURE'!$Z11/'2.1 LABOR STRUCTURE'!$T11)^(1/(2022-2016)))-1)*100)</f>
        <v>1.4734064329329666</v>
      </c>
      <c r="X10" s="367">
        <f>('2.1 LABOR STRUCTURE'!AA12/'2.1 LABOR STRUCTURE'!Z12-1)*100</f>
        <v>2.1344519828883524</v>
      </c>
      <c r="Y10" s="180">
        <f>('2.1 LABOR STRUCTURE'!AB12/'2.1 LABOR STRUCTURE'!AA12-1)*100</f>
        <v>1.3100994026166379</v>
      </c>
      <c r="Z10" s="180">
        <f>('2.1 LABOR STRUCTURE'!AC12/'2.1 LABOR STRUCTURE'!AB12-1)*100</f>
        <v>1.25172616288447</v>
      </c>
      <c r="AA10" s="180">
        <f>('2.1 LABOR STRUCTURE'!AD12/'2.1 LABOR STRUCTURE'!AC12-1)*100</f>
        <v>1.1796589587470985</v>
      </c>
      <c r="AB10" s="171"/>
      <c r="AC10" s="171"/>
      <c r="AD10" s="171"/>
      <c r="AE10" s="171"/>
      <c r="AF10" s="171"/>
      <c r="AG10" s="171"/>
      <c r="AH10" s="171"/>
      <c r="AI10" s="171"/>
      <c r="AJ10" s="171"/>
      <c r="AK10" s="171"/>
      <c r="AL10" s="171"/>
      <c r="AM10" s="171"/>
      <c r="AN10" s="171"/>
      <c r="AO10" s="171"/>
      <c r="AP10" s="171"/>
      <c r="AQ10" s="171"/>
      <c r="AR10" s="171"/>
    </row>
    <row r="11" spans="2:44" ht="16.5" customHeight="1" x14ac:dyDescent="0.2">
      <c r="B11" s="171"/>
      <c r="C11" s="171"/>
      <c r="E11" s="365" t="s">
        <v>23</v>
      </c>
      <c r="F11" s="366" t="e">
        <v>#N/A</v>
      </c>
      <c r="G11" s="366" t="e">
        <f>+('2.1 LABOR STRUCTURE'!J12/'2.1 LABOR STRUCTURE'!I12-1)*100</f>
        <v>#N/A</v>
      </c>
      <c r="H11" s="366" t="e">
        <f>+('2.1 LABOR STRUCTURE'!K12/'2.1 LABOR STRUCTURE'!J12-1)*100</f>
        <v>#N/A</v>
      </c>
      <c r="I11" s="366" t="e">
        <f>+('2.1 LABOR STRUCTURE'!L12/'2.1 LABOR STRUCTURE'!K12-1)*100</f>
        <v>#N/A</v>
      </c>
      <c r="J11" s="366" t="e">
        <f>+('2.1 LABOR STRUCTURE'!M12/'2.1 LABOR STRUCTURE'!L12-1)*100</f>
        <v>#N/A</v>
      </c>
      <c r="K11" s="366" t="e">
        <f>+('2.1 LABOR STRUCTURE'!N12/'2.1 LABOR STRUCTURE'!M12-1)*100</f>
        <v>#N/A</v>
      </c>
      <c r="L11" s="366" t="e">
        <f>+('2.1 LABOR STRUCTURE'!O12/'2.1 LABOR STRUCTURE'!N12-1)*100</f>
        <v>#N/A</v>
      </c>
      <c r="M11" s="366" t="e">
        <f>+('2.1 LABOR STRUCTURE'!P12/'2.1 LABOR STRUCTURE'!O12-1)*100</f>
        <v>#N/A</v>
      </c>
      <c r="N11" s="366" t="e">
        <f>+('2.1 LABOR STRUCTURE'!Q12/'2.1 LABOR STRUCTURE'!P12-1)*100</f>
        <v>#N/A</v>
      </c>
      <c r="O11" s="366" t="e">
        <f>+('2.1 LABOR STRUCTURE'!R12/'2.1 LABOR STRUCTURE'!Q12-1)*100</f>
        <v>#N/A</v>
      </c>
      <c r="P11" s="366" t="e">
        <f>+('2.1 LABOR STRUCTURE'!S12/'2.1 LABOR STRUCTURE'!R12-1)*100</f>
        <v>#N/A</v>
      </c>
      <c r="Q11" s="366" t="e">
        <f>+('2.1 LABOR STRUCTURE'!T12/'2.1 LABOR STRUCTURE'!S12-1)*100</f>
        <v>#N/A</v>
      </c>
      <c r="R11" s="366">
        <f>IF($P$1="yoy",+('2.1 LABOR STRUCTURE'!U12/'2.1 LABOR STRUCTURE'!S12-1)*100,((('2.1 LABOR STRUCTURE'!$Z12/'2.1 LABOR STRUCTURE'!$T12)^(1/(2022-2016)))-1)*100)</f>
        <v>7.3413316822891428</v>
      </c>
      <c r="S11" s="367">
        <f>IF($P$1="yoy",+('2.1 LABOR STRUCTURE'!V12/'2.1 LABOR STRUCTURE'!T12-1)*100,((('2.1 LABOR STRUCTURE'!$Z12/'2.1 LABOR STRUCTURE'!$T12)^(1/(2022-2016)))-1)*100)</f>
        <v>7.3413316822891428</v>
      </c>
      <c r="T11" s="367">
        <f>IF($P$1="yoy",+('2.1 LABOR STRUCTURE'!W12/'2.1 LABOR STRUCTURE'!U12-1)*100,((('2.1 LABOR STRUCTURE'!$Z12/'2.1 LABOR STRUCTURE'!$T12)^(1/(2022-2016)))-1)*100)</f>
        <v>7.3413316822891428</v>
      </c>
      <c r="U11" s="367">
        <f>IF($P$1="yoy",+('2.1 LABOR STRUCTURE'!X12/'2.1 LABOR STRUCTURE'!V12-1)*100,((('2.1 LABOR STRUCTURE'!$Z12/'2.1 LABOR STRUCTURE'!$T12)^(1/(2022-2016)))-1)*100)</f>
        <v>7.3413316822891428</v>
      </c>
      <c r="V11" s="367">
        <f>IF($P$1="yoy",+('2.1 LABOR STRUCTURE'!Y12/'2.1 LABOR STRUCTURE'!W12-1)*100,((('2.1 LABOR STRUCTURE'!$Z12/'2.1 LABOR STRUCTURE'!$T12)^(1/(2022-2016)))-1)*100)</f>
        <v>7.3413316822891428</v>
      </c>
      <c r="W11" s="367">
        <f>IF($P$1="yoy",+('2.1 LABOR STRUCTURE'!Z12/'2.1 LABOR STRUCTURE'!X12-1)*100,((('2.1 LABOR STRUCTURE'!$Z12/'2.1 LABOR STRUCTURE'!$T12)^(1/(2022-2016)))-1)*100)</f>
        <v>7.3413316822891428</v>
      </c>
      <c r="X11" s="367">
        <f>('2.1 LABOR STRUCTURE'!AA11/'2.1 LABOR STRUCTURE'!Z11-1)*100</f>
        <v>1.3431133374616655</v>
      </c>
      <c r="Y11" s="180">
        <f>('2.1 LABOR STRUCTURE'!AB11/'2.1 LABOR STRUCTURE'!AA11-1)*100</f>
        <v>1.3100994410300437</v>
      </c>
      <c r="Z11" s="180">
        <f>('2.1 LABOR STRUCTURE'!AC11/'2.1 LABOR STRUCTURE'!AB11-1)*100</f>
        <v>1.2517260630137583</v>
      </c>
      <c r="AA11" s="180">
        <f>('2.1 LABOR STRUCTURE'!AD11/'2.1 LABOR STRUCTURE'!AC11-1)*100</f>
        <v>1.1796588249601614</v>
      </c>
      <c r="AB11" s="171"/>
      <c r="AC11" s="171"/>
      <c r="AD11" s="171"/>
      <c r="AE11" s="171"/>
      <c r="AF11" s="171"/>
      <c r="AG11" s="171"/>
      <c r="AH11" s="171"/>
      <c r="AI11" s="171"/>
      <c r="AJ11" s="171"/>
      <c r="AK11" s="171"/>
      <c r="AL11" s="171"/>
      <c r="AM11" s="171"/>
      <c r="AN11" s="171"/>
      <c r="AO11" s="171"/>
      <c r="AP11" s="171"/>
      <c r="AQ11" s="171"/>
      <c r="AR11" s="171"/>
    </row>
    <row r="12" spans="2:44" x14ac:dyDescent="0.2">
      <c r="B12" s="171"/>
      <c r="C12" s="171"/>
      <c r="E12" s="368" t="s">
        <v>496</v>
      </c>
      <c r="F12" s="366" t="e">
        <f>+(('2.1 LABOR STRUCTURE'!I21)/('2.1 LABOR STRUCTURE'!H21)-1)*100</f>
        <v>#N/A</v>
      </c>
      <c r="G12" s="366" t="e">
        <f>+(('2.1 LABOR STRUCTURE'!J21)/('2.1 LABOR STRUCTURE'!I21)-1)*100</f>
        <v>#N/A</v>
      </c>
      <c r="H12" s="366" t="e">
        <f>+(('2.1 LABOR STRUCTURE'!K21)/('2.1 LABOR STRUCTURE'!J21)-1)*100</f>
        <v>#N/A</v>
      </c>
      <c r="I12" s="366" t="e">
        <f>+(('2.1 LABOR STRUCTURE'!L21)/('2.1 LABOR STRUCTURE'!K21)-1)*100</f>
        <v>#N/A</v>
      </c>
      <c r="J12" s="366" t="e">
        <f>+(('2.1 LABOR STRUCTURE'!M21)/('2.1 LABOR STRUCTURE'!L21)-1)*100</f>
        <v>#N/A</v>
      </c>
      <c r="K12" s="366" t="e">
        <f>+(('2.1 LABOR STRUCTURE'!N21)/('2.1 LABOR STRUCTURE'!M21)-1)*100</f>
        <v>#N/A</v>
      </c>
      <c r="L12" s="366" t="e">
        <f>+(('2.1 LABOR STRUCTURE'!O21)/('2.1 LABOR STRUCTURE'!N21)-1)*100</f>
        <v>#N/A</v>
      </c>
      <c r="M12" s="366" t="e">
        <f>+(('2.1 LABOR STRUCTURE'!P21)/('2.1 LABOR STRUCTURE'!O21)-1)*100</f>
        <v>#N/A</v>
      </c>
      <c r="N12" s="366" t="e">
        <f>+(('2.1 LABOR STRUCTURE'!Q21)/('2.1 LABOR STRUCTURE'!P21)-1)*100</f>
        <v>#N/A</v>
      </c>
      <c r="O12" s="366" t="e">
        <f>+(('2.1 LABOR STRUCTURE'!R21)/('2.1 LABOR STRUCTURE'!Q21)-1)*100</f>
        <v>#N/A</v>
      </c>
      <c r="P12" s="366" t="e">
        <f>+(('2.1 LABOR STRUCTURE'!S21)/('2.1 LABOR STRUCTURE'!R21)-1)*100</f>
        <v>#N/A</v>
      </c>
      <c r="Q12" s="366" t="e">
        <f>+(('2.1 LABOR STRUCTURE'!T21)/('2.1 LABOR STRUCTURE'!S21)-1)*100</f>
        <v>#N/A</v>
      </c>
      <c r="R12" s="366">
        <f>IF($P$1="yoy",+(('2.1 LABOR STRUCTURE'!U21)/('2.1 LABOR STRUCTURE'!T21)-1)*100,((('2.1 LABOR STRUCTURE'!$Z21/'2.1 LABOR STRUCTURE'!$T21)^(1/(2022-2016)))-1)*100)</f>
        <v>2.531243626577262</v>
      </c>
      <c r="S12" s="366">
        <f>IF($P$1="yoy",+(('2.1 LABOR STRUCTURE'!V21)/('2.1 LABOR STRUCTURE'!U21)-1)*100,((('2.1 LABOR STRUCTURE'!$Z21/'2.1 LABOR STRUCTURE'!$T21)^(1/(2022-2016)))-1)*100)</f>
        <v>2.531243626577262</v>
      </c>
      <c r="T12" s="366">
        <f>IF($P$1="yoy",+(('2.1 LABOR STRUCTURE'!W21)/('2.1 LABOR STRUCTURE'!V21)-1)*100,((('2.1 LABOR STRUCTURE'!$Z21/'2.1 LABOR STRUCTURE'!$T21)^(1/(2022-2016)))-1)*100)</f>
        <v>2.531243626577262</v>
      </c>
      <c r="U12" s="366">
        <f>IF($P$1="yoy",+(('2.1 LABOR STRUCTURE'!X21)/('2.1 LABOR STRUCTURE'!W21)-1)*100,((('2.1 LABOR STRUCTURE'!$Z21/'2.1 LABOR STRUCTURE'!$T21)^(1/(2022-2016)))-1)*100)</f>
        <v>2.531243626577262</v>
      </c>
      <c r="V12" s="366">
        <f>IF($P$1="yoy",+(('2.1 LABOR STRUCTURE'!Y21)/('2.1 LABOR STRUCTURE'!X21)-1)*100,((('2.1 LABOR STRUCTURE'!$Z21/'2.1 LABOR STRUCTURE'!$T21)^(1/(2022-2016)))-1)*100)</f>
        <v>2.531243626577262</v>
      </c>
      <c r="W12" s="366">
        <f>IF($P$1="yoy",+(('2.1 LABOR STRUCTURE'!Z21)/('2.1 LABOR STRUCTURE'!Y21)-1)*100,((('2.1 LABOR STRUCTURE'!$Z21/'2.1 LABOR STRUCTURE'!$T21)^(1/(2022-2016)))-1)*100)</f>
        <v>2.531243626577262</v>
      </c>
      <c r="X12" s="366">
        <f>'1. GDP'!Z45*ELASTICITY!K12</f>
        <v>0.84623124438992625</v>
      </c>
      <c r="Y12" s="181">
        <f>'1. GDP'!AA45*ELASTICITY!L12</f>
        <v>0.76133330202750438</v>
      </c>
      <c r="Z12" s="181">
        <f>'1. GDP'!AB45*ELASTICITY!M12</f>
        <v>0.69381115691801454</v>
      </c>
      <c r="AA12" s="181">
        <f>'1. GDP'!AC45*ELASTICITY!N12</f>
        <v>0.65131678332529575</v>
      </c>
      <c r="AB12" s="171"/>
      <c r="AC12" s="171"/>
      <c r="AD12" s="171"/>
      <c r="AE12" s="171"/>
      <c r="AF12" s="171"/>
      <c r="AG12" s="171"/>
      <c r="AH12" s="171"/>
      <c r="AI12" s="171"/>
      <c r="AJ12" s="171"/>
      <c r="AK12" s="171"/>
      <c r="AL12" s="171"/>
      <c r="AM12" s="171"/>
      <c r="AN12" s="171"/>
      <c r="AO12" s="171"/>
      <c r="AP12" s="171"/>
      <c r="AQ12" s="171"/>
      <c r="AR12" s="171"/>
    </row>
    <row r="13" spans="2:44" x14ac:dyDescent="0.2">
      <c r="B13" s="171"/>
      <c r="C13" s="171"/>
      <c r="E13" s="368" t="s">
        <v>495</v>
      </c>
      <c r="F13" s="366" t="e">
        <f>+(('2.1 LABOR STRUCTURE'!I22)/('2.1 LABOR STRUCTURE'!H22)-1)*100</f>
        <v>#N/A</v>
      </c>
      <c r="G13" s="366" t="e">
        <f>+(('2.1 LABOR STRUCTURE'!J22)/('2.1 LABOR STRUCTURE'!I22)-1)*100</f>
        <v>#N/A</v>
      </c>
      <c r="H13" s="366" t="e">
        <f>+(('2.1 LABOR STRUCTURE'!K22)/('2.1 LABOR STRUCTURE'!J22)-1)*100</f>
        <v>#N/A</v>
      </c>
      <c r="I13" s="366" t="e">
        <f>+(('2.1 LABOR STRUCTURE'!L22)/('2.1 LABOR STRUCTURE'!K22)-1)*100</f>
        <v>#N/A</v>
      </c>
      <c r="J13" s="366" t="e">
        <f>+(('2.1 LABOR STRUCTURE'!M22)/('2.1 LABOR STRUCTURE'!L22)-1)*100</f>
        <v>#N/A</v>
      </c>
      <c r="K13" s="366" t="e">
        <f>+(('2.1 LABOR STRUCTURE'!N22)/('2.1 LABOR STRUCTURE'!M22)-1)*100</f>
        <v>#N/A</v>
      </c>
      <c r="L13" s="366" t="e">
        <f>+(('2.1 LABOR STRUCTURE'!O22)/('2.1 LABOR STRUCTURE'!N22)-1)*100</f>
        <v>#N/A</v>
      </c>
      <c r="M13" s="366" t="e">
        <f>+(('2.1 LABOR STRUCTURE'!P22)/('2.1 LABOR STRUCTURE'!O22)-1)*100</f>
        <v>#N/A</v>
      </c>
      <c r="N13" s="366" t="e">
        <f>+(('2.1 LABOR STRUCTURE'!Q22)/('2.1 LABOR STRUCTURE'!P22)-1)*100</f>
        <v>#N/A</v>
      </c>
      <c r="O13" s="366" t="e">
        <f>+(('2.1 LABOR STRUCTURE'!R22)/('2.1 LABOR STRUCTURE'!Q22)-1)*100</f>
        <v>#N/A</v>
      </c>
      <c r="P13" s="366" t="e">
        <f>+(('2.1 LABOR STRUCTURE'!S22)/('2.1 LABOR STRUCTURE'!R22)-1)*100</f>
        <v>#N/A</v>
      </c>
      <c r="Q13" s="366" t="e">
        <f>+(('2.1 LABOR STRUCTURE'!T22)/('2.1 LABOR STRUCTURE'!S22)-1)*100</f>
        <v>#N/A</v>
      </c>
      <c r="R13" s="366">
        <f>IF($P$1="yoy",+(('2.1 LABOR STRUCTURE'!U22)/('2.1 LABOR STRUCTURE'!T22)-1)*100,((('2.1 LABOR STRUCTURE'!$Z22/'2.1 LABOR STRUCTURE'!$T22)^(1/(2022-2016)))-1)*100)</f>
        <v>1.0535065077480921</v>
      </c>
      <c r="S13" s="366">
        <f>IF($P$1="yoy",+(('2.1 LABOR STRUCTURE'!V22)/('2.1 LABOR STRUCTURE'!U22)-1)*100,((('2.1 LABOR STRUCTURE'!$Z22/'2.1 LABOR STRUCTURE'!$T22)^(1/(2022-2016)))-1)*100)</f>
        <v>1.0535065077480921</v>
      </c>
      <c r="T13" s="366">
        <f>IF($P$1="yoy",+(('2.1 LABOR STRUCTURE'!W22)/('2.1 LABOR STRUCTURE'!V22)-1)*100,((('2.1 LABOR STRUCTURE'!$Z22/'2.1 LABOR STRUCTURE'!$T22)^(1/(2022-2016)))-1)*100)</f>
        <v>1.0535065077480921</v>
      </c>
      <c r="U13" s="366">
        <f>IF($P$1="yoy",+(('2.1 LABOR STRUCTURE'!X22)/('2.1 LABOR STRUCTURE'!W22)-1)*100,((('2.1 LABOR STRUCTURE'!$Z22/'2.1 LABOR STRUCTURE'!$T22)^(1/(2022-2016)))-1)*100)</f>
        <v>1.0535065077480921</v>
      </c>
      <c r="V13" s="366">
        <f>IF($P$1="yoy",+(('2.1 LABOR STRUCTURE'!Y22)/('2.1 LABOR STRUCTURE'!X22)-1)*100,((('2.1 LABOR STRUCTURE'!$Z22/'2.1 LABOR STRUCTURE'!$T22)^(1/(2022-2016)))-1)*100)</f>
        <v>1.0535065077480921</v>
      </c>
      <c r="W13" s="366">
        <f>IF($P$1="yoy",+(('2.1 LABOR STRUCTURE'!Z22)/('2.1 LABOR STRUCTURE'!Y22)-1)*100,((('2.1 LABOR STRUCTURE'!$Z22/'2.1 LABOR STRUCTURE'!$T22)^(1/(2022-2016)))-1)*100)</f>
        <v>1.0535065077480921</v>
      </c>
      <c r="X13" s="366">
        <f>'1. GDP'!Z45*ELASTICITY!K13</f>
        <v>0.84623124438992625</v>
      </c>
      <c r="Y13" s="181">
        <f>'1. GDP'!AA45*ELASTICITY!L13</f>
        <v>0.76133330202750438</v>
      </c>
      <c r="Z13" s="181">
        <f>'1. GDP'!AB45*ELASTICITY!M13</f>
        <v>0.69381115691801454</v>
      </c>
      <c r="AA13" s="181">
        <f>'1. GDP'!AC45*ELASTICITY!N13</f>
        <v>0.65131678332529575</v>
      </c>
      <c r="AB13" s="171"/>
      <c r="AC13" s="171"/>
      <c r="AD13" s="171"/>
      <c r="AE13" s="171"/>
      <c r="AF13" s="171"/>
      <c r="AG13" s="171"/>
      <c r="AH13" s="171"/>
      <c r="AI13" s="171"/>
      <c r="AJ13" s="171"/>
      <c r="AK13" s="171"/>
      <c r="AL13" s="171"/>
      <c r="AM13" s="171"/>
      <c r="AN13" s="171"/>
      <c r="AO13" s="171"/>
      <c r="AP13" s="171"/>
      <c r="AQ13" s="171"/>
      <c r="AR13" s="171"/>
    </row>
    <row r="14" spans="2:44" x14ac:dyDescent="0.2">
      <c r="B14" s="171"/>
      <c r="C14" s="171"/>
      <c r="E14" s="368" t="s">
        <v>497</v>
      </c>
      <c r="F14" s="366" t="e">
        <f>+(('2.1 LABOR STRUCTURE'!I23)/('2.1 LABOR STRUCTURE'!H23)-1)*100</f>
        <v>#N/A</v>
      </c>
      <c r="G14" s="366" t="e">
        <f>+(('2.1 LABOR STRUCTURE'!J23)/('2.1 LABOR STRUCTURE'!I23)-1)*100</f>
        <v>#N/A</v>
      </c>
      <c r="H14" s="366" t="e">
        <f>+(('2.1 LABOR STRUCTURE'!K23)/('2.1 LABOR STRUCTURE'!J23)-1)*100</f>
        <v>#N/A</v>
      </c>
      <c r="I14" s="366" t="e">
        <f>+(('2.1 LABOR STRUCTURE'!L23)/('2.1 LABOR STRUCTURE'!K23)-1)*100</f>
        <v>#N/A</v>
      </c>
      <c r="J14" s="366" t="e">
        <f>+(('2.1 LABOR STRUCTURE'!M23)/('2.1 LABOR STRUCTURE'!L23)-1)*100</f>
        <v>#N/A</v>
      </c>
      <c r="K14" s="366" t="e">
        <f>+(('2.1 LABOR STRUCTURE'!N23)/('2.1 LABOR STRUCTURE'!M23)-1)*100</f>
        <v>#N/A</v>
      </c>
      <c r="L14" s="366" t="e">
        <f>+(('2.1 LABOR STRUCTURE'!O23)/('2.1 LABOR STRUCTURE'!N23)-1)*100</f>
        <v>#N/A</v>
      </c>
      <c r="M14" s="366" t="e">
        <f>+(('2.1 LABOR STRUCTURE'!P23)/('2.1 LABOR STRUCTURE'!O23)-1)*100</f>
        <v>#N/A</v>
      </c>
      <c r="N14" s="366" t="e">
        <f>+(('2.1 LABOR STRUCTURE'!Q23)/('2.1 LABOR STRUCTURE'!P23)-1)*100</f>
        <v>#N/A</v>
      </c>
      <c r="O14" s="366" t="e">
        <f>+(('2.1 LABOR STRUCTURE'!R23)/('2.1 LABOR STRUCTURE'!Q23)-1)*100</f>
        <v>#N/A</v>
      </c>
      <c r="P14" s="366" t="e">
        <f>+(('2.1 LABOR STRUCTURE'!S23)/('2.1 LABOR STRUCTURE'!R23)-1)*100</f>
        <v>#N/A</v>
      </c>
      <c r="Q14" s="366" t="e">
        <f>+(('2.1 LABOR STRUCTURE'!T23)/('2.1 LABOR STRUCTURE'!S23)-1)*100</f>
        <v>#N/A</v>
      </c>
      <c r="R14" s="366">
        <f>IF($P$1="yoy",+(('2.1 LABOR STRUCTURE'!U23)/('2.1 LABOR STRUCTURE'!T23)-1)*100,((('2.1 LABOR STRUCTURE'!$Z23/'2.1 LABOR STRUCTURE'!$T23)^(1/(2022-2016)))-1)*100)</f>
        <v>4.9607262059719881</v>
      </c>
      <c r="S14" s="366">
        <f>IF($P$1="yoy",+(('2.1 LABOR STRUCTURE'!V23)/('2.1 LABOR STRUCTURE'!U23)-1)*100,((('2.1 LABOR STRUCTURE'!$Z23/'2.1 LABOR STRUCTURE'!$T23)^(1/(2022-2016)))-1)*100)</f>
        <v>4.9607262059719881</v>
      </c>
      <c r="T14" s="366">
        <f>IF($P$1="yoy",+(('2.1 LABOR STRUCTURE'!W23)/('2.1 LABOR STRUCTURE'!V23)-1)*100,((('2.1 LABOR STRUCTURE'!$Z23/'2.1 LABOR STRUCTURE'!$T23)^(1/(2022-2016)))-1)*100)</f>
        <v>4.9607262059719881</v>
      </c>
      <c r="U14" s="366">
        <f>IF($P$1="yoy",+(('2.1 LABOR STRUCTURE'!X23)/('2.1 LABOR STRUCTURE'!W23)-1)*100,((('2.1 LABOR STRUCTURE'!$Z23/'2.1 LABOR STRUCTURE'!$T23)^(1/(2022-2016)))-1)*100)</f>
        <v>4.9607262059719881</v>
      </c>
      <c r="V14" s="366">
        <f>IF($P$1="yoy",+(('2.1 LABOR STRUCTURE'!Y23)/('2.1 LABOR STRUCTURE'!X23)-1)*100,((('2.1 LABOR STRUCTURE'!$Z23/'2.1 LABOR STRUCTURE'!$T23)^(1/(2022-2016)))-1)*100)</f>
        <v>4.9607262059719881</v>
      </c>
      <c r="W14" s="366">
        <f>IF($P$1="yoy",+(('2.1 LABOR STRUCTURE'!Z23)/('2.1 LABOR STRUCTURE'!Y23)-1)*100,((('2.1 LABOR STRUCTURE'!$Z23/'2.1 LABOR STRUCTURE'!$T23)^(1/(2022-2016)))-1)*100)</f>
        <v>4.9607262059719881</v>
      </c>
      <c r="X14" s="366">
        <f>'1. GDP'!Z47*ELASTICITY!K14</f>
        <v>1.752303720090906</v>
      </c>
      <c r="Y14" s="181">
        <f>'1. GDP'!AA47*ELASTICITY!L14</f>
        <v>0.41582489551253909</v>
      </c>
      <c r="Z14" s="181">
        <f>'1. GDP'!AB47*ELASTICITY!M14</f>
        <v>1.5671786818467146</v>
      </c>
      <c r="AA14" s="181">
        <f>'1. GDP'!AC47*ELASTICITY!N14</f>
        <v>1.8618280673496355</v>
      </c>
      <c r="AB14" s="171"/>
      <c r="AC14" s="171"/>
      <c r="AD14" s="171"/>
      <c r="AE14" s="171"/>
      <c r="AF14" s="171"/>
      <c r="AG14" s="171"/>
      <c r="AH14" s="171"/>
      <c r="AI14" s="171"/>
      <c r="AJ14" s="171"/>
      <c r="AK14" s="171"/>
      <c r="AL14" s="171"/>
      <c r="AM14" s="171"/>
      <c r="AN14" s="171"/>
      <c r="AO14" s="171"/>
      <c r="AP14" s="171"/>
      <c r="AQ14" s="171"/>
      <c r="AR14" s="171"/>
    </row>
    <row r="15" spans="2:44" x14ac:dyDescent="0.2">
      <c r="B15" s="171"/>
      <c r="C15" s="171"/>
      <c r="E15" s="368" t="s">
        <v>498</v>
      </c>
      <c r="F15" s="366" t="e">
        <f>+(('2.1 LABOR STRUCTURE'!I24)/('2.1 LABOR STRUCTURE'!H24)-1)*100</f>
        <v>#N/A</v>
      </c>
      <c r="G15" s="366" t="e">
        <f>+(('2.1 LABOR STRUCTURE'!J24)/('2.1 LABOR STRUCTURE'!I24)-1)*100</f>
        <v>#N/A</v>
      </c>
      <c r="H15" s="366" t="e">
        <f>+(('2.1 LABOR STRUCTURE'!K24)/('2.1 LABOR STRUCTURE'!J24)-1)*100</f>
        <v>#N/A</v>
      </c>
      <c r="I15" s="366" t="e">
        <f>+(('2.1 LABOR STRUCTURE'!L24)/('2.1 LABOR STRUCTURE'!K24)-1)*100</f>
        <v>#N/A</v>
      </c>
      <c r="J15" s="366" t="e">
        <f>+(('2.1 LABOR STRUCTURE'!M24)/('2.1 LABOR STRUCTURE'!L24)-1)*100</f>
        <v>#N/A</v>
      </c>
      <c r="K15" s="366" t="e">
        <f>+(('2.1 LABOR STRUCTURE'!N24)/('2.1 LABOR STRUCTURE'!M24)-1)*100</f>
        <v>#N/A</v>
      </c>
      <c r="L15" s="366" t="e">
        <f>+(('2.1 LABOR STRUCTURE'!O24)/('2.1 LABOR STRUCTURE'!N24)-1)*100</f>
        <v>#N/A</v>
      </c>
      <c r="M15" s="366" t="e">
        <f>+(('2.1 LABOR STRUCTURE'!P24)/('2.1 LABOR STRUCTURE'!O24)-1)*100</f>
        <v>#N/A</v>
      </c>
      <c r="N15" s="366" t="e">
        <f>+(('2.1 LABOR STRUCTURE'!Q24)/('2.1 LABOR STRUCTURE'!P24)-1)*100</f>
        <v>#N/A</v>
      </c>
      <c r="O15" s="366" t="e">
        <f>+(('2.1 LABOR STRUCTURE'!R24)/('2.1 LABOR STRUCTURE'!Q24)-1)*100</f>
        <v>#N/A</v>
      </c>
      <c r="P15" s="366" t="e">
        <f>+(('2.1 LABOR STRUCTURE'!S24)/('2.1 LABOR STRUCTURE'!R24)-1)*100</f>
        <v>#N/A</v>
      </c>
      <c r="Q15" s="366" t="e">
        <f>+(('2.1 LABOR STRUCTURE'!T24)/('2.1 LABOR STRUCTURE'!S24)-1)*100</f>
        <v>#N/A</v>
      </c>
      <c r="R15" s="366">
        <f>IF($P$1="yoy",+(('2.1 LABOR STRUCTURE'!U24)/('2.1 LABOR STRUCTURE'!T24)-1)*100,((('2.1 LABOR STRUCTURE'!$Z24/'2.1 LABOR STRUCTURE'!$T24)^(1/(2022-2016)))-1)*100)</f>
        <v>9.2737605019403979</v>
      </c>
      <c r="S15" s="366">
        <f>IF($P$1="yoy",+(('2.1 LABOR STRUCTURE'!V24)/('2.1 LABOR STRUCTURE'!U24)-1)*100,((('2.1 LABOR STRUCTURE'!$Z24/'2.1 LABOR STRUCTURE'!$T24)^(1/(2022-2016)))-1)*100)</f>
        <v>9.2737605019403979</v>
      </c>
      <c r="T15" s="366">
        <f>IF($P$1="yoy",+(('2.1 LABOR STRUCTURE'!W24)/('2.1 LABOR STRUCTURE'!V24)-1)*100,((('2.1 LABOR STRUCTURE'!$Z24/'2.1 LABOR STRUCTURE'!$T24)^(1/(2022-2016)))-1)*100)</f>
        <v>9.2737605019403979</v>
      </c>
      <c r="U15" s="366">
        <f>IF($P$1="yoy",+(('2.1 LABOR STRUCTURE'!X24)/('2.1 LABOR STRUCTURE'!W24)-1)*100,((('2.1 LABOR STRUCTURE'!$Z24/'2.1 LABOR STRUCTURE'!$T24)^(1/(2022-2016)))-1)*100)</f>
        <v>9.2737605019403979</v>
      </c>
      <c r="V15" s="366">
        <f>IF($P$1="yoy",+(('2.1 LABOR STRUCTURE'!Y24)/('2.1 LABOR STRUCTURE'!X24)-1)*100,((('2.1 LABOR STRUCTURE'!$Z24/'2.1 LABOR STRUCTURE'!$T24)^(1/(2022-2016)))-1)*100)</f>
        <v>9.2737605019403979</v>
      </c>
      <c r="W15" s="366">
        <f>IF($P$1="yoy",+(('2.1 LABOR STRUCTURE'!Z24)/('2.1 LABOR STRUCTURE'!Y24)-1)*100,((('2.1 LABOR STRUCTURE'!$Z24/'2.1 LABOR STRUCTURE'!$T24)^(1/(2022-2016)))-1)*100)</f>
        <v>9.2737605019403979</v>
      </c>
      <c r="X15" s="366">
        <f>'1. GDP'!Z47*ELASTICITY!K15</f>
        <v>1.752303720090906</v>
      </c>
      <c r="Y15" s="181">
        <f>'1. GDP'!AA47*ELASTICITY!L15</f>
        <v>0.41582489551253909</v>
      </c>
      <c r="Z15" s="181">
        <f>'1. GDP'!AB47*ELASTICITY!M15</f>
        <v>1.5671786818467146</v>
      </c>
      <c r="AA15" s="181">
        <f>'1. GDP'!AC47*ELASTICITY!N15</f>
        <v>1.8618280673496355</v>
      </c>
      <c r="AB15" s="171"/>
      <c r="AC15" s="171"/>
      <c r="AD15" s="171"/>
      <c r="AE15" s="171"/>
      <c r="AF15" s="171"/>
      <c r="AG15" s="171"/>
      <c r="AH15" s="171"/>
      <c r="AI15" s="171"/>
      <c r="AJ15" s="171"/>
      <c r="AK15" s="171"/>
      <c r="AL15" s="171"/>
      <c r="AM15" s="171"/>
      <c r="AN15" s="171"/>
      <c r="AO15" s="171"/>
      <c r="AP15" s="171"/>
      <c r="AQ15" s="171"/>
      <c r="AR15" s="171"/>
    </row>
    <row r="16" spans="2:44" x14ac:dyDescent="0.2">
      <c r="B16" s="171"/>
      <c r="C16" s="171"/>
      <c r="E16" s="368" t="s">
        <v>510</v>
      </c>
      <c r="F16" s="366" t="e">
        <f>+(('2.1 LABOR STRUCTURE'!I25)/('2.1 LABOR STRUCTURE'!H25)-1)*100</f>
        <v>#N/A</v>
      </c>
      <c r="G16" s="366" t="e">
        <f>+(('2.1 LABOR STRUCTURE'!J25)/('2.1 LABOR STRUCTURE'!I25)-1)*100</f>
        <v>#N/A</v>
      </c>
      <c r="H16" s="366" t="e">
        <f>+(('2.1 LABOR STRUCTURE'!K25)/('2.1 LABOR STRUCTURE'!J25)-1)*100</f>
        <v>#N/A</v>
      </c>
      <c r="I16" s="366" t="e">
        <f>+(('2.1 LABOR STRUCTURE'!L25)/('2.1 LABOR STRUCTURE'!K25)-1)*100</f>
        <v>#N/A</v>
      </c>
      <c r="J16" s="366" t="e">
        <f>+(('2.1 LABOR STRUCTURE'!M25)/('2.1 LABOR STRUCTURE'!L25)-1)*100</f>
        <v>#N/A</v>
      </c>
      <c r="K16" s="366" t="e">
        <f>+(('2.1 LABOR STRUCTURE'!N25)/('2.1 LABOR STRUCTURE'!M25)-1)*100</f>
        <v>#N/A</v>
      </c>
      <c r="L16" s="366" t="e">
        <f>+(('2.1 LABOR STRUCTURE'!O25)/('2.1 LABOR STRUCTURE'!N25)-1)*100</f>
        <v>#N/A</v>
      </c>
      <c r="M16" s="366" t="e">
        <f>+(('2.1 LABOR STRUCTURE'!P25)/('2.1 LABOR STRUCTURE'!O25)-1)*100</f>
        <v>#N/A</v>
      </c>
      <c r="N16" s="366" t="e">
        <f>+(('2.1 LABOR STRUCTURE'!Q25)/('2.1 LABOR STRUCTURE'!P25)-1)*100</f>
        <v>#N/A</v>
      </c>
      <c r="O16" s="366" t="e">
        <f>+(('2.1 LABOR STRUCTURE'!R25)/('2.1 LABOR STRUCTURE'!Q25)-1)*100</f>
        <v>#N/A</v>
      </c>
      <c r="P16" s="366" t="e">
        <f>+(('2.1 LABOR STRUCTURE'!S25)/('2.1 LABOR STRUCTURE'!R25)-1)*100</f>
        <v>#N/A</v>
      </c>
      <c r="Q16" s="366" t="e">
        <f>+(('2.1 LABOR STRUCTURE'!T25)/('2.1 LABOR STRUCTURE'!S25)-1)*100</f>
        <v>#N/A</v>
      </c>
      <c r="R16" s="366">
        <f>IF($P$1="yoy",+(('2.1 LABOR STRUCTURE'!U25)/('2.1 LABOR STRUCTURE'!T25)-1)*100,((('2.1 LABOR STRUCTURE'!$Z25/'2.1 LABOR STRUCTURE'!$T25)^(1/(2022-2016)))-1)*100)</f>
        <v>-0.56977665196038529</v>
      </c>
      <c r="S16" s="366">
        <f>IF($P$1="yoy",+(('2.1 LABOR STRUCTURE'!V25)/('2.1 LABOR STRUCTURE'!U25)-1)*100,((('2.1 LABOR STRUCTURE'!$Z25/'2.1 LABOR STRUCTURE'!$T25)^(1/(2022-2016)))-1)*100)</f>
        <v>-0.56977665196038529</v>
      </c>
      <c r="T16" s="366">
        <f>IF($P$1="yoy",+(('2.1 LABOR STRUCTURE'!W25)/('2.1 LABOR STRUCTURE'!V25)-1)*100,((('2.1 LABOR STRUCTURE'!$Z25/'2.1 LABOR STRUCTURE'!$T25)^(1/(2022-2016)))-1)*100)</f>
        <v>-0.56977665196038529</v>
      </c>
      <c r="U16" s="366">
        <f>IF($P$1="yoy",+(('2.1 LABOR STRUCTURE'!X25)/('2.1 LABOR STRUCTURE'!W25)-1)*100,((('2.1 LABOR STRUCTURE'!$Z25/'2.1 LABOR STRUCTURE'!$T25)^(1/(2022-2016)))-1)*100)</f>
        <v>-0.56977665196038529</v>
      </c>
      <c r="V16" s="366">
        <f>IF($P$1="yoy",+(('2.1 LABOR STRUCTURE'!Y25)/('2.1 LABOR STRUCTURE'!X25)-1)*100,((('2.1 LABOR STRUCTURE'!$Z25/'2.1 LABOR STRUCTURE'!$T25)^(1/(2022-2016)))-1)*100)</f>
        <v>-0.56977665196038529</v>
      </c>
      <c r="W16" s="366">
        <f>IF($P$1="yoy",+(('2.1 LABOR STRUCTURE'!Z25)/('2.1 LABOR STRUCTURE'!Y25)-1)*100,((('2.1 LABOR STRUCTURE'!$Z25/'2.1 LABOR STRUCTURE'!$T25)^(1/(2022-2016)))-1)*100)</f>
        <v>-0.56977665196038529</v>
      </c>
      <c r="X16" s="366">
        <f>'1. GDP'!Z48*ELASTICITY!K16</f>
        <v>2.2214133718780364</v>
      </c>
      <c r="Y16" s="181">
        <f>'1. GDP'!AA48*ELASTICITY!L16</f>
        <v>2.0335642842693837</v>
      </c>
      <c r="Z16" s="181">
        <f>'1. GDP'!AB48*ELASTICITY!M16</f>
        <v>1.6256645010282536</v>
      </c>
      <c r="AA16" s="181">
        <f>'1. GDP'!AC48*ELASTICITY!N16</f>
        <v>1.230766844969565</v>
      </c>
      <c r="AB16" s="171"/>
      <c r="AC16" s="171"/>
      <c r="AD16" s="171"/>
      <c r="AE16" s="171"/>
      <c r="AF16" s="171"/>
      <c r="AG16" s="171"/>
      <c r="AH16" s="171"/>
      <c r="AI16" s="171"/>
      <c r="AJ16" s="171"/>
      <c r="AK16" s="171"/>
      <c r="AL16" s="171"/>
      <c r="AM16" s="171"/>
      <c r="AN16" s="171"/>
      <c r="AO16" s="171"/>
      <c r="AP16" s="171"/>
      <c r="AQ16" s="171"/>
      <c r="AR16" s="171"/>
    </row>
    <row r="17" spans="2:44" x14ac:dyDescent="0.2">
      <c r="B17" s="171"/>
      <c r="C17" s="171"/>
      <c r="E17" s="368" t="s">
        <v>499</v>
      </c>
      <c r="F17" s="366" t="e">
        <f>+(('2.1 LABOR STRUCTURE'!I26)/('2.1 LABOR STRUCTURE'!H26)-1)*100</f>
        <v>#N/A</v>
      </c>
      <c r="G17" s="366" t="e">
        <f>+(('2.1 LABOR STRUCTURE'!J26)/('2.1 LABOR STRUCTURE'!I26)-1)*100</f>
        <v>#N/A</v>
      </c>
      <c r="H17" s="366" t="e">
        <f>+(('2.1 LABOR STRUCTURE'!K26)/('2.1 LABOR STRUCTURE'!J26)-1)*100</f>
        <v>#N/A</v>
      </c>
      <c r="I17" s="366" t="e">
        <f>+(('2.1 LABOR STRUCTURE'!L26)/('2.1 LABOR STRUCTURE'!K26)-1)*100</f>
        <v>#N/A</v>
      </c>
      <c r="J17" s="366" t="e">
        <f>+(('2.1 LABOR STRUCTURE'!M26)/('2.1 LABOR STRUCTURE'!L26)-1)*100</f>
        <v>#N/A</v>
      </c>
      <c r="K17" s="366" t="e">
        <f>+(('2.1 LABOR STRUCTURE'!N26)/('2.1 LABOR STRUCTURE'!M26)-1)*100</f>
        <v>#N/A</v>
      </c>
      <c r="L17" s="366" t="e">
        <f>+(('2.1 LABOR STRUCTURE'!O26)/('2.1 LABOR STRUCTURE'!N26)-1)*100</f>
        <v>#N/A</v>
      </c>
      <c r="M17" s="366" t="e">
        <f>+(('2.1 LABOR STRUCTURE'!P26)/('2.1 LABOR STRUCTURE'!O26)-1)*100</f>
        <v>#N/A</v>
      </c>
      <c r="N17" s="366" t="e">
        <f>+(('2.1 LABOR STRUCTURE'!Q26)/('2.1 LABOR STRUCTURE'!P26)-1)*100</f>
        <v>#N/A</v>
      </c>
      <c r="O17" s="366" t="e">
        <f>+(('2.1 LABOR STRUCTURE'!R26)/('2.1 LABOR STRUCTURE'!Q26)-1)*100</f>
        <v>#N/A</v>
      </c>
      <c r="P17" s="366" t="e">
        <f>+(('2.1 LABOR STRUCTURE'!S26)/('2.1 LABOR STRUCTURE'!R26)-1)*100</f>
        <v>#N/A</v>
      </c>
      <c r="Q17" s="366" t="e">
        <f>+(('2.1 LABOR STRUCTURE'!T26)/('2.1 LABOR STRUCTURE'!S26)-1)*100</f>
        <v>#N/A</v>
      </c>
      <c r="R17" s="366">
        <f>IF($P$1="yoy",+(('2.1 LABOR STRUCTURE'!U26)/('2.1 LABOR STRUCTURE'!T26)-1)*100,((('2.1 LABOR STRUCTURE'!$Z26/'2.1 LABOR STRUCTURE'!$T26)^(1/(2022-2016)))-1)*100)</f>
        <v>13.999783586237768</v>
      </c>
      <c r="S17" s="366">
        <f>IF($P$1="yoy",+(('2.1 LABOR STRUCTURE'!V26)/('2.1 LABOR STRUCTURE'!U26)-1)*100,((('2.1 LABOR STRUCTURE'!$Z26/'2.1 LABOR STRUCTURE'!$T26)^(1/(2022-2016)))-1)*100)</f>
        <v>13.999783586237768</v>
      </c>
      <c r="T17" s="366">
        <f>IF($P$1="yoy",+(('2.1 LABOR STRUCTURE'!W26)/('2.1 LABOR STRUCTURE'!V26)-1)*100,((('2.1 LABOR STRUCTURE'!$Z26/'2.1 LABOR STRUCTURE'!$T26)^(1/(2022-2016)))-1)*100)</f>
        <v>13.999783586237768</v>
      </c>
      <c r="U17" s="366">
        <f>IF($P$1="yoy",+(('2.1 LABOR STRUCTURE'!X26)/('2.1 LABOR STRUCTURE'!W26)-1)*100,((('2.1 LABOR STRUCTURE'!$Z26/'2.1 LABOR STRUCTURE'!$T26)^(1/(2022-2016)))-1)*100)</f>
        <v>13.999783586237768</v>
      </c>
      <c r="V17" s="366">
        <f>IF($P$1="yoy",+(('2.1 LABOR STRUCTURE'!Y26)/('2.1 LABOR STRUCTURE'!X26)-1)*100,((('2.1 LABOR STRUCTURE'!$Z26/'2.1 LABOR STRUCTURE'!$T26)^(1/(2022-2016)))-1)*100)</f>
        <v>13.999783586237768</v>
      </c>
      <c r="W17" s="366">
        <f>IF($P$1="yoy",+(('2.1 LABOR STRUCTURE'!Z26)/('2.1 LABOR STRUCTURE'!Y26)-1)*100,((('2.1 LABOR STRUCTURE'!$Z26/'2.1 LABOR STRUCTURE'!$T26)^(1/(2022-2016)))-1)*100)</f>
        <v>13.999783586237768</v>
      </c>
      <c r="X17" s="366">
        <f>'1. GDP'!Z48*ELASTICITY!K17</f>
        <v>2.2214133718780364</v>
      </c>
      <c r="Y17" s="181">
        <f>'1. GDP'!AA48*ELASTICITY!L17</f>
        <v>2.0335642842693837</v>
      </c>
      <c r="Z17" s="181">
        <f>'1. GDP'!AB48*ELASTICITY!M17</f>
        <v>1.6256645010282536</v>
      </c>
      <c r="AA17" s="181">
        <f>'1. GDP'!AC48*ELASTICITY!N17</f>
        <v>1.230766844969565</v>
      </c>
      <c r="AB17" s="171"/>
      <c r="AC17" s="171"/>
      <c r="AD17" s="171"/>
      <c r="AE17" s="171"/>
      <c r="AF17" s="171"/>
      <c r="AG17" s="171"/>
      <c r="AH17" s="171"/>
      <c r="AI17" s="171"/>
      <c r="AJ17" s="171"/>
      <c r="AK17" s="171"/>
      <c r="AL17" s="171"/>
      <c r="AM17" s="171"/>
      <c r="AN17" s="171"/>
      <c r="AO17" s="171"/>
      <c r="AP17" s="171"/>
      <c r="AQ17" s="171"/>
      <c r="AR17" s="171"/>
    </row>
    <row r="18" spans="2:44" x14ac:dyDescent="0.2">
      <c r="B18" s="171"/>
      <c r="C18" s="171"/>
      <c r="E18" s="368" t="s">
        <v>501</v>
      </c>
      <c r="F18" s="366" t="e">
        <f>+(('2.1 LABOR STRUCTURE'!I27)/('2.1 LABOR STRUCTURE'!H27)-1)*100</f>
        <v>#N/A</v>
      </c>
      <c r="G18" s="366" t="e">
        <f>+(('2.1 LABOR STRUCTURE'!J27)/('2.1 LABOR STRUCTURE'!I27)-1)*100</f>
        <v>#N/A</v>
      </c>
      <c r="H18" s="366" t="e">
        <f>+(('2.1 LABOR STRUCTURE'!K27)/('2.1 LABOR STRUCTURE'!J27)-1)*100</f>
        <v>#N/A</v>
      </c>
      <c r="I18" s="366" t="e">
        <f>+(('2.1 LABOR STRUCTURE'!L27)/('2.1 LABOR STRUCTURE'!K27)-1)*100</f>
        <v>#N/A</v>
      </c>
      <c r="J18" s="366" t="e">
        <f>+(('2.1 LABOR STRUCTURE'!M27)/('2.1 LABOR STRUCTURE'!L27)-1)*100</f>
        <v>#N/A</v>
      </c>
      <c r="K18" s="366" t="e">
        <f>+(('2.1 LABOR STRUCTURE'!N27)/('2.1 LABOR STRUCTURE'!M27)-1)*100</f>
        <v>#N/A</v>
      </c>
      <c r="L18" s="366" t="e">
        <f>+(('2.1 LABOR STRUCTURE'!O27)/('2.1 LABOR STRUCTURE'!N27)-1)*100</f>
        <v>#N/A</v>
      </c>
      <c r="M18" s="366" t="e">
        <f>+(('2.1 LABOR STRUCTURE'!P27)/('2.1 LABOR STRUCTURE'!O27)-1)*100</f>
        <v>#N/A</v>
      </c>
      <c r="N18" s="366" t="e">
        <f>+(('2.1 LABOR STRUCTURE'!Q27)/('2.1 LABOR STRUCTURE'!P27)-1)*100</f>
        <v>#N/A</v>
      </c>
      <c r="O18" s="366" t="e">
        <f>+(('2.1 LABOR STRUCTURE'!R27)/('2.1 LABOR STRUCTURE'!Q27)-1)*100</f>
        <v>#N/A</v>
      </c>
      <c r="P18" s="366" t="e">
        <f>+(('2.1 LABOR STRUCTURE'!S27)/('2.1 LABOR STRUCTURE'!R27)-1)*100</f>
        <v>#N/A</v>
      </c>
      <c r="Q18" s="366" t="e">
        <f>+(('2.1 LABOR STRUCTURE'!T27)/('2.1 LABOR STRUCTURE'!S27)-1)*100</f>
        <v>#N/A</v>
      </c>
      <c r="R18" s="366">
        <f>IF($P$1="yoy",+(('2.1 LABOR STRUCTURE'!U27)/('2.1 LABOR STRUCTURE'!T27)-1)*100,((('2.1 LABOR STRUCTURE'!$Z27/'2.1 LABOR STRUCTURE'!$T27)^(1/(2022-2016)))-1)*100)</f>
        <v>-1.5037694874078467</v>
      </c>
      <c r="S18" s="366">
        <f>IF($P$1="yoy",+(('2.1 LABOR STRUCTURE'!V27)/('2.1 LABOR STRUCTURE'!U27)-1)*100,((('2.1 LABOR STRUCTURE'!$Z27/'2.1 LABOR STRUCTURE'!$T27)^(1/(2022-2016)))-1)*100)</f>
        <v>-1.5037694874078467</v>
      </c>
      <c r="T18" s="366">
        <f>IF($P$1="yoy",+(('2.1 LABOR STRUCTURE'!W27)/('2.1 LABOR STRUCTURE'!V27)-1)*100,((('2.1 LABOR STRUCTURE'!$Z27/'2.1 LABOR STRUCTURE'!$T27)^(1/(2022-2016)))-1)*100)</f>
        <v>-1.5037694874078467</v>
      </c>
      <c r="U18" s="366">
        <f>IF($P$1="yoy",+(('2.1 LABOR STRUCTURE'!X27)/('2.1 LABOR STRUCTURE'!W27)-1)*100,((('2.1 LABOR STRUCTURE'!$Z27/'2.1 LABOR STRUCTURE'!$T27)^(1/(2022-2016)))-1)*100)</f>
        <v>-1.5037694874078467</v>
      </c>
      <c r="V18" s="366">
        <f>IF($P$1="yoy",+(('2.1 LABOR STRUCTURE'!Y27)/('2.1 LABOR STRUCTURE'!X27)-1)*100,((('2.1 LABOR STRUCTURE'!$Z27/'2.1 LABOR STRUCTURE'!$T27)^(1/(2022-2016)))-1)*100)</f>
        <v>-1.5037694874078467</v>
      </c>
      <c r="W18" s="366">
        <f>IF($P$1="yoy",+(('2.1 LABOR STRUCTURE'!Z27)/('2.1 LABOR STRUCTURE'!Y27)-1)*100,((('2.1 LABOR STRUCTURE'!$Z27/'2.1 LABOR STRUCTURE'!$T27)^(1/(2022-2016)))-1)*100)</f>
        <v>-1.5037694874078467</v>
      </c>
      <c r="X18" s="366">
        <f>'1. GDP'!Z50*ELASTICITY!K18</f>
        <v>1.409212948555796</v>
      </c>
      <c r="Y18" s="181">
        <f>'1. GDP'!AA50*ELASTICITY!L18</f>
        <v>1.6488432194457752</v>
      </c>
      <c r="Z18" s="181">
        <f>'1. GDP'!AB50*ELASTICITY!M18</f>
        <v>2.0047301499419601</v>
      </c>
      <c r="AA18" s="181">
        <f>'1. GDP'!AC50*ELASTICITY!N18</f>
        <v>1.8264039597002217</v>
      </c>
      <c r="AB18" s="171"/>
      <c r="AC18" s="171"/>
      <c r="AD18" s="171"/>
      <c r="AE18" s="171"/>
      <c r="AF18" s="171"/>
      <c r="AG18" s="171"/>
      <c r="AH18" s="171"/>
      <c r="AI18" s="171"/>
      <c r="AJ18" s="171"/>
      <c r="AK18" s="171"/>
      <c r="AL18" s="171"/>
      <c r="AM18" s="171"/>
      <c r="AN18" s="171"/>
      <c r="AO18" s="171"/>
      <c r="AP18" s="171"/>
      <c r="AQ18" s="171"/>
      <c r="AR18" s="171"/>
    </row>
    <row r="19" spans="2:44" x14ac:dyDescent="0.2">
      <c r="B19" s="171"/>
      <c r="C19" s="171"/>
      <c r="E19" s="368" t="s">
        <v>502</v>
      </c>
      <c r="F19" s="366" t="e">
        <f>+(('2.1 LABOR STRUCTURE'!I28)/('2.1 LABOR STRUCTURE'!H28)-1)*100</f>
        <v>#N/A</v>
      </c>
      <c r="G19" s="366" t="e">
        <f>+(('2.1 LABOR STRUCTURE'!J28)/('2.1 LABOR STRUCTURE'!I28)-1)*100</f>
        <v>#N/A</v>
      </c>
      <c r="H19" s="366" t="e">
        <f>+(('2.1 LABOR STRUCTURE'!K28)/('2.1 LABOR STRUCTURE'!J28)-1)*100</f>
        <v>#N/A</v>
      </c>
      <c r="I19" s="366" t="e">
        <f>+(('2.1 LABOR STRUCTURE'!L28)/('2.1 LABOR STRUCTURE'!K28)-1)*100</f>
        <v>#N/A</v>
      </c>
      <c r="J19" s="366" t="e">
        <f>+(('2.1 LABOR STRUCTURE'!M28)/('2.1 LABOR STRUCTURE'!L28)-1)*100</f>
        <v>#N/A</v>
      </c>
      <c r="K19" s="366" t="e">
        <f>+(('2.1 LABOR STRUCTURE'!N28)/('2.1 LABOR STRUCTURE'!M28)-1)*100</f>
        <v>#N/A</v>
      </c>
      <c r="L19" s="366" t="e">
        <f>+(('2.1 LABOR STRUCTURE'!O28)/('2.1 LABOR STRUCTURE'!N28)-1)*100</f>
        <v>#N/A</v>
      </c>
      <c r="M19" s="366" t="e">
        <f>+(('2.1 LABOR STRUCTURE'!P28)/('2.1 LABOR STRUCTURE'!O28)-1)*100</f>
        <v>#N/A</v>
      </c>
      <c r="N19" s="366" t="e">
        <f>+(('2.1 LABOR STRUCTURE'!Q28)/('2.1 LABOR STRUCTURE'!P28)-1)*100</f>
        <v>#N/A</v>
      </c>
      <c r="O19" s="366" t="e">
        <f>+(('2.1 LABOR STRUCTURE'!R28)/('2.1 LABOR STRUCTURE'!Q28)-1)*100</f>
        <v>#N/A</v>
      </c>
      <c r="P19" s="366" t="e">
        <f>+(('2.1 LABOR STRUCTURE'!S28)/('2.1 LABOR STRUCTURE'!R28)-1)*100</f>
        <v>#N/A</v>
      </c>
      <c r="Q19" s="366" t="e">
        <f>+(('2.1 LABOR STRUCTURE'!T28)/('2.1 LABOR STRUCTURE'!S28)-1)*100</f>
        <v>#N/A</v>
      </c>
      <c r="R19" s="366">
        <f>IF($P$1="yoy",+(('2.1 LABOR STRUCTURE'!U28)/('2.1 LABOR STRUCTURE'!T28)-1)*100,((('2.1 LABOR STRUCTURE'!$Z28/'2.1 LABOR STRUCTURE'!$T28)^(1/(2022-2016)))-1)*100)</f>
        <v>12.913779526544577</v>
      </c>
      <c r="S19" s="366">
        <f>IF($P$1="yoy",+(('2.1 LABOR STRUCTURE'!V28)/('2.1 LABOR STRUCTURE'!U28)-1)*100,((('2.1 LABOR STRUCTURE'!$Z28/'2.1 LABOR STRUCTURE'!$T28)^(1/(2022-2016)))-1)*100)</f>
        <v>12.913779526544577</v>
      </c>
      <c r="T19" s="366">
        <f>IF($P$1="yoy",+(('2.1 LABOR STRUCTURE'!W28)/('2.1 LABOR STRUCTURE'!V28)-1)*100,((('2.1 LABOR STRUCTURE'!$Z28/'2.1 LABOR STRUCTURE'!$T28)^(1/(2022-2016)))-1)*100)</f>
        <v>12.913779526544577</v>
      </c>
      <c r="U19" s="366">
        <f>IF($P$1="yoy",+(('2.1 LABOR STRUCTURE'!X28)/('2.1 LABOR STRUCTURE'!W28)-1)*100,((('2.1 LABOR STRUCTURE'!$Z28/'2.1 LABOR STRUCTURE'!$T28)^(1/(2022-2016)))-1)*100)</f>
        <v>12.913779526544577</v>
      </c>
      <c r="V19" s="366">
        <f>IF($P$1="yoy",+(('2.1 LABOR STRUCTURE'!Y28)/('2.1 LABOR STRUCTURE'!X28)-1)*100,((('2.1 LABOR STRUCTURE'!$Z28/'2.1 LABOR STRUCTURE'!$T28)^(1/(2022-2016)))-1)*100)</f>
        <v>12.913779526544577</v>
      </c>
      <c r="W19" s="366">
        <f>IF($P$1="yoy",+(('2.1 LABOR STRUCTURE'!Z28)/('2.1 LABOR STRUCTURE'!Y28)-1)*100,((('2.1 LABOR STRUCTURE'!$Z28/'2.1 LABOR STRUCTURE'!$T28)^(1/(2022-2016)))-1)*100)</f>
        <v>12.913779526544577</v>
      </c>
      <c r="X19" s="366">
        <f>'1. GDP'!Z50*ELASTICITY!K19</f>
        <v>1.409212948555796</v>
      </c>
      <c r="Y19" s="181">
        <f>'1. GDP'!AA50*ELASTICITY!L19</f>
        <v>1.6488432194457752</v>
      </c>
      <c r="Z19" s="181">
        <f>'1. GDP'!AB50*ELASTICITY!M19</f>
        <v>2.0047301499419601</v>
      </c>
      <c r="AA19" s="181">
        <f>'1. GDP'!AC50*ELASTICITY!N19</f>
        <v>1.8264039597002217</v>
      </c>
      <c r="AB19" s="171"/>
      <c r="AC19" s="171"/>
      <c r="AD19" s="171"/>
      <c r="AE19" s="171"/>
      <c r="AF19" s="171"/>
      <c r="AG19" s="171"/>
      <c r="AH19" s="171"/>
      <c r="AI19" s="171"/>
      <c r="AJ19" s="171"/>
      <c r="AK19" s="171"/>
      <c r="AL19" s="171"/>
      <c r="AM19" s="171"/>
      <c r="AN19" s="171"/>
      <c r="AO19" s="171"/>
      <c r="AP19" s="171"/>
      <c r="AQ19" s="171"/>
      <c r="AR19" s="171"/>
    </row>
    <row r="20" spans="2:44" x14ac:dyDescent="0.2">
      <c r="B20" s="171"/>
      <c r="C20" s="171"/>
      <c r="E20" s="368" t="s">
        <v>503</v>
      </c>
      <c r="F20" s="366" t="e">
        <f>+(('2.1 LABOR STRUCTURE'!I29)/('2.1 LABOR STRUCTURE'!H29)-1)*100</f>
        <v>#N/A</v>
      </c>
      <c r="G20" s="366" t="e">
        <f>+(('2.1 LABOR STRUCTURE'!J29)/('2.1 LABOR STRUCTURE'!I29)-1)*100</f>
        <v>#N/A</v>
      </c>
      <c r="H20" s="366" t="e">
        <f>+(('2.1 LABOR STRUCTURE'!K29)/('2.1 LABOR STRUCTURE'!J29)-1)*100</f>
        <v>#N/A</v>
      </c>
      <c r="I20" s="366" t="e">
        <f>+(('2.1 LABOR STRUCTURE'!L29)/('2.1 LABOR STRUCTURE'!K29)-1)*100</f>
        <v>#N/A</v>
      </c>
      <c r="J20" s="366" t="e">
        <f>+(('2.1 LABOR STRUCTURE'!M29)/('2.1 LABOR STRUCTURE'!L29)-1)*100</f>
        <v>#N/A</v>
      </c>
      <c r="K20" s="366" t="e">
        <f>+(('2.1 LABOR STRUCTURE'!N29)/('2.1 LABOR STRUCTURE'!M29)-1)*100</f>
        <v>#N/A</v>
      </c>
      <c r="L20" s="366" t="e">
        <f>+(('2.1 LABOR STRUCTURE'!O29)/('2.1 LABOR STRUCTURE'!N29)-1)*100</f>
        <v>#N/A</v>
      </c>
      <c r="M20" s="366" t="e">
        <f>+(('2.1 LABOR STRUCTURE'!P29)/('2.1 LABOR STRUCTURE'!O29)-1)*100</f>
        <v>#N/A</v>
      </c>
      <c r="N20" s="366" t="e">
        <f>+(('2.1 LABOR STRUCTURE'!Q29)/('2.1 LABOR STRUCTURE'!P29)-1)*100</f>
        <v>#N/A</v>
      </c>
      <c r="O20" s="366" t="e">
        <f>+(('2.1 LABOR STRUCTURE'!R29)/('2.1 LABOR STRUCTURE'!Q29)-1)*100</f>
        <v>#N/A</v>
      </c>
      <c r="P20" s="366" t="e">
        <f>+(('2.1 LABOR STRUCTURE'!S29)/('2.1 LABOR STRUCTURE'!R29)-1)*100</f>
        <v>#N/A</v>
      </c>
      <c r="Q20" s="366" t="e">
        <f>+(('2.1 LABOR STRUCTURE'!T29)/('2.1 LABOR STRUCTURE'!S29)-1)*100</f>
        <v>#N/A</v>
      </c>
      <c r="R20" s="366">
        <f>IF($P$1="yoy",+(('2.1 LABOR STRUCTURE'!U29)/('2.1 LABOR STRUCTURE'!T29)-1)*100,((('2.1 LABOR STRUCTURE'!$Z29/'2.1 LABOR STRUCTURE'!$T29)^(1/(2022-2016)))-1)*100)</f>
        <v>-2.56493183392561</v>
      </c>
      <c r="S20" s="366">
        <f>IF($P$1="yoy",+(('2.1 LABOR STRUCTURE'!V29)/('2.1 LABOR STRUCTURE'!U29)-1)*100,((('2.1 LABOR STRUCTURE'!$Z29/'2.1 LABOR STRUCTURE'!$T29)^(1/(2022-2016)))-1)*100)</f>
        <v>-2.56493183392561</v>
      </c>
      <c r="T20" s="366">
        <f>IF($P$1="yoy",+(('2.1 LABOR STRUCTURE'!W29)/('2.1 LABOR STRUCTURE'!V29)-1)*100,((('2.1 LABOR STRUCTURE'!$Z29/'2.1 LABOR STRUCTURE'!$T29)^(1/(2022-2016)))-1)*100)</f>
        <v>-2.56493183392561</v>
      </c>
      <c r="U20" s="366">
        <f>IF($P$1="yoy",+(('2.1 LABOR STRUCTURE'!X29)/('2.1 LABOR STRUCTURE'!W29)-1)*100,((('2.1 LABOR STRUCTURE'!$Z29/'2.1 LABOR STRUCTURE'!$T29)^(1/(2022-2016)))-1)*100)</f>
        <v>-2.56493183392561</v>
      </c>
      <c r="V20" s="366">
        <f>IF($P$1="yoy",+(('2.1 LABOR STRUCTURE'!Y29)/('2.1 LABOR STRUCTURE'!X29)-1)*100,((('2.1 LABOR STRUCTURE'!$Z29/'2.1 LABOR STRUCTURE'!$T29)^(1/(2022-2016)))-1)*100)</f>
        <v>-2.56493183392561</v>
      </c>
      <c r="W20" s="366">
        <f>IF($P$1="yoy",+(('2.1 LABOR STRUCTURE'!Z29)/('2.1 LABOR STRUCTURE'!Y29)-1)*100,((('2.1 LABOR STRUCTURE'!$Z29/'2.1 LABOR STRUCTURE'!$T29)^(1/(2022-2016)))-1)*100)</f>
        <v>-2.56493183392561</v>
      </c>
      <c r="X20" s="366">
        <f>'1. GDP'!Z51*ELASTICITY!K20</f>
        <v>0.63951913519554682</v>
      </c>
      <c r="Y20" s="181">
        <f>'1. GDP'!AA51*ELASTICITY!L20</f>
        <v>1.6192254974243785</v>
      </c>
      <c r="Z20" s="181">
        <f>'1. GDP'!AB51*ELASTICITY!M20</f>
        <v>1.5219083442072632</v>
      </c>
      <c r="AA20" s="181">
        <f>'1. GDP'!AC51*ELASTICITY!N20</f>
        <v>1.6689992572710703</v>
      </c>
      <c r="AB20" s="171"/>
      <c r="AC20" s="171"/>
      <c r="AD20" s="171"/>
      <c r="AE20" s="171"/>
      <c r="AF20" s="171"/>
      <c r="AG20" s="171"/>
      <c r="AH20" s="171"/>
      <c r="AI20" s="171"/>
      <c r="AJ20" s="171"/>
      <c r="AK20" s="171"/>
      <c r="AL20" s="171"/>
      <c r="AM20" s="171"/>
      <c r="AN20" s="171"/>
      <c r="AO20" s="171"/>
      <c r="AP20" s="171"/>
      <c r="AQ20" s="171"/>
      <c r="AR20" s="171"/>
    </row>
    <row r="21" spans="2:44" x14ac:dyDescent="0.2">
      <c r="B21" s="171"/>
      <c r="C21" s="171"/>
      <c r="E21" s="368" t="s">
        <v>504</v>
      </c>
      <c r="F21" s="366" t="e">
        <f>+(('2.1 LABOR STRUCTURE'!I30)/('2.1 LABOR STRUCTURE'!H30)-1)*100</f>
        <v>#N/A</v>
      </c>
      <c r="G21" s="366" t="e">
        <f>+(('2.1 LABOR STRUCTURE'!J30)/('2.1 LABOR STRUCTURE'!I30)-1)*100</f>
        <v>#N/A</v>
      </c>
      <c r="H21" s="366" t="e">
        <f>+(('2.1 LABOR STRUCTURE'!K30)/('2.1 LABOR STRUCTURE'!J30)-1)*100</f>
        <v>#N/A</v>
      </c>
      <c r="I21" s="366" t="e">
        <f>+(('2.1 LABOR STRUCTURE'!L30)/('2.1 LABOR STRUCTURE'!K30)-1)*100</f>
        <v>#N/A</v>
      </c>
      <c r="J21" s="366" t="e">
        <f>+(('2.1 LABOR STRUCTURE'!M30)/('2.1 LABOR STRUCTURE'!L30)-1)*100</f>
        <v>#N/A</v>
      </c>
      <c r="K21" s="366" t="e">
        <f>+(('2.1 LABOR STRUCTURE'!N30)/('2.1 LABOR STRUCTURE'!M30)-1)*100</f>
        <v>#N/A</v>
      </c>
      <c r="L21" s="366" t="e">
        <f>+(('2.1 LABOR STRUCTURE'!O30)/('2.1 LABOR STRUCTURE'!N30)-1)*100</f>
        <v>#N/A</v>
      </c>
      <c r="M21" s="366" t="e">
        <f>+(('2.1 LABOR STRUCTURE'!P30)/('2.1 LABOR STRUCTURE'!O30)-1)*100</f>
        <v>#N/A</v>
      </c>
      <c r="N21" s="366" t="e">
        <f>+(('2.1 LABOR STRUCTURE'!Q30)/('2.1 LABOR STRUCTURE'!P30)-1)*100</f>
        <v>#N/A</v>
      </c>
      <c r="O21" s="366" t="e">
        <f>+(('2.1 LABOR STRUCTURE'!R30)/('2.1 LABOR STRUCTURE'!Q30)-1)*100</f>
        <v>#N/A</v>
      </c>
      <c r="P21" s="366" t="e">
        <f>+(('2.1 LABOR STRUCTURE'!S30)/('2.1 LABOR STRUCTURE'!R30)-1)*100</f>
        <v>#N/A</v>
      </c>
      <c r="Q21" s="366" t="e">
        <f>+(('2.1 LABOR STRUCTURE'!T30)/('2.1 LABOR STRUCTURE'!S30)-1)*100</f>
        <v>#N/A</v>
      </c>
      <c r="R21" s="366">
        <f>IF($P$1="yoy",+(('2.1 LABOR STRUCTURE'!U30)/('2.1 LABOR STRUCTURE'!T30)-1)*100,((('2.1 LABOR STRUCTURE'!$Z30/'2.1 LABOR STRUCTURE'!$T30)^(1/(2022-2016)))-1)*100)</f>
        <v>6.3075463189282477</v>
      </c>
      <c r="S21" s="366">
        <f>IF($P$1="yoy",+(('2.1 LABOR STRUCTURE'!V30)/('2.1 LABOR STRUCTURE'!U30)-1)*100,((('2.1 LABOR STRUCTURE'!$Z30/'2.1 LABOR STRUCTURE'!$T30)^(1/(2022-2016)))-1)*100)</f>
        <v>6.3075463189282477</v>
      </c>
      <c r="T21" s="366">
        <f>IF($P$1="yoy",+(('2.1 LABOR STRUCTURE'!W30)/('2.1 LABOR STRUCTURE'!V30)-1)*100,((('2.1 LABOR STRUCTURE'!$Z30/'2.1 LABOR STRUCTURE'!$T30)^(1/(2022-2016)))-1)*100)</f>
        <v>6.3075463189282477</v>
      </c>
      <c r="U21" s="366">
        <f>IF($P$1="yoy",+(('2.1 LABOR STRUCTURE'!X30)/('2.1 LABOR STRUCTURE'!W30)-1)*100,((('2.1 LABOR STRUCTURE'!$Z30/'2.1 LABOR STRUCTURE'!$T30)^(1/(2022-2016)))-1)*100)</f>
        <v>6.3075463189282477</v>
      </c>
      <c r="V21" s="366">
        <f>IF($P$1="yoy",+(('2.1 LABOR STRUCTURE'!Y30)/('2.1 LABOR STRUCTURE'!X30)-1)*100,((('2.1 LABOR STRUCTURE'!$Z30/'2.1 LABOR STRUCTURE'!$T30)^(1/(2022-2016)))-1)*100)</f>
        <v>6.3075463189282477</v>
      </c>
      <c r="W21" s="366">
        <f>IF($P$1="yoy",+(('2.1 LABOR STRUCTURE'!Z30)/('2.1 LABOR STRUCTURE'!Y30)-1)*100,((('2.1 LABOR STRUCTURE'!$Z30/'2.1 LABOR STRUCTURE'!$T30)^(1/(2022-2016)))-1)*100)</f>
        <v>6.3075463189282477</v>
      </c>
      <c r="X21" s="366">
        <f>'1. GDP'!Z51*ELASTICITY!K21</f>
        <v>0.63951913519554682</v>
      </c>
      <c r="Y21" s="181">
        <f>'1. GDP'!AA51*ELASTICITY!L21</f>
        <v>1.6192254974243785</v>
      </c>
      <c r="Z21" s="181">
        <f>'1. GDP'!AB51*ELASTICITY!M21</f>
        <v>1.5219083442072632</v>
      </c>
      <c r="AA21" s="181">
        <f>'1. GDP'!AC51*ELASTICITY!N21</f>
        <v>1.6689992572710703</v>
      </c>
      <c r="AB21" s="171"/>
      <c r="AC21" s="171"/>
      <c r="AD21" s="171"/>
      <c r="AE21" s="171"/>
      <c r="AF21" s="171"/>
      <c r="AG21" s="171"/>
      <c r="AH21" s="171"/>
      <c r="AI21" s="171"/>
      <c r="AJ21" s="171"/>
      <c r="AK21" s="171"/>
      <c r="AL21" s="171"/>
      <c r="AM21" s="171"/>
      <c r="AN21" s="171"/>
      <c r="AO21" s="171"/>
      <c r="AP21" s="171"/>
      <c r="AQ21" s="171"/>
      <c r="AR21" s="171"/>
    </row>
    <row r="22" spans="2:44" x14ac:dyDescent="0.2">
      <c r="B22" s="171"/>
      <c r="C22" s="171"/>
      <c r="E22" s="368" t="s">
        <v>505</v>
      </c>
      <c r="F22" s="366" t="e">
        <f>+(('2.1 LABOR STRUCTURE'!I31)/('2.1 LABOR STRUCTURE'!H31)-1)*100</f>
        <v>#N/A</v>
      </c>
      <c r="G22" s="366" t="e">
        <f>+(('2.1 LABOR STRUCTURE'!J31)/('2.1 LABOR STRUCTURE'!I31)-1)*100</f>
        <v>#N/A</v>
      </c>
      <c r="H22" s="366" t="e">
        <f>+(('2.1 LABOR STRUCTURE'!K31)/('2.1 LABOR STRUCTURE'!J31)-1)*100</f>
        <v>#N/A</v>
      </c>
      <c r="I22" s="366" t="e">
        <f>+(('2.1 LABOR STRUCTURE'!L31)/('2.1 LABOR STRUCTURE'!K31)-1)*100</f>
        <v>#N/A</v>
      </c>
      <c r="J22" s="366" t="e">
        <f>+(('2.1 LABOR STRUCTURE'!M31)/('2.1 LABOR STRUCTURE'!L31)-1)*100</f>
        <v>#N/A</v>
      </c>
      <c r="K22" s="366" t="e">
        <f>+(('2.1 LABOR STRUCTURE'!N31)/('2.1 LABOR STRUCTURE'!M31)-1)*100</f>
        <v>#N/A</v>
      </c>
      <c r="L22" s="366" t="e">
        <f>+(('2.1 LABOR STRUCTURE'!O31)/('2.1 LABOR STRUCTURE'!N31)-1)*100</f>
        <v>#N/A</v>
      </c>
      <c r="M22" s="366" t="e">
        <f>+(('2.1 LABOR STRUCTURE'!P31)/('2.1 LABOR STRUCTURE'!O31)-1)*100</f>
        <v>#N/A</v>
      </c>
      <c r="N22" s="366" t="e">
        <f>+(('2.1 LABOR STRUCTURE'!Q31)/('2.1 LABOR STRUCTURE'!P31)-1)*100</f>
        <v>#N/A</v>
      </c>
      <c r="O22" s="366" t="e">
        <f>+(('2.1 LABOR STRUCTURE'!R31)/('2.1 LABOR STRUCTURE'!Q31)-1)*100</f>
        <v>#N/A</v>
      </c>
      <c r="P22" s="366" t="e">
        <f>+(('2.1 LABOR STRUCTURE'!S31)/('2.1 LABOR STRUCTURE'!R31)-1)*100</f>
        <v>#N/A</v>
      </c>
      <c r="Q22" s="366" t="e">
        <f>+(('2.1 LABOR STRUCTURE'!T31)/('2.1 LABOR STRUCTURE'!S31)-1)*100</f>
        <v>#N/A</v>
      </c>
      <c r="R22" s="366">
        <f>IF($P$1="yoy",+(('2.1 LABOR STRUCTURE'!U31)/('2.1 LABOR STRUCTURE'!T31)-1)*100,((('2.1 LABOR STRUCTURE'!$Z31/'2.1 LABOR STRUCTURE'!$T31)^(1/(2022-2016)))-1)*100)</f>
        <v>-7.8153484264231636</v>
      </c>
      <c r="S22" s="366">
        <f>IF($P$1="yoy",+(('2.1 LABOR STRUCTURE'!V31)/('2.1 LABOR STRUCTURE'!U31)-1)*100,((('2.1 LABOR STRUCTURE'!$Z31/'2.1 LABOR STRUCTURE'!$T31)^(1/(2022-2016)))-1)*100)</f>
        <v>-7.8153484264231636</v>
      </c>
      <c r="T22" s="366">
        <f>IF($P$1="yoy",+(('2.1 LABOR STRUCTURE'!W31)/('2.1 LABOR STRUCTURE'!V31)-1)*100,((('2.1 LABOR STRUCTURE'!$Z31/'2.1 LABOR STRUCTURE'!$T31)^(1/(2022-2016)))-1)*100)</f>
        <v>-7.8153484264231636</v>
      </c>
      <c r="U22" s="366">
        <f>IF($P$1="yoy",+(('2.1 LABOR STRUCTURE'!X31)/('2.1 LABOR STRUCTURE'!W31)-1)*100,((('2.1 LABOR STRUCTURE'!$Z31/'2.1 LABOR STRUCTURE'!$T31)^(1/(2022-2016)))-1)*100)</f>
        <v>-7.8153484264231636</v>
      </c>
      <c r="V22" s="366">
        <f>IF($P$1="yoy",+(('2.1 LABOR STRUCTURE'!Y31)/('2.1 LABOR STRUCTURE'!X31)-1)*100,((('2.1 LABOR STRUCTURE'!$Z31/'2.1 LABOR STRUCTURE'!$T31)^(1/(2022-2016)))-1)*100)</f>
        <v>-7.8153484264231636</v>
      </c>
      <c r="W22" s="366">
        <f>IF($P$1="yoy",+(('2.1 LABOR STRUCTURE'!Z31)/('2.1 LABOR STRUCTURE'!Y31)-1)*100,((('2.1 LABOR STRUCTURE'!$Z31/'2.1 LABOR STRUCTURE'!$T31)^(1/(2022-2016)))-1)*100)</f>
        <v>-7.8153484264231636</v>
      </c>
      <c r="X22" s="366">
        <f>'1. GDP'!Z52*ELASTICITY!K22</f>
        <v>1.3918400593740177</v>
      </c>
      <c r="Y22" s="181">
        <f>'1. GDP'!AA52*ELASTICITY!L22</f>
        <v>1.3092630037113906</v>
      </c>
      <c r="Z22" s="181">
        <f>'1. GDP'!AB52*ELASTICITY!M22</f>
        <v>0.9245492578707708</v>
      </c>
      <c r="AA22" s="181">
        <f>'1. GDP'!AC52*ELASTICITY!N22</f>
        <v>0.99817293336576984</v>
      </c>
      <c r="AB22" s="171"/>
      <c r="AC22" s="171"/>
      <c r="AD22" s="171"/>
      <c r="AE22" s="171"/>
      <c r="AF22" s="171"/>
      <c r="AG22" s="171"/>
      <c r="AH22" s="171"/>
      <c r="AI22" s="171"/>
      <c r="AJ22" s="171"/>
      <c r="AK22" s="171"/>
      <c r="AL22" s="171"/>
      <c r="AM22" s="171"/>
      <c r="AN22" s="171"/>
      <c r="AO22" s="171"/>
      <c r="AP22" s="171"/>
      <c r="AQ22" s="171"/>
      <c r="AR22" s="171"/>
    </row>
    <row r="23" spans="2:44" x14ac:dyDescent="0.2">
      <c r="B23" s="171"/>
      <c r="C23" s="171"/>
      <c r="E23" s="369" t="s">
        <v>506</v>
      </c>
      <c r="F23" s="370" t="e">
        <f>+(('2.1 LABOR STRUCTURE'!I32)/('2.1 LABOR STRUCTURE'!H32)-1)*100</f>
        <v>#N/A</v>
      </c>
      <c r="G23" s="370" t="e">
        <f>+(('2.1 LABOR STRUCTURE'!J32)/('2.1 LABOR STRUCTURE'!I32)-1)*100</f>
        <v>#N/A</v>
      </c>
      <c r="H23" s="370" t="e">
        <f>+(('2.1 LABOR STRUCTURE'!K32)/('2.1 LABOR STRUCTURE'!J32)-1)*100</f>
        <v>#N/A</v>
      </c>
      <c r="I23" s="370" t="e">
        <f>+(('2.1 LABOR STRUCTURE'!L32)/('2.1 LABOR STRUCTURE'!K32)-1)*100</f>
        <v>#N/A</v>
      </c>
      <c r="J23" s="370" t="e">
        <f>+(('2.1 LABOR STRUCTURE'!M32)/('2.1 LABOR STRUCTURE'!L32)-1)*100</f>
        <v>#N/A</v>
      </c>
      <c r="K23" s="370" t="e">
        <f>+(('2.1 LABOR STRUCTURE'!N32)/('2.1 LABOR STRUCTURE'!M32)-1)*100</f>
        <v>#N/A</v>
      </c>
      <c r="L23" s="370" t="e">
        <f>+(('2.1 LABOR STRUCTURE'!O32)/('2.1 LABOR STRUCTURE'!N32)-1)*100</f>
        <v>#N/A</v>
      </c>
      <c r="M23" s="370" t="e">
        <f>+(('2.1 LABOR STRUCTURE'!P32)/('2.1 LABOR STRUCTURE'!O32)-1)*100</f>
        <v>#N/A</v>
      </c>
      <c r="N23" s="370" t="e">
        <f>+(('2.1 LABOR STRUCTURE'!Q32)/('2.1 LABOR STRUCTURE'!P32)-1)*100</f>
        <v>#N/A</v>
      </c>
      <c r="O23" s="370" t="e">
        <f>+(('2.1 LABOR STRUCTURE'!R32)/('2.1 LABOR STRUCTURE'!Q32)-1)*100</f>
        <v>#N/A</v>
      </c>
      <c r="P23" s="370" t="e">
        <f>+(('2.1 LABOR STRUCTURE'!S32)/('2.1 LABOR STRUCTURE'!R32)-1)*100</f>
        <v>#N/A</v>
      </c>
      <c r="Q23" s="370" t="e">
        <f>+(('2.1 LABOR STRUCTURE'!T32)/('2.1 LABOR STRUCTURE'!S32)-1)*100</f>
        <v>#N/A</v>
      </c>
      <c r="R23" s="370">
        <f>IF($P$1="yoy",+(('2.1 LABOR STRUCTURE'!U32)/('2.1 LABOR STRUCTURE'!T32)-1)*100,((('2.1 LABOR STRUCTURE'!$Z32/'2.1 LABOR STRUCTURE'!$T32)^(1/(2022-2016)))-1)*100)</f>
        <v>3.4223589519351894</v>
      </c>
      <c r="S23" s="370">
        <f>IF($P$1="yoy",+(('2.1 LABOR STRUCTURE'!V32)/('2.1 LABOR STRUCTURE'!U32)-1)*100,((('2.1 LABOR STRUCTURE'!$Z32/'2.1 LABOR STRUCTURE'!$T32)^(1/(2022-2016)))-1)*100)</f>
        <v>3.4223589519351894</v>
      </c>
      <c r="T23" s="370">
        <f>IF($P$1="yoy",+(('2.1 LABOR STRUCTURE'!W32)/('2.1 LABOR STRUCTURE'!V32)-1)*100,((('2.1 LABOR STRUCTURE'!$Z32/'2.1 LABOR STRUCTURE'!$T32)^(1/(2022-2016)))-1)*100)</f>
        <v>3.4223589519351894</v>
      </c>
      <c r="U23" s="370">
        <f>IF($P$1="yoy",+(('2.1 LABOR STRUCTURE'!X32)/('2.1 LABOR STRUCTURE'!W32)-1)*100,((('2.1 LABOR STRUCTURE'!$Z32/'2.1 LABOR STRUCTURE'!$T32)^(1/(2022-2016)))-1)*100)</f>
        <v>3.4223589519351894</v>
      </c>
      <c r="V23" s="370">
        <f>IF($P$1="yoy",+(('2.1 LABOR STRUCTURE'!Y32)/('2.1 LABOR STRUCTURE'!X32)-1)*100,((('2.1 LABOR STRUCTURE'!$Z32/'2.1 LABOR STRUCTURE'!$T32)^(1/(2022-2016)))-1)*100)</f>
        <v>3.4223589519351894</v>
      </c>
      <c r="W23" s="370">
        <f>IF($P$1="yoy",+(('2.1 LABOR STRUCTURE'!Z32)/('2.1 LABOR STRUCTURE'!Y32)-1)*100,((('2.1 LABOR STRUCTURE'!$Z32/'2.1 LABOR STRUCTURE'!$T32)^(1/(2022-2016)))-1)*100)</f>
        <v>3.4223589519351894</v>
      </c>
      <c r="X23" s="370">
        <f>'1. GDP'!Z52*ELASTICITY!K23</f>
        <v>1.3918400593740177</v>
      </c>
      <c r="Y23" s="182">
        <f>'1. GDP'!AA52*ELASTICITY!L23</f>
        <v>1.3092630037113906</v>
      </c>
      <c r="Z23" s="182">
        <f>'1. GDP'!AB52*ELASTICITY!M23</f>
        <v>0.9245492578707708</v>
      </c>
      <c r="AA23" s="182">
        <f>'1. GDP'!AC52*ELASTICITY!N23</f>
        <v>0.99817293336576984</v>
      </c>
      <c r="AB23" s="171"/>
      <c r="AC23" s="171"/>
      <c r="AD23" s="171"/>
      <c r="AE23" s="171"/>
      <c r="AF23" s="171"/>
      <c r="AG23" s="171"/>
      <c r="AH23" s="171"/>
      <c r="AI23" s="171"/>
      <c r="AJ23" s="171"/>
      <c r="AK23" s="171"/>
      <c r="AL23" s="171"/>
      <c r="AM23" s="171"/>
      <c r="AN23" s="171"/>
      <c r="AO23" s="171"/>
      <c r="AP23" s="171"/>
      <c r="AQ23" s="171"/>
      <c r="AR23" s="171"/>
    </row>
    <row r="24" spans="2:44" s="171" customFormat="1" x14ac:dyDescent="0.2">
      <c r="E24" s="371"/>
      <c r="F24" s="372"/>
      <c r="G24" s="372"/>
      <c r="H24" s="372"/>
      <c r="I24" s="372"/>
      <c r="J24" s="372"/>
      <c r="K24" s="372"/>
      <c r="L24" s="372"/>
      <c r="M24" s="372"/>
      <c r="N24" s="372"/>
      <c r="O24" s="372"/>
      <c r="P24" s="372"/>
      <c r="Q24" s="372"/>
      <c r="R24" s="372"/>
      <c r="S24" s="372"/>
      <c r="T24" s="372"/>
      <c r="U24" s="372"/>
      <c r="V24" s="372"/>
      <c r="W24" s="372"/>
      <c r="X24" s="372"/>
      <c r="Y24" s="372"/>
      <c r="Z24" s="372"/>
      <c r="AA24" s="372"/>
    </row>
    <row r="25" spans="2:44" s="171" customFormat="1" x14ac:dyDescent="0.2">
      <c r="E25" s="371"/>
      <c r="F25" s="372"/>
      <c r="G25" s="372"/>
      <c r="H25" s="372"/>
      <c r="I25" s="372"/>
      <c r="J25" s="372"/>
      <c r="K25" s="372"/>
      <c r="L25" s="372"/>
      <c r="M25" s="372"/>
      <c r="N25" s="372"/>
      <c r="O25" s="372"/>
      <c r="P25" s="372"/>
      <c r="Q25" s="372"/>
      <c r="R25" s="372"/>
      <c r="S25" s="372"/>
      <c r="T25" s="372"/>
      <c r="U25" s="372"/>
      <c r="V25" s="372"/>
      <c r="W25" s="372"/>
      <c r="X25" s="372"/>
      <c r="Y25" s="372"/>
      <c r="Z25" s="372"/>
      <c r="AA25" s="372"/>
    </row>
    <row r="26" spans="2:44" s="171" customFormat="1" x14ac:dyDescent="0.2"/>
    <row r="27" spans="2:44" s="171" customFormat="1" x14ac:dyDescent="0.2"/>
    <row r="28" spans="2:44" ht="20.100000000000001" customHeight="1" x14ac:dyDescent="0.2">
      <c r="B28" s="171"/>
      <c r="C28" s="171"/>
      <c r="E28" s="518" t="s">
        <v>206</v>
      </c>
      <c r="F28" s="518"/>
      <c r="G28" s="518"/>
      <c r="H28" s="518"/>
      <c r="I28" s="518"/>
      <c r="J28" s="518"/>
      <c r="K28" s="518"/>
      <c r="L28" s="518"/>
      <c r="M28" s="518"/>
      <c r="N28" s="518"/>
      <c r="O28" s="518"/>
      <c r="P28" s="518"/>
      <c r="Q28" s="518"/>
      <c r="R28" s="518"/>
      <c r="S28" s="518"/>
      <c r="T28" s="518"/>
      <c r="U28" s="518"/>
      <c r="V28" s="518"/>
      <c r="W28" s="518"/>
      <c r="X28" s="518"/>
      <c r="Y28" s="518"/>
      <c r="Z28" s="518"/>
      <c r="AA28" s="518"/>
      <c r="AB28" s="518"/>
      <c r="AC28" s="518"/>
      <c r="AD28" s="518"/>
      <c r="AE28" s="518"/>
      <c r="AF28" s="518"/>
      <c r="AG28" s="518"/>
      <c r="AH28" s="518"/>
      <c r="AI28" s="518"/>
      <c r="AJ28" s="518"/>
      <c r="AK28" s="518"/>
      <c r="AL28" s="518"/>
      <c r="AM28" s="518"/>
      <c r="AN28" s="518"/>
      <c r="AO28" s="518"/>
      <c r="AP28" s="518"/>
      <c r="AQ28" s="518"/>
      <c r="AR28" s="171"/>
    </row>
    <row r="29" spans="2:44" x14ac:dyDescent="0.2">
      <c r="B29" s="171"/>
      <c r="C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71"/>
      <c r="AB29" s="171"/>
      <c r="AC29" s="171"/>
      <c r="AD29" s="171"/>
      <c r="AE29" s="171"/>
      <c r="AF29" s="171"/>
      <c r="AG29" s="171"/>
      <c r="AH29" s="171"/>
      <c r="AI29" s="171"/>
      <c r="AJ29" s="171"/>
      <c r="AK29" s="171"/>
      <c r="AL29" s="171"/>
      <c r="AM29" s="171"/>
      <c r="AN29" s="171"/>
      <c r="AO29" s="171"/>
      <c r="AP29" s="171"/>
      <c r="AQ29" s="171"/>
      <c r="AR29" s="171"/>
    </row>
    <row r="30" spans="2:44" x14ac:dyDescent="0.2">
      <c r="B30" s="171"/>
      <c r="C30" s="171"/>
      <c r="E30" s="516" t="s">
        <v>134</v>
      </c>
      <c r="F30" s="175"/>
      <c r="G30" s="175"/>
      <c r="H30" s="175"/>
      <c r="I30" s="175"/>
      <c r="J30" s="175"/>
      <c r="K30" s="175"/>
      <c r="L30" s="175"/>
      <c r="M30" s="175"/>
      <c r="N30" s="175"/>
      <c r="O30" s="175"/>
      <c r="P30" s="175"/>
      <c r="Q30" s="175"/>
      <c r="R30" s="175"/>
      <c r="S30" s="175"/>
      <c r="T30" s="175"/>
      <c r="U30" s="175"/>
      <c r="V30" s="175"/>
      <c r="W30" s="175"/>
      <c r="X30" s="175"/>
      <c r="Y30" s="520" t="s">
        <v>7</v>
      </c>
      <c r="Z30" s="520"/>
      <c r="AA30" s="520"/>
      <c r="AB30" s="171"/>
      <c r="AC30" s="171"/>
      <c r="AD30" s="171"/>
      <c r="AE30" s="171"/>
      <c r="AF30" s="171"/>
      <c r="AG30" s="171"/>
      <c r="AH30" s="171"/>
      <c r="AI30" s="171"/>
      <c r="AJ30" s="171"/>
      <c r="AK30" s="171"/>
      <c r="AL30" s="171"/>
      <c r="AM30" s="171"/>
      <c r="AN30" s="171"/>
      <c r="AO30" s="171"/>
      <c r="AP30" s="171"/>
      <c r="AQ30" s="171"/>
      <c r="AR30" s="171"/>
    </row>
    <row r="31" spans="2:44" x14ac:dyDescent="0.2">
      <c r="B31" s="485" t="s">
        <v>207</v>
      </c>
      <c r="C31" s="519"/>
      <c r="E31" s="516"/>
      <c r="F31" s="176">
        <v>2005</v>
      </c>
      <c r="G31" s="176">
        <v>2006</v>
      </c>
      <c r="H31" s="176">
        <v>2007</v>
      </c>
      <c r="I31" s="176">
        <v>2008</v>
      </c>
      <c r="J31" s="176">
        <v>2009</v>
      </c>
      <c r="K31" s="176">
        <v>2010</v>
      </c>
      <c r="L31" s="176">
        <v>2011</v>
      </c>
      <c r="M31" s="176">
        <v>2012</v>
      </c>
      <c r="N31" s="176">
        <v>2013</v>
      </c>
      <c r="O31" s="176">
        <v>2014</v>
      </c>
      <c r="P31" s="176">
        <v>2015</v>
      </c>
      <c r="Q31" s="176">
        <v>2016</v>
      </c>
      <c r="R31" s="176">
        <v>2017</v>
      </c>
      <c r="S31" s="176">
        <v>2018</v>
      </c>
      <c r="T31" s="176">
        <v>2019</v>
      </c>
      <c r="U31" s="176">
        <v>2020</v>
      </c>
      <c r="V31" s="176">
        <v>2021</v>
      </c>
      <c r="W31" s="176">
        <v>2022</v>
      </c>
      <c r="X31" s="295">
        <v>2023</v>
      </c>
      <c r="Y31" s="177">
        <v>2024</v>
      </c>
      <c r="Z31" s="177">
        <v>2025</v>
      </c>
      <c r="AA31" s="177">
        <v>2026</v>
      </c>
      <c r="AB31" s="171"/>
      <c r="AC31" s="171"/>
      <c r="AD31" s="171"/>
      <c r="AE31" s="171"/>
      <c r="AF31" s="171"/>
      <c r="AG31" s="171"/>
      <c r="AH31" s="171"/>
      <c r="AI31" s="171"/>
      <c r="AJ31" s="171"/>
      <c r="AK31" s="171"/>
      <c r="AL31" s="171"/>
      <c r="AM31" s="171"/>
      <c r="AN31" s="171"/>
      <c r="AO31" s="171"/>
      <c r="AP31" s="171"/>
      <c r="AQ31" s="171"/>
      <c r="AR31" s="171"/>
    </row>
    <row r="32" spans="2:44" x14ac:dyDescent="0.2">
      <c r="B32" s="485"/>
      <c r="C32" s="519"/>
      <c r="E32" s="368" t="s">
        <v>496</v>
      </c>
      <c r="F32" s="366" t="e">
        <f>('2.2 LABOR INCOME &amp; PRODUCTIVITY'!I20/'2.2 LABOR INCOME &amp; PRODUCTIVITY'!#REF!-1)*100</f>
        <v>#N/A</v>
      </c>
      <c r="G32" s="366" t="e">
        <f>('2.2 LABOR INCOME &amp; PRODUCTIVITY'!J20/'2.2 LABOR INCOME &amp; PRODUCTIVITY'!I20-1)*100</f>
        <v>#N/A</v>
      </c>
      <c r="H32" s="366" t="e">
        <f>('2.2 LABOR INCOME &amp; PRODUCTIVITY'!K20/'2.2 LABOR INCOME &amp; PRODUCTIVITY'!J20-1)*100</f>
        <v>#N/A</v>
      </c>
      <c r="I32" s="366" t="e">
        <f>('2.2 LABOR INCOME &amp; PRODUCTIVITY'!L20/'2.2 LABOR INCOME &amp; PRODUCTIVITY'!K20-1)*100</f>
        <v>#N/A</v>
      </c>
      <c r="J32" s="366" t="e">
        <f>('2.2 LABOR INCOME &amp; PRODUCTIVITY'!M20/'2.2 LABOR INCOME &amp; PRODUCTIVITY'!L20-1)*100</f>
        <v>#N/A</v>
      </c>
      <c r="K32" s="366" t="e">
        <f>('2.2 LABOR INCOME &amp; PRODUCTIVITY'!N20/'2.2 LABOR INCOME &amp; PRODUCTIVITY'!M20-1)*100</f>
        <v>#N/A</v>
      </c>
      <c r="L32" s="366" t="e">
        <f>('2.2 LABOR INCOME &amp; PRODUCTIVITY'!O20/'2.2 LABOR INCOME &amp; PRODUCTIVITY'!N20-1)*100</f>
        <v>#N/A</v>
      </c>
      <c r="M32" s="366" t="e">
        <f>('2.2 LABOR INCOME &amp; PRODUCTIVITY'!P20/'2.2 LABOR INCOME &amp; PRODUCTIVITY'!O20-1)*100</f>
        <v>#N/A</v>
      </c>
      <c r="N32" s="366" t="e">
        <f>('2.2 LABOR INCOME &amp; PRODUCTIVITY'!Q20/'2.2 LABOR INCOME &amp; PRODUCTIVITY'!P20-1)*100</f>
        <v>#N/A</v>
      </c>
      <c r="O32" s="366" t="e">
        <f>('2.2 LABOR INCOME &amp; PRODUCTIVITY'!R20/'2.2 LABOR INCOME &amp; PRODUCTIVITY'!Q20-1)*100</f>
        <v>#N/A</v>
      </c>
      <c r="P32" s="366" t="e">
        <f>('2.2 LABOR INCOME &amp; PRODUCTIVITY'!S20/'2.2 LABOR INCOME &amp; PRODUCTIVITY'!R20-1)*100</f>
        <v>#N/A</v>
      </c>
      <c r="Q32" s="366" t="e">
        <f>('2.2 LABOR INCOME &amp; PRODUCTIVITY'!U20/'2.2 LABOR INCOME &amp; PRODUCTIVITY'!S20-1)*100</f>
        <v>#N/A</v>
      </c>
      <c r="R32" s="366" t="e">
        <f>('2.2 LABOR INCOME &amp; PRODUCTIVITY'!V20/'2.2 LABOR INCOME &amp; PRODUCTIVITY'!U20-1)*100</f>
        <v>#N/A</v>
      </c>
      <c r="S32" s="366" t="e">
        <f>('2.2 LABOR INCOME &amp; PRODUCTIVITY'!V20/'2.2 LABOR INCOME &amp; PRODUCTIVITY'!U20-1)*100</f>
        <v>#N/A</v>
      </c>
      <c r="T32" s="366" t="e">
        <f>('2.2 LABOR INCOME &amp; PRODUCTIVITY'!W20/'2.2 LABOR INCOME &amp; PRODUCTIVITY'!V20-1)*100</f>
        <v>#N/A</v>
      </c>
      <c r="U32" s="366" t="e">
        <f>('2.2 LABOR INCOME &amp; PRODUCTIVITY'!X20/'2.2 LABOR INCOME &amp; PRODUCTIVITY'!W20-1)*100</f>
        <v>#N/A</v>
      </c>
      <c r="V32" s="366" t="e">
        <f>('2.2 LABOR INCOME &amp; PRODUCTIVITY'!Y20/'2.2 LABOR INCOME &amp; PRODUCTIVITY'!X20-1)*100</f>
        <v>#N/A</v>
      </c>
      <c r="W32" s="366" t="e">
        <f>('2.2 LABOR INCOME &amp; PRODUCTIVITY'!Z20/'2.2 LABOR INCOME &amp; PRODUCTIVITY'!Y20-1)*100</f>
        <v>#N/A</v>
      </c>
      <c r="X32" s="366" t="e">
        <f>('2.2 LABOR INCOME &amp; PRODUCTIVITY'!AA20/'2.2 LABOR INCOME &amp; PRODUCTIVITY'!Z20-1)*100</f>
        <v>#N/A</v>
      </c>
      <c r="Y32" s="181">
        <f>'2.2 LABOR INCOME &amp; PRODUCTIVITY'!AB10*ELASTICITY!L$30</f>
        <v>0.570017257116054</v>
      </c>
      <c r="Z32" s="181">
        <f>'2.2 LABOR INCOME &amp; PRODUCTIVITY'!AC10*ELASTICITY!M$30</f>
        <v>0.53481838954110561</v>
      </c>
      <c r="AA32" s="181">
        <f>'2.2 LABOR INCOME &amp; PRODUCTIVITY'!AD10*ELASTICITY!N$30</f>
        <v>0.51539244604657886</v>
      </c>
      <c r="AB32" s="171"/>
      <c r="AC32" s="171"/>
      <c r="AD32" s="171"/>
      <c r="AE32" s="171"/>
      <c r="AF32" s="171"/>
      <c r="AG32" s="171"/>
      <c r="AH32" s="171"/>
      <c r="AI32" s="171"/>
      <c r="AJ32" s="171"/>
      <c r="AK32" s="171"/>
      <c r="AL32" s="171"/>
      <c r="AM32" s="171"/>
      <c r="AN32" s="171"/>
      <c r="AO32" s="171"/>
      <c r="AP32" s="171"/>
      <c r="AQ32" s="171"/>
      <c r="AR32" s="171"/>
    </row>
    <row r="33" spans="2:44" ht="15" customHeight="1" x14ac:dyDescent="0.2">
      <c r="B33" s="173"/>
      <c r="C33" s="174"/>
      <c r="E33" s="368" t="s">
        <v>495</v>
      </c>
      <c r="F33" s="366" t="e">
        <f>('2.2 LABOR INCOME &amp; PRODUCTIVITY'!I21/'2.2 LABOR INCOME &amp; PRODUCTIVITY'!#REF!-1)*100</f>
        <v>#N/A</v>
      </c>
      <c r="G33" s="366" t="e">
        <f>('2.2 LABOR INCOME &amp; PRODUCTIVITY'!J21/'2.2 LABOR INCOME &amp; PRODUCTIVITY'!I21-1)*100</f>
        <v>#N/A</v>
      </c>
      <c r="H33" s="366" t="e">
        <f>('2.2 LABOR INCOME &amp; PRODUCTIVITY'!K21/'2.2 LABOR INCOME &amp; PRODUCTIVITY'!J21-1)*100</f>
        <v>#N/A</v>
      </c>
      <c r="I33" s="366" t="e">
        <f>('2.2 LABOR INCOME &amp; PRODUCTIVITY'!L21/'2.2 LABOR INCOME &amp; PRODUCTIVITY'!K21-1)*100</f>
        <v>#N/A</v>
      </c>
      <c r="J33" s="366" t="e">
        <f>('2.2 LABOR INCOME &amp; PRODUCTIVITY'!M21/'2.2 LABOR INCOME &amp; PRODUCTIVITY'!L21-1)*100</f>
        <v>#N/A</v>
      </c>
      <c r="K33" s="366" t="e">
        <f>('2.2 LABOR INCOME &amp; PRODUCTIVITY'!N21/'2.2 LABOR INCOME &amp; PRODUCTIVITY'!M21-1)*100</f>
        <v>#N/A</v>
      </c>
      <c r="L33" s="366" t="e">
        <f>('2.2 LABOR INCOME &amp; PRODUCTIVITY'!O21/'2.2 LABOR INCOME &amp; PRODUCTIVITY'!N21-1)*100</f>
        <v>#N/A</v>
      </c>
      <c r="M33" s="366" t="e">
        <f>('2.2 LABOR INCOME &amp; PRODUCTIVITY'!P21/'2.2 LABOR INCOME &amp; PRODUCTIVITY'!O21-1)*100</f>
        <v>#N/A</v>
      </c>
      <c r="N33" s="366" t="e">
        <f>('2.2 LABOR INCOME &amp; PRODUCTIVITY'!Q21/'2.2 LABOR INCOME &amp; PRODUCTIVITY'!P21-1)*100</f>
        <v>#N/A</v>
      </c>
      <c r="O33" s="366" t="e">
        <f>('2.2 LABOR INCOME &amp; PRODUCTIVITY'!R21/'2.2 LABOR INCOME &amp; PRODUCTIVITY'!Q21-1)*100</f>
        <v>#N/A</v>
      </c>
      <c r="P33" s="366" t="e">
        <f>('2.2 LABOR INCOME &amp; PRODUCTIVITY'!S21/'2.2 LABOR INCOME &amp; PRODUCTIVITY'!R21-1)*100</f>
        <v>#N/A</v>
      </c>
      <c r="Q33" s="366" t="e">
        <f>('2.2 LABOR INCOME &amp; PRODUCTIVITY'!U21/'2.2 LABOR INCOME &amp; PRODUCTIVITY'!S21-1)*100</f>
        <v>#N/A</v>
      </c>
      <c r="R33" s="366" t="e">
        <f>('2.2 LABOR INCOME &amp; PRODUCTIVITY'!V21/'2.2 LABOR INCOME &amp; PRODUCTIVITY'!U21-1)*100</f>
        <v>#N/A</v>
      </c>
      <c r="S33" s="366" t="e">
        <f>('2.2 LABOR INCOME &amp; PRODUCTIVITY'!V21/'2.2 LABOR INCOME &amp; PRODUCTIVITY'!U21-1)*100</f>
        <v>#N/A</v>
      </c>
      <c r="T33" s="366" t="e">
        <f>('2.2 LABOR INCOME &amp; PRODUCTIVITY'!W21/'2.2 LABOR INCOME &amp; PRODUCTIVITY'!V21-1)*100</f>
        <v>#N/A</v>
      </c>
      <c r="U33" s="366" t="e">
        <f>('2.2 LABOR INCOME &amp; PRODUCTIVITY'!X21/'2.2 LABOR INCOME &amp; PRODUCTIVITY'!W21-1)*100</f>
        <v>#N/A</v>
      </c>
      <c r="V33" s="366" t="e">
        <f>('2.2 LABOR INCOME &amp; PRODUCTIVITY'!Y21/'2.2 LABOR INCOME &amp; PRODUCTIVITY'!X21-1)*100</f>
        <v>#N/A</v>
      </c>
      <c r="W33" s="366" t="e">
        <f>('2.2 LABOR INCOME &amp; PRODUCTIVITY'!Z21/'2.2 LABOR INCOME &amp; PRODUCTIVITY'!Y21-1)*100</f>
        <v>#N/A</v>
      </c>
      <c r="X33" s="366" t="e">
        <f>('2.2 LABOR INCOME &amp; PRODUCTIVITY'!AA21/'2.2 LABOR INCOME &amp; PRODUCTIVITY'!Z21-1)*100</f>
        <v>#N/A</v>
      </c>
      <c r="Y33" s="181">
        <f>'2.2 LABOR INCOME &amp; PRODUCTIVITY'!AB10*ELASTICITY!L$31</f>
        <v>0.570017257116054</v>
      </c>
      <c r="Z33" s="181">
        <f>'2.2 LABOR INCOME &amp; PRODUCTIVITY'!AC10*ELASTICITY!M$31</f>
        <v>0.53481838954110561</v>
      </c>
      <c r="AA33" s="181">
        <f>'2.2 LABOR INCOME &amp; PRODUCTIVITY'!AD10*ELASTICITY!N$31</f>
        <v>0.51539244604657886</v>
      </c>
      <c r="AB33" s="171"/>
      <c r="AC33" s="171"/>
      <c r="AD33" s="171"/>
      <c r="AE33" s="171"/>
      <c r="AF33" s="171"/>
      <c r="AG33" s="171"/>
      <c r="AH33" s="171"/>
      <c r="AI33" s="171"/>
      <c r="AJ33" s="171"/>
      <c r="AK33" s="171"/>
      <c r="AL33" s="171"/>
      <c r="AM33" s="171"/>
      <c r="AN33" s="171"/>
      <c r="AO33" s="171"/>
      <c r="AP33" s="171"/>
      <c r="AQ33" s="171"/>
      <c r="AR33" s="171"/>
    </row>
    <row r="34" spans="2:44" ht="15" customHeight="1" x14ac:dyDescent="0.2">
      <c r="B34" s="173"/>
      <c r="C34" s="174"/>
      <c r="E34" s="368" t="s">
        <v>497</v>
      </c>
      <c r="F34" s="366"/>
      <c r="G34" s="366"/>
      <c r="H34" s="366"/>
      <c r="I34" s="366"/>
      <c r="J34" s="366"/>
      <c r="K34" s="366"/>
      <c r="L34" s="366"/>
      <c r="M34" s="366"/>
      <c r="N34" s="366"/>
      <c r="O34" s="366"/>
      <c r="P34" s="366"/>
      <c r="Q34" s="366"/>
      <c r="R34" s="366"/>
      <c r="S34" s="366"/>
      <c r="T34" s="366"/>
      <c r="U34" s="366"/>
      <c r="V34" s="366"/>
      <c r="W34" s="366"/>
      <c r="X34" s="366"/>
      <c r="Y34" s="181"/>
      <c r="Z34" s="181"/>
      <c r="AA34" s="181"/>
      <c r="AB34" s="171"/>
      <c r="AC34" s="171"/>
      <c r="AD34" s="171"/>
      <c r="AE34" s="171"/>
      <c r="AF34" s="171"/>
      <c r="AG34" s="171"/>
      <c r="AH34" s="171"/>
      <c r="AI34" s="171"/>
      <c r="AJ34" s="171"/>
      <c r="AK34" s="171"/>
      <c r="AL34" s="171"/>
      <c r="AM34" s="171"/>
      <c r="AN34" s="171"/>
      <c r="AO34" s="171"/>
      <c r="AP34" s="171"/>
      <c r="AQ34" s="171"/>
      <c r="AR34" s="171"/>
    </row>
    <row r="35" spans="2:44" ht="15" customHeight="1" x14ac:dyDescent="0.2">
      <c r="B35" s="173"/>
      <c r="C35" s="174"/>
      <c r="E35" s="368" t="s">
        <v>498</v>
      </c>
      <c r="F35" s="366"/>
      <c r="G35" s="366"/>
      <c r="H35" s="366"/>
      <c r="I35" s="366"/>
      <c r="J35" s="366"/>
      <c r="K35" s="366"/>
      <c r="L35" s="366"/>
      <c r="M35" s="366"/>
      <c r="N35" s="366"/>
      <c r="O35" s="366"/>
      <c r="P35" s="366"/>
      <c r="Q35" s="366"/>
      <c r="R35" s="366"/>
      <c r="S35" s="366"/>
      <c r="T35" s="366"/>
      <c r="U35" s="366"/>
      <c r="V35" s="366"/>
      <c r="W35" s="366"/>
      <c r="X35" s="366"/>
      <c r="Y35" s="181"/>
      <c r="Z35" s="181"/>
      <c r="AA35" s="181"/>
      <c r="AB35" s="171"/>
      <c r="AC35" s="171"/>
      <c r="AD35" s="171"/>
      <c r="AE35" s="171"/>
      <c r="AF35" s="171"/>
      <c r="AG35" s="171"/>
      <c r="AH35" s="171"/>
      <c r="AI35" s="171"/>
      <c r="AJ35" s="171"/>
      <c r="AK35" s="171"/>
      <c r="AL35" s="171"/>
      <c r="AM35" s="171"/>
      <c r="AN35" s="171"/>
      <c r="AO35" s="171"/>
      <c r="AP35" s="171"/>
      <c r="AQ35" s="171"/>
      <c r="AR35" s="171"/>
    </row>
    <row r="36" spans="2:44" x14ac:dyDescent="0.2">
      <c r="B36" s="173"/>
      <c r="C36" s="174"/>
      <c r="E36" s="368" t="s">
        <v>510</v>
      </c>
      <c r="F36" s="366" t="e">
        <f>('2.2 LABOR INCOME &amp; PRODUCTIVITY'!I22/'2.2 LABOR INCOME &amp; PRODUCTIVITY'!#REF!-1)*100</f>
        <v>#N/A</v>
      </c>
      <c r="G36" s="366" t="e">
        <f>('2.2 LABOR INCOME &amp; PRODUCTIVITY'!J22/'2.2 LABOR INCOME &amp; PRODUCTIVITY'!I22-1)*100</f>
        <v>#N/A</v>
      </c>
      <c r="H36" s="366" t="e">
        <f>('2.2 LABOR INCOME &amp; PRODUCTIVITY'!K22/'2.2 LABOR INCOME &amp; PRODUCTIVITY'!J22-1)*100</f>
        <v>#N/A</v>
      </c>
      <c r="I36" s="366" t="e">
        <f>('2.2 LABOR INCOME &amp; PRODUCTIVITY'!L22/'2.2 LABOR INCOME &amp; PRODUCTIVITY'!K22-1)*100</f>
        <v>#N/A</v>
      </c>
      <c r="J36" s="366" t="e">
        <f>('2.2 LABOR INCOME &amp; PRODUCTIVITY'!M22/'2.2 LABOR INCOME &amp; PRODUCTIVITY'!L22-1)*100</f>
        <v>#N/A</v>
      </c>
      <c r="K36" s="366" t="e">
        <f>('2.2 LABOR INCOME &amp; PRODUCTIVITY'!N22/'2.2 LABOR INCOME &amp; PRODUCTIVITY'!M22-1)*100</f>
        <v>#N/A</v>
      </c>
      <c r="L36" s="366" t="e">
        <f>('2.2 LABOR INCOME &amp; PRODUCTIVITY'!O22/'2.2 LABOR INCOME &amp; PRODUCTIVITY'!N22-1)*100</f>
        <v>#N/A</v>
      </c>
      <c r="M36" s="366" t="e">
        <f>('2.2 LABOR INCOME &amp; PRODUCTIVITY'!P22/'2.2 LABOR INCOME &amp; PRODUCTIVITY'!O22-1)*100</f>
        <v>#N/A</v>
      </c>
      <c r="N36" s="366" t="e">
        <f>('2.2 LABOR INCOME &amp; PRODUCTIVITY'!Q22/'2.2 LABOR INCOME &amp; PRODUCTIVITY'!P22-1)*100</f>
        <v>#N/A</v>
      </c>
      <c r="O36" s="366" t="e">
        <f>('2.2 LABOR INCOME &amp; PRODUCTIVITY'!R22/'2.2 LABOR INCOME &amp; PRODUCTIVITY'!Q22-1)*100</f>
        <v>#N/A</v>
      </c>
      <c r="P36" s="366" t="e">
        <f>('2.2 LABOR INCOME &amp; PRODUCTIVITY'!S22/'2.2 LABOR INCOME &amp; PRODUCTIVITY'!R22-1)*100</f>
        <v>#N/A</v>
      </c>
      <c r="Q36" s="366" t="e">
        <f>('2.2 LABOR INCOME &amp; PRODUCTIVITY'!U22/'2.2 LABOR INCOME &amp; PRODUCTIVITY'!S22-1)*100</f>
        <v>#N/A</v>
      </c>
      <c r="R36" s="366" t="e">
        <f>('2.2 LABOR INCOME &amp; PRODUCTIVITY'!V22/'2.2 LABOR INCOME &amp; PRODUCTIVITY'!U22-1)*100</f>
        <v>#N/A</v>
      </c>
      <c r="S36" s="366" t="e">
        <f>('2.2 LABOR INCOME &amp; PRODUCTIVITY'!V22/'2.2 LABOR INCOME &amp; PRODUCTIVITY'!U22-1)*100</f>
        <v>#N/A</v>
      </c>
      <c r="T36" s="366" t="e">
        <f>('2.2 LABOR INCOME &amp; PRODUCTIVITY'!W22/'2.2 LABOR INCOME &amp; PRODUCTIVITY'!V22-1)*100</f>
        <v>#N/A</v>
      </c>
      <c r="U36" s="366" t="e">
        <f>('2.2 LABOR INCOME &amp; PRODUCTIVITY'!X22/'2.2 LABOR INCOME &amp; PRODUCTIVITY'!W22-1)*100</f>
        <v>#N/A</v>
      </c>
      <c r="V36" s="366" t="e">
        <f>('2.2 LABOR INCOME &amp; PRODUCTIVITY'!Y22/'2.2 LABOR INCOME &amp; PRODUCTIVITY'!X22-1)*100</f>
        <v>#N/A</v>
      </c>
      <c r="W36" s="366" t="e">
        <f>('2.2 LABOR INCOME &amp; PRODUCTIVITY'!Z22/'2.2 LABOR INCOME &amp; PRODUCTIVITY'!Y22-1)*100</f>
        <v>#N/A</v>
      </c>
      <c r="X36" s="366" t="e">
        <f>('2.2 LABOR INCOME &amp; PRODUCTIVITY'!AA22/'2.2 LABOR INCOME &amp; PRODUCTIVITY'!Z22-1)*100</f>
        <v>#N/A</v>
      </c>
      <c r="Y36" s="181">
        <f>'2.2 LABOR INCOME &amp; PRODUCTIVITY'!AB11*ELASTICITY!L$38</f>
        <v>1.5124899828330756</v>
      </c>
      <c r="Z36" s="181">
        <f>'2.2 LABOR INCOME &amp; PRODUCTIVITY'!AC11*ELASTICITY!M$38</f>
        <v>1.2412301327693218</v>
      </c>
      <c r="AA36" s="181">
        <f>'2.2 LABOR INCOME &amp; PRODUCTIVITY'!AD11*ELASTICITY!N$38</f>
        <v>0.98672700885789044</v>
      </c>
      <c r="AB36" s="171"/>
      <c r="AC36" s="171"/>
      <c r="AD36" s="171"/>
      <c r="AE36" s="171"/>
      <c r="AF36" s="171"/>
      <c r="AG36" s="171"/>
      <c r="AH36" s="171"/>
      <c r="AI36" s="171"/>
      <c r="AJ36" s="171"/>
      <c r="AK36" s="171"/>
      <c r="AL36" s="171"/>
      <c r="AM36" s="171"/>
      <c r="AN36" s="171"/>
      <c r="AO36" s="171"/>
      <c r="AP36" s="171"/>
      <c r="AQ36" s="171"/>
      <c r="AR36" s="171"/>
    </row>
    <row r="37" spans="2:44" x14ac:dyDescent="0.2">
      <c r="B37" s="173"/>
      <c r="C37" s="174"/>
      <c r="E37" s="368" t="s">
        <v>499</v>
      </c>
      <c r="F37" s="366" t="e">
        <f>('2.2 LABOR INCOME &amp; PRODUCTIVITY'!I23/'2.2 LABOR INCOME &amp; PRODUCTIVITY'!#REF!-1)*100</f>
        <v>#N/A</v>
      </c>
      <c r="G37" s="366" t="e">
        <f>('2.2 LABOR INCOME &amp; PRODUCTIVITY'!J23/'2.2 LABOR INCOME &amp; PRODUCTIVITY'!I23-1)*100</f>
        <v>#N/A</v>
      </c>
      <c r="H37" s="366" t="e">
        <f>('2.2 LABOR INCOME &amp; PRODUCTIVITY'!K23/'2.2 LABOR INCOME &amp; PRODUCTIVITY'!J23-1)*100</f>
        <v>#N/A</v>
      </c>
      <c r="I37" s="366" t="e">
        <f>('2.2 LABOR INCOME &amp; PRODUCTIVITY'!L23/'2.2 LABOR INCOME &amp; PRODUCTIVITY'!K23-1)*100</f>
        <v>#N/A</v>
      </c>
      <c r="J37" s="366" t="e">
        <f>('2.2 LABOR INCOME &amp; PRODUCTIVITY'!M23/'2.2 LABOR INCOME &amp; PRODUCTIVITY'!L23-1)*100</f>
        <v>#N/A</v>
      </c>
      <c r="K37" s="366" t="e">
        <f>('2.2 LABOR INCOME &amp; PRODUCTIVITY'!N23/'2.2 LABOR INCOME &amp; PRODUCTIVITY'!M23-1)*100</f>
        <v>#N/A</v>
      </c>
      <c r="L37" s="366" t="e">
        <f>('2.2 LABOR INCOME &amp; PRODUCTIVITY'!O23/'2.2 LABOR INCOME &amp; PRODUCTIVITY'!N23-1)*100</f>
        <v>#N/A</v>
      </c>
      <c r="M37" s="366" t="e">
        <f>('2.2 LABOR INCOME &amp; PRODUCTIVITY'!P23/'2.2 LABOR INCOME &amp; PRODUCTIVITY'!O23-1)*100</f>
        <v>#N/A</v>
      </c>
      <c r="N37" s="366" t="e">
        <f>('2.2 LABOR INCOME &amp; PRODUCTIVITY'!Q23/'2.2 LABOR INCOME &amp; PRODUCTIVITY'!P23-1)*100</f>
        <v>#N/A</v>
      </c>
      <c r="O37" s="366" t="e">
        <f>('2.2 LABOR INCOME &amp; PRODUCTIVITY'!R23/'2.2 LABOR INCOME &amp; PRODUCTIVITY'!Q23-1)*100</f>
        <v>#N/A</v>
      </c>
      <c r="P37" s="366" t="e">
        <f>('2.2 LABOR INCOME &amp; PRODUCTIVITY'!S23/'2.2 LABOR INCOME &amp; PRODUCTIVITY'!R23-1)*100</f>
        <v>#N/A</v>
      </c>
      <c r="Q37" s="366" t="e">
        <f>('2.2 LABOR INCOME &amp; PRODUCTIVITY'!U23/'2.2 LABOR INCOME &amp; PRODUCTIVITY'!S23-1)*100</f>
        <v>#N/A</v>
      </c>
      <c r="R37" s="366" t="e">
        <f>('2.2 LABOR INCOME &amp; PRODUCTIVITY'!V23/'2.2 LABOR INCOME &amp; PRODUCTIVITY'!U23-1)*100</f>
        <v>#N/A</v>
      </c>
      <c r="S37" s="366" t="e">
        <f>('2.2 LABOR INCOME &amp; PRODUCTIVITY'!V23/'2.2 LABOR INCOME &amp; PRODUCTIVITY'!U23-1)*100</f>
        <v>#N/A</v>
      </c>
      <c r="T37" s="366" t="e">
        <f>('2.2 LABOR INCOME &amp; PRODUCTIVITY'!W23/'2.2 LABOR INCOME &amp; PRODUCTIVITY'!V23-1)*100</f>
        <v>#N/A</v>
      </c>
      <c r="U37" s="366" t="e">
        <f>('2.2 LABOR INCOME &amp; PRODUCTIVITY'!X23/'2.2 LABOR INCOME &amp; PRODUCTIVITY'!W23-1)*100</f>
        <v>#N/A</v>
      </c>
      <c r="V37" s="366" t="e">
        <f>('2.2 LABOR INCOME &amp; PRODUCTIVITY'!Y23/'2.2 LABOR INCOME &amp; PRODUCTIVITY'!X23-1)*100</f>
        <v>#N/A</v>
      </c>
      <c r="W37" s="366" t="e">
        <f>('2.2 LABOR INCOME &amp; PRODUCTIVITY'!Z23/'2.2 LABOR INCOME &amp; PRODUCTIVITY'!Y23-1)*100</f>
        <v>#N/A</v>
      </c>
      <c r="X37" s="366" t="e">
        <f>('2.2 LABOR INCOME &amp; PRODUCTIVITY'!AA23/'2.2 LABOR INCOME &amp; PRODUCTIVITY'!Z23-1)*100</f>
        <v>#N/A</v>
      </c>
      <c r="Y37" s="181">
        <f>'2.2 LABOR INCOME &amp; PRODUCTIVITY'!AB11*ELASTICITY!L$39</f>
        <v>1.5124899828330756</v>
      </c>
      <c r="Z37" s="181">
        <f>'2.2 LABOR INCOME &amp; PRODUCTIVITY'!AC11*ELASTICITY!M$39</f>
        <v>1.2412301327693218</v>
      </c>
      <c r="AA37" s="181">
        <f>'2.2 LABOR INCOME &amp; PRODUCTIVITY'!AD11*ELASTICITY!N$39</f>
        <v>0.98672700885789044</v>
      </c>
      <c r="AB37" s="171"/>
      <c r="AC37" s="171"/>
      <c r="AD37" s="171"/>
      <c r="AE37" s="171"/>
      <c r="AF37" s="171"/>
      <c r="AG37" s="171"/>
      <c r="AH37" s="171"/>
      <c r="AI37" s="171"/>
      <c r="AJ37" s="171"/>
      <c r="AK37" s="171"/>
      <c r="AL37" s="171"/>
      <c r="AM37" s="171"/>
      <c r="AN37" s="171"/>
      <c r="AO37" s="171"/>
      <c r="AP37" s="171"/>
      <c r="AQ37" s="171"/>
      <c r="AR37" s="171"/>
    </row>
    <row r="38" spans="2:44" x14ac:dyDescent="0.2">
      <c r="B38" s="173"/>
      <c r="C38" s="174"/>
      <c r="E38" s="368" t="s">
        <v>501</v>
      </c>
      <c r="F38" s="366"/>
      <c r="G38" s="366"/>
      <c r="H38" s="366"/>
      <c r="I38" s="366"/>
      <c r="J38" s="366"/>
      <c r="K38" s="366"/>
      <c r="L38" s="366"/>
      <c r="M38" s="366"/>
      <c r="N38" s="366"/>
      <c r="O38" s="366"/>
      <c r="P38" s="366"/>
      <c r="Q38" s="366"/>
      <c r="R38" s="366"/>
      <c r="S38" s="366"/>
      <c r="T38" s="366"/>
      <c r="U38" s="366"/>
      <c r="V38" s="366"/>
      <c r="W38" s="366"/>
      <c r="X38" s="366"/>
      <c r="Y38" s="181"/>
      <c r="Z38" s="181"/>
      <c r="AA38" s="181"/>
      <c r="AB38" s="171"/>
      <c r="AC38" s="171"/>
      <c r="AD38" s="171"/>
      <c r="AE38" s="171"/>
      <c r="AF38" s="171"/>
      <c r="AG38" s="171"/>
      <c r="AH38" s="171"/>
      <c r="AI38" s="171"/>
      <c r="AJ38" s="171"/>
      <c r="AK38" s="171"/>
      <c r="AL38" s="171"/>
      <c r="AM38" s="171"/>
      <c r="AN38" s="171"/>
      <c r="AO38" s="171"/>
      <c r="AP38" s="171"/>
      <c r="AQ38" s="171"/>
      <c r="AR38" s="171"/>
    </row>
    <row r="39" spans="2:44" x14ac:dyDescent="0.2">
      <c r="B39" s="173"/>
      <c r="C39" s="174"/>
      <c r="E39" s="368" t="s">
        <v>502</v>
      </c>
      <c r="F39" s="366"/>
      <c r="G39" s="366"/>
      <c r="H39" s="366"/>
      <c r="I39" s="366"/>
      <c r="J39" s="366"/>
      <c r="K39" s="366"/>
      <c r="L39" s="366"/>
      <c r="M39" s="366"/>
      <c r="N39" s="366"/>
      <c r="O39" s="366"/>
      <c r="P39" s="366"/>
      <c r="Q39" s="366"/>
      <c r="R39" s="366"/>
      <c r="S39" s="366"/>
      <c r="T39" s="366"/>
      <c r="U39" s="366"/>
      <c r="V39" s="366"/>
      <c r="W39" s="366"/>
      <c r="X39" s="366"/>
      <c r="Y39" s="181"/>
      <c r="Z39" s="181"/>
      <c r="AA39" s="181"/>
      <c r="AB39" s="171"/>
      <c r="AC39" s="171"/>
      <c r="AD39" s="171"/>
      <c r="AE39" s="171"/>
      <c r="AF39" s="171"/>
      <c r="AG39" s="171"/>
      <c r="AH39" s="171"/>
      <c r="AI39" s="171"/>
      <c r="AJ39" s="171"/>
      <c r="AK39" s="171"/>
      <c r="AL39" s="171"/>
      <c r="AM39" s="171"/>
      <c r="AN39" s="171"/>
      <c r="AO39" s="171"/>
      <c r="AP39" s="171"/>
      <c r="AQ39" s="171"/>
      <c r="AR39" s="171"/>
    </row>
    <row r="40" spans="2:44" x14ac:dyDescent="0.2">
      <c r="B40" s="173"/>
      <c r="C40" s="174"/>
      <c r="E40" s="368" t="s">
        <v>503</v>
      </c>
      <c r="F40" s="366"/>
      <c r="G40" s="366"/>
      <c r="H40" s="366"/>
      <c r="I40" s="366"/>
      <c r="J40" s="366"/>
      <c r="K40" s="366"/>
      <c r="L40" s="366"/>
      <c r="M40" s="366"/>
      <c r="N40" s="366"/>
      <c r="O40" s="366"/>
      <c r="P40" s="366"/>
      <c r="Q40" s="366"/>
      <c r="R40" s="366"/>
      <c r="S40" s="366"/>
      <c r="T40" s="366"/>
      <c r="U40" s="366"/>
      <c r="V40" s="366"/>
      <c r="W40" s="366"/>
      <c r="X40" s="366"/>
      <c r="Y40" s="181"/>
      <c r="Z40" s="181"/>
      <c r="AA40" s="181"/>
      <c r="AB40" s="171"/>
      <c r="AC40" s="171"/>
      <c r="AD40" s="171"/>
      <c r="AE40" s="171"/>
      <c r="AF40" s="171"/>
      <c r="AG40" s="171"/>
      <c r="AH40" s="171"/>
      <c r="AI40" s="171"/>
      <c r="AJ40" s="171"/>
      <c r="AK40" s="171"/>
      <c r="AL40" s="171"/>
      <c r="AM40" s="171"/>
      <c r="AN40" s="171"/>
      <c r="AO40" s="171"/>
      <c r="AP40" s="171"/>
      <c r="AQ40" s="171"/>
      <c r="AR40" s="171"/>
    </row>
    <row r="41" spans="2:44" x14ac:dyDescent="0.2">
      <c r="B41" s="171"/>
      <c r="C41" s="171"/>
      <c r="E41" s="368" t="s">
        <v>504</v>
      </c>
      <c r="F41" s="366" t="e">
        <f>('2.2 LABOR INCOME &amp; PRODUCTIVITY'!I24/'2.2 LABOR INCOME &amp; PRODUCTIVITY'!#REF!-1)*100</f>
        <v>#N/A</v>
      </c>
      <c r="G41" s="366" t="e">
        <f>('2.2 LABOR INCOME &amp; PRODUCTIVITY'!J24/'2.2 LABOR INCOME &amp; PRODUCTIVITY'!I24-1)*100</f>
        <v>#N/A</v>
      </c>
      <c r="H41" s="366" t="e">
        <f>('2.2 LABOR INCOME &amp; PRODUCTIVITY'!K24/'2.2 LABOR INCOME &amp; PRODUCTIVITY'!J24-1)*100</f>
        <v>#N/A</v>
      </c>
      <c r="I41" s="366" t="e">
        <f>('2.2 LABOR INCOME &amp; PRODUCTIVITY'!L24/'2.2 LABOR INCOME &amp; PRODUCTIVITY'!K24-1)*100</f>
        <v>#N/A</v>
      </c>
      <c r="J41" s="366" t="e">
        <f>('2.2 LABOR INCOME &amp; PRODUCTIVITY'!M24/'2.2 LABOR INCOME &amp; PRODUCTIVITY'!L24-1)*100</f>
        <v>#N/A</v>
      </c>
      <c r="K41" s="366" t="e">
        <f>('2.2 LABOR INCOME &amp; PRODUCTIVITY'!N24/'2.2 LABOR INCOME &amp; PRODUCTIVITY'!M24-1)*100</f>
        <v>#N/A</v>
      </c>
      <c r="L41" s="366" t="e">
        <f>('2.2 LABOR INCOME &amp; PRODUCTIVITY'!O24/'2.2 LABOR INCOME &amp; PRODUCTIVITY'!N24-1)*100</f>
        <v>#N/A</v>
      </c>
      <c r="M41" s="366" t="e">
        <f>('2.2 LABOR INCOME &amp; PRODUCTIVITY'!P24/'2.2 LABOR INCOME &amp; PRODUCTIVITY'!O24-1)*100</f>
        <v>#N/A</v>
      </c>
      <c r="N41" s="366" t="e">
        <f>('2.2 LABOR INCOME &amp; PRODUCTIVITY'!Q24/'2.2 LABOR INCOME &amp; PRODUCTIVITY'!P24-1)*100</f>
        <v>#N/A</v>
      </c>
      <c r="O41" s="366" t="e">
        <f>('2.2 LABOR INCOME &amp; PRODUCTIVITY'!R24/'2.2 LABOR INCOME &amp; PRODUCTIVITY'!Q24-1)*100</f>
        <v>#N/A</v>
      </c>
      <c r="P41" s="366" t="e">
        <f>('2.2 LABOR INCOME &amp; PRODUCTIVITY'!S24/'2.2 LABOR INCOME &amp; PRODUCTIVITY'!R24-1)*100</f>
        <v>#N/A</v>
      </c>
      <c r="Q41" s="366" t="e">
        <f>('2.2 LABOR INCOME &amp; PRODUCTIVITY'!U24/'2.2 LABOR INCOME &amp; PRODUCTIVITY'!S24-1)*100</f>
        <v>#N/A</v>
      </c>
      <c r="R41" s="366" t="e">
        <f>('2.2 LABOR INCOME &amp; PRODUCTIVITY'!V24/'2.2 LABOR INCOME &amp; PRODUCTIVITY'!U24-1)*100</f>
        <v>#N/A</v>
      </c>
      <c r="S41" s="366" t="e">
        <f>('2.2 LABOR INCOME &amp; PRODUCTIVITY'!V24/'2.2 LABOR INCOME &amp; PRODUCTIVITY'!U24-1)*100</f>
        <v>#N/A</v>
      </c>
      <c r="T41" s="366" t="e">
        <f>('2.2 LABOR INCOME &amp; PRODUCTIVITY'!W24/'2.2 LABOR INCOME &amp; PRODUCTIVITY'!V24-1)*100</f>
        <v>#N/A</v>
      </c>
      <c r="U41" s="366" t="e">
        <f>('2.2 LABOR INCOME &amp; PRODUCTIVITY'!X24/'2.2 LABOR INCOME &amp; PRODUCTIVITY'!W24-1)*100</f>
        <v>#N/A</v>
      </c>
      <c r="V41" s="366" t="e">
        <f>('2.2 LABOR INCOME &amp; PRODUCTIVITY'!Y24/'2.2 LABOR INCOME &amp; PRODUCTIVITY'!X24-1)*100</f>
        <v>#N/A</v>
      </c>
      <c r="W41" s="366" t="e">
        <f>('2.2 LABOR INCOME &amp; PRODUCTIVITY'!Z24/'2.2 LABOR INCOME &amp; PRODUCTIVITY'!Y24-1)*100</f>
        <v>#N/A</v>
      </c>
      <c r="X41" s="366" t="e">
        <f>('2.2 LABOR INCOME &amp; PRODUCTIVITY'!AA24/'2.2 LABOR INCOME &amp; PRODUCTIVITY'!Z24-1)*100</f>
        <v>#N/A</v>
      </c>
      <c r="Y41" s="181" t="e">
        <f>'2.2 LABOR INCOME &amp; PRODUCTIVITY'!AB12*ELASTICITY!L$40</f>
        <v>#DIV/0!</v>
      </c>
      <c r="Z41" s="181" t="e">
        <f>'2.2 LABOR INCOME &amp; PRODUCTIVITY'!AC12*ELASTICITY!M$40</f>
        <v>#DIV/0!</v>
      </c>
      <c r="AA41" s="181" t="e">
        <f>'2.2 LABOR INCOME &amp; PRODUCTIVITY'!AD12*ELASTICITY!N$40</f>
        <v>#DIV/0!</v>
      </c>
      <c r="AB41" s="171"/>
      <c r="AC41" s="171"/>
      <c r="AD41" s="171"/>
      <c r="AE41" s="171"/>
      <c r="AF41" s="171"/>
      <c r="AG41" s="171"/>
      <c r="AH41" s="171"/>
      <c r="AI41" s="171"/>
      <c r="AJ41" s="171"/>
      <c r="AK41" s="171"/>
      <c r="AL41" s="171"/>
      <c r="AM41" s="171"/>
      <c r="AN41" s="171"/>
      <c r="AO41" s="171"/>
      <c r="AP41" s="171"/>
      <c r="AQ41" s="171"/>
      <c r="AR41" s="171"/>
    </row>
    <row r="42" spans="2:44" x14ac:dyDescent="0.2">
      <c r="B42" s="171"/>
      <c r="C42" s="171"/>
      <c r="E42" s="368" t="s">
        <v>505</v>
      </c>
      <c r="F42" s="366" t="e">
        <f>('2.2 LABOR INCOME &amp; PRODUCTIVITY'!I25/'2.2 LABOR INCOME &amp; PRODUCTIVITY'!#REF!-1)*100</f>
        <v>#N/A</v>
      </c>
      <c r="G42" s="366" t="e">
        <f>('2.2 LABOR INCOME &amp; PRODUCTIVITY'!J25/'2.2 LABOR INCOME &amp; PRODUCTIVITY'!I25-1)*100</f>
        <v>#N/A</v>
      </c>
      <c r="H42" s="366" t="e">
        <f>('2.2 LABOR INCOME &amp; PRODUCTIVITY'!K25/'2.2 LABOR INCOME &amp; PRODUCTIVITY'!J25-1)*100</f>
        <v>#N/A</v>
      </c>
      <c r="I42" s="366" t="e">
        <f>('2.2 LABOR INCOME &amp; PRODUCTIVITY'!L25/'2.2 LABOR INCOME &amp; PRODUCTIVITY'!K25-1)*100</f>
        <v>#N/A</v>
      </c>
      <c r="J42" s="366" t="e">
        <f>('2.2 LABOR INCOME &amp; PRODUCTIVITY'!M25/'2.2 LABOR INCOME &amp; PRODUCTIVITY'!L25-1)*100</f>
        <v>#N/A</v>
      </c>
      <c r="K42" s="366" t="e">
        <f>('2.2 LABOR INCOME &amp; PRODUCTIVITY'!N25/'2.2 LABOR INCOME &amp; PRODUCTIVITY'!M25-1)*100</f>
        <v>#N/A</v>
      </c>
      <c r="L42" s="366" t="e">
        <f>('2.2 LABOR INCOME &amp; PRODUCTIVITY'!O25/'2.2 LABOR INCOME &amp; PRODUCTIVITY'!N25-1)*100</f>
        <v>#N/A</v>
      </c>
      <c r="M42" s="366" t="e">
        <f>('2.2 LABOR INCOME &amp; PRODUCTIVITY'!P25/'2.2 LABOR INCOME &amp; PRODUCTIVITY'!O25-1)*100</f>
        <v>#N/A</v>
      </c>
      <c r="N42" s="366" t="e">
        <f>('2.2 LABOR INCOME &amp; PRODUCTIVITY'!Q25/'2.2 LABOR INCOME &amp; PRODUCTIVITY'!P25-1)*100</f>
        <v>#N/A</v>
      </c>
      <c r="O42" s="366" t="e">
        <f>('2.2 LABOR INCOME &amp; PRODUCTIVITY'!R25/'2.2 LABOR INCOME &amp; PRODUCTIVITY'!Q25-1)*100</f>
        <v>#N/A</v>
      </c>
      <c r="P42" s="366" t="e">
        <f>('2.2 LABOR INCOME &amp; PRODUCTIVITY'!S25/'2.2 LABOR INCOME &amp; PRODUCTIVITY'!R25-1)*100</f>
        <v>#N/A</v>
      </c>
      <c r="Q42" s="366" t="e">
        <f>('2.2 LABOR INCOME &amp; PRODUCTIVITY'!U25/'2.2 LABOR INCOME &amp; PRODUCTIVITY'!S25-1)*100</f>
        <v>#N/A</v>
      </c>
      <c r="R42" s="366" t="e">
        <f>('2.2 LABOR INCOME &amp; PRODUCTIVITY'!V25/'2.2 LABOR INCOME &amp; PRODUCTIVITY'!U25-1)*100</f>
        <v>#N/A</v>
      </c>
      <c r="S42" s="366" t="e">
        <f>('2.2 LABOR INCOME &amp; PRODUCTIVITY'!V25/'2.2 LABOR INCOME &amp; PRODUCTIVITY'!U25-1)*100</f>
        <v>#N/A</v>
      </c>
      <c r="T42" s="366" t="e">
        <f>('2.2 LABOR INCOME &amp; PRODUCTIVITY'!W25/'2.2 LABOR INCOME &amp; PRODUCTIVITY'!V25-1)*100</f>
        <v>#N/A</v>
      </c>
      <c r="U42" s="366" t="e">
        <f>('2.2 LABOR INCOME &amp; PRODUCTIVITY'!X25/'2.2 LABOR INCOME &amp; PRODUCTIVITY'!W25-1)*100</f>
        <v>#N/A</v>
      </c>
      <c r="V42" s="366" t="e">
        <f>('2.2 LABOR INCOME &amp; PRODUCTIVITY'!Y25/'2.2 LABOR INCOME &amp; PRODUCTIVITY'!X25-1)*100</f>
        <v>#N/A</v>
      </c>
      <c r="W42" s="366" t="e">
        <f>('2.2 LABOR INCOME &amp; PRODUCTIVITY'!Z25/'2.2 LABOR INCOME &amp; PRODUCTIVITY'!Y25-1)*100</f>
        <v>#N/A</v>
      </c>
      <c r="X42" s="366" t="e">
        <f>('2.2 LABOR INCOME &amp; PRODUCTIVITY'!AA25/'2.2 LABOR INCOME &amp; PRODUCTIVITY'!Z25-1)*100</f>
        <v>#N/A</v>
      </c>
      <c r="Y42" s="181" t="e">
        <f>'2.2 LABOR INCOME &amp; PRODUCTIVITY'!AB12*ELASTICITY!L$41</f>
        <v>#DIV/0!</v>
      </c>
      <c r="Z42" s="181" t="e">
        <f>'2.2 LABOR INCOME &amp; PRODUCTIVITY'!AC12*ELASTICITY!M$41</f>
        <v>#DIV/0!</v>
      </c>
      <c r="AA42" s="181" t="e">
        <f>'2.2 LABOR INCOME &amp; PRODUCTIVITY'!AD12*ELASTICITY!N$41</f>
        <v>#DIV/0!</v>
      </c>
      <c r="AB42" s="171"/>
      <c r="AC42" s="171"/>
      <c r="AD42" s="171"/>
      <c r="AE42" s="171"/>
      <c r="AF42" s="171"/>
      <c r="AG42" s="171"/>
      <c r="AH42" s="171"/>
      <c r="AI42" s="171"/>
      <c r="AJ42" s="171"/>
      <c r="AK42" s="171"/>
      <c r="AL42" s="171"/>
      <c r="AM42" s="171"/>
      <c r="AN42" s="171"/>
      <c r="AO42" s="171"/>
      <c r="AP42" s="171"/>
      <c r="AQ42" s="171"/>
      <c r="AR42" s="171"/>
    </row>
    <row r="43" spans="2:44" x14ac:dyDescent="0.2">
      <c r="B43" s="171"/>
      <c r="C43" s="171"/>
      <c r="E43" s="373" t="s">
        <v>506</v>
      </c>
      <c r="F43" s="366" t="e">
        <f>('2.2 LABOR INCOME &amp; PRODUCTIVITY'!I26/'2.2 LABOR INCOME &amp; PRODUCTIVITY'!#REF!-1)*100</f>
        <v>#N/A</v>
      </c>
      <c r="G43" s="366" t="e">
        <f>('2.2 LABOR INCOME &amp; PRODUCTIVITY'!J26/'2.2 LABOR INCOME &amp; PRODUCTIVITY'!I26-1)*100</f>
        <v>#N/A</v>
      </c>
      <c r="H43" s="366" t="e">
        <f>('2.2 LABOR INCOME &amp; PRODUCTIVITY'!K26/'2.2 LABOR INCOME &amp; PRODUCTIVITY'!J26-1)*100</f>
        <v>#N/A</v>
      </c>
      <c r="I43" s="366" t="e">
        <f>('2.2 LABOR INCOME &amp; PRODUCTIVITY'!L26/'2.2 LABOR INCOME &amp; PRODUCTIVITY'!K26-1)*100</f>
        <v>#N/A</v>
      </c>
      <c r="J43" s="366" t="e">
        <f>('2.2 LABOR INCOME &amp; PRODUCTIVITY'!M26/'2.2 LABOR INCOME &amp; PRODUCTIVITY'!L26-1)*100</f>
        <v>#N/A</v>
      </c>
      <c r="K43" s="366" t="e">
        <f>('2.2 LABOR INCOME &amp; PRODUCTIVITY'!N26/'2.2 LABOR INCOME &amp; PRODUCTIVITY'!M26-1)*100</f>
        <v>#N/A</v>
      </c>
      <c r="L43" s="366" t="e">
        <f>('2.2 LABOR INCOME &amp; PRODUCTIVITY'!O26/'2.2 LABOR INCOME &amp; PRODUCTIVITY'!N26-1)*100</f>
        <v>#N/A</v>
      </c>
      <c r="M43" s="366" t="e">
        <f>('2.2 LABOR INCOME &amp; PRODUCTIVITY'!P26/'2.2 LABOR INCOME &amp; PRODUCTIVITY'!O26-1)*100</f>
        <v>#N/A</v>
      </c>
      <c r="N43" s="366" t="e">
        <f>('2.2 LABOR INCOME &amp; PRODUCTIVITY'!Q26/'2.2 LABOR INCOME &amp; PRODUCTIVITY'!P26-1)*100</f>
        <v>#N/A</v>
      </c>
      <c r="O43" s="366" t="e">
        <f>('2.2 LABOR INCOME &amp; PRODUCTIVITY'!R26/'2.2 LABOR INCOME &amp; PRODUCTIVITY'!Q26-1)*100</f>
        <v>#N/A</v>
      </c>
      <c r="P43" s="366" t="e">
        <f>('2.2 LABOR INCOME &amp; PRODUCTIVITY'!S26/'2.2 LABOR INCOME &amp; PRODUCTIVITY'!R26-1)*100</f>
        <v>#N/A</v>
      </c>
      <c r="Q43" s="366" t="e">
        <f>('2.2 LABOR INCOME &amp; PRODUCTIVITY'!U26/'2.2 LABOR INCOME &amp; PRODUCTIVITY'!S26-1)*100</f>
        <v>#N/A</v>
      </c>
      <c r="R43" s="366" t="e">
        <f>('2.2 LABOR INCOME &amp; PRODUCTIVITY'!V26/'2.2 LABOR INCOME &amp; PRODUCTIVITY'!U26-1)*100</f>
        <v>#N/A</v>
      </c>
      <c r="S43" s="367" t="e">
        <f>('2.2 LABOR INCOME &amp; PRODUCTIVITY'!V26/'2.2 LABOR INCOME &amp; PRODUCTIVITY'!U26-1)*100</f>
        <v>#N/A</v>
      </c>
      <c r="T43" s="367" t="e">
        <f>('2.2 LABOR INCOME &amp; PRODUCTIVITY'!W26/'2.2 LABOR INCOME &amp; PRODUCTIVITY'!V26-1)*100</f>
        <v>#N/A</v>
      </c>
      <c r="U43" s="367" t="e">
        <f>('2.2 LABOR INCOME &amp; PRODUCTIVITY'!X26/'2.2 LABOR INCOME &amp; PRODUCTIVITY'!W26-1)*100</f>
        <v>#N/A</v>
      </c>
      <c r="V43" s="367" t="e">
        <f>('2.2 LABOR INCOME &amp; PRODUCTIVITY'!Y26/'2.2 LABOR INCOME &amp; PRODUCTIVITY'!X26-1)*100</f>
        <v>#N/A</v>
      </c>
      <c r="W43" s="367" t="e">
        <f>('2.2 LABOR INCOME &amp; PRODUCTIVITY'!Z26/'2.2 LABOR INCOME &amp; PRODUCTIVITY'!Y26-1)*100</f>
        <v>#N/A</v>
      </c>
      <c r="X43" s="367" t="e">
        <f>('2.2 LABOR INCOME &amp; PRODUCTIVITY'!AA26/'2.2 LABOR INCOME &amp; PRODUCTIVITY'!Z26-1)*100</f>
        <v>#N/A</v>
      </c>
      <c r="Y43" s="180" t="e">
        <f>('2.2 LABOR INCOME &amp; PRODUCTIVITY'!AB26/'2.2 LABOR INCOME &amp; PRODUCTIVITY'!AA26-1)*100</f>
        <v>#N/A</v>
      </c>
      <c r="Z43" s="180" t="e">
        <f>('2.2 LABOR INCOME &amp; PRODUCTIVITY'!AC26/'2.2 LABOR INCOME &amp; PRODUCTIVITY'!AB26-1)*100</f>
        <v>#N/A</v>
      </c>
      <c r="AA43" s="180" t="e">
        <f>('2.2 LABOR INCOME &amp; PRODUCTIVITY'!AD26/'2.2 LABOR INCOME &amp; PRODUCTIVITY'!AC26-1)*100</f>
        <v>#N/A</v>
      </c>
      <c r="AB43" s="171"/>
      <c r="AC43" s="171"/>
      <c r="AD43" s="171"/>
      <c r="AE43" s="171"/>
      <c r="AF43" s="171"/>
      <c r="AG43" s="171"/>
      <c r="AH43" s="171"/>
      <c r="AI43" s="171"/>
      <c r="AJ43" s="171"/>
      <c r="AK43" s="171"/>
      <c r="AL43" s="171"/>
      <c r="AM43" s="171"/>
      <c r="AN43" s="171"/>
      <c r="AO43" s="171"/>
      <c r="AP43" s="171"/>
      <c r="AQ43" s="171"/>
      <c r="AR43" s="171"/>
    </row>
    <row r="44" spans="2:44" x14ac:dyDescent="0.2">
      <c r="B44" s="171"/>
      <c r="C44" s="171"/>
      <c r="E44" s="373" t="s">
        <v>209</v>
      </c>
      <c r="F44" s="366" t="e">
        <f>('2.2 LABOR INCOME &amp; PRODUCTIVITY'!I27/'2.2 LABOR INCOME &amp; PRODUCTIVITY'!#REF!-1)*100</f>
        <v>#N/A</v>
      </c>
      <c r="G44" s="366" t="e">
        <f>('2.2 LABOR INCOME &amp; PRODUCTIVITY'!J27/'2.2 LABOR INCOME &amp; PRODUCTIVITY'!I27-1)*100</f>
        <v>#N/A</v>
      </c>
      <c r="H44" s="366" t="e">
        <f>('2.2 LABOR INCOME &amp; PRODUCTIVITY'!K27/'2.2 LABOR INCOME &amp; PRODUCTIVITY'!J27-1)*100</f>
        <v>#N/A</v>
      </c>
      <c r="I44" s="366" t="e">
        <f>('2.2 LABOR INCOME &amp; PRODUCTIVITY'!L27/'2.2 LABOR INCOME &amp; PRODUCTIVITY'!K27-1)*100</f>
        <v>#N/A</v>
      </c>
      <c r="J44" s="366" t="e">
        <f>('2.2 LABOR INCOME &amp; PRODUCTIVITY'!M27/'2.2 LABOR INCOME &amp; PRODUCTIVITY'!L27-1)*100</f>
        <v>#N/A</v>
      </c>
      <c r="K44" s="366" t="e">
        <f>('2.2 LABOR INCOME &amp; PRODUCTIVITY'!N27/'2.2 LABOR INCOME &amp; PRODUCTIVITY'!M27-1)*100</f>
        <v>#N/A</v>
      </c>
      <c r="L44" s="366" t="e">
        <f>('2.2 LABOR INCOME &amp; PRODUCTIVITY'!O27/'2.2 LABOR INCOME &amp; PRODUCTIVITY'!N27-1)*100</f>
        <v>#N/A</v>
      </c>
      <c r="M44" s="366" t="e">
        <f>('2.2 LABOR INCOME &amp; PRODUCTIVITY'!P27/'2.2 LABOR INCOME &amp; PRODUCTIVITY'!O27-1)*100</f>
        <v>#N/A</v>
      </c>
      <c r="N44" s="366" t="e">
        <f>('2.2 LABOR INCOME &amp; PRODUCTIVITY'!Q27/'2.2 LABOR INCOME &amp; PRODUCTIVITY'!P27-1)*100</f>
        <v>#N/A</v>
      </c>
      <c r="O44" s="366" t="e">
        <f>('2.2 LABOR INCOME &amp; PRODUCTIVITY'!R27/'2.2 LABOR INCOME &amp; PRODUCTIVITY'!Q27-1)*100</f>
        <v>#N/A</v>
      </c>
      <c r="P44" s="366" t="e">
        <f>('2.2 LABOR INCOME &amp; PRODUCTIVITY'!S27/'2.2 LABOR INCOME &amp; PRODUCTIVITY'!R27-1)*100</f>
        <v>#N/A</v>
      </c>
      <c r="Q44" s="366" t="e">
        <f>('2.2 LABOR INCOME &amp; PRODUCTIVITY'!U27/'2.2 LABOR INCOME &amp; PRODUCTIVITY'!S27-1)*100</f>
        <v>#N/A</v>
      </c>
      <c r="R44" s="366" t="e">
        <f>('2.2 LABOR INCOME &amp; PRODUCTIVITY'!V27/'2.2 LABOR INCOME &amp; PRODUCTIVITY'!U27-1)*100</f>
        <v>#N/A</v>
      </c>
      <c r="S44" s="367" t="e">
        <f>('2.2 LABOR INCOME &amp; PRODUCTIVITY'!V27/'2.2 LABOR INCOME &amp; PRODUCTIVITY'!U27-1)*100</f>
        <v>#N/A</v>
      </c>
      <c r="T44" s="367" t="e">
        <f>('2.2 LABOR INCOME &amp; PRODUCTIVITY'!W27/'2.2 LABOR INCOME &amp; PRODUCTIVITY'!V27-1)*100</f>
        <v>#N/A</v>
      </c>
      <c r="U44" s="367" t="e">
        <f>('2.2 LABOR INCOME &amp; PRODUCTIVITY'!X27/'2.2 LABOR INCOME &amp; PRODUCTIVITY'!W27-1)*100</f>
        <v>#N/A</v>
      </c>
      <c r="V44" s="367" t="e">
        <f>('2.2 LABOR INCOME &amp; PRODUCTIVITY'!Y27/'2.2 LABOR INCOME &amp; PRODUCTIVITY'!X27-1)*100</f>
        <v>#N/A</v>
      </c>
      <c r="W44" s="367" t="e">
        <f>('2.2 LABOR INCOME &amp; PRODUCTIVITY'!Z27/'2.2 LABOR INCOME &amp; PRODUCTIVITY'!Y27-1)*100</f>
        <v>#N/A</v>
      </c>
      <c r="X44" s="367" t="e">
        <f>('2.2 LABOR INCOME &amp; PRODUCTIVITY'!AA27/'2.2 LABOR INCOME &amp; PRODUCTIVITY'!Z27-1)*100</f>
        <v>#N/A</v>
      </c>
      <c r="Y44" s="180" t="e">
        <f>('2.2 LABOR INCOME &amp; PRODUCTIVITY'!AB27/'2.2 LABOR INCOME &amp; PRODUCTIVITY'!AA27-1)*100</f>
        <v>#N/A</v>
      </c>
      <c r="Z44" s="180" t="e">
        <f>('2.2 LABOR INCOME &amp; PRODUCTIVITY'!AC27/'2.2 LABOR INCOME &amp; PRODUCTIVITY'!AB27-1)*100</f>
        <v>#N/A</v>
      </c>
      <c r="AA44" s="180" t="e">
        <f>('2.2 LABOR INCOME &amp; PRODUCTIVITY'!AD27/'2.2 LABOR INCOME &amp; PRODUCTIVITY'!AC27-1)*100</f>
        <v>#N/A</v>
      </c>
      <c r="AB44" s="171"/>
      <c r="AC44" s="171"/>
      <c r="AD44" s="171"/>
      <c r="AE44" s="171"/>
      <c r="AF44" s="171"/>
      <c r="AG44" s="171"/>
      <c r="AH44" s="171"/>
      <c r="AI44" s="171"/>
      <c r="AJ44" s="171"/>
      <c r="AK44" s="171"/>
      <c r="AL44" s="171"/>
      <c r="AM44" s="171"/>
      <c r="AN44" s="171"/>
      <c r="AO44" s="171"/>
      <c r="AP44" s="171"/>
      <c r="AQ44" s="171"/>
      <c r="AR44" s="171"/>
    </row>
    <row r="45" spans="2:44" x14ac:dyDescent="0.2">
      <c r="B45" s="171"/>
      <c r="C45" s="171"/>
      <c r="E45" s="374" t="s">
        <v>210</v>
      </c>
      <c r="F45" s="370" t="e">
        <f>('2.2 LABOR INCOME &amp; PRODUCTIVITY'!I28/'2.2 LABOR INCOME &amp; PRODUCTIVITY'!#REF!-1)*100</f>
        <v>#N/A</v>
      </c>
      <c r="G45" s="370" t="e">
        <f>('2.2 LABOR INCOME &amp; PRODUCTIVITY'!J28/'2.2 LABOR INCOME &amp; PRODUCTIVITY'!I28-1)*100</f>
        <v>#N/A</v>
      </c>
      <c r="H45" s="370" t="e">
        <f>('2.2 LABOR INCOME &amp; PRODUCTIVITY'!K28/'2.2 LABOR INCOME &amp; PRODUCTIVITY'!J28-1)*100</f>
        <v>#N/A</v>
      </c>
      <c r="I45" s="370" t="e">
        <f>('2.2 LABOR INCOME &amp; PRODUCTIVITY'!L28/'2.2 LABOR INCOME &amp; PRODUCTIVITY'!K28-1)*100</f>
        <v>#N/A</v>
      </c>
      <c r="J45" s="370" t="e">
        <f>('2.2 LABOR INCOME &amp; PRODUCTIVITY'!M28/'2.2 LABOR INCOME &amp; PRODUCTIVITY'!L28-1)*100</f>
        <v>#N/A</v>
      </c>
      <c r="K45" s="370" t="e">
        <f>('2.2 LABOR INCOME &amp; PRODUCTIVITY'!N28/'2.2 LABOR INCOME &amp; PRODUCTIVITY'!M28-1)*100</f>
        <v>#N/A</v>
      </c>
      <c r="L45" s="370" t="e">
        <f>('2.2 LABOR INCOME &amp; PRODUCTIVITY'!O28/'2.2 LABOR INCOME &amp; PRODUCTIVITY'!N28-1)*100</f>
        <v>#N/A</v>
      </c>
      <c r="M45" s="370" t="e">
        <f>('2.2 LABOR INCOME &amp; PRODUCTIVITY'!P28/'2.2 LABOR INCOME &amp; PRODUCTIVITY'!O28-1)*100</f>
        <v>#N/A</v>
      </c>
      <c r="N45" s="370" t="e">
        <f>('2.2 LABOR INCOME &amp; PRODUCTIVITY'!Q28/'2.2 LABOR INCOME &amp; PRODUCTIVITY'!P28-1)*100</f>
        <v>#N/A</v>
      </c>
      <c r="O45" s="370" t="e">
        <f>('2.2 LABOR INCOME &amp; PRODUCTIVITY'!R28/'2.2 LABOR INCOME &amp; PRODUCTIVITY'!Q28-1)*100</f>
        <v>#N/A</v>
      </c>
      <c r="P45" s="370" t="e">
        <f>('2.2 LABOR INCOME &amp; PRODUCTIVITY'!S28/'2.2 LABOR INCOME &amp; PRODUCTIVITY'!R28-1)*100</f>
        <v>#N/A</v>
      </c>
      <c r="Q45" s="370" t="e">
        <f>('2.2 LABOR INCOME &amp; PRODUCTIVITY'!U28/'2.2 LABOR INCOME &amp; PRODUCTIVITY'!S28-1)*100</f>
        <v>#N/A</v>
      </c>
      <c r="R45" s="370" t="e">
        <f>('2.2 LABOR INCOME &amp; PRODUCTIVITY'!V28/'2.2 LABOR INCOME &amp; PRODUCTIVITY'!U28-1)*100</f>
        <v>#N/A</v>
      </c>
      <c r="S45" s="375" t="e">
        <f>('2.2 LABOR INCOME &amp; PRODUCTIVITY'!V28/'2.2 LABOR INCOME &amp; PRODUCTIVITY'!U28-1)*100</f>
        <v>#N/A</v>
      </c>
      <c r="T45" s="375" t="e">
        <f>('2.2 LABOR INCOME &amp; PRODUCTIVITY'!W28/'2.2 LABOR INCOME &amp; PRODUCTIVITY'!V28-1)*100</f>
        <v>#N/A</v>
      </c>
      <c r="U45" s="375" t="e">
        <f>('2.2 LABOR INCOME &amp; PRODUCTIVITY'!X28/'2.2 LABOR INCOME &amp; PRODUCTIVITY'!W28-1)*100</f>
        <v>#N/A</v>
      </c>
      <c r="V45" s="375" t="e">
        <f>('2.2 LABOR INCOME &amp; PRODUCTIVITY'!Y28/'2.2 LABOR INCOME &amp; PRODUCTIVITY'!X28-1)*100</f>
        <v>#N/A</v>
      </c>
      <c r="W45" s="375" t="e">
        <f>('2.2 LABOR INCOME &amp; PRODUCTIVITY'!Z28/'2.2 LABOR INCOME &amp; PRODUCTIVITY'!Y28-1)*100</f>
        <v>#N/A</v>
      </c>
      <c r="X45" s="375" t="e">
        <f>('2.2 LABOR INCOME &amp; PRODUCTIVITY'!AA28/'2.2 LABOR INCOME &amp; PRODUCTIVITY'!Z28-1)*100</f>
        <v>#N/A</v>
      </c>
      <c r="Y45" s="183" t="e">
        <f>('2.2 LABOR INCOME &amp; PRODUCTIVITY'!AB28/'2.2 LABOR INCOME &amp; PRODUCTIVITY'!AA28-1)*100</f>
        <v>#N/A</v>
      </c>
      <c r="Z45" s="183" t="e">
        <f>('2.2 LABOR INCOME &amp; PRODUCTIVITY'!AC28/'2.2 LABOR INCOME &amp; PRODUCTIVITY'!AB28-1)*100</f>
        <v>#N/A</v>
      </c>
      <c r="AA45" s="183" t="e">
        <f>('2.2 LABOR INCOME &amp; PRODUCTIVITY'!AD28/'2.2 LABOR INCOME &amp; PRODUCTIVITY'!AC28-1)*100</f>
        <v>#N/A</v>
      </c>
      <c r="AB45" s="171"/>
      <c r="AC45" s="171"/>
      <c r="AD45" s="171"/>
      <c r="AE45" s="171"/>
      <c r="AF45" s="171"/>
      <c r="AG45" s="171"/>
      <c r="AH45" s="171"/>
      <c r="AI45" s="171"/>
      <c r="AJ45" s="171"/>
      <c r="AK45" s="171"/>
      <c r="AL45" s="171"/>
      <c r="AM45" s="171"/>
      <c r="AN45" s="171"/>
      <c r="AO45" s="171"/>
      <c r="AP45" s="171"/>
      <c r="AQ45" s="171"/>
      <c r="AR45" s="171"/>
    </row>
    <row r="46" spans="2:44" x14ac:dyDescent="0.2">
      <c r="B46" s="171"/>
      <c r="C46" s="171"/>
      <c r="E46" s="376"/>
      <c r="F46" s="171"/>
      <c r="G46" s="171"/>
      <c r="H46" s="171"/>
      <c r="I46" s="171"/>
      <c r="J46" s="171"/>
      <c r="K46" s="171"/>
      <c r="L46" s="171"/>
      <c r="M46" s="377"/>
      <c r="N46" s="377"/>
      <c r="O46" s="377"/>
      <c r="P46" s="377"/>
      <c r="Q46" s="377"/>
      <c r="R46" s="378"/>
      <c r="S46" s="377"/>
      <c r="T46" s="378"/>
      <c r="U46" s="378"/>
      <c r="V46" s="377"/>
      <c r="W46" s="377"/>
      <c r="X46" s="377"/>
      <c r="Y46" s="171"/>
      <c r="Z46" s="171"/>
      <c r="AA46" s="171"/>
      <c r="AB46" s="171"/>
      <c r="AC46" s="171"/>
      <c r="AD46" s="171"/>
      <c r="AE46" s="171"/>
      <c r="AF46" s="171"/>
      <c r="AG46" s="171"/>
      <c r="AH46" s="171"/>
      <c r="AI46" s="171"/>
      <c r="AJ46" s="171"/>
      <c r="AK46" s="171"/>
      <c r="AL46" s="171"/>
      <c r="AM46" s="171"/>
      <c r="AN46" s="171"/>
      <c r="AO46" s="171"/>
      <c r="AP46" s="171"/>
      <c r="AQ46" s="171"/>
      <c r="AR46" s="171"/>
    </row>
    <row r="47" spans="2:44" x14ac:dyDescent="0.2">
      <c r="B47" s="171"/>
      <c r="C47" s="171"/>
      <c r="E47" s="376"/>
      <c r="F47" s="171"/>
      <c r="G47" s="171"/>
      <c r="H47" s="171"/>
      <c r="I47" s="171"/>
      <c r="J47" s="171"/>
      <c r="K47" s="171"/>
      <c r="L47" s="171"/>
      <c r="M47" s="377"/>
      <c r="N47" s="377"/>
      <c r="O47" s="377"/>
      <c r="P47" s="377"/>
      <c r="Q47" s="377"/>
      <c r="R47" s="378"/>
      <c r="S47" s="377"/>
      <c r="T47" s="378"/>
      <c r="U47" s="378"/>
      <c r="V47" s="377"/>
      <c r="W47" s="377"/>
      <c r="X47" s="377"/>
      <c r="Y47" s="171"/>
      <c r="Z47" s="171"/>
      <c r="AA47" s="171"/>
      <c r="AB47" s="171"/>
      <c r="AC47" s="171"/>
      <c r="AD47" s="171"/>
      <c r="AE47" s="171"/>
      <c r="AF47" s="171"/>
      <c r="AG47" s="171"/>
      <c r="AH47" s="171"/>
      <c r="AI47" s="171"/>
      <c r="AJ47" s="171"/>
      <c r="AK47" s="171"/>
      <c r="AL47" s="171"/>
      <c r="AM47" s="171"/>
      <c r="AN47" s="171"/>
      <c r="AO47" s="171"/>
      <c r="AP47" s="171"/>
      <c r="AQ47" s="171"/>
      <c r="AR47" s="171"/>
    </row>
    <row r="48" spans="2:44" x14ac:dyDescent="0.2">
      <c r="B48" s="171"/>
      <c r="C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171"/>
      <c r="AK48" s="171"/>
      <c r="AL48" s="171"/>
      <c r="AM48" s="171"/>
      <c r="AN48" s="171"/>
      <c r="AO48" s="171"/>
      <c r="AP48" s="171"/>
      <c r="AQ48" s="171"/>
      <c r="AR48" s="171"/>
    </row>
    <row r="49" spans="2:44" x14ac:dyDescent="0.2">
      <c r="B49" s="171"/>
      <c r="C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171"/>
      <c r="AK49" s="171"/>
      <c r="AL49" s="171"/>
      <c r="AM49" s="171"/>
      <c r="AN49" s="171"/>
      <c r="AO49" s="171"/>
      <c r="AP49" s="171"/>
      <c r="AQ49" s="171"/>
      <c r="AR49" s="171"/>
    </row>
    <row r="50" spans="2:44" x14ac:dyDescent="0.2">
      <c r="B50" s="171"/>
      <c r="C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171"/>
      <c r="AK50" s="171"/>
      <c r="AL50" s="171"/>
      <c r="AM50" s="171"/>
      <c r="AN50" s="171"/>
      <c r="AO50" s="171"/>
      <c r="AP50" s="171"/>
      <c r="AQ50" s="171"/>
      <c r="AR50" s="171"/>
    </row>
  </sheetData>
  <sheetProtection formatCells="0" formatColumns="0" formatRows="0"/>
  <mergeCells count="12">
    <mergeCell ref="B4:C6"/>
    <mergeCell ref="E6:E7"/>
    <mergeCell ref="E30:E31"/>
    <mergeCell ref="E2:AQ2"/>
    <mergeCell ref="E4:AQ4"/>
    <mergeCell ref="E28:AQ28"/>
    <mergeCell ref="B31:B32"/>
    <mergeCell ref="C31:C32"/>
    <mergeCell ref="B7:B8"/>
    <mergeCell ref="C7:C8"/>
    <mergeCell ref="Y6:AA6"/>
    <mergeCell ref="Y30:AA30"/>
  </mergeCells>
  <conditionalFormatting sqref="F8:AA23 F32:AA45">
    <cfRule type="cellIs" dxfId="15" priority="45" operator="lessThan">
      <formula>0</formula>
    </cfRule>
  </conditionalFormatting>
  <conditionalFormatting sqref="V24:AA25">
    <cfRule type="cellIs" dxfId="14" priority="44" operator="less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Check Box 1">
              <controlPr defaultSize="0" autoFill="0" autoLine="0" autoPict="0">
                <anchor moveWithCells="1">
                  <from>
                    <xdr:col>2</xdr:col>
                    <xdr:colOff>180975</xdr:colOff>
                    <xdr:row>6</xdr:row>
                    <xdr:rowOff>76200</xdr:rowOff>
                  </from>
                  <to>
                    <xdr:col>3</xdr:col>
                    <xdr:colOff>409575</xdr:colOff>
                    <xdr:row>7</xdr:row>
                    <xdr:rowOff>104775</xdr:rowOff>
                  </to>
                </anchor>
              </controlPr>
            </control>
          </mc:Choice>
        </mc:AlternateContent>
        <mc:AlternateContent xmlns:mc="http://schemas.openxmlformats.org/markup-compatibility/2006">
          <mc:Choice Requires="x14">
            <control shapeId="69636" r:id="rId5" name="Check Box 4">
              <controlPr defaultSize="0" autoFill="0" autoLine="0" autoPict="0">
                <anchor moveWithCells="1">
                  <from>
                    <xdr:col>2</xdr:col>
                    <xdr:colOff>190500</xdr:colOff>
                    <xdr:row>30</xdr:row>
                    <xdr:rowOff>104775</xdr:rowOff>
                  </from>
                  <to>
                    <xdr:col>3</xdr:col>
                    <xdr:colOff>409575</xdr:colOff>
                    <xdr:row>31</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B0718-1D6B-4A51-B331-AEA238FC55C8}">
  <sheetPr codeName="Sheet31">
    <tabColor rgb="FFB8E08C"/>
  </sheetPr>
  <dimension ref="A1:BI43"/>
  <sheetViews>
    <sheetView workbookViewId="0"/>
  </sheetViews>
  <sheetFormatPr defaultColWidth="0" defaultRowHeight="14.25" zeroHeight="1" x14ac:dyDescent="0.2"/>
  <cols>
    <col min="1" max="1" width="32.42578125" style="38" customWidth="1"/>
    <col min="2" max="2" width="2.85546875" style="121" customWidth="1"/>
    <col min="3" max="3" width="49.5703125" style="121" customWidth="1"/>
    <col min="4" max="4" width="9.140625" style="121" customWidth="1"/>
    <col min="5" max="5" width="11.140625" style="99" customWidth="1"/>
    <col min="6" max="7" width="9.140625" style="99" customWidth="1"/>
    <col min="8" max="8" width="30.5703125" style="31" customWidth="1"/>
    <col min="9" max="25" width="10" style="31" customWidth="1"/>
    <col min="26" max="26" width="10.85546875" style="31" customWidth="1"/>
    <col min="27" max="30" width="10" style="31" customWidth="1"/>
    <col min="31" max="31" width="9.140625" style="99" customWidth="1"/>
    <col min="32" max="32" width="19.5703125" style="99" customWidth="1"/>
    <col min="33" max="53" width="10" style="99" customWidth="1"/>
    <col min="54" max="54" width="8.5703125" style="99" customWidth="1"/>
    <col min="55" max="61" width="0" style="31" hidden="1" customWidth="1"/>
    <col min="62" max="16384" width="9.140625" style="31" hidden="1"/>
  </cols>
  <sheetData>
    <row r="1" spans="1:53" s="99" customFormat="1" x14ac:dyDescent="0.2">
      <c r="A1" s="121"/>
      <c r="B1" s="121"/>
      <c r="C1" s="121"/>
      <c r="D1" s="121"/>
    </row>
    <row r="2" spans="1:53" ht="24.75" customHeight="1" x14ac:dyDescent="0.2">
      <c r="C2" s="522" t="s">
        <v>211</v>
      </c>
      <c r="D2" s="522"/>
      <c r="E2" s="522"/>
      <c r="H2" s="523" t="s">
        <v>212</v>
      </c>
      <c r="I2" s="523"/>
      <c r="J2" s="523"/>
      <c r="K2" s="523"/>
      <c r="L2" s="523"/>
      <c r="M2" s="523"/>
      <c r="N2" s="523"/>
      <c r="O2" s="523"/>
      <c r="P2" s="523"/>
      <c r="Q2" s="523"/>
      <c r="R2" s="523"/>
      <c r="S2" s="523"/>
      <c r="T2" s="523"/>
      <c r="U2" s="523"/>
      <c r="V2" s="523"/>
      <c r="W2" s="523"/>
      <c r="X2" s="523"/>
      <c r="Y2" s="523"/>
      <c r="Z2" s="523"/>
      <c r="AA2" s="523"/>
      <c r="AB2" s="523"/>
      <c r="AC2" s="523"/>
      <c r="AD2" s="523"/>
      <c r="AE2" s="523"/>
      <c r="AF2" s="523"/>
      <c r="AG2" s="523"/>
      <c r="AH2" s="523"/>
      <c r="AI2" s="523"/>
      <c r="AJ2" s="523"/>
      <c r="AK2" s="523"/>
      <c r="AL2" s="523"/>
      <c r="AM2" s="523"/>
      <c r="AN2" s="523"/>
      <c r="AO2" s="523"/>
      <c r="AP2" s="523"/>
      <c r="AQ2" s="523"/>
      <c r="AR2" s="523"/>
      <c r="AS2" s="523"/>
      <c r="AT2" s="523"/>
      <c r="AU2" s="523"/>
      <c r="AV2" s="523"/>
      <c r="AW2" s="523"/>
      <c r="AX2" s="523"/>
      <c r="AY2" s="523"/>
      <c r="AZ2" s="523"/>
      <c r="BA2" s="523"/>
    </row>
    <row r="3" spans="1:53" x14ac:dyDescent="0.2">
      <c r="H3" s="99"/>
      <c r="I3" s="99"/>
      <c r="J3" s="99"/>
      <c r="K3" s="99"/>
      <c r="L3" s="99"/>
      <c r="M3" s="99"/>
      <c r="N3" s="99"/>
      <c r="O3" s="99"/>
      <c r="P3" s="99"/>
      <c r="Q3" s="99"/>
      <c r="R3" s="99"/>
      <c r="S3" s="99"/>
      <c r="T3" s="99"/>
      <c r="U3" s="99"/>
      <c r="V3" s="99"/>
      <c r="W3" s="99"/>
      <c r="X3" s="99"/>
      <c r="Y3" s="99"/>
      <c r="Z3" s="99"/>
      <c r="AA3" s="99"/>
      <c r="AB3" s="99"/>
      <c r="AC3" s="99"/>
      <c r="AD3" s="108"/>
      <c r="AE3" s="108"/>
    </row>
    <row r="4" spans="1:53" ht="18" x14ac:dyDescent="0.25">
      <c r="C4" s="524"/>
      <c r="D4" s="524"/>
      <c r="E4" s="524"/>
      <c r="H4" s="525" t="s">
        <v>213</v>
      </c>
      <c r="I4" s="525"/>
      <c r="J4" s="525"/>
      <c r="K4" s="525"/>
      <c r="L4" s="525"/>
      <c r="M4" s="525"/>
      <c r="N4" s="525"/>
      <c r="O4" s="525"/>
      <c r="P4" s="525"/>
      <c r="Q4" s="525"/>
      <c r="R4" s="525"/>
      <c r="S4" s="525"/>
      <c r="T4" s="525"/>
      <c r="U4" s="525"/>
      <c r="V4" s="525"/>
      <c r="W4" s="525"/>
      <c r="X4" s="525"/>
      <c r="Y4" s="525"/>
      <c r="Z4" s="525"/>
      <c r="AA4" s="525"/>
      <c r="AB4" s="525"/>
      <c r="AC4" s="525"/>
      <c r="AD4" s="525"/>
      <c r="AE4" s="525"/>
      <c r="AF4" s="525"/>
      <c r="AG4" s="525"/>
      <c r="AH4" s="525"/>
      <c r="AI4" s="525"/>
      <c r="AJ4" s="525"/>
      <c r="AK4" s="525"/>
      <c r="AL4" s="525"/>
      <c r="AM4" s="525"/>
      <c r="AN4" s="525"/>
      <c r="AO4" s="525"/>
      <c r="AP4" s="525"/>
      <c r="AQ4" s="525"/>
      <c r="AR4" s="525"/>
      <c r="AS4" s="525"/>
      <c r="AT4" s="525"/>
      <c r="AU4" s="525"/>
      <c r="AV4" s="525"/>
      <c r="AW4" s="525"/>
      <c r="AX4" s="525"/>
      <c r="AY4" s="525"/>
      <c r="AZ4" s="525"/>
      <c r="BA4" s="525"/>
    </row>
    <row r="5" spans="1:53" ht="15" customHeight="1" x14ac:dyDescent="0.2">
      <c r="C5" s="526" t="s">
        <v>214</v>
      </c>
      <c r="D5" s="526"/>
      <c r="E5" s="526"/>
      <c r="G5" s="379"/>
      <c r="H5" s="528" t="s">
        <v>215</v>
      </c>
      <c r="I5" s="528"/>
      <c r="J5" s="528"/>
      <c r="K5" s="528"/>
      <c r="L5" s="528"/>
      <c r="M5" s="528"/>
      <c r="N5" s="528"/>
      <c r="O5" s="528"/>
      <c r="P5" s="528"/>
      <c r="Q5" s="528"/>
      <c r="R5" s="528"/>
      <c r="S5" s="528"/>
      <c r="T5" s="528"/>
      <c r="U5" s="528"/>
      <c r="V5" s="528"/>
      <c r="W5" s="528"/>
      <c r="X5" s="528"/>
      <c r="Y5" s="528"/>
      <c r="Z5" s="528"/>
      <c r="AA5" s="528"/>
      <c r="AB5" s="528"/>
      <c r="AC5" s="528"/>
      <c r="AD5" s="528"/>
      <c r="AE5" s="528"/>
      <c r="AF5" s="528"/>
      <c r="AG5" s="528"/>
      <c r="AH5" s="528"/>
      <c r="AI5" s="528"/>
      <c r="AJ5" s="528"/>
      <c r="AK5" s="528"/>
      <c r="AL5" s="528"/>
      <c r="AM5" s="528"/>
      <c r="AN5" s="528"/>
      <c r="AO5" s="528"/>
      <c r="AP5" s="528"/>
      <c r="AQ5" s="528"/>
      <c r="AR5" s="528"/>
      <c r="AS5" s="528"/>
      <c r="AT5" s="528"/>
      <c r="AU5" s="528"/>
      <c r="AV5" s="528"/>
      <c r="AW5" s="528"/>
      <c r="AX5" s="528"/>
      <c r="AY5" s="528"/>
      <c r="AZ5" s="528"/>
      <c r="BA5" s="528"/>
    </row>
    <row r="6" spans="1:53" ht="30.75" customHeight="1" x14ac:dyDescent="0.2">
      <c r="C6" s="526"/>
      <c r="D6" s="526"/>
      <c r="E6" s="526"/>
      <c r="G6" s="379"/>
      <c r="H6" s="190"/>
      <c r="I6" s="190"/>
      <c r="J6" s="190"/>
      <c r="K6" s="190"/>
      <c r="L6" s="190"/>
      <c r="M6" s="190"/>
      <c r="N6" s="190"/>
      <c r="O6" s="190"/>
      <c r="P6" s="190"/>
      <c r="Q6" s="190"/>
      <c r="R6" s="190"/>
      <c r="S6" s="190"/>
      <c r="T6" s="190"/>
      <c r="U6" s="190"/>
      <c r="V6" s="190"/>
      <c r="W6" s="190"/>
      <c r="X6" s="190"/>
      <c r="Y6" s="190"/>
      <c r="Z6" s="190"/>
      <c r="AA6" s="190"/>
      <c r="AB6" s="190"/>
      <c r="AC6" s="190"/>
      <c r="AD6" s="190"/>
      <c r="AE6" s="190"/>
      <c r="AF6" s="190"/>
      <c r="AG6" s="190"/>
      <c r="AH6" s="190"/>
      <c r="AI6" s="190"/>
      <c r="AJ6" s="190"/>
      <c r="AK6" s="190"/>
      <c r="AL6" s="190"/>
      <c r="AM6" s="190"/>
      <c r="AN6" s="190"/>
      <c r="AO6" s="190"/>
      <c r="AP6" s="190"/>
      <c r="AQ6" s="190"/>
      <c r="AR6" s="190"/>
      <c r="AS6" s="190"/>
      <c r="AT6" s="190"/>
      <c r="AU6" s="190"/>
      <c r="AV6" s="190"/>
      <c r="AW6" s="190"/>
      <c r="AX6" s="190"/>
      <c r="AY6" s="190"/>
      <c r="AZ6" s="190"/>
      <c r="BA6" s="190"/>
    </row>
    <row r="7" spans="1:53" ht="16.5" customHeight="1" x14ac:dyDescent="0.2">
      <c r="C7" s="521" t="s">
        <v>216</v>
      </c>
      <c r="D7" s="521"/>
      <c r="E7" s="187"/>
      <c r="F7" s="379"/>
      <c r="G7" s="379"/>
      <c r="H7" s="530" t="s">
        <v>217</v>
      </c>
      <c r="I7" s="402" t="s">
        <v>137</v>
      </c>
      <c r="J7" s="402" t="s">
        <v>137</v>
      </c>
      <c r="K7" s="402" t="s">
        <v>137</v>
      </c>
      <c r="L7" s="402" t="s">
        <v>137</v>
      </c>
      <c r="M7" s="402" t="s">
        <v>137</v>
      </c>
      <c r="N7" s="402" t="s">
        <v>137</v>
      </c>
      <c r="O7" s="402" t="s">
        <v>137</v>
      </c>
      <c r="P7" s="402" t="s">
        <v>137</v>
      </c>
      <c r="Q7" s="402" t="s">
        <v>137</v>
      </c>
      <c r="R7" s="402" t="s">
        <v>137</v>
      </c>
      <c r="S7" s="402" t="s">
        <v>137</v>
      </c>
      <c r="T7" s="402" t="s">
        <v>137</v>
      </c>
      <c r="U7" s="402" t="s">
        <v>137</v>
      </c>
      <c r="V7" s="402" t="s">
        <v>137</v>
      </c>
      <c r="W7" s="402" t="s">
        <v>137</v>
      </c>
      <c r="X7" s="402" t="s">
        <v>137</v>
      </c>
      <c r="Y7" s="402" t="s">
        <v>137</v>
      </c>
      <c r="Z7" s="402" t="s">
        <v>137</v>
      </c>
      <c r="AA7" s="402" t="s">
        <v>137</v>
      </c>
      <c r="AB7" s="531" t="s">
        <v>218</v>
      </c>
      <c r="AC7" s="531"/>
      <c r="AD7" s="531"/>
      <c r="AE7" s="108"/>
      <c r="AF7" s="529" t="s">
        <v>219</v>
      </c>
      <c r="AG7" s="402"/>
      <c r="AH7" s="402"/>
      <c r="AI7" s="402"/>
      <c r="AJ7" s="402"/>
      <c r="AK7" s="402"/>
      <c r="AL7" s="402"/>
      <c r="AM7" s="402"/>
      <c r="AN7" s="402"/>
      <c r="AO7" s="402"/>
      <c r="AP7" s="402"/>
      <c r="AQ7" s="402"/>
      <c r="AR7" s="402"/>
      <c r="AS7" s="402" t="s">
        <v>137</v>
      </c>
      <c r="AT7" s="402" t="s">
        <v>137</v>
      </c>
      <c r="AU7" s="402" t="s">
        <v>137</v>
      </c>
      <c r="AV7" s="402" t="s">
        <v>137</v>
      </c>
      <c r="AW7" s="402" t="s">
        <v>137</v>
      </c>
      <c r="AX7" s="402" t="s">
        <v>137</v>
      </c>
      <c r="AY7" s="531" t="s">
        <v>7</v>
      </c>
      <c r="AZ7" s="531"/>
      <c r="BA7" s="531"/>
    </row>
    <row r="8" spans="1:53" ht="22.5" x14ac:dyDescent="0.2">
      <c r="C8" s="521"/>
      <c r="D8" s="521"/>
      <c r="E8" s="188" t="s">
        <v>220</v>
      </c>
      <c r="F8" s="380"/>
      <c r="G8" s="379"/>
      <c r="H8" s="530"/>
      <c r="I8" s="191">
        <v>2005</v>
      </c>
      <c r="J8" s="191">
        <v>2006</v>
      </c>
      <c r="K8" s="191">
        <v>2007</v>
      </c>
      <c r="L8" s="191">
        <v>2008</v>
      </c>
      <c r="M8" s="191">
        <v>2009</v>
      </c>
      <c r="N8" s="191">
        <v>2010</v>
      </c>
      <c r="O8" s="191">
        <v>2011</v>
      </c>
      <c r="P8" s="191">
        <v>2012</v>
      </c>
      <c r="Q8" s="191">
        <v>2013</v>
      </c>
      <c r="R8" s="191">
        <v>2014</v>
      </c>
      <c r="S8" s="191">
        <v>2015</v>
      </c>
      <c r="T8" s="191">
        <v>2016</v>
      </c>
      <c r="U8" s="191">
        <v>2017</v>
      </c>
      <c r="V8" s="191">
        <v>2018</v>
      </c>
      <c r="W8" s="191">
        <v>2019</v>
      </c>
      <c r="X8" s="191">
        <v>2020</v>
      </c>
      <c r="Y8" s="191">
        <v>2021</v>
      </c>
      <c r="Z8" s="191">
        <v>2022</v>
      </c>
      <c r="AA8" s="297">
        <v>2023</v>
      </c>
      <c r="AB8" s="192">
        <v>2024</v>
      </c>
      <c r="AC8" s="192">
        <v>2025</v>
      </c>
      <c r="AD8" s="192">
        <v>2026</v>
      </c>
      <c r="AF8" s="529"/>
      <c r="AG8" s="191">
        <v>2006</v>
      </c>
      <c r="AH8" s="191">
        <v>2007</v>
      </c>
      <c r="AI8" s="191">
        <v>2008</v>
      </c>
      <c r="AJ8" s="191">
        <v>2009</v>
      </c>
      <c r="AK8" s="191">
        <v>2010</v>
      </c>
      <c r="AL8" s="191">
        <v>2011</v>
      </c>
      <c r="AM8" s="191">
        <v>2012</v>
      </c>
      <c r="AN8" s="191">
        <v>2013</v>
      </c>
      <c r="AO8" s="191">
        <v>2014</v>
      </c>
      <c r="AP8" s="191">
        <v>2015</v>
      </c>
      <c r="AQ8" s="191">
        <v>2016</v>
      </c>
      <c r="AR8" s="191">
        <v>2017</v>
      </c>
      <c r="AS8" s="191">
        <v>2018</v>
      </c>
      <c r="AT8" s="191">
        <v>2019</v>
      </c>
      <c r="AU8" s="191">
        <v>2020</v>
      </c>
      <c r="AV8" s="191">
        <v>2021</v>
      </c>
      <c r="AW8" s="191">
        <v>2022</v>
      </c>
      <c r="AX8" s="297">
        <v>2023</v>
      </c>
      <c r="AY8" s="191">
        <v>2024</v>
      </c>
      <c r="AZ8" s="191">
        <v>2025</v>
      </c>
      <c r="BA8" s="191">
        <v>2026</v>
      </c>
    </row>
    <row r="9" spans="1:53" ht="15.75" customHeight="1" x14ac:dyDescent="0.2">
      <c r="C9" s="521" t="s">
        <v>221</v>
      </c>
      <c r="D9" s="521"/>
      <c r="E9" s="527"/>
      <c r="F9" s="379"/>
      <c r="G9" s="379"/>
      <c r="H9" s="296" t="s">
        <v>222</v>
      </c>
      <c r="I9" s="381" t="e">
        <v>#N/A</v>
      </c>
      <c r="J9" s="381" t="e">
        <v>#N/A</v>
      </c>
      <c r="K9" s="381" t="e">
        <f>+(AH9/AG9-1)*100</f>
        <v>#N/A</v>
      </c>
      <c r="L9" s="381" t="e">
        <f t="shared" ref="L9:Y12" si="0">+(AI9/AH9-1)*100</f>
        <v>#N/A</v>
      </c>
      <c r="M9" s="381" t="e">
        <f t="shared" si="0"/>
        <v>#N/A</v>
      </c>
      <c r="N9" s="381" t="e">
        <f t="shared" si="0"/>
        <v>#N/A</v>
      </c>
      <c r="O9" s="381" t="e">
        <f t="shared" si="0"/>
        <v>#N/A</v>
      </c>
      <c r="P9" s="381" t="e">
        <f t="shared" si="0"/>
        <v>#N/A</v>
      </c>
      <c r="Q9" s="381" t="e">
        <f t="shared" si="0"/>
        <v>#N/A</v>
      </c>
      <c r="R9" s="381" t="e">
        <f t="shared" si="0"/>
        <v>#N/A</v>
      </c>
      <c r="S9" s="381" t="e">
        <f t="shared" si="0"/>
        <v>#N/A</v>
      </c>
      <c r="T9" s="381" t="e">
        <f t="shared" si="0"/>
        <v>#N/A</v>
      </c>
      <c r="U9" s="381">
        <f t="shared" si="0"/>
        <v>4.9852690609940575</v>
      </c>
      <c r="V9" s="381">
        <f t="shared" si="0"/>
        <v>5.727433550214589</v>
      </c>
      <c r="W9" s="381">
        <f t="shared" si="0"/>
        <v>6.3049716729840499</v>
      </c>
      <c r="X9" s="381">
        <f t="shared" si="0"/>
        <v>1.9576943047632023</v>
      </c>
      <c r="Y9" s="381">
        <f t="shared" si="0"/>
        <v>5.4199314444408397</v>
      </c>
      <c r="Z9" s="381">
        <f t="shared" ref="Z9:AD12" si="1">+(AW9/AV9-1)*100</f>
        <v>5.6000956436482507</v>
      </c>
      <c r="AA9" s="381">
        <f t="shared" si="1"/>
        <v>4.3732579273824346</v>
      </c>
      <c r="AB9" s="255">
        <f t="shared" si="1"/>
        <v>4.2768962848283909</v>
      </c>
      <c r="AC9" s="255">
        <f t="shared" si="1"/>
        <v>4.3755214634376705</v>
      </c>
      <c r="AD9" s="255">
        <f t="shared" si="1"/>
        <v>4.686961339102802</v>
      </c>
      <c r="AF9" s="296" t="s">
        <v>222</v>
      </c>
      <c r="AG9" s="398" t="e">
        <f>+'1. GDP'!I8*1000/'2.1 LABOR STRUCTURE'!J11</f>
        <v>#N/A</v>
      </c>
      <c r="AH9" s="398" t="e">
        <f>+'1. GDP'!J8*1000/'2.1 LABOR STRUCTURE'!K11</f>
        <v>#N/A</v>
      </c>
      <c r="AI9" s="398" t="e">
        <f>+'1. GDP'!K8*1000/'2.1 LABOR STRUCTURE'!L11</f>
        <v>#N/A</v>
      </c>
      <c r="AJ9" s="398" t="e">
        <f>+'1. GDP'!L8*1000/'2.1 LABOR STRUCTURE'!M11</f>
        <v>#N/A</v>
      </c>
      <c r="AK9" s="398" t="e">
        <f>+'1. GDP'!M8*1000/'2.1 LABOR STRUCTURE'!N11</f>
        <v>#N/A</v>
      </c>
      <c r="AL9" s="398" t="e">
        <f>+'1. GDP'!N8*1000/'2.1 LABOR STRUCTURE'!O11</f>
        <v>#N/A</v>
      </c>
      <c r="AM9" s="398" t="e">
        <f>+'1. GDP'!O8*1000/'2.1 LABOR STRUCTURE'!P11</f>
        <v>#N/A</v>
      </c>
      <c r="AN9" s="398" t="e">
        <f>+'1. GDP'!P8*1000/'2.1 LABOR STRUCTURE'!Q11</f>
        <v>#N/A</v>
      </c>
      <c r="AO9" s="398" t="e">
        <f>+'1. GDP'!Q8*1000/'2.1 LABOR STRUCTURE'!R11</f>
        <v>#N/A</v>
      </c>
      <c r="AP9" s="398" t="e">
        <f>+'1. GDP'!R8*1000/'2.1 LABOR STRUCTURE'!S11</f>
        <v>#N/A</v>
      </c>
      <c r="AQ9" s="398">
        <f>+'1. GDP'!S8*1000/'2.1 LABOR STRUCTURE'!T11</f>
        <v>457.60958223440269</v>
      </c>
      <c r="AR9" s="398">
        <f>+'1. GDP'!T8*1000/'2.1 LABOR STRUCTURE'!U11</f>
        <v>480.42265115767856</v>
      </c>
      <c r="AS9" s="398">
        <f>+'1. GDP'!U8*1000/'2.1 LABOR STRUCTURE'!V11</f>
        <v>507.93853926291388</v>
      </c>
      <c r="AT9" s="398">
        <f>+'1. GDP'!V8*1000/'2.1 LABOR STRUCTURE'!W11</f>
        <v>539.96392027960951</v>
      </c>
      <c r="AU9" s="398">
        <f>+'1. GDP'!W8*1000/'2.1 LABOR STRUCTURE'!X11</f>
        <v>550.53476319469951</v>
      </c>
      <c r="AV9" s="398">
        <f>+'1. GDP'!X8*1000/'2.1 LABOR STRUCTURE'!Y11</f>
        <v>580.37336993766689</v>
      </c>
      <c r="AW9" s="398">
        <f>+'1. GDP'!Y8*1000/'2.1 LABOR STRUCTURE'!Z11</f>
        <v>612.87483374444071</v>
      </c>
      <c r="AX9" s="398">
        <f>+'1. GDP'!Z8*1000/'2.1 LABOR STRUCTURE'!AA11</f>
        <v>639.67743099610141</v>
      </c>
      <c r="AY9" s="257">
        <f>+'1. GDP'!AA8*1000/'2.1 LABOR STRUCTURE'!AB11</f>
        <v>667.0357712772593</v>
      </c>
      <c r="AZ9" s="257">
        <f>+'1. GDP'!AB8*1000/'2.1 LABOR STRUCTURE'!AC11</f>
        <v>696.22206461830274</v>
      </c>
      <c r="BA9" s="257">
        <f>+'1. GDP'!AC8*1000/'2.1 LABOR STRUCTURE'!AD11</f>
        <v>728.85372362126589</v>
      </c>
    </row>
    <row r="10" spans="1:53" ht="15.75" customHeight="1" x14ac:dyDescent="0.2">
      <c r="C10" s="521"/>
      <c r="D10" s="521"/>
      <c r="E10" s="527"/>
      <c r="H10" s="382" t="s">
        <v>29</v>
      </c>
      <c r="I10" s="381" t="e">
        <v>#N/A</v>
      </c>
      <c r="J10" s="381" t="e">
        <v>#N/A</v>
      </c>
      <c r="K10" s="381" t="e">
        <f>+(AH10/AG10-1)*100</f>
        <v>#N/A</v>
      </c>
      <c r="L10" s="381" t="e">
        <f t="shared" si="0"/>
        <v>#N/A</v>
      </c>
      <c r="M10" s="381" t="e">
        <f t="shared" si="0"/>
        <v>#N/A</v>
      </c>
      <c r="N10" s="381" t="e">
        <f t="shared" si="0"/>
        <v>#N/A</v>
      </c>
      <c r="O10" s="381" t="e">
        <f t="shared" si="0"/>
        <v>#N/A</v>
      </c>
      <c r="P10" s="381" t="e">
        <f t="shared" si="0"/>
        <v>#N/A</v>
      </c>
      <c r="Q10" s="381" t="e">
        <f t="shared" si="0"/>
        <v>#N/A</v>
      </c>
      <c r="R10" s="381" t="e">
        <f t="shared" si="0"/>
        <v>#N/A</v>
      </c>
      <c r="S10" s="381" t="e">
        <f t="shared" si="0"/>
        <v>#N/A</v>
      </c>
      <c r="T10" s="381" t="e">
        <f t="shared" si="0"/>
        <v>#N/A</v>
      </c>
      <c r="U10" s="381">
        <f t="shared" si="0"/>
        <v>1.8857375616315286</v>
      </c>
      <c r="V10" s="381">
        <f t="shared" si="0"/>
        <v>2.2463282176944599</v>
      </c>
      <c r="W10" s="381">
        <f t="shared" si="0"/>
        <v>1.9819572127653062</v>
      </c>
      <c r="X10" s="381">
        <f t="shared" si="0"/>
        <v>2.1560047957377648</v>
      </c>
      <c r="Y10" s="381">
        <f t="shared" si="0"/>
        <v>1.9278593217963991</v>
      </c>
      <c r="Z10" s="381">
        <f t="shared" si="1"/>
        <v>1.8236241480706683</v>
      </c>
      <c r="AA10" s="381">
        <f t="shared" si="1"/>
        <v>2.5040181919815163</v>
      </c>
      <c r="AB10" s="255">
        <f t="shared" si="1"/>
        <v>2.3209985591776006</v>
      </c>
      <c r="AC10" s="255">
        <f t="shared" si="1"/>
        <v>2.3896084562003317</v>
      </c>
      <c r="AD10" s="255">
        <f t="shared" si="1"/>
        <v>2.5321869013243958</v>
      </c>
      <c r="AF10" s="382" t="s">
        <v>29</v>
      </c>
      <c r="AG10" s="399" t="e">
        <f>'1. GDP'!I9*1000/'2.1 LABOR STRUCTURE'!J14</f>
        <v>#N/A</v>
      </c>
      <c r="AH10" s="399" t="e">
        <f>'1. GDP'!J9*1000/'2.1 LABOR STRUCTURE'!K14</f>
        <v>#N/A</v>
      </c>
      <c r="AI10" s="399" t="e">
        <f>'1. GDP'!K9*1000/'2.1 LABOR STRUCTURE'!L14</f>
        <v>#N/A</v>
      </c>
      <c r="AJ10" s="399" t="e">
        <f>'1. GDP'!L9*1000/'2.1 LABOR STRUCTURE'!M14</f>
        <v>#N/A</v>
      </c>
      <c r="AK10" s="399" t="e">
        <f>'1. GDP'!M9*1000/'2.1 LABOR STRUCTURE'!N14</f>
        <v>#N/A</v>
      </c>
      <c r="AL10" s="399" t="e">
        <f>'1. GDP'!N9*1000/'2.1 LABOR STRUCTURE'!O14</f>
        <v>#N/A</v>
      </c>
      <c r="AM10" s="399" t="e">
        <f>'1. GDP'!O9*1000/'2.1 LABOR STRUCTURE'!P14</f>
        <v>#N/A</v>
      </c>
      <c r="AN10" s="399" t="e">
        <f>'1. GDP'!P9*1000/'2.1 LABOR STRUCTURE'!Q14</f>
        <v>#N/A</v>
      </c>
      <c r="AO10" s="399" t="e">
        <f>'1. GDP'!Q9*1000/'2.1 LABOR STRUCTURE'!R14</f>
        <v>#N/A</v>
      </c>
      <c r="AP10" s="399" t="e">
        <f>'1. GDP'!R9*1000/'2.1 LABOR STRUCTURE'!S14</f>
        <v>#N/A</v>
      </c>
      <c r="AQ10" s="399">
        <f>'1. GDP'!S9*1000/'2.1 LABOR STRUCTURE'!T14</f>
        <v>187.7853713411964</v>
      </c>
      <c r="AR10" s="399">
        <f>'1. GDP'!T9*1000/'2.1 LABOR STRUCTURE'!U14</f>
        <v>191.32651062382658</v>
      </c>
      <c r="AS10" s="398">
        <f>'1. GDP'!U9*1000/'2.1 LABOR STRUCTURE'!V14</f>
        <v>195.62433201989978</v>
      </c>
      <c r="AT10" s="398">
        <f>'1. GDP'!V9*1000/'2.1 LABOR STRUCTURE'!W14</f>
        <v>199.50152257829214</v>
      </c>
      <c r="AU10" s="398">
        <f>'1. GDP'!W9*1000/'2.1 LABOR STRUCTURE'!X14</f>
        <v>203.80278497264996</v>
      </c>
      <c r="AV10" s="398">
        <f>'1. GDP'!X9*1000/'2.1 LABOR STRUCTURE'!Y14</f>
        <v>207.73181596082588</v>
      </c>
      <c r="AW10" s="398">
        <f>'1. GDP'!Y9*1000/'2.1 LABOR STRUCTURE'!Z14</f>
        <v>211.52006351991321</v>
      </c>
      <c r="AX10" s="398">
        <f>'1. GDP'!Z9*1000/'2.1 LABOR STRUCTURE'!AA14</f>
        <v>216.8165643901427</v>
      </c>
      <c r="AY10" s="258">
        <f>'1. GDP'!AA9*1000/'2.1 LABOR STRUCTURE'!AB14</f>
        <v>221.84887372569631</v>
      </c>
      <c r="AZ10" s="258">
        <f>'1. GDP'!AB9*1000/'2.1 LABOR STRUCTURE'!AC14</f>
        <v>227.15019317223076</v>
      </c>
      <c r="BA10" s="258">
        <f>'1. GDP'!AC9*1000/'2.1 LABOR STRUCTURE'!AD14</f>
        <v>232.90206061007106</v>
      </c>
    </row>
    <row r="11" spans="1:53" ht="15" customHeight="1" x14ac:dyDescent="0.2">
      <c r="C11" s="521" t="s">
        <v>223</v>
      </c>
      <c r="D11" s="521"/>
      <c r="E11" s="187"/>
      <c r="H11" s="382" t="s">
        <v>31</v>
      </c>
      <c r="I11" s="381" t="e">
        <v>#N/A</v>
      </c>
      <c r="J11" s="381" t="e">
        <v>#N/A</v>
      </c>
      <c r="K11" s="381" t="e">
        <f>+(AH11/AG11-1)*100</f>
        <v>#N/A</v>
      </c>
      <c r="L11" s="381" t="e">
        <f t="shared" si="0"/>
        <v>#N/A</v>
      </c>
      <c r="M11" s="381" t="e">
        <f t="shared" si="0"/>
        <v>#N/A</v>
      </c>
      <c r="N11" s="381" t="e">
        <f t="shared" si="0"/>
        <v>#N/A</v>
      </c>
      <c r="O11" s="381" t="e">
        <f t="shared" si="0"/>
        <v>#N/A</v>
      </c>
      <c r="P11" s="381" t="e">
        <f t="shared" si="0"/>
        <v>#N/A</v>
      </c>
      <c r="Q11" s="381" t="e">
        <f t="shared" si="0"/>
        <v>#N/A</v>
      </c>
      <c r="R11" s="381" t="e">
        <f t="shared" si="0"/>
        <v>#N/A</v>
      </c>
      <c r="S11" s="381" t="e">
        <f t="shared" si="0"/>
        <v>#N/A</v>
      </c>
      <c r="T11" s="381" t="e">
        <f t="shared" si="0"/>
        <v>#N/A</v>
      </c>
      <c r="U11" s="381">
        <f t="shared" si="0"/>
        <v>0.73436145086380744</v>
      </c>
      <c r="V11" s="381">
        <f t="shared" si="0"/>
        <v>3.0234228594150814</v>
      </c>
      <c r="W11" s="381">
        <f t="shared" si="0"/>
        <v>4.811391981918911</v>
      </c>
      <c r="X11" s="381">
        <f t="shared" si="0"/>
        <v>-2.3559543509577896</v>
      </c>
      <c r="Y11" s="381">
        <f t="shared" si="0"/>
        <v>4.2814516566108685</v>
      </c>
      <c r="Z11" s="381">
        <f t="shared" si="1"/>
        <v>4.182459351376866</v>
      </c>
      <c r="AA11" s="381">
        <f t="shared" si="1"/>
        <v>6.5011084770222327</v>
      </c>
      <c r="AB11" s="255">
        <f t="shared" si="1"/>
        <v>6.1585627927952302</v>
      </c>
      <c r="AC11" s="255">
        <f t="shared" si="1"/>
        <v>5.5459088157032488</v>
      </c>
      <c r="AD11" s="255">
        <f t="shared" si="1"/>
        <v>4.8479119672373727</v>
      </c>
      <c r="AF11" s="382" t="s">
        <v>31</v>
      </c>
      <c r="AG11" s="399" t="e">
        <f>'1. GDP'!I10*1000/'2.1 LABOR STRUCTURE'!J15</f>
        <v>#N/A</v>
      </c>
      <c r="AH11" s="399" t="e">
        <f>'1. GDP'!J10*1000/'2.1 LABOR STRUCTURE'!K15</f>
        <v>#N/A</v>
      </c>
      <c r="AI11" s="399" t="e">
        <f>'1. GDP'!K10*1000/'2.1 LABOR STRUCTURE'!L15</f>
        <v>#N/A</v>
      </c>
      <c r="AJ11" s="399" t="e">
        <f>'1. GDP'!L10*1000/'2.1 LABOR STRUCTURE'!M15</f>
        <v>#N/A</v>
      </c>
      <c r="AK11" s="399" t="e">
        <f>'1. GDP'!M10*1000/'2.1 LABOR STRUCTURE'!N15</f>
        <v>#N/A</v>
      </c>
      <c r="AL11" s="399" t="e">
        <f>'1. GDP'!N10*1000/'2.1 LABOR STRUCTURE'!O15</f>
        <v>#N/A</v>
      </c>
      <c r="AM11" s="399" t="e">
        <f>'1. GDP'!O10*1000/'2.1 LABOR STRUCTURE'!P15</f>
        <v>#N/A</v>
      </c>
      <c r="AN11" s="399" t="e">
        <f>'1. GDP'!P10*1000/'2.1 LABOR STRUCTURE'!Q15</f>
        <v>#N/A</v>
      </c>
      <c r="AO11" s="399" t="e">
        <f>'1. GDP'!Q10*1000/'2.1 LABOR STRUCTURE'!R15</f>
        <v>#N/A</v>
      </c>
      <c r="AP11" s="399" t="e">
        <f>'1. GDP'!R10*1000/'2.1 LABOR STRUCTURE'!S15</f>
        <v>#N/A</v>
      </c>
      <c r="AQ11" s="399">
        <f>'1. GDP'!S10*1000/'2.1 LABOR STRUCTURE'!T15</f>
        <v>2394.7250994344304</v>
      </c>
      <c r="AR11" s="399">
        <f>'1. GDP'!T10*1000/'2.1 LABOR STRUCTURE'!U15</f>
        <v>2412.3110374188368</v>
      </c>
      <c r="AS11" s="398">
        <f>'1. GDP'!U10*1000/'2.1 LABOR STRUCTURE'!V15</f>
        <v>2485.245400764351</v>
      </c>
      <c r="AT11" s="398">
        <f>'1. GDP'!V10*1000/'2.1 LABOR STRUCTURE'!W15</f>
        <v>2604.8202987077352</v>
      </c>
      <c r="AU11" s="398">
        <f>'1. GDP'!W10*1000/'2.1 LABOR STRUCTURE'!X15</f>
        <v>2543.4519215456985</v>
      </c>
      <c r="AV11" s="398">
        <f>'1. GDP'!X10*1000/'2.1 LABOR STRUCTURE'!Y15</f>
        <v>2652.3485859758175</v>
      </c>
      <c r="AW11" s="398">
        <f>'1. GDP'!Y10*1000/'2.1 LABOR STRUCTURE'!Z15</f>
        <v>2763.2819874410752</v>
      </c>
      <c r="AX11" s="398">
        <f>'1. GDP'!Z10*1000/'2.1 LABOR STRUCTURE'!AA15</f>
        <v>2942.9259469706353</v>
      </c>
      <c r="AY11" s="258">
        <f>'1. GDP'!AA10*1000/'2.1 LABOR STRUCTURE'!AB15</f>
        <v>3124.1678893602857</v>
      </c>
      <c r="AZ11" s="258">
        <f>'1. GDP'!AB10*1000/'2.1 LABOR STRUCTURE'!AC15</f>
        <v>3297.4313917536879</v>
      </c>
      <c r="BA11" s="258">
        <f>'1. GDP'!AC10*1000/'2.1 LABOR STRUCTURE'!AD15</f>
        <v>3457.2879628059568</v>
      </c>
    </row>
    <row r="12" spans="1:53" ht="21.75" customHeight="1" x14ac:dyDescent="0.2">
      <c r="C12" s="521"/>
      <c r="D12" s="521"/>
      <c r="E12" s="188" t="s">
        <v>145</v>
      </c>
      <c r="H12" s="383" t="s">
        <v>33</v>
      </c>
      <c r="I12" s="384" t="e">
        <v>#N/A</v>
      </c>
      <c r="J12" s="384" t="e">
        <v>#N/A</v>
      </c>
      <c r="K12" s="384" t="e">
        <f>+(AH12/AG12-1)*100</f>
        <v>#N/A</v>
      </c>
      <c r="L12" s="384" t="e">
        <f t="shared" si="0"/>
        <v>#N/A</v>
      </c>
      <c r="M12" s="384" t="e">
        <f t="shared" si="0"/>
        <v>#N/A</v>
      </c>
      <c r="N12" s="384" t="e">
        <f t="shared" si="0"/>
        <v>#N/A</v>
      </c>
      <c r="O12" s="384" t="e">
        <f t="shared" si="0"/>
        <v>#N/A</v>
      </c>
      <c r="P12" s="384" t="e">
        <f t="shared" si="0"/>
        <v>#N/A</v>
      </c>
      <c r="Q12" s="384" t="e">
        <f t="shared" si="0"/>
        <v>#N/A</v>
      </c>
      <c r="R12" s="384" t="e">
        <f t="shared" si="0"/>
        <v>#N/A</v>
      </c>
      <c r="S12" s="384" t="e">
        <f t="shared" si="0"/>
        <v>#N/A</v>
      </c>
      <c r="T12" s="384" t="e">
        <f t="shared" si="0"/>
        <v>#N/A</v>
      </c>
      <c r="U12" s="384" t="e">
        <f t="shared" si="0"/>
        <v>#DIV/0!</v>
      </c>
      <c r="V12" s="384" t="e">
        <f t="shared" si="0"/>
        <v>#DIV/0!</v>
      </c>
      <c r="W12" s="384" t="e">
        <f t="shared" si="0"/>
        <v>#DIV/0!</v>
      </c>
      <c r="X12" s="384" t="e">
        <f t="shared" si="0"/>
        <v>#DIV/0!</v>
      </c>
      <c r="Y12" s="384" t="e">
        <f t="shared" si="0"/>
        <v>#DIV/0!</v>
      </c>
      <c r="Z12" s="384" t="e">
        <f t="shared" si="1"/>
        <v>#DIV/0!</v>
      </c>
      <c r="AA12" s="384" t="e">
        <f t="shared" si="1"/>
        <v>#DIV/0!</v>
      </c>
      <c r="AB12" s="256" t="e">
        <f t="shared" si="1"/>
        <v>#DIV/0!</v>
      </c>
      <c r="AC12" s="256" t="e">
        <f t="shared" si="1"/>
        <v>#DIV/0!</v>
      </c>
      <c r="AD12" s="256" t="e">
        <f t="shared" si="1"/>
        <v>#DIV/0!</v>
      </c>
      <c r="AF12" s="383" t="s">
        <v>33</v>
      </c>
      <c r="AG12" s="400" t="e">
        <f>'1. GDP'!I32*1000/'2.1 LABOR STRUCTURE'!J19</f>
        <v>#N/A</v>
      </c>
      <c r="AH12" s="400" t="e">
        <f>'1. GDP'!J32*1000/'2.1 LABOR STRUCTURE'!K19</f>
        <v>#N/A</v>
      </c>
      <c r="AI12" s="400" t="e">
        <f>'1. GDP'!K32*1000/'2.1 LABOR STRUCTURE'!L19</f>
        <v>#N/A</v>
      </c>
      <c r="AJ12" s="400" t="e">
        <f>'1. GDP'!L32*1000/'2.1 LABOR STRUCTURE'!M19</f>
        <v>#N/A</v>
      </c>
      <c r="AK12" s="400" t="e">
        <f>'1. GDP'!M32*1000/'2.1 LABOR STRUCTURE'!N19</f>
        <v>#N/A</v>
      </c>
      <c r="AL12" s="400" t="e">
        <f>'1. GDP'!N32*1000/'2.1 LABOR STRUCTURE'!O19</f>
        <v>#N/A</v>
      </c>
      <c r="AM12" s="400" t="e">
        <f>'1. GDP'!O32*1000/'2.1 LABOR STRUCTURE'!P19</f>
        <v>#N/A</v>
      </c>
      <c r="AN12" s="400" t="e">
        <f>'1. GDP'!P32*1000/'2.1 LABOR STRUCTURE'!Q19</f>
        <v>#N/A</v>
      </c>
      <c r="AO12" s="400" t="e">
        <f>'1. GDP'!Q32*1000/'2.1 LABOR STRUCTURE'!R19</f>
        <v>#N/A</v>
      </c>
      <c r="AP12" s="400" t="e">
        <f>'1. GDP'!R32*1000/'2.1 LABOR STRUCTURE'!S19</f>
        <v>#N/A</v>
      </c>
      <c r="AQ12" s="400">
        <f>'1. GDP'!S32*1000/'2.1 LABOR STRUCTURE'!T19</f>
        <v>0</v>
      </c>
      <c r="AR12" s="400">
        <f>'1. GDP'!T32*1000/'2.1 LABOR STRUCTURE'!U19</f>
        <v>0</v>
      </c>
      <c r="AS12" s="401">
        <f>'1. GDP'!U32*1000/'2.1 LABOR STRUCTURE'!V19</f>
        <v>0</v>
      </c>
      <c r="AT12" s="401">
        <f>'1. GDP'!V32*1000/'2.1 LABOR STRUCTURE'!W19</f>
        <v>0</v>
      </c>
      <c r="AU12" s="401">
        <f>'1. GDP'!W32*1000/'2.1 LABOR STRUCTURE'!X19</f>
        <v>0</v>
      </c>
      <c r="AV12" s="401">
        <f>'1. GDP'!X32*1000/'2.1 LABOR STRUCTURE'!Y19</f>
        <v>0</v>
      </c>
      <c r="AW12" s="401">
        <f>'1. GDP'!Y32*1000/'2.1 LABOR STRUCTURE'!Z19</f>
        <v>0</v>
      </c>
      <c r="AX12" s="401">
        <f>'1. GDP'!Z32*1000/'2.1 LABOR STRUCTURE'!AA19</f>
        <v>0</v>
      </c>
      <c r="AY12" s="259">
        <f>'1. GDP'!AA32*1000/'2.1 LABOR STRUCTURE'!AB19</f>
        <v>0</v>
      </c>
      <c r="AZ12" s="259">
        <f>'1. GDP'!AB32*1000/'2.1 LABOR STRUCTURE'!AC19</f>
        <v>0</v>
      </c>
      <c r="BA12" s="259">
        <f>'1. GDP'!AC32*1000/'2.1 LABOR STRUCTURE'!AD19</f>
        <v>0</v>
      </c>
    </row>
    <row r="13" spans="1:53" s="99" customFormat="1" ht="15" customHeight="1" x14ac:dyDescent="0.2">
      <c r="A13" s="38"/>
      <c r="B13" s="121"/>
      <c r="C13" s="521" t="s">
        <v>224</v>
      </c>
      <c r="D13" s="521"/>
      <c r="E13" s="187"/>
      <c r="Y13" s="304"/>
    </row>
    <row r="14" spans="1:53" s="99" customFormat="1" ht="15" customHeight="1" x14ac:dyDescent="0.2">
      <c r="A14" s="94"/>
      <c r="B14" s="304"/>
      <c r="C14" s="521"/>
      <c r="D14" s="521"/>
      <c r="E14" s="533" t="s">
        <v>149</v>
      </c>
    </row>
    <row r="15" spans="1:53" s="99" customFormat="1" ht="15" x14ac:dyDescent="0.25">
      <c r="A15" s="94"/>
      <c r="B15" s="304"/>
      <c r="C15" s="521"/>
      <c r="D15" s="521"/>
      <c r="E15" s="533"/>
      <c r="H15" s="385"/>
    </row>
    <row r="16" spans="1:53" ht="21" customHeight="1" x14ac:dyDescent="0.25">
      <c r="A16" s="94"/>
      <c r="B16" s="304"/>
      <c r="H16" s="525" t="s">
        <v>225</v>
      </c>
      <c r="I16" s="525"/>
      <c r="J16" s="525"/>
      <c r="K16" s="525"/>
      <c r="L16" s="525"/>
      <c r="M16" s="525"/>
      <c r="N16" s="525"/>
      <c r="O16" s="525"/>
      <c r="P16" s="525"/>
      <c r="Q16" s="525"/>
      <c r="R16" s="525"/>
      <c r="S16" s="525"/>
      <c r="T16" s="525"/>
      <c r="U16" s="525"/>
      <c r="V16" s="525"/>
      <c r="W16" s="525"/>
      <c r="X16" s="525"/>
      <c r="Y16" s="525"/>
      <c r="Z16" s="525"/>
      <c r="AA16" s="525"/>
      <c r="AB16" s="525"/>
      <c r="AC16" s="525"/>
      <c r="AD16" s="525"/>
    </row>
    <row r="17" spans="1:30" ht="13.5" customHeight="1" x14ac:dyDescent="0.2">
      <c r="A17" s="94"/>
      <c r="B17" s="304"/>
      <c r="C17" s="99"/>
      <c r="D17" s="99"/>
      <c r="H17" s="99"/>
      <c r="I17" s="99"/>
      <c r="J17" s="99"/>
      <c r="K17" s="99"/>
      <c r="L17" s="99"/>
      <c r="M17" s="99"/>
      <c r="N17" s="99"/>
      <c r="O17" s="99"/>
      <c r="P17" s="99"/>
      <c r="Q17" s="99"/>
      <c r="R17" s="99"/>
      <c r="S17" s="99"/>
      <c r="T17" s="99"/>
      <c r="U17" s="99"/>
      <c r="V17" s="99"/>
      <c r="W17" s="99"/>
      <c r="X17" s="99"/>
      <c r="Y17" s="99"/>
      <c r="Z17" s="99"/>
      <c r="AA17" s="99"/>
      <c r="AB17" s="99"/>
      <c r="AC17" s="99"/>
      <c r="AD17" s="99"/>
    </row>
    <row r="18" spans="1:30" ht="15.6" customHeight="1" x14ac:dyDescent="0.2">
      <c r="A18" s="94"/>
      <c r="B18" s="304"/>
      <c r="C18" s="99"/>
      <c r="D18" s="99"/>
      <c r="H18" s="529" t="s">
        <v>226</v>
      </c>
      <c r="I18" s="402" t="s">
        <v>137</v>
      </c>
      <c r="J18" s="402" t="s">
        <v>137</v>
      </c>
      <c r="K18" s="402" t="s">
        <v>137</v>
      </c>
      <c r="L18" s="402" t="s">
        <v>137</v>
      </c>
      <c r="M18" s="402" t="s">
        <v>137</v>
      </c>
      <c r="N18" s="402" t="s">
        <v>137</v>
      </c>
      <c r="O18" s="402" t="s">
        <v>137</v>
      </c>
      <c r="P18" s="402" t="s">
        <v>137</v>
      </c>
      <c r="Q18" s="402" t="s">
        <v>137</v>
      </c>
      <c r="R18" s="402" t="s">
        <v>137</v>
      </c>
      <c r="S18" s="402" t="s">
        <v>137</v>
      </c>
      <c r="T18" s="402" t="s">
        <v>137</v>
      </c>
      <c r="U18" s="402" t="s">
        <v>137</v>
      </c>
      <c r="V18" s="402" t="s">
        <v>137</v>
      </c>
      <c r="W18" s="402" t="s">
        <v>137</v>
      </c>
      <c r="X18" s="402" t="s">
        <v>137</v>
      </c>
      <c r="Y18" s="402" t="s">
        <v>137</v>
      </c>
      <c r="Z18" s="402" t="s">
        <v>137</v>
      </c>
      <c r="AA18" s="402" t="s">
        <v>137</v>
      </c>
      <c r="AB18" s="531" t="s">
        <v>7</v>
      </c>
      <c r="AC18" s="531"/>
      <c r="AD18" s="531"/>
    </row>
    <row r="19" spans="1:30" ht="14.45" customHeight="1" x14ac:dyDescent="0.2">
      <c r="A19" s="94"/>
      <c r="B19" s="304"/>
      <c r="H19" s="529"/>
      <c r="I19" s="191">
        <v>2005</v>
      </c>
      <c r="J19" s="191">
        <v>2006</v>
      </c>
      <c r="K19" s="191">
        <v>2007</v>
      </c>
      <c r="L19" s="191">
        <v>2008</v>
      </c>
      <c r="M19" s="191">
        <v>2009</v>
      </c>
      <c r="N19" s="191">
        <v>2010</v>
      </c>
      <c r="O19" s="191">
        <v>2011</v>
      </c>
      <c r="P19" s="191">
        <v>2012</v>
      </c>
      <c r="Q19" s="191">
        <v>2013</v>
      </c>
      <c r="R19" s="191">
        <v>2014</v>
      </c>
      <c r="S19" s="191">
        <v>2015</v>
      </c>
      <c r="T19" s="191">
        <v>2016</v>
      </c>
      <c r="U19" s="191">
        <v>2017</v>
      </c>
      <c r="V19" s="191">
        <v>2018</v>
      </c>
      <c r="W19" s="191">
        <v>2019</v>
      </c>
      <c r="X19" s="191">
        <v>2020</v>
      </c>
      <c r="Y19" s="191">
        <v>2021</v>
      </c>
      <c r="Z19" s="297">
        <v>2022</v>
      </c>
      <c r="AA19" s="297">
        <v>2023</v>
      </c>
      <c r="AB19" s="191">
        <v>2024</v>
      </c>
      <c r="AC19" s="191">
        <v>2025</v>
      </c>
      <c r="AD19" s="191">
        <v>2026</v>
      </c>
    </row>
    <row r="20" spans="1:30" ht="15" customHeight="1" x14ac:dyDescent="0.2">
      <c r="A20" s="94" t="s">
        <v>227</v>
      </c>
      <c r="B20" s="304"/>
      <c r="H20" s="388" t="s">
        <v>150</v>
      </c>
      <c r="I20" s="389" t="e" cm="1">
        <f t="array" ref="I20">_xlfn.XLOOKUP(1, ('0. GUIDELINES'!$E$3='[1]input-labor'!$A:$A) * (I$19='[1]input-labor'!$B:$B) * ($A20='[1]input-labor'!$C:$C), '[1]input-labor'!$D:$D)</f>
        <v>#N/A</v>
      </c>
      <c r="J20" s="389" t="e" cm="1">
        <f t="array" ref="J20">_xlfn.XLOOKUP(1, ('0. GUIDELINES'!$E$3='[1]input-labor'!$A:$A) * (J$19='[1]input-labor'!$B:$B) * ($A20='[1]input-labor'!$C:$C), '[1]input-labor'!$D:$D)</f>
        <v>#N/A</v>
      </c>
      <c r="K20" s="389" t="e" cm="1">
        <f t="array" ref="K20">_xlfn.XLOOKUP(1, ('0. GUIDELINES'!$E$3='[1]input-labor'!$A:$A) * (K$19='[1]input-labor'!$B:$B) * ($A20='[1]input-labor'!$C:$C), '[1]input-labor'!$D:$D)</f>
        <v>#N/A</v>
      </c>
      <c r="L20" s="389" t="e" cm="1">
        <f t="array" ref="L20">_xlfn.XLOOKUP(1, ('0. GUIDELINES'!$E$3='[1]input-labor'!$A:$A) * (L$19='[1]input-labor'!$B:$B) * ($A20='[1]input-labor'!$C:$C), '[1]input-labor'!$D:$D)</f>
        <v>#N/A</v>
      </c>
      <c r="M20" s="389" t="e" cm="1">
        <f t="array" ref="M20">_xlfn.XLOOKUP(1, ('0. GUIDELINES'!$E$3='[1]input-labor'!$A:$A) * (M$19='[1]input-labor'!$B:$B) * ($A20='[1]input-labor'!$C:$C), '[1]input-labor'!$D:$D)</f>
        <v>#N/A</v>
      </c>
      <c r="N20" s="389" t="e" cm="1">
        <f t="array" ref="N20">_xlfn.XLOOKUP(1, ('0. GUIDELINES'!$E$3='[1]input-labor'!$A:$A) * (N$19='[1]input-labor'!$B:$B) * ($A20='[1]input-labor'!$C:$C), '[1]input-labor'!$D:$D)</f>
        <v>#N/A</v>
      </c>
      <c r="O20" s="389" t="e" cm="1">
        <f t="array" ref="O20">_xlfn.XLOOKUP(1, ('0. GUIDELINES'!$E$3='[1]input-labor'!$A:$A) * (O$19='[1]input-labor'!$B:$B) * ($A20='[1]input-labor'!$C:$C), '[1]input-labor'!$D:$D)</f>
        <v>#N/A</v>
      </c>
      <c r="P20" s="389" t="e" cm="1">
        <f t="array" ref="P20">_xlfn.XLOOKUP(1, ('0. GUIDELINES'!$E$3='[1]input-labor'!$A:$A) * (P$19='[1]input-labor'!$B:$B) * ($A20='[1]input-labor'!$C:$C), '[1]input-labor'!$D:$D)</f>
        <v>#N/A</v>
      </c>
      <c r="Q20" s="389" t="e" cm="1">
        <f t="array" ref="Q20">_xlfn.XLOOKUP(1, ('0. GUIDELINES'!$E$3='[1]input-labor'!$A:$A) * (Q$19='[1]input-labor'!$B:$B) * ($A20='[1]input-labor'!$C:$C), '[1]input-labor'!$D:$D)</f>
        <v>#N/A</v>
      </c>
      <c r="R20" s="389" t="e" cm="1">
        <f t="array" ref="R20">_xlfn.XLOOKUP(1, ('0. GUIDELINES'!$E$3='[1]input-labor'!$A:$A) * (R$19='[1]input-labor'!$B:$B) * ($A20='[1]input-labor'!$C:$C), '[1]input-labor'!$D:$D)</f>
        <v>#N/A</v>
      </c>
      <c r="S20" s="389" t="e" cm="1">
        <f t="array" ref="S20">_xlfn.XLOOKUP(1, ('0. GUIDELINES'!$E$3='[1]input-labor'!$A:$A) * (S$19='[1]input-labor'!$B:$B) * ($A20='[1]input-labor'!$C:$C), '[1]input-labor'!$D:$D)</f>
        <v>#N/A</v>
      </c>
      <c r="T20" s="389" t="e" cm="1">
        <f t="array" ref="T20">_xlfn.XLOOKUP(1, ('0. GUIDELINES'!$E$3='[1]input-labor'!$A:$A) * (T$19='[1]input-labor'!$B:$B) * ($A20='[1]input-labor'!$C:$C), '[1]input-labor'!$D:$D)</f>
        <v>#N/A</v>
      </c>
      <c r="U20" s="389" t="e" cm="1">
        <f t="array" ref="U20">_xlfn.XLOOKUP(1, ('0. GUIDELINES'!$E$3='[1]input-labor'!$A:$A) * (U$19='[1]input-labor'!$B:$B) * ($A20='[1]input-labor'!$C:$C), '[1]input-labor'!$D:$D)</f>
        <v>#N/A</v>
      </c>
      <c r="V20" s="389" t="e" cm="1">
        <f t="array" ref="V20">_xlfn.XLOOKUP(1, ('0. GUIDELINES'!$E$3='[1]input-labor'!$A:$A) * (V$19='[1]input-labor'!$B:$B) * ($A20='[1]input-labor'!$C:$C), '[1]input-labor'!$D:$D)</f>
        <v>#N/A</v>
      </c>
      <c r="W20" s="389" t="e" cm="1">
        <f t="array" ref="W20">_xlfn.XLOOKUP(1, ('0. GUIDELINES'!$E$3='[1]input-labor'!$A:$A) * (W$19='[1]input-labor'!$B:$B) * ($A20='[1]input-labor'!$C:$C), '[1]input-labor'!$D:$D)</f>
        <v>#N/A</v>
      </c>
      <c r="X20" s="389" t="e" cm="1">
        <f t="array" ref="X20">_xlfn.XLOOKUP(1, ('0. GUIDELINES'!$E$3='[1]input-labor'!$A:$A) * (X$19='[1]input-labor'!$B:$B) * ($A20='[1]input-labor'!$C:$C), '[1]input-labor'!$D:$D)</f>
        <v>#N/A</v>
      </c>
      <c r="Y20" s="389" t="e" cm="1">
        <f t="array" ref="Y20">_xlfn.XLOOKUP(1, ('0. GUIDELINES'!$E$3='[1]input-labor'!$A:$A) * (Y$19='[1]input-labor'!$B:$B) * ($A20='[1]input-labor'!$C:$C), '[1]input-labor'!$D:$D)</f>
        <v>#N/A</v>
      </c>
      <c r="Z20" s="389" t="e" cm="1">
        <f t="array" ref="Z20">_xlfn.XLOOKUP(1, ('0. GUIDELINES'!$E$3='[1]input-labor'!$A:$A) * (Z$19='[1]input-labor'!$B:$B) * ($A20='[1]input-labor'!$C:$C), '[1]input-labor'!$D:$D)</f>
        <v>#N/A</v>
      </c>
      <c r="AA20" s="389" t="e" cm="1">
        <f t="array" ref="AA20">_xlfn.XLOOKUP(1, ('0. GUIDELINES'!$E$3='[1]input-labor'!$A:$A) * (AA$19='[1]input-labor'!$B:$B) * ($A20='[1]input-labor'!$C:$C), '[1]input-labor'!$D:$D)</f>
        <v>#N/A</v>
      </c>
      <c r="AB20" s="189" t="e">
        <f>+AA20*(1+'GROWTH RATES'!Y32/100)</f>
        <v>#N/A</v>
      </c>
      <c r="AC20" s="189" t="e">
        <f>+AB20*(1+'GROWTH RATES'!Z32/100)</f>
        <v>#N/A</v>
      </c>
      <c r="AD20" s="189" t="e">
        <f>+AC20*(1+'GROWTH RATES'!AA32/100)</f>
        <v>#N/A</v>
      </c>
    </row>
    <row r="21" spans="1:30" ht="15" customHeight="1" x14ac:dyDescent="0.2">
      <c r="A21" s="94" t="s">
        <v>228</v>
      </c>
      <c r="B21" s="304"/>
      <c r="H21" s="388" t="s">
        <v>151</v>
      </c>
      <c r="I21" s="389" t="e" cm="1">
        <f t="array" ref="I21">_xlfn.XLOOKUP(1, ('0. GUIDELINES'!$E$3='[1]input-labor'!$A:$A) * (I$19='[1]input-labor'!$B:$B) * ($A21='[1]input-labor'!$C:$C), '[1]input-labor'!$D:$D)</f>
        <v>#N/A</v>
      </c>
      <c r="J21" s="389" t="e" cm="1">
        <f t="array" ref="J21">_xlfn.XLOOKUP(1, ('0. GUIDELINES'!$E$3='[1]input-labor'!$A:$A) * (J$19='[1]input-labor'!$B:$B) * ($A21='[1]input-labor'!$C:$C), '[1]input-labor'!$D:$D)</f>
        <v>#N/A</v>
      </c>
      <c r="K21" s="389" t="e" cm="1">
        <f t="array" ref="K21">_xlfn.XLOOKUP(1, ('0. GUIDELINES'!$E$3='[1]input-labor'!$A:$A) * (K$19='[1]input-labor'!$B:$B) * ($A21='[1]input-labor'!$C:$C), '[1]input-labor'!$D:$D)</f>
        <v>#N/A</v>
      </c>
      <c r="L21" s="389" t="e" cm="1">
        <f t="array" ref="L21">_xlfn.XLOOKUP(1, ('0. GUIDELINES'!$E$3='[1]input-labor'!$A:$A) * (L$19='[1]input-labor'!$B:$B) * ($A21='[1]input-labor'!$C:$C), '[1]input-labor'!$D:$D)</f>
        <v>#N/A</v>
      </c>
      <c r="M21" s="389" t="e" cm="1">
        <f t="array" ref="M21">_xlfn.XLOOKUP(1, ('0. GUIDELINES'!$E$3='[1]input-labor'!$A:$A) * (M$19='[1]input-labor'!$B:$B) * ($A21='[1]input-labor'!$C:$C), '[1]input-labor'!$D:$D)</f>
        <v>#N/A</v>
      </c>
      <c r="N21" s="389" t="e" cm="1">
        <f t="array" ref="N21">_xlfn.XLOOKUP(1, ('0. GUIDELINES'!$E$3='[1]input-labor'!$A:$A) * (N$19='[1]input-labor'!$B:$B) * ($A21='[1]input-labor'!$C:$C), '[1]input-labor'!$D:$D)</f>
        <v>#N/A</v>
      </c>
      <c r="O21" s="389" t="e" cm="1">
        <f t="array" ref="O21">_xlfn.XLOOKUP(1, ('0. GUIDELINES'!$E$3='[1]input-labor'!$A:$A) * (O$19='[1]input-labor'!$B:$B) * ($A21='[1]input-labor'!$C:$C), '[1]input-labor'!$D:$D)</f>
        <v>#N/A</v>
      </c>
      <c r="P21" s="389" t="e" cm="1">
        <f t="array" ref="P21">_xlfn.XLOOKUP(1, ('0. GUIDELINES'!$E$3='[1]input-labor'!$A:$A) * (P$19='[1]input-labor'!$B:$B) * ($A21='[1]input-labor'!$C:$C), '[1]input-labor'!$D:$D)</f>
        <v>#N/A</v>
      </c>
      <c r="Q21" s="389" t="e" cm="1">
        <f t="array" ref="Q21">_xlfn.XLOOKUP(1, ('0. GUIDELINES'!$E$3='[1]input-labor'!$A:$A) * (Q$19='[1]input-labor'!$B:$B) * ($A21='[1]input-labor'!$C:$C), '[1]input-labor'!$D:$D)</f>
        <v>#N/A</v>
      </c>
      <c r="R21" s="389" t="e" cm="1">
        <f t="array" ref="R21">_xlfn.XLOOKUP(1, ('0. GUIDELINES'!$E$3='[1]input-labor'!$A:$A) * (R$19='[1]input-labor'!$B:$B) * ($A21='[1]input-labor'!$C:$C), '[1]input-labor'!$D:$D)</f>
        <v>#N/A</v>
      </c>
      <c r="S21" s="389" t="e" cm="1">
        <f t="array" ref="S21">_xlfn.XLOOKUP(1, ('0. GUIDELINES'!$E$3='[1]input-labor'!$A:$A) * (S$19='[1]input-labor'!$B:$B) * ($A21='[1]input-labor'!$C:$C), '[1]input-labor'!$D:$D)</f>
        <v>#N/A</v>
      </c>
      <c r="T21" s="389" t="e" cm="1">
        <f t="array" ref="T21">_xlfn.XLOOKUP(1, ('0. GUIDELINES'!$E$3='[1]input-labor'!$A:$A) * (T$19='[1]input-labor'!$B:$B) * ($A21='[1]input-labor'!$C:$C), '[1]input-labor'!$D:$D)</f>
        <v>#N/A</v>
      </c>
      <c r="U21" s="389" t="e" cm="1">
        <f t="array" ref="U21">_xlfn.XLOOKUP(1, ('0. GUIDELINES'!$E$3='[1]input-labor'!$A:$A) * (U$19='[1]input-labor'!$B:$B) * ($A21='[1]input-labor'!$C:$C), '[1]input-labor'!$D:$D)</f>
        <v>#N/A</v>
      </c>
      <c r="V21" s="389" t="e" cm="1">
        <f t="array" ref="V21">_xlfn.XLOOKUP(1, ('0. GUIDELINES'!$E$3='[1]input-labor'!$A:$A) * (V$19='[1]input-labor'!$B:$B) * ($A21='[1]input-labor'!$C:$C), '[1]input-labor'!$D:$D)</f>
        <v>#N/A</v>
      </c>
      <c r="W21" s="389" t="e" cm="1">
        <f t="array" ref="W21">_xlfn.XLOOKUP(1, ('0. GUIDELINES'!$E$3='[1]input-labor'!$A:$A) * (W$19='[1]input-labor'!$B:$B) * ($A21='[1]input-labor'!$C:$C), '[1]input-labor'!$D:$D)</f>
        <v>#N/A</v>
      </c>
      <c r="X21" s="389" t="e" cm="1">
        <f t="array" ref="X21">_xlfn.XLOOKUP(1, ('0. GUIDELINES'!$E$3='[1]input-labor'!$A:$A) * (X$19='[1]input-labor'!$B:$B) * ($A21='[1]input-labor'!$C:$C), '[1]input-labor'!$D:$D)</f>
        <v>#N/A</v>
      </c>
      <c r="Y21" s="389" t="e" cm="1">
        <f t="array" ref="Y21">_xlfn.XLOOKUP(1, ('0. GUIDELINES'!$E$3='[1]input-labor'!$A:$A) * (Y$19='[1]input-labor'!$B:$B) * ($A21='[1]input-labor'!$C:$C), '[1]input-labor'!$D:$D)</f>
        <v>#N/A</v>
      </c>
      <c r="Z21" s="389" t="e" cm="1">
        <f t="array" ref="Z21">_xlfn.XLOOKUP(1, ('0. GUIDELINES'!$E$3='[1]input-labor'!$A:$A) * (Z$19='[1]input-labor'!$B:$B) * ($A21='[1]input-labor'!$C:$C), '[1]input-labor'!$D:$D)</f>
        <v>#N/A</v>
      </c>
      <c r="AA21" s="389" t="e" cm="1">
        <f t="array" ref="AA21">_xlfn.XLOOKUP(1, ('0. GUIDELINES'!$E$3='[1]input-labor'!$A:$A) * (AA$19='[1]input-labor'!$B:$B) * ($A21='[1]input-labor'!$C:$C), '[1]input-labor'!$D:$D)</f>
        <v>#N/A</v>
      </c>
      <c r="AB21" s="189" t="e">
        <f>+AA21*(1+'GROWTH RATES'!Y33/100)</f>
        <v>#N/A</v>
      </c>
      <c r="AC21" s="189" t="e">
        <f>+AB21*(1+'GROWTH RATES'!Z33/100)</f>
        <v>#N/A</v>
      </c>
      <c r="AD21" s="189" t="e">
        <f>+AC21*(1+'GROWTH RATES'!AA33/100)</f>
        <v>#N/A</v>
      </c>
    </row>
    <row r="22" spans="1:30" ht="12.75" customHeight="1" x14ac:dyDescent="0.2">
      <c r="A22" s="94" t="s">
        <v>229</v>
      </c>
      <c r="B22" s="304"/>
      <c r="H22" s="388" t="s">
        <v>152</v>
      </c>
      <c r="I22" s="389" t="e" cm="1">
        <f t="array" ref="I22">_xlfn.XLOOKUP(1, ('0. GUIDELINES'!$E$3='[1]input-labor'!$A:$A) * (I$19='[1]input-labor'!$B:$B) * ($A22='[1]input-labor'!$C:$C), '[1]input-labor'!$D:$D)</f>
        <v>#N/A</v>
      </c>
      <c r="J22" s="389" t="e" cm="1">
        <f t="array" ref="J22">_xlfn.XLOOKUP(1, ('0. GUIDELINES'!$E$3='[1]input-labor'!$A:$A) * (J$19='[1]input-labor'!$B:$B) * ($A22='[1]input-labor'!$C:$C), '[1]input-labor'!$D:$D)</f>
        <v>#N/A</v>
      </c>
      <c r="K22" s="389" t="e" cm="1">
        <f t="array" ref="K22">_xlfn.XLOOKUP(1, ('0. GUIDELINES'!$E$3='[1]input-labor'!$A:$A) * (K$19='[1]input-labor'!$B:$B) * ($A22='[1]input-labor'!$C:$C), '[1]input-labor'!$D:$D)</f>
        <v>#N/A</v>
      </c>
      <c r="L22" s="389" t="e" cm="1">
        <f t="array" ref="L22">_xlfn.XLOOKUP(1, ('0. GUIDELINES'!$E$3='[1]input-labor'!$A:$A) * (L$19='[1]input-labor'!$B:$B) * ($A22='[1]input-labor'!$C:$C), '[1]input-labor'!$D:$D)</f>
        <v>#N/A</v>
      </c>
      <c r="M22" s="389" t="e" cm="1">
        <f t="array" ref="M22">_xlfn.XLOOKUP(1, ('0. GUIDELINES'!$E$3='[1]input-labor'!$A:$A) * (M$19='[1]input-labor'!$B:$B) * ($A22='[1]input-labor'!$C:$C), '[1]input-labor'!$D:$D)</f>
        <v>#N/A</v>
      </c>
      <c r="N22" s="389" t="e" cm="1">
        <f t="array" ref="N22">_xlfn.XLOOKUP(1, ('0. GUIDELINES'!$E$3='[1]input-labor'!$A:$A) * (N$19='[1]input-labor'!$B:$B) * ($A22='[1]input-labor'!$C:$C), '[1]input-labor'!$D:$D)</f>
        <v>#N/A</v>
      </c>
      <c r="O22" s="389" t="e" cm="1">
        <f t="array" ref="O22">_xlfn.XLOOKUP(1, ('0. GUIDELINES'!$E$3='[1]input-labor'!$A:$A) * (O$19='[1]input-labor'!$B:$B) * ($A22='[1]input-labor'!$C:$C), '[1]input-labor'!$D:$D)</f>
        <v>#N/A</v>
      </c>
      <c r="P22" s="389" t="e" cm="1">
        <f t="array" ref="P22">_xlfn.XLOOKUP(1, ('0. GUIDELINES'!$E$3='[1]input-labor'!$A:$A) * (P$19='[1]input-labor'!$B:$B) * ($A22='[1]input-labor'!$C:$C), '[1]input-labor'!$D:$D)</f>
        <v>#N/A</v>
      </c>
      <c r="Q22" s="389" t="e" cm="1">
        <f t="array" ref="Q22">_xlfn.XLOOKUP(1, ('0. GUIDELINES'!$E$3='[1]input-labor'!$A:$A) * (Q$19='[1]input-labor'!$B:$B) * ($A22='[1]input-labor'!$C:$C), '[1]input-labor'!$D:$D)</f>
        <v>#N/A</v>
      </c>
      <c r="R22" s="389" t="e" cm="1">
        <f t="array" ref="R22">_xlfn.XLOOKUP(1, ('0. GUIDELINES'!$E$3='[1]input-labor'!$A:$A) * (R$19='[1]input-labor'!$B:$B) * ($A22='[1]input-labor'!$C:$C), '[1]input-labor'!$D:$D)</f>
        <v>#N/A</v>
      </c>
      <c r="S22" s="389" t="e" cm="1">
        <f t="array" ref="S22">_xlfn.XLOOKUP(1, ('0. GUIDELINES'!$E$3='[1]input-labor'!$A:$A) * (S$19='[1]input-labor'!$B:$B) * ($A22='[1]input-labor'!$C:$C), '[1]input-labor'!$D:$D)</f>
        <v>#N/A</v>
      </c>
      <c r="T22" s="389" t="e" cm="1">
        <f t="array" ref="T22">_xlfn.XLOOKUP(1, ('0. GUIDELINES'!$E$3='[1]input-labor'!$A:$A) * (T$19='[1]input-labor'!$B:$B) * ($A22='[1]input-labor'!$C:$C), '[1]input-labor'!$D:$D)</f>
        <v>#N/A</v>
      </c>
      <c r="U22" s="389" t="e" cm="1">
        <f t="array" ref="U22">_xlfn.XLOOKUP(1, ('0. GUIDELINES'!$E$3='[1]input-labor'!$A:$A) * (U$19='[1]input-labor'!$B:$B) * ($A22='[1]input-labor'!$C:$C), '[1]input-labor'!$D:$D)</f>
        <v>#N/A</v>
      </c>
      <c r="V22" s="389" t="e" cm="1">
        <f t="array" ref="V22">_xlfn.XLOOKUP(1, ('0. GUIDELINES'!$E$3='[1]input-labor'!$A:$A) * (V$19='[1]input-labor'!$B:$B) * ($A22='[1]input-labor'!$C:$C), '[1]input-labor'!$D:$D)</f>
        <v>#N/A</v>
      </c>
      <c r="W22" s="389" t="e" cm="1">
        <f t="array" ref="W22">_xlfn.XLOOKUP(1, ('0. GUIDELINES'!$E$3='[1]input-labor'!$A:$A) * (W$19='[1]input-labor'!$B:$B) * ($A22='[1]input-labor'!$C:$C), '[1]input-labor'!$D:$D)</f>
        <v>#N/A</v>
      </c>
      <c r="X22" s="389" t="e" cm="1">
        <f t="array" ref="X22">_xlfn.XLOOKUP(1, ('0. GUIDELINES'!$E$3='[1]input-labor'!$A:$A) * (X$19='[1]input-labor'!$B:$B) * ($A22='[1]input-labor'!$C:$C), '[1]input-labor'!$D:$D)</f>
        <v>#N/A</v>
      </c>
      <c r="Y22" s="389" t="e" cm="1">
        <f t="array" ref="Y22">_xlfn.XLOOKUP(1, ('0. GUIDELINES'!$E$3='[1]input-labor'!$A:$A) * (Y$19='[1]input-labor'!$B:$B) * ($A22='[1]input-labor'!$C:$C), '[1]input-labor'!$D:$D)</f>
        <v>#N/A</v>
      </c>
      <c r="Z22" s="389" t="e" cm="1">
        <f t="array" ref="Z22">_xlfn.XLOOKUP(1, ('0. GUIDELINES'!$E$3='[1]input-labor'!$A:$A) * (Z$19='[1]input-labor'!$B:$B) * ($A22='[1]input-labor'!$C:$C), '[1]input-labor'!$D:$D)</f>
        <v>#N/A</v>
      </c>
      <c r="AA22" s="389" t="e" cm="1">
        <f t="array" ref="AA22">_xlfn.XLOOKUP(1, ('0. GUIDELINES'!$E$3='[1]input-labor'!$A:$A) * (AA$19='[1]input-labor'!$B:$B) * ($A22='[1]input-labor'!$C:$C), '[1]input-labor'!$D:$D)</f>
        <v>#N/A</v>
      </c>
      <c r="AB22" s="189" t="e">
        <f>+AA22*(1+'GROWTH RATES'!Y36/100)</f>
        <v>#N/A</v>
      </c>
      <c r="AC22" s="189" t="e">
        <f>+AB22*(1+'GROWTH RATES'!Z36/100)</f>
        <v>#N/A</v>
      </c>
      <c r="AD22" s="189" t="e">
        <f>+AC22*(1+'GROWTH RATES'!AA36/100)</f>
        <v>#N/A</v>
      </c>
    </row>
    <row r="23" spans="1:30" ht="15" customHeight="1" x14ac:dyDescent="0.2">
      <c r="A23" s="94" t="s">
        <v>230</v>
      </c>
      <c r="B23" s="304"/>
      <c r="H23" s="388" t="s">
        <v>153</v>
      </c>
      <c r="I23" s="389" t="e" cm="1">
        <f t="array" ref="I23">_xlfn.XLOOKUP(1, ('0. GUIDELINES'!$E$3='[1]input-labor'!$A:$A) * (I$19='[1]input-labor'!$B:$B) * ($A23='[1]input-labor'!$C:$C), '[1]input-labor'!$D:$D)</f>
        <v>#N/A</v>
      </c>
      <c r="J23" s="389" t="e" cm="1">
        <f t="array" ref="J23">_xlfn.XLOOKUP(1, ('0. GUIDELINES'!$E$3='[1]input-labor'!$A:$A) * (J$19='[1]input-labor'!$B:$B) * ($A23='[1]input-labor'!$C:$C), '[1]input-labor'!$D:$D)</f>
        <v>#N/A</v>
      </c>
      <c r="K23" s="389" t="e" cm="1">
        <f t="array" ref="K23">_xlfn.XLOOKUP(1, ('0. GUIDELINES'!$E$3='[1]input-labor'!$A:$A) * (K$19='[1]input-labor'!$B:$B) * ($A23='[1]input-labor'!$C:$C), '[1]input-labor'!$D:$D)</f>
        <v>#N/A</v>
      </c>
      <c r="L23" s="389" t="e" cm="1">
        <f t="array" ref="L23">_xlfn.XLOOKUP(1, ('0. GUIDELINES'!$E$3='[1]input-labor'!$A:$A) * (L$19='[1]input-labor'!$B:$B) * ($A23='[1]input-labor'!$C:$C), '[1]input-labor'!$D:$D)</f>
        <v>#N/A</v>
      </c>
      <c r="M23" s="389" t="e" cm="1">
        <f t="array" ref="M23">_xlfn.XLOOKUP(1, ('0. GUIDELINES'!$E$3='[1]input-labor'!$A:$A) * (M$19='[1]input-labor'!$B:$B) * ($A23='[1]input-labor'!$C:$C), '[1]input-labor'!$D:$D)</f>
        <v>#N/A</v>
      </c>
      <c r="N23" s="389" t="e" cm="1">
        <f t="array" ref="N23">_xlfn.XLOOKUP(1, ('0. GUIDELINES'!$E$3='[1]input-labor'!$A:$A) * (N$19='[1]input-labor'!$B:$B) * ($A23='[1]input-labor'!$C:$C), '[1]input-labor'!$D:$D)</f>
        <v>#N/A</v>
      </c>
      <c r="O23" s="389" t="e" cm="1">
        <f t="array" ref="O23">_xlfn.XLOOKUP(1, ('0. GUIDELINES'!$E$3='[1]input-labor'!$A:$A) * (O$19='[1]input-labor'!$B:$B) * ($A23='[1]input-labor'!$C:$C), '[1]input-labor'!$D:$D)</f>
        <v>#N/A</v>
      </c>
      <c r="P23" s="389" t="e" cm="1">
        <f t="array" ref="P23">_xlfn.XLOOKUP(1, ('0. GUIDELINES'!$E$3='[1]input-labor'!$A:$A) * (P$19='[1]input-labor'!$B:$B) * ($A23='[1]input-labor'!$C:$C), '[1]input-labor'!$D:$D)</f>
        <v>#N/A</v>
      </c>
      <c r="Q23" s="389" t="e" cm="1">
        <f t="array" ref="Q23">_xlfn.XLOOKUP(1, ('0. GUIDELINES'!$E$3='[1]input-labor'!$A:$A) * (Q$19='[1]input-labor'!$B:$B) * ($A23='[1]input-labor'!$C:$C), '[1]input-labor'!$D:$D)</f>
        <v>#N/A</v>
      </c>
      <c r="R23" s="389" t="e" cm="1">
        <f t="array" ref="R23">_xlfn.XLOOKUP(1, ('0. GUIDELINES'!$E$3='[1]input-labor'!$A:$A) * (R$19='[1]input-labor'!$B:$B) * ($A23='[1]input-labor'!$C:$C), '[1]input-labor'!$D:$D)</f>
        <v>#N/A</v>
      </c>
      <c r="S23" s="389" t="e" cm="1">
        <f t="array" ref="S23">_xlfn.XLOOKUP(1, ('0. GUIDELINES'!$E$3='[1]input-labor'!$A:$A) * (S$19='[1]input-labor'!$B:$B) * ($A23='[1]input-labor'!$C:$C), '[1]input-labor'!$D:$D)</f>
        <v>#N/A</v>
      </c>
      <c r="T23" s="389" t="e" cm="1">
        <f t="array" ref="T23">_xlfn.XLOOKUP(1, ('0. GUIDELINES'!$E$3='[1]input-labor'!$A:$A) * (T$19='[1]input-labor'!$B:$B) * ($A23='[1]input-labor'!$C:$C), '[1]input-labor'!$D:$D)</f>
        <v>#N/A</v>
      </c>
      <c r="U23" s="389" t="e" cm="1">
        <f t="array" ref="U23">_xlfn.XLOOKUP(1, ('0. GUIDELINES'!$E$3='[1]input-labor'!$A:$A) * (U$19='[1]input-labor'!$B:$B) * ($A23='[1]input-labor'!$C:$C), '[1]input-labor'!$D:$D)</f>
        <v>#N/A</v>
      </c>
      <c r="V23" s="389" t="e" cm="1">
        <f t="array" ref="V23">_xlfn.XLOOKUP(1, ('0. GUIDELINES'!$E$3='[1]input-labor'!$A:$A) * (V$19='[1]input-labor'!$B:$B) * ($A23='[1]input-labor'!$C:$C), '[1]input-labor'!$D:$D)</f>
        <v>#N/A</v>
      </c>
      <c r="W23" s="389" t="e" cm="1">
        <f t="array" ref="W23">_xlfn.XLOOKUP(1, ('0. GUIDELINES'!$E$3='[1]input-labor'!$A:$A) * (W$19='[1]input-labor'!$B:$B) * ($A23='[1]input-labor'!$C:$C), '[1]input-labor'!$D:$D)</f>
        <v>#N/A</v>
      </c>
      <c r="X23" s="389" t="e" cm="1">
        <f t="array" ref="X23">_xlfn.XLOOKUP(1, ('0. GUIDELINES'!$E$3='[1]input-labor'!$A:$A) * (X$19='[1]input-labor'!$B:$B) * ($A23='[1]input-labor'!$C:$C), '[1]input-labor'!$D:$D)</f>
        <v>#N/A</v>
      </c>
      <c r="Y23" s="389" t="e" cm="1">
        <f t="array" ref="Y23">_xlfn.XLOOKUP(1, ('0. GUIDELINES'!$E$3='[1]input-labor'!$A:$A) * (Y$19='[1]input-labor'!$B:$B) * ($A23='[1]input-labor'!$C:$C), '[1]input-labor'!$D:$D)</f>
        <v>#N/A</v>
      </c>
      <c r="Z23" s="389" t="e" cm="1">
        <f t="array" ref="Z23">_xlfn.XLOOKUP(1, ('0. GUIDELINES'!$E$3='[1]input-labor'!$A:$A) * (Z$19='[1]input-labor'!$B:$B) * ($A23='[1]input-labor'!$C:$C), '[1]input-labor'!$D:$D)</f>
        <v>#N/A</v>
      </c>
      <c r="AA23" s="389" t="e" cm="1">
        <f t="array" ref="AA23">_xlfn.XLOOKUP(1, ('0. GUIDELINES'!$E$3='[1]input-labor'!$A:$A) * (AA$19='[1]input-labor'!$B:$B) * ($A23='[1]input-labor'!$C:$C), '[1]input-labor'!$D:$D)</f>
        <v>#N/A</v>
      </c>
      <c r="AB23" s="189" t="e">
        <f>+AA23*(1+'GROWTH RATES'!Y37/100)</f>
        <v>#N/A</v>
      </c>
      <c r="AC23" s="189" t="e">
        <f>+AB23*(1+'GROWTH RATES'!Z37/100)</f>
        <v>#N/A</v>
      </c>
      <c r="AD23" s="189" t="e">
        <f>+AC23*(1+'GROWTH RATES'!AA37/100)</f>
        <v>#N/A</v>
      </c>
    </row>
    <row r="24" spans="1:30" ht="15" customHeight="1" x14ac:dyDescent="0.2">
      <c r="A24" s="94" t="s">
        <v>231</v>
      </c>
      <c r="B24" s="304"/>
      <c r="H24" s="388" t="s">
        <v>155</v>
      </c>
      <c r="I24" s="389" t="e" cm="1">
        <f t="array" ref="I24">_xlfn.XLOOKUP(1, ('0. GUIDELINES'!$E$3='[1]input-labor'!$A:$A) * (I$19='[1]input-labor'!$B:$B) * ($A24='[1]input-labor'!$C:$C), '[1]input-labor'!$D:$D)</f>
        <v>#N/A</v>
      </c>
      <c r="J24" s="389" t="e" cm="1">
        <f t="array" ref="J24">_xlfn.XLOOKUP(1, ('0. GUIDELINES'!$E$3='[1]input-labor'!$A:$A) * (J$19='[1]input-labor'!$B:$B) * ($A24='[1]input-labor'!$C:$C), '[1]input-labor'!$D:$D)</f>
        <v>#N/A</v>
      </c>
      <c r="K24" s="389" t="e" cm="1">
        <f t="array" ref="K24">_xlfn.XLOOKUP(1, ('0. GUIDELINES'!$E$3='[1]input-labor'!$A:$A) * (K$19='[1]input-labor'!$B:$B) * ($A24='[1]input-labor'!$C:$C), '[1]input-labor'!$D:$D)</f>
        <v>#N/A</v>
      </c>
      <c r="L24" s="389" t="e" cm="1">
        <f t="array" ref="L24">_xlfn.XLOOKUP(1, ('0. GUIDELINES'!$E$3='[1]input-labor'!$A:$A) * (L$19='[1]input-labor'!$B:$B) * ($A24='[1]input-labor'!$C:$C), '[1]input-labor'!$D:$D)</f>
        <v>#N/A</v>
      </c>
      <c r="M24" s="389" t="e" cm="1">
        <f t="array" ref="M24">_xlfn.XLOOKUP(1, ('0. GUIDELINES'!$E$3='[1]input-labor'!$A:$A) * (M$19='[1]input-labor'!$B:$B) * ($A24='[1]input-labor'!$C:$C), '[1]input-labor'!$D:$D)</f>
        <v>#N/A</v>
      </c>
      <c r="N24" s="389" t="e" cm="1">
        <f t="array" ref="N24">_xlfn.XLOOKUP(1, ('0. GUIDELINES'!$E$3='[1]input-labor'!$A:$A) * (N$19='[1]input-labor'!$B:$B) * ($A24='[1]input-labor'!$C:$C), '[1]input-labor'!$D:$D)</f>
        <v>#N/A</v>
      </c>
      <c r="O24" s="389" t="e" cm="1">
        <f t="array" ref="O24">_xlfn.XLOOKUP(1, ('0. GUIDELINES'!$E$3='[1]input-labor'!$A:$A) * (O$19='[1]input-labor'!$B:$B) * ($A24='[1]input-labor'!$C:$C), '[1]input-labor'!$D:$D)</f>
        <v>#N/A</v>
      </c>
      <c r="P24" s="389" t="e" cm="1">
        <f t="array" ref="P24">_xlfn.XLOOKUP(1, ('0. GUIDELINES'!$E$3='[1]input-labor'!$A:$A) * (P$19='[1]input-labor'!$B:$B) * ($A24='[1]input-labor'!$C:$C), '[1]input-labor'!$D:$D)</f>
        <v>#N/A</v>
      </c>
      <c r="Q24" s="389" t="e" cm="1">
        <f t="array" ref="Q24">_xlfn.XLOOKUP(1, ('0. GUIDELINES'!$E$3='[1]input-labor'!$A:$A) * (Q$19='[1]input-labor'!$B:$B) * ($A24='[1]input-labor'!$C:$C), '[1]input-labor'!$D:$D)</f>
        <v>#N/A</v>
      </c>
      <c r="R24" s="389" t="e" cm="1">
        <f t="array" ref="R24">_xlfn.XLOOKUP(1, ('0. GUIDELINES'!$E$3='[1]input-labor'!$A:$A) * (R$19='[1]input-labor'!$B:$B) * ($A24='[1]input-labor'!$C:$C), '[1]input-labor'!$D:$D)</f>
        <v>#N/A</v>
      </c>
      <c r="S24" s="389" t="e" cm="1">
        <f t="array" ref="S24">_xlfn.XLOOKUP(1, ('0. GUIDELINES'!$E$3='[1]input-labor'!$A:$A) * (S$19='[1]input-labor'!$B:$B) * ($A24='[1]input-labor'!$C:$C), '[1]input-labor'!$D:$D)</f>
        <v>#N/A</v>
      </c>
      <c r="T24" s="389" t="e" cm="1">
        <f t="array" ref="T24">_xlfn.XLOOKUP(1, ('0. GUIDELINES'!$E$3='[1]input-labor'!$A:$A) * (T$19='[1]input-labor'!$B:$B) * ($A24='[1]input-labor'!$C:$C), '[1]input-labor'!$D:$D)</f>
        <v>#N/A</v>
      </c>
      <c r="U24" s="389" t="e" cm="1">
        <f t="array" ref="U24">_xlfn.XLOOKUP(1, ('0. GUIDELINES'!$E$3='[1]input-labor'!$A:$A) * (U$19='[1]input-labor'!$B:$B) * ($A24='[1]input-labor'!$C:$C), '[1]input-labor'!$D:$D)</f>
        <v>#N/A</v>
      </c>
      <c r="V24" s="389" t="e" cm="1">
        <f t="array" ref="V24">_xlfn.XLOOKUP(1, ('0. GUIDELINES'!$E$3='[1]input-labor'!$A:$A) * (V$19='[1]input-labor'!$B:$B) * ($A24='[1]input-labor'!$C:$C), '[1]input-labor'!$D:$D)</f>
        <v>#N/A</v>
      </c>
      <c r="W24" s="389" t="e" cm="1">
        <f t="array" ref="W24">_xlfn.XLOOKUP(1, ('0. GUIDELINES'!$E$3='[1]input-labor'!$A:$A) * (W$19='[1]input-labor'!$B:$B) * ($A24='[1]input-labor'!$C:$C), '[1]input-labor'!$D:$D)</f>
        <v>#N/A</v>
      </c>
      <c r="X24" s="389" t="e" cm="1">
        <f t="array" ref="X24">_xlfn.XLOOKUP(1, ('0. GUIDELINES'!$E$3='[1]input-labor'!$A:$A) * (X$19='[1]input-labor'!$B:$B) * ($A24='[1]input-labor'!$C:$C), '[1]input-labor'!$D:$D)</f>
        <v>#N/A</v>
      </c>
      <c r="Y24" s="389" t="e" cm="1">
        <f t="array" ref="Y24">_xlfn.XLOOKUP(1, ('0. GUIDELINES'!$E$3='[1]input-labor'!$A:$A) * (Y$19='[1]input-labor'!$B:$B) * ($A24='[1]input-labor'!$C:$C), '[1]input-labor'!$D:$D)</f>
        <v>#N/A</v>
      </c>
      <c r="Z24" s="389" t="e" cm="1">
        <f t="array" ref="Z24">_xlfn.XLOOKUP(1, ('0. GUIDELINES'!$E$3='[1]input-labor'!$A:$A) * (Z$19='[1]input-labor'!$B:$B) * ($A24='[1]input-labor'!$C:$C), '[1]input-labor'!$D:$D)</f>
        <v>#N/A</v>
      </c>
      <c r="AA24" s="389" t="e" cm="1">
        <f t="array" ref="AA24">_xlfn.XLOOKUP(1, ('0. GUIDELINES'!$E$3='[1]input-labor'!$A:$A) * (AA$19='[1]input-labor'!$B:$B) * ($A24='[1]input-labor'!$C:$C), '[1]input-labor'!$D:$D)</f>
        <v>#N/A</v>
      </c>
      <c r="AB24" s="189" t="e">
        <f>+AA24*(1+'GROWTH RATES'!Y41/100)</f>
        <v>#N/A</v>
      </c>
      <c r="AC24" s="189" t="e">
        <f>+AB24*(1+'GROWTH RATES'!Z41/100)</f>
        <v>#N/A</v>
      </c>
      <c r="AD24" s="189" t="e">
        <f>+AC24*(1+'GROWTH RATES'!AA41/100)</f>
        <v>#N/A</v>
      </c>
    </row>
    <row r="25" spans="1:30" ht="15.75" customHeight="1" x14ac:dyDescent="0.2">
      <c r="A25" s="94" t="s">
        <v>232</v>
      </c>
      <c r="B25" s="304"/>
      <c r="H25" s="388" t="s">
        <v>157</v>
      </c>
      <c r="I25" s="389" t="e" cm="1">
        <f t="array" ref="I25">_xlfn.XLOOKUP(1, ('0. GUIDELINES'!$E$3='[1]input-labor'!$A:$A) * (I$19='[1]input-labor'!$B:$B) * ($A25='[1]input-labor'!$C:$C), '[1]input-labor'!$D:$D)</f>
        <v>#N/A</v>
      </c>
      <c r="J25" s="389" t="e" cm="1">
        <f t="array" ref="J25">_xlfn.XLOOKUP(1, ('0. GUIDELINES'!$E$3='[1]input-labor'!$A:$A) * (J$19='[1]input-labor'!$B:$B) * ($A25='[1]input-labor'!$C:$C), '[1]input-labor'!$D:$D)</f>
        <v>#N/A</v>
      </c>
      <c r="K25" s="389" t="e" cm="1">
        <f t="array" ref="K25">_xlfn.XLOOKUP(1, ('0. GUIDELINES'!$E$3='[1]input-labor'!$A:$A) * (K$19='[1]input-labor'!$B:$B) * ($A25='[1]input-labor'!$C:$C), '[1]input-labor'!$D:$D)</f>
        <v>#N/A</v>
      </c>
      <c r="L25" s="389" t="e" cm="1">
        <f t="array" ref="L25">_xlfn.XLOOKUP(1, ('0. GUIDELINES'!$E$3='[1]input-labor'!$A:$A) * (L$19='[1]input-labor'!$B:$B) * ($A25='[1]input-labor'!$C:$C), '[1]input-labor'!$D:$D)</f>
        <v>#N/A</v>
      </c>
      <c r="M25" s="389" t="e" cm="1">
        <f t="array" ref="M25">_xlfn.XLOOKUP(1, ('0. GUIDELINES'!$E$3='[1]input-labor'!$A:$A) * (M$19='[1]input-labor'!$B:$B) * ($A25='[1]input-labor'!$C:$C), '[1]input-labor'!$D:$D)</f>
        <v>#N/A</v>
      </c>
      <c r="N25" s="389" t="e" cm="1">
        <f t="array" ref="N25">_xlfn.XLOOKUP(1, ('0. GUIDELINES'!$E$3='[1]input-labor'!$A:$A) * (N$19='[1]input-labor'!$B:$B) * ($A25='[1]input-labor'!$C:$C), '[1]input-labor'!$D:$D)</f>
        <v>#N/A</v>
      </c>
      <c r="O25" s="389" t="e" cm="1">
        <f t="array" ref="O25">_xlfn.XLOOKUP(1, ('0. GUIDELINES'!$E$3='[1]input-labor'!$A:$A) * (O$19='[1]input-labor'!$B:$B) * ($A25='[1]input-labor'!$C:$C), '[1]input-labor'!$D:$D)</f>
        <v>#N/A</v>
      </c>
      <c r="P25" s="389" t="e" cm="1">
        <f t="array" ref="P25">_xlfn.XLOOKUP(1, ('0. GUIDELINES'!$E$3='[1]input-labor'!$A:$A) * (P$19='[1]input-labor'!$B:$B) * ($A25='[1]input-labor'!$C:$C), '[1]input-labor'!$D:$D)</f>
        <v>#N/A</v>
      </c>
      <c r="Q25" s="389" t="e" cm="1">
        <f t="array" ref="Q25">_xlfn.XLOOKUP(1, ('0. GUIDELINES'!$E$3='[1]input-labor'!$A:$A) * (Q$19='[1]input-labor'!$B:$B) * ($A25='[1]input-labor'!$C:$C), '[1]input-labor'!$D:$D)</f>
        <v>#N/A</v>
      </c>
      <c r="R25" s="389" t="e" cm="1">
        <f t="array" ref="R25">_xlfn.XLOOKUP(1, ('0. GUIDELINES'!$E$3='[1]input-labor'!$A:$A) * (R$19='[1]input-labor'!$B:$B) * ($A25='[1]input-labor'!$C:$C), '[1]input-labor'!$D:$D)</f>
        <v>#N/A</v>
      </c>
      <c r="S25" s="389" t="e" cm="1">
        <f t="array" ref="S25">_xlfn.XLOOKUP(1, ('0. GUIDELINES'!$E$3='[1]input-labor'!$A:$A) * (S$19='[1]input-labor'!$B:$B) * ($A25='[1]input-labor'!$C:$C), '[1]input-labor'!$D:$D)</f>
        <v>#N/A</v>
      </c>
      <c r="T25" s="389" t="e" cm="1">
        <f t="array" ref="T25">_xlfn.XLOOKUP(1, ('0. GUIDELINES'!$E$3='[1]input-labor'!$A:$A) * (T$19='[1]input-labor'!$B:$B) * ($A25='[1]input-labor'!$C:$C), '[1]input-labor'!$D:$D)</f>
        <v>#N/A</v>
      </c>
      <c r="U25" s="389" t="e" cm="1">
        <f t="array" ref="U25">_xlfn.XLOOKUP(1, ('0. GUIDELINES'!$E$3='[1]input-labor'!$A:$A) * (U$19='[1]input-labor'!$B:$B) * ($A25='[1]input-labor'!$C:$C), '[1]input-labor'!$D:$D)</f>
        <v>#N/A</v>
      </c>
      <c r="V25" s="389" t="e" cm="1">
        <f t="array" ref="V25">_xlfn.XLOOKUP(1, ('0. GUIDELINES'!$E$3='[1]input-labor'!$A:$A) * (V$19='[1]input-labor'!$B:$B) * ($A25='[1]input-labor'!$C:$C), '[1]input-labor'!$D:$D)</f>
        <v>#N/A</v>
      </c>
      <c r="W25" s="389" t="e" cm="1">
        <f t="array" ref="W25">_xlfn.XLOOKUP(1, ('0. GUIDELINES'!$E$3='[1]input-labor'!$A:$A) * (W$19='[1]input-labor'!$B:$B) * ($A25='[1]input-labor'!$C:$C), '[1]input-labor'!$D:$D)</f>
        <v>#N/A</v>
      </c>
      <c r="X25" s="389" t="e" cm="1">
        <f t="array" ref="X25">_xlfn.XLOOKUP(1, ('0. GUIDELINES'!$E$3='[1]input-labor'!$A:$A) * (X$19='[1]input-labor'!$B:$B) * ($A25='[1]input-labor'!$C:$C), '[1]input-labor'!$D:$D)</f>
        <v>#N/A</v>
      </c>
      <c r="Y25" s="389" t="e" cm="1">
        <f t="array" ref="Y25">_xlfn.XLOOKUP(1, ('0. GUIDELINES'!$E$3='[1]input-labor'!$A:$A) * (Y$19='[1]input-labor'!$B:$B) * ($A25='[1]input-labor'!$C:$C), '[1]input-labor'!$D:$D)</f>
        <v>#N/A</v>
      </c>
      <c r="Z25" s="389" t="e" cm="1">
        <f t="array" ref="Z25">_xlfn.XLOOKUP(1, ('0. GUIDELINES'!$E$3='[1]input-labor'!$A:$A) * (Z$19='[1]input-labor'!$B:$B) * ($A25='[1]input-labor'!$C:$C), '[1]input-labor'!$D:$D)</f>
        <v>#N/A</v>
      </c>
      <c r="AA25" s="389" t="e" cm="1">
        <f t="array" ref="AA25">_xlfn.XLOOKUP(1, ('0. GUIDELINES'!$E$3='[1]input-labor'!$A:$A) * (AA$19='[1]input-labor'!$B:$B) * ($A25='[1]input-labor'!$C:$C), '[1]input-labor'!$D:$D)</f>
        <v>#N/A</v>
      </c>
      <c r="AB25" s="189" t="e">
        <f>+AA25*(1+'GROWTH RATES'!Y42/100)</f>
        <v>#N/A</v>
      </c>
      <c r="AC25" s="189" t="e">
        <f>+AB25*(1+'GROWTH RATES'!Z42/100)</f>
        <v>#N/A</v>
      </c>
      <c r="AD25" s="189" t="e">
        <f>+AC25*(1+'GROWTH RATES'!AA42/100)</f>
        <v>#N/A</v>
      </c>
    </row>
    <row r="26" spans="1:30" x14ac:dyDescent="0.2">
      <c r="A26" s="94" t="s">
        <v>233</v>
      </c>
      <c r="B26" s="304"/>
      <c r="H26" s="390" t="s">
        <v>208</v>
      </c>
      <c r="I26" s="391" t="e" cm="1">
        <f t="array" ref="I26">_xlfn.XLOOKUP(1, ('0. GUIDELINES'!$E$3='[1]input-labor'!$A:$A) * (I$19='[1]input-labor'!$B:$B) * ($A26='[1]input-labor'!$C:$C), '[1]input-labor'!$D:$D)</f>
        <v>#N/A</v>
      </c>
      <c r="J26" s="391" t="e" cm="1">
        <f t="array" ref="J26">_xlfn.XLOOKUP(1, ('0. GUIDELINES'!$E$3='[1]input-labor'!$A:$A) * (J$19='[1]input-labor'!$B:$B) * ($A26='[1]input-labor'!$C:$C), '[1]input-labor'!$D:$D)</f>
        <v>#N/A</v>
      </c>
      <c r="K26" s="391" t="e" cm="1">
        <f t="array" ref="K26">_xlfn.XLOOKUP(1, ('0. GUIDELINES'!$E$3='[1]input-labor'!$A:$A) * (K$19='[1]input-labor'!$B:$B) * ($A26='[1]input-labor'!$C:$C), '[1]input-labor'!$D:$D)</f>
        <v>#N/A</v>
      </c>
      <c r="L26" s="391" t="e" cm="1">
        <f t="array" ref="L26">_xlfn.XLOOKUP(1, ('0. GUIDELINES'!$E$3='[1]input-labor'!$A:$A) * (L$19='[1]input-labor'!$B:$B) * ($A26='[1]input-labor'!$C:$C), '[1]input-labor'!$D:$D)</f>
        <v>#N/A</v>
      </c>
      <c r="M26" s="391" t="e" cm="1">
        <f t="array" ref="M26">_xlfn.XLOOKUP(1, ('0. GUIDELINES'!$E$3='[1]input-labor'!$A:$A) * (M$19='[1]input-labor'!$B:$B) * ($A26='[1]input-labor'!$C:$C), '[1]input-labor'!$D:$D)</f>
        <v>#N/A</v>
      </c>
      <c r="N26" s="391" t="e" cm="1">
        <f t="array" ref="N26">_xlfn.XLOOKUP(1, ('0. GUIDELINES'!$E$3='[1]input-labor'!$A:$A) * (N$19='[1]input-labor'!$B:$B) * ($A26='[1]input-labor'!$C:$C), '[1]input-labor'!$D:$D)</f>
        <v>#N/A</v>
      </c>
      <c r="O26" s="391" t="e" cm="1">
        <f t="array" ref="O26">_xlfn.XLOOKUP(1, ('0. GUIDELINES'!$E$3='[1]input-labor'!$A:$A) * (O$19='[1]input-labor'!$B:$B) * ($A26='[1]input-labor'!$C:$C), '[1]input-labor'!$D:$D)</f>
        <v>#N/A</v>
      </c>
      <c r="P26" s="391" t="e" cm="1">
        <f t="array" ref="P26">_xlfn.XLOOKUP(1, ('0. GUIDELINES'!$E$3='[1]input-labor'!$A:$A) * (P$19='[1]input-labor'!$B:$B) * ($A26='[1]input-labor'!$C:$C), '[1]input-labor'!$D:$D)</f>
        <v>#N/A</v>
      </c>
      <c r="Q26" s="391" t="e" cm="1">
        <f t="array" ref="Q26">_xlfn.XLOOKUP(1, ('0. GUIDELINES'!$E$3='[1]input-labor'!$A:$A) * (Q$19='[1]input-labor'!$B:$B) * ($A26='[1]input-labor'!$C:$C), '[1]input-labor'!$D:$D)</f>
        <v>#N/A</v>
      </c>
      <c r="R26" s="391" t="e" cm="1">
        <f t="array" ref="R26">_xlfn.XLOOKUP(1, ('0. GUIDELINES'!$E$3='[1]input-labor'!$A:$A) * (R$19='[1]input-labor'!$B:$B) * ($A26='[1]input-labor'!$C:$C), '[1]input-labor'!$D:$D)</f>
        <v>#N/A</v>
      </c>
      <c r="S26" s="391" t="e" cm="1">
        <f t="array" ref="S26">_xlfn.XLOOKUP(1, ('0. GUIDELINES'!$E$3='[1]input-labor'!$A:$A) * (S$19='[1]input-labor'!$B:$B) * ($A26='[1]input-labor'!$C:$C), '[1]input-labor'!$D:$D)</f>
        <v>#N/A</v>
      </c>
      <c r="T26" s="391" t="e" cm="1">
        <f t="array" ref="T26">_xlfn.XLOOKUP(1, ('0. GUIDELINES'!$E$3='[1]input-labor'!$A:$A) * (T$19='[1]input-labor'!$B:$B) * ($A26='[1]input-labor'!$C:$C), '[1]input-labor'!$D:$D)</f>
        <v>#N/A</v>
      </c>
      <c r="U26" s="391" t="e" cm="1">
        <f t="array" ref="U26">_xlfn.XLOOKUP(1, ('0. GUIDELINES'!$E$3='[1]input-labor'!$A:$A) * (U$19='[1]input-labor'!$B:$B) * ($A26='[1]input-labor'!$C:$C), '[1]input-labor'!$D:$D)</f>
        <v>#N/A</v>
      </c>
      <c r="V26" s="391" t="e" cm="1">
        <f t="array" ref="V26">_xlfn.XLOOKUP(1, ('0. GUIDELINES'!$E$3='[1]input-labor'!$A:$A) * (V$19='[1]input-labor'!$B:$B) * ($A26='[1]input-labor'!$C:$C), '[1]input-labor'!$D:$D)</f>
        <v>#N/A</v>
      </c>
      <c r="W26" s="391" t="e" cm="1">
        <f t="array" ref="W26">_xlfn.XLOOKUP(1, ('0. GUIDELINES'!$E$3='[1]input-labor'!$A:$A) * (W$19='[1]input-labor'!$B:$B) * ($A26='[1]input-labor'!$C:$C), '[1]input-labor'!$D:$D)</f>
        <v>#N/A</v>
      </c>
      <c r="X26" s="391" t="e" cm="1">
        <f t="array" ref="X26">_xlfn.XLOOKUP(1, ('0. GUIDELINES'!$E$3='[1]input-labor'!$A:$A) * (X$19='[1]input-labor'!$B:$B) * ($A26='[1]input-labor'!$C:$C), '[1]input-labor'!$D:$D)</f>
        <v>#N/A</v>
      </c>
      <c r="Y26" s="391" t="e" cm="1">
        <f t="array" ref="Y26">_xlfn.XLOOKUP(1, ('0. GUIDELINES'!$E$3='[1]input-labor'!$A:$A) * (Y$19='[1]input-labor'!$B:$B) * ($A26='[1]input-labor'!$C:$C), '[1]input-labor'!$D:$D)</f>
        <v>#N/A</v>
      </c>
      <c r="Z26" s="391" t="e" cm="1">
        <f t="array" ref="Z26">_xlfn.XLOOKUP(1, ('0. GUIDELINES'!$E$3='[1]input-labor'!$A:$A) * (Z$19='[1]input-labor'!$B:$B) * ($A26='[1]input-labor'!$C:$C), '[1]input-labor'!$D:$D)</f>
        <v>#N/A</v>
      </c>
      <c r="AA26" s="391" t="e" cm="1">
        <f t="array" ref="AA26">_xlfn.XLOOKUP(1, ('0. GUIDELINES'!$E$3='[1]input-labor'!$A:$A) * (AA$19='[1]input-labor'!$B:$B) * ($A26='[1]input-labor'!$C:$C), '[1]input-labor'!$D:$D)</f>
        <v>#N/A</v>
      </c>
      <c r="AB26" s="195" t="e">
        <f>(AB20*(1-'2.1 LABOR STRUCTURE'!AA50)+AB21*'2.1 LABOR STRUCTURE'!AA50)*'2.1 LABOR STRUCTURE'!AA43+(AB22*(1-'2.1 LABOR STRUCTURE'!AA52)+AB23*'2.1 LABOR STRUCTURE'!AA52)*'2.1 LABOR STRUCTURE'!AA44+(AB24*(1-'2.1 LABOR STRUCTURE'!AA55)+AB25*'2.1 LABOR STRUCTURE'!AA55)*'2.1 LABOR STRUCTURE'!AA48</f>
        <v>#N/A</v>
      </c>
      <c r="AC26" s="195" t="e">
        <f>(AC20*(1-'2.1 LABOR STRUCTURE'!AB50)+AC21*'2.1 LABOR STRUCTURE'!AB50)*'2.1 LABOR STRUCTURE'!AB43+(AC22*(1-'2.1 LABOR STRUCTURE'!AB52)+AC23*'2.1 LABOR STRUCTURE'!AB52)*'2.1 LABOR STRUCTURE'!AB44+(AC24*(1-'2.1 LABOR STRUCTURE'!AB55)+AC25*'2.1 LABOR STRUCTURE'!AB55)*'2.1 LABOR STRUCTURE'!AB48</f>
        <v>#N/A</v>
      </c>
      <c r="AD26" s="195" t="e">
        <f>(AD20*(1-'2.1 LABOR STRUCTURE'!AC50)+AD21*'2.1 LABOR STRUCTURE'!AC50)*'2.1 LABOR STRUCTURE'!AC43+(AD22*(1-'2.1 LABOR STRUCTURE'!AC52)+AD23*'2.1 LABOR STRUCTURE'!AC52)*'2.1 LABOR STRUCTURE'!AC44+(AD24*(1-'2.1 LABOR STRUCTURE'!AC55)+AD25*'2.1 LABOR STRUCTURE'!AC55)*'2.1 LABOR STRUCTURE'!AC48</f>
        <v>#N/A</v>
      </c>
    </row>
    <row r="27" spans="1:30" x14ac:dyDescent="0.2">
      <c r="A27" s="94" t="s">
        <v>234</v>
      </c>
      <c r="B27" s="304"/>
      <c r="H27" s="390" t="s">
        <v>235</v>
      </c>
      <c r="I27" s="391" t="e" cm="1">
        <f t="array" ref="I27">_xlfn.XLOOKUP(1, ('0. GUIDELINES'!$E$3='[1]input-labor'!$A:$A) * (I$19='[1]input-labor'!$B:$B) * ($A27='[1]input-labor'!$C:$C), '[1]input-labor'!$D:$D)</f>
        <v>#N/A</v>
      </c>
      <c r="J27" s="391" t="e" cm="1">
        <f t="array" ref="J27">_xlfn.XLOOKUP(1, ('0. GUIDELINES'!$E$3='[1]input-labor'!$A:$A) * (J$19='[1]input-labor'!$B:$B) * ($A27='[1]input-labor'!$C:$C), '[1]input-labor'!$D:$D)</f>
        <v>#N/A</v>
      </c>
      <c r="K27" s="391" t="e" cm="1">
        <f t="array" ref="K27">_xlfn.XLOOKUP(1, ('0. GUIDELINES'!$E$3='[1]input-labor'!$A:$A) * (K$19='[1]input-labor'!$B:$B) * ($A27='[1]input-labor'!$C:$C), '[1]input-labor'!$D:$D)</f>
        <v>#N/A</v>
      </c>
      <c r="L27" s="391" t="e" cm="1">
        <f t="array" ref="L27">_xlfn.XLOOKUP(1, ('0. GUIDELINES'!$E$3='[1]input-labor'!$A:$A) * (L$19='[1]input-labor'!$B:$B) * ($A27='[1]input-labor'!$C:$C), '[1]input-labor'!$D:$D)</f>
        <v>#N/A</v>
      </c>
      <c r="M27" s="391" t="e" cm="1">
        <f t="array" ref="M27">_xlfn.XLOOKUP(1, ('0. GUIDELINES'!$E$3='[1]input-labor'!$A:$A) * (M$19='[1]input-labor'!$B:$B) * ($A27='[1]input-labor'!$C:$C), '[1]input-labor'!$D:$D)</f>
        <v>#N/A</v>
      </c>
      <c r="N27" s="391" t="e" cm="1">
        <f t="array" ref="N27">_xlfn.XLOOKUP(1, ('0. GUIDELINES'!$E$3='[1]input-labor'!$A:$A) * (N$19='[1]input-labor'!$B:$B) * ($A27='[1]input-labor'!$C:$C), '[1]input-labor'!$D:$D)</f>
        <v>#N/A</v>
      </c>
      <c r="O27" s="391" t="e" cm="1">
        <f t="array" ref="O27">_xlfn.XLOOKUP(1, ('0. GUIDELINES'!$E$3='[1]input-labor'!$A:$A) * (O$19='[1]input-labor'!$B:$B) * ($A27='[1]input-labor'!$C:$C), '[1]input-labor'!$D:$D)</f>
        <v>#N/A</v>
      </c>
      <c r="P27" s="391" t="e" cm="1">
        <f t="array" ref="P27">_xlfn.XLOOKUP(1, ('0. GUIDELINES'!$E$3='[1]input-labor'!$A:$A) * (P$19='[1]input-labor'!$B:$B) * ($A27='[1]input-labor'!$C:$C), '[1]input-labor'!$D:$D)</f>
        <v>#N/A</v>
      </c>
      <c r="Q27" s="391" t="e" cm="1">
        <f t="array" ref="Q27">_xlfn.XLOOKUP(1, ('0. GUIDELINES'!$E$3='[1]input-labor'!$A:$A) * (Q$19='[1]input-labor'!$B:$B) * ($A27='[1]input-labor'!$C:$C), '[1]input-labor'!$D:$D)</f>
        <v>#N/A</v>
      </c>
      <c r="R27" s="391" t="e" cm="1">
        <f t="array" ref="R27">_xlfn.XLOOKUP(1, ('0. GUIDELINES'!$E$3='[1]input-labor'!$A:$A) * (R$19='[1]input-labor'!$B:$B) * ($A27='[1]input-labor'!$C:$C), '[1]input-labor'!$D:$D)</f>
        <v>#N/A</v>
      </c>
      <c r="S27" s="391" t="e" cm="1">
        <f t="array" ref="S27">_xlfn.XLOOKUP(1, ('0. GUIDELINES'!$E$3='[1]input-labor'!$A:$A) * (S$19='[1]input-labor'!$B:$B) * ($A27='[1]input-labor'!$C:$C), '[1]input-labor'!$D:$D)</f>
        <v>#N/A</v>
      </c>
      <c r="T27" s="391" t="e" cm="1">
        <f t="array" ref="T27">_xlfn.XLOOKUP(1, ('0. GUIDELINES'!$E$3='[1]input-labor'!$A:$A) * (T$19='[1]input-labor'!$B:$B) * ($A27='[1]input-labor'!$C:$C), '[1]input-labor'!$D:$D)</f>
        <v>#N/A</v>
      </c>
      <c r="U27" s="391" t="e" cm="1">
        <f t="array" ref="U27">_xlfn.XLOOKUP(1, ('0. GUIDELINES'!$E$3='[1]input-labor'!$A:$A) * (U$19='[1]input-labor'!$B:$B) * ($A27='[1]input-labor'!$C:$C), '[1]input-labor'!$D:$D)</f>
        <v>#N/A</v>
      </c>
      <c r="V27" s="391" t="e" cm="1">
        <f t="array" ref="V27">_xlfn.XLOOKUP(1, ('0. GUIDELINES'!$E$3='[1]input-labor'!$A:$A) * (V$19='[1]input-labor'!$B:$B) * ($A27='[1]input-labor'!$C:$C), '[1]input-labor'!$D:$D)</f>
        <v>#N/A</v>
      </c>
      <c r="W27" s="391" t="e" cm="1">
        <f t="array" ref="W27">_xlfn.XLOOKUP(1, ('0. GUIDELINES'!$E$3='[1]input-labor'!$A:$A) * (W$19='[1]input-labor'!$B:$B) * ($A27='[1]input-labor'!$C:$C), '[1]input-labor'!$D:$D)</f>
        <v>#N/A</v>
      </c>
      <c r="X27" s="391" t="e" cm="1">
        <f t="array" ref="X27">_xlfn.XLOOKUP(1, ('0. GUIDELINES'!$E$3='[1]input-labor'!$A:$A) * (X$19='[1]input-labor'!$B:$B) * ($A27='[1]input-labor'!$C:$C), '[1]input-labor'!$D:$D)</f>
        <v>#N/A</v>
      </c>
      <c r="Y27" s="391" t="e" cm="1">
        <f t="array" ref="Y27">_xlfn.XLOOKUP(1, ('0. GUIDELINES'!$E$3='[1]input-labor'!$A:$A) * (Y$19='[1]input-labor'!$B:$B) * ($A27='[1]input-labor'!$C:$C), '[1]input-labor'!$D:$D)</f>
        <v>#N/A</v>
      </c>
      <c r="Z27" s="391" t="e" cm="1">
        <f t="array" ref="Z27">_xlfn.XLOOKUP(1, ('0. GUIDELINES'!$E$3='[1]input-labor'!$A:$A) * (Z$19='[1]input-labor'!$B:$B) * ($A27='[1]input-labor'!$C:$C), '[1]input-labor'!$D:$D)</f>
        <v>#N/A</v>
      </c>
      <c r="AA27" s="391" t="e" cm="1">
        <f t="array" ref="AA27">_xlfn.XLOOKUP(1, ('0. GUIDELINES'!$E$3='[1]input-labor'!$A:$A) * (AA$19='[1]input-labor'!$B:$B) * ($A27='[1]input-labor'!$C:$C), '[1]input-labor'!$D:$D)</f>
        <v>#N/A</v>
      </c>
      <c r="AB27" s="195" t="e">
        <f>(AB20*'2.1 LABOR STRUCTURE'!AA21+AB22*'2.1 LABOR STRUCTURE'!AA23+AB24*'2.1 LABOR STRUCTURE'!AA31)/SUM('2.1 LABOR STRUCTURE'!AA21,'2.1 LABOR STRUCTURE'!AA23,'2.1 LABOR STRUCTURE'!AA31)</f>
        <v>#N/A</v>
      </c>
      <c r="AC27" s="195" t="e">
        <f>(AC20*'2.1 LABOR STRUCTURE'!AB21+AC22*'2.1 LABOR STRUCTURE'!AB23+AC24*'2.1 LABOR STRUCTURE'!AB31)/SUM('2.1 LABOR STRUCTURE'!AB21,'2.1 LABOR STRUCTURE'!AB23,'2.1 LABOR STRUCTURE'!AB31)</f>
        <v>#N/A</v>
      </c>
      <c r="AD27" s="195" t="e">
        <f>(AD20*'2.1 LABOR STRUCTURE'!AC21+AD22*'2.1 LABOR STRUCTURE'!AC23+AD24*'2.1 LABOR STRUCTURE'!AC31)/SUM('2.1 LABOR STRUCTURE'!AC21,'2.1 LABOR STRUCTURE'!AC23,'2.1 LABOR STRUCTURE'!AC31)</f>
        <v>#N/A</v>
      </c>
    </row>
    <row r="28" spans="1:30" x14ac:dyDescent="0.2">
      <c r="A28" s="94" t="s">
        <v>236</v>
      </c>
      <c r="B28" s="304"/>
      <c r="H28" s="392" t="s">
        <v>237</v>
      </c>
      <c r="I28" s="393" t="e" cm="1">
        <f t="array" ref="I28">_xlfn.XLOOKUP(1, ('0. GUIDELINES'!$E$3='[1]input-labor'!$A:$A) * (I$19='[1]input-labor'!$B:$B) * ($A28='[1]input-labor'!$C:$C), '[1]input-labor'!$D:$D)</f>
        <v>#N/A</v>
      </c>
      <c r="J28" s="393" t="e" cm="1">
        <f t="array" ref="J28">_xlfn.XLOOKUP(1, ('0. GUIDELINES'!$E$3='[1]input-labor'!$A:$A) * (J$19='[1]input-labor'!$B:$B) * ($A28='[1]input-labor'!$C:$C), '[1]input-labor'!$D:$D)</f>
        <v>#N/A</v>
      </c>
      <c r="K28" s="393" t="e" cm="1">
        <f t="array" ref="K28">_xlfn.XLOOKUP(1, ('0. GUIDELINES'!$E$3='[1]input-labor'!$A:$A) * (K$19='[1]input-labor'!$B:$B) * ($A28='[1]input-labor'!$C:$C), '[1]input-labor'!$D:$D)</f>
        <v>#N/A</v>
      </c>
      <c r="L28" s="393" t="e" cm="1">
        <f t="array" ref="L28">_xlfn.XLOOKUP(1, ('0. GUIDELINES'!$E$3='[1]input-labor'!$A:$A) * (L$19='[1]input-labor'!$B:$B) * ($A28='[1]input-labor'!$C:$C), '[1]input-labor'!$D:$D)</f>
        <v>#N/A</v>
      </c>
      <c r="M28" s="393" t="e" cm="1">
        <f t="array" ref="M28">_xlfn.XLOOKUP(1, ('0. GUIDELINES'!$E$3='[1]input-labor'!$A:$A) * (M$19='[1]input-labor'!$B:$B) * ($A28='[1]input-labor'!$C:$C), '[1]input-labor'!$D:$D)</f>
        <v>#N/A</v>
      </c>
      <c r="N28" s="393" t="e" cm="1">
        <f t="array" ref="N28">_xlfn.XLOOKUP(1, ('0. GUIDELINES'!$E$3='[1]input-labor'!$A:$A) * (N$19='[1]input-labor'!$B:$B) * ($A28='[1]input-labor'!$C:$C), '[1]input-labor'!$D:$D)</f>
        <v>#N/A</v>
      </c>
      <c r="O28" s="393" t="e" cm="1">
        <f t="array" ref="O28">_xlfn.XLOOKUP(1, ('0. GUIDELINES'!$E$3='[1]input-labor'!$A:$A) * (O$19='[1]input-labor'!$B:$B) * ($A28='[1]input-labor'!$C:$C), '[1]input-labor'!$D:$D)</f>
        <v>#N/A</v>
      </c>
      <c r="P28" s="393" t="e" cm="1">
        <f t="array" ref="P28">_xlfn.XLOOKUP(1, ('0. GUIDELINES'!$E$3='[1]input-labor'!$A:$A) * (P$19='[1]input-labor'!$B:$B) * ($A28='[1]input-labor'!$C:$C), '[1]input-labor'!$D:$D)</f>
        <v>#N/A</v>
      </c>
      <c r="Q28" s="393" t="e" cm="1">
        <f t="array" ref="Q28">_xlfn.XLOOKUP(1, ('0. GUIDELINES'!$E$3='[1]input-labor'!$A:$A) * (Q$19='[1]input-labor'!$B:$B) * ($A28='[1]input-labor'!$C:$C), '[1]input-labor'!$D:$D)</f>
        <v>#N/A</v>
      </c>
      <c r="R28" s="393" t="e" cm="1">
        <f t="array" ref="R28">_xlfn.XLOOKUP(1, ('0. GUIDELINES'!$E$3='[1]input-labor'!$A:$A) * (R$19='[1]input-labor'!$B:$B) * ($A28='[1]input-labor'!$C:$C), '[1]input-labor'!$D:$D)</f>
        <v>#N/A</v>
      </c>
      <c r="S28" s="393" t="e" cm="1">
        <f t="array" ref="S28">_xlfn.XLOOKUP(1, ('0. GUIDELINES'!$E$3='[1]input-labor'!$A:$A) * (S$19='[1]input-labor'!$B:$B) * ($A28='[1]input-labor'!$C:$C), '[1]input-labor'!$D:$D)</f>
        <v>#N/A</v>
      </c>
      <c r="T28" s="393" t="e" cm="1">
        <f t="array" ref="T28">_xlfn.XLOOKUP(1, ('0. GUIDELINES'!$E$3='[1]input-labor'!$A:$A) * (T$19='[1]input-labor'!$B:$B) * ($A28='[1]input-labor'!$C:$C), '[1]input-labor'!$D:$D)</f>
        <v>#N/A</v>
      </c>
      <c r="U28" s="393" t="e" cm="1">
        <f t="array" ref="U28">_xlfn.XLOOKUP(1, ('0. GUIDELINES'!$E$3='[1]input-labor'!$A:$A) * (U$19='[1]input-labor'!$B:$B) * ($A28='[1]input-labor'!$C:$C), '[1]input-labor'!$D:$D)</f>
        <v>#N/A</v>
      </c>
      <c r="V28" s="393" t="e" cm="1">
        <f t="array" ref="V28">_xlfn.XLOOKUP(1, ('0. GUIDELINES'!$E$3='[1]input-labor'!$A:$A) * (V$19='[1]input-labor'!$B:$B) * ($A28='[1]input-labor'!$C:$C), '[1]input-labor'!$D:$D)</f>
        <v>#N/A</v>
      </c>
      <c r="W28" s="393" t="e" cm="1">
        <f t="array" ref="W28">_xlfn.XLOOKUP(1, ('0. GUIDELINES'!$E$3='[1]input-labor'!$A:$A) * (W$19='[1]input-labor'!$B:$B) * ($A28='[1]input-labor'!$C:$C), '[1]input-labor'!$D:$D)</f>
        <v>#N/A</v>
      </c>
      <c r="X28" s="393" t="e" cm="1">
        <f t="array" ref="X28">_xlfn.XLOOKUP(1, ('0. GUIDELINES'!$E$3='[1]input-labor'!$A:$A) * (X$19='[1]input-labor'!$B:$B) * ($A28='[1]input-labor'!$C:$C), '[1]input-labor'!$D:$D)</f>
        <v>#N/A</v>
      </c>
      <c r="Y28" s="393" t="e" cm="1">
        <f t="array" ref="Y28">_xlfn.XLOOKUP(1, ('0. GUIDELINES'!$E$3='[1]input-labor'!$A:$A) * (Y$19='[1]input-labor'!$B:$B) * ($A28='[1]input-labor'!$C:$C), '[1]input-labor'!$D:$D)</f>
        <v>#N/A</v>
      </c>
      <c r="Z28" s="393" t="e" cm="1">
        <f t="array" ref="Z28">_xlfn.XLOOKUP(1, ('0. GUIDELINES'!$E$3='[1]input-labor'!$A:$A) * (Z$19='[1]input-labor'!$B:$B) * ($A28='[1]input-labor'!$C:$C), '[1]input-labor'!$D:$D)</f>
        <v>#N/A</v>
      </c>
      <c r="AA28" s="393" t="e" cm="1">
        <f t="array" ref="AA28">_xlfn.XLOOKUP(1, ('0. GUIDELINES'!$E$3='[1]input-labor'!$A:$A) * (AA$19='[1]input-labor'!$B:$B) * ($A28='[1]input-labor'!$C:$C), '[1]input-labor'!$D:$D)</f>
        <v>#N/A</v>
      </c>
      <c r="AB28" s="196" t="e">
        <f>(AB21*'2.1 LABOR STRUCTURE'!AA22+AB23*'2.1 LABOR STRUCTURE'!AA24+AB25*'2.1 LABOR STRUCTURE'!AA32)/SUM('2.1 LABOR STRUCTURE'!AA22,'2.1 LABOR STRUCTURE'!AA24,'2.1 LABOR STRUCTURE'!AA32)</f>
        <v>#N/A</v>
      </c>
      <c r="AC28" s="196" t="e">
        <f>(AC21*'2.1 LABOR STRUCTURE'!AB22+AC23*'2.1 LABOR STRUCTURE'!AB24+AC25*'2.1 LABOR STRUCTURE'!AB32)/SUM('2.1 LABOR STRUCTURE'!AB22,'2.1 LABOR STRUCTURE'!AB24,'2.1 LABOR STRUCTURE'!AB32)</f>
        <v>#N/A</v>
      </c>
      <c r="AD28" s="196" t="e">
        <f>(AD21*'2.1 LABOR STRUCTURE'!AC22+AD23*'2.1 LABOR STRUCTURE'!AC24+AD25*'2.1 LABOR STRUCTURE'!AC32)/SUM('2.1 LABOR STRUCTURE'!AC22,'2.1 LABOR STRUCTURE'!AC24,'2.1 LABOR STRUCTURE'!AC32)</f>
        <v>#N/A</v>
      </c>
    </row>
    <row r="29" spans="1:30" x14ac:dyDescent="0.2">
      <c r="A29" s="94"/>
      <c r="B29" s="304"/>
      <c r="H29" s="99"/>
      <c r="I29" s="99"/>
      <c r="J29" s="99"/>
      <c r="K29" s="99"/>
      <c r="L29" s="99"/>
      <c r="M29" s="99"/>
      <c r="N29" s="99"/>
      <c r="O29" s="99"/>
      <c r="P29" s="99"/>
      <c r="Q29" s="99"/>
      <c r="R29" s="99"/>
      <c r="S29" s="99"/>
      <c r="T29" s="99"/>
      <c r="U29" s="99"/>
      <c r="V29" s="99"/>
      <c r="W29" s="99"/>
      <c r="X29" s="99"/>
      <c r="Y29" s="99"/>
      <c r="Z29" s="397"/>
      <c r="AA29" s="534" t="s">
        <v>165</v>
      </c>
      <c r="AB29" s="534"/>
      <c r="AC29" s="534"/>
      <c r="AD29" s="534"/>
    </row>
    <row r="30" spans="1:30" x14ac:dyDescent="0.2">
      <c r="A30" s="94"/>
      <c r="B30" s="304"/>
      <c r="H30" s="386" t="s">
        <v>238</v>
      </c>
      <c r="I30" s="99"/>
      <c r="J30" s="99"/>
      <c r="K30" s="99"/>
      <c r="L30" s="99"/>
      <c r="M30" s="99"/>
      <c r="N30" s="99"/>
      <c r="O30" s="99"/>
      <c r="P30" s="99"/>
      <c r="Q30" s="99"/>
      <c r="R30" s="99"/>
      <c r="S30" s="99"/>
      <c r="T30" s="99"/>
      <c r="U30" s="99"/>
      <c r="V30" s="99"/>
      <c r="W30" s="99"/>
      <c r="X30" s="99"/>
      <c r="Y30" s="99"/>
      <c r="Z30" s="99"/>
      <c r="AA30" s="99"/>
      <c r="AB30" s="99"/>
      <c r="AC30" s="99"/>
      <c r="AD30" s="99"/>
    </row>
    <row r="31" spans="1:30" ht="24" x14ac:dyDescent="0.2">
      <c r="A31" s="94"/>
      <c r="B31" s="304"/>
      <c r="H31" s="99"/>
      <c r="I31" s="99"/>
      <c r="J31" s="99"/>
      <c r="K31" s="99"/>
      <c r="L31" s="99"/>
      <c r="M31" s="99"/>
      <c r="N31" s="99"/>
      <c r="O31" s="99"/>
      <c r="P31" s="99"/>
      <c r="Q31" s="99"/>
      <c r="R31" s="99"/>
      <c r="S31" s="99"/>
      <c r="T31" s="99"/>
      <c r="U31" s="99"/>
      <c r="V31" s="99"/>
      <c r="W31" s="99"/>
      <c r="X31" s="99"/>
      <c r="Y31" s="99"/>
      <c r="Z31" s="537" t="s">
        <v>239</v>
      </c>
      <c r="AA31" s="537"/>
      <c r="AB31" s="538" t="s">
        <v>55</v>
      </c>
      <c r="AC31" s="538"/>
      <c r="AD31" s="193" t="s">
        <v>169</v>
      </c>
    </row>
    <row r="32" spans="1:30" ht="15" customHeight="1" x14ac:dyDescent="0.2">
      <c r="A32" s="94"/>
      <c r="B32" s="304"/>
      <c r="H32" s="387" t="s">
        <v>172</v>
      </c>
      <c r="I32" s="99"/>
      <c r="J32" s="99"/>
      <c r="K32" s="99"/>
      <c r="L32" s="99"/>
      <c r="M32" s="99"/>
      <c r="N32" s="99"/>
      <c r="O32" s="99"/>
      <c r="P32" s="99"/>
      <c r="Q32" s="99"/>
      <c r="R32" s="99"/>
      <c r="S32" s="99"/>
      <c r="T32" s="99"/>
      <c r="U32" s="99"/>
      <c r="V32" s="99"/>
      <c r="W32" s="99"/>
      <c r="X32" s="99"/>
      <c r="Y32" s="99"/>
      <c r="Z32" s="537"/>
      <c r="AA32" s="537"/>
      <c r="AB32" s="193" t="s">
        <v>171</v>
      </c>
      <c r="AC32" s="194" t="s">
        <v>486</v>
      </c>
      <c r="AD32" s="193" t="s">
        <v>487</v>
      </c>
    </row>
    <row r="33" spans="1:30" ht="15" customHeight="1" x14ac:dyDescent="0.2">
      <c r="A33" s="94"/>
      <c r="B33" s="304"/>
      <c r="H33" s="532" t="s">
        <v>240</v>
      </c>
      <c r="I33" s="99"/>
      <c r="J33" s="99"/>
      <c r="K33" s="99"/>
      <c r="L33" s="99"/>
      <c r="M33" s="99"/>
      <c r="N33" s="99"/>
      <c r="O33" s="99"/>
      <c r="P33" s="99"/>
      <c r="Q33" s="99"/>
      <c r="R33" s="99"/>
      <c r="S33" s="99"/>
      <c r="T33" s="99"/>
      <c r="U33" s="99"/>
      <c r="V33" s="99"/>
      <c r="W33" s="99"/>
      <c r="X33" s="99"/>
      <c r="Y33" s="99"/>
      <c r="Z33" s="535" t="s">
        <v>150</v>
      </c>
      <c r="AA33" s="535"/>
      <c r="AB33" s="252" t="e">
        <f>AVERAGE(T20:W20)</f>
        <v>#N/A</v>
      </c>
      <c r="AC33" s="252" t="e">
        <f>AVERAGE(X20:AA20)</f>
        <v>#N/A</v>
      </c>
      <c r="AD33" s="394" t="e">
        <f>AVERAGE(AB20:AD20)</f>
        <v>#N/A</v>
      </c>
    </row>
    <row r="34" spans="1:30" x14ac:dyDescent="0.2">
      <c r="A34" s="94"/>
      <c r="B34" s="304"/>
      <c r="H34" s="532"/>
      <c r="I34" s="99"/>
      <c r="J34" s="99"/>
      <c r="K34" s="99"/>
      <c r="L34" s="99"/>
      <c r="M34" s="99"/>
      <c r="N34" s="99"/>
      <c r="O34" s="99"/>
      <c r="P34" s="99"/>
      <c r="Q34" s="99"/>
      <c r="R34" s="99"/>
      <c r="S34" s="99"/>
      <c r="T34" s="99"/>
      <c r="U34" s="99"/>
      <c r="V34" s="99"/>
      <c r="W34" s="99"/>
      <c r="X34" s="99"/>
      <c r="Y34" s="99"/>
      <c r="Z34" s="535" t="s">
        <v>151</v>
      </c>
      <c r="AA34" s="535"/>
      <c r="AB34" s="252" t="e">
        <f t="shared" ref="AB34:AB41" si="2">AVERAGE(T21:W21)</f>
        <v>#N/A</v>
      </c>
      <c r="AC34" s="252" t="e">
        <f t="shared" ref="AC34:AC39" si="3">AVERAGE(X21:AA21)</f>
        <v>#N/A</v>
      </c>
      <c r="AD34" s="394" t="e">
        <f>AVERAGE(AB21:AD21)</f>
        <v>#N/A</v>
      </c>
    </row>
    <row r="35" spans="1:30" x14ac:dyDescent="0.2">
      <c r="H35" s="532"/>
      <c r="I35" s="99"/>
      <c r="J35" s="99"/>
      <c r="K35" s="99"/>
      <c r="L35" s="99"/>
      <c r="M35" s="99"/>
      <c r="N35" s="99"/>
      <c r="O35" s="99"/>
      <c r="P35" s="99"/>
      <c r="Q35" s="99"/>
      <c r="R35" s="99"/>
      <c r="S35" s="99"/>
      <c r="T35" s="99"/>
      <c r="U35" s="99"/>
      <c r="V35" s="99"/>
      <c r="W35" s="99"/>
      <c r="X35" s="99"/>
      <c r="Y35" s="99"/>
      <c r="Z35" s="535" t="s">
        <v>152</v>
      </c>
      <c r="AA35" s="535"/>
      <c r="AB35" s="252" t="e">
        <f t="shared" si="2"/>
        <v>#N/A</v>
      </c>
      <c r="AC35" s="252" t="e">
        <f t="shared" si="3"/>
        <v>#N/A</v>
      </c>
      <c r="AD35" s="394" t="e">
        <f>AVERAGE(AB22:AD22)</f>
        <v>#N/A</v>
      </c>
    </row>
    <row r="36" spans="1:30" x14ac:dyDescent="0.2">
      <c r="H36" s="532"/>
      <c r="I36" s="99"/>
      <c r="J36" s="99"/>
      <c r="K36" s="99"/>
      <c r="L36" s="99"/>
      <c r="M36" s="99"/>
      <c r="N36" s="99"/>
      <c r="O36" s="99"/>
      <c r="P36" s="99"/>
      <c r="Q36" s="99"/>
      <c r="R36" s="99"/>
      <c r="S36" s="99"/>
      <c r="T36" s="99"/>
      <c r="U36" s="99"/>
      <c r="V36" s="99"/>
      <c r="W36" s="99"/>
      <c r="X36" s="99"/>
      <c r="Y36" s="99"/>
      <c r="Z36" s="535" t="s">
        <v>153</v>
      </c>
      <c r="AA36" s="535"/>
      <c r="AB36" s="252" t="e">
        <f t="shared" si="2"/>
        <v>#N/A</v>
      </c>
      <c r="AC36" s="252" t="e">
        <f t="shared" si="3"/>
        <v>#N/A</v>
      </c>
      <c r="AD36" s="394" t="e">
        <f t="shared" ref="AD36:AD40" si="4">AVERAGE(AB23:AD23)</f>
        <v>#N/A</v>
      </c>
    </row>
    <row r="37" spans="1:30" x14ac:dyDescent="0.2">
      <c r="H37" s="532"/>
      <c r="I37" s="99"/>
      <c r="J37" s="99"/>
      <c r="K37" s="99"/>
      <c r="L37" s="99"/>
      <c r="M37" s="99"/>
      <c r="N37" s="99"/>
      <c r="O37" s="99"/>
      <c r="P37" s="99"/>
      <c r="Q37" s="99"/>
      <c r="R37" s="99"/>
      <c r="S37" s="99"/>
      <c r="T37" s="99"/>
      <c r="U37" s="99"/>
      <c r="V37" s="99"/>
      <c r="W37" s="99"/>
      <c r="X37" s="99"/>
      <c r="Y37" s="99"/>
      <c r="Z37" s="535" t="s">
        <v>155</v>
      </c>
      <c r="AA37" s="535"/>
      <c r="AB37" s="252" t="e">
        <f t="shared" si="2"/>
        <v>#N/A</v>
      </c>
      <c r="AC37" s="252" t="e">
        <f t="shared" si="3"/>
        <v>#N/A</v>
      </c>
      <c r="AD37" s="394" t="e">
        <f t="shared" si="4"/>
        <v>#N/A</v>
      </c>
    </row>
    <row r="38" spans="1:30" s="99" customFormat="1" x14ac:dyDescent="0.2">
      <c r="A38" s="121"/>
      <c r="B38" s="121"/>
      <c r="C38" s="121"/>
      <c r="D38" s="121"/>
      <c r="Z38" s="535" t="s">
        <v>157</v>
      </c>
      <c r="AA38" s="535"/>
      <c r="AB38" s="252" t="e">
        <f t="shared" si="2"/>
        <v>#N/A</v>
      </c>
      <c r="AC38" s="252" t="e">
        <f t="shared" si="3"/>
        <v>#N/A</v>
      </c>
      <c r="AD38" s="394" t="e">
        <f t="shared" si="4"/>
        <v>#N/A</v>
      </c>
    </row>
    <row r="39" spans="1:30" s="99" customFormat="1" x14ac:dyDescent="0.2">
      <c r="A39" s="121"/>
      <c r="B39" s="121"/>
      <c r="C39" s="121"/>
      <c r="D39" s="121"/>
      <c r="Z39" s="539" t="s">
        <v>208</v>
      </c>
      <c r="AA39" s="539"/>
      <c r="AB39" s="253" t="e">
        <f t="shared" si="2"/>
        <v>#N/A</v>
      </c>
      <c r="AC39" s="253" t="e">
        <f t="shared" si="3"/>
        <v>#N/A</v>
      </c>
      <c r="AD39" s="395" t="e">
        <f t="shared" si="4"/>
        <v>#N/A</v>
      </c>
    </row>
    <row r="40" spans="1:30" s="99" customFormat="1" x14ac:dyDescent="0.2">
      <c r="A40" s="121"/>
      <c r="B40" s="121"/>
      <c r="C40" s="121"/>
      <c r="D40" s="121"/>
      <c r="Z40" s="539" t="s">
        <v>235</v>
      </c>
      <c r="AA40" s="539"/>
      <c r="AB40" s="253" t="e">
        <f t="shared" si="2"/>
        <v>#N/A</v>
      </c>
      <c r="AC40" s="253" t="e">
        <f>AVERAGE(X27:AA27)</f>
        <v>#N/A</v>
      </c>
      <c r="AD40" s="395" t="e">
        <f t="shared" si="4"/>
        <v>#N/A</v>
      </c>
    </row>
    <row r="41" spans="1:30" s="99" customFormat="1" x14ac:dyDescent="0.2">
      <c r="A41" s="121"/>
      <c r="B41" s="121"/>
      <c r="C41" s="121"/>
      <c r="D41" s="121"/>
      <c r="Z41" s="536" t="s">
        <v>237</v>
      </c>
      <c r="AA41" s="536"/>
      <c r="AB41" s="254" t="e">
        <f t="shared" si="2"/>
        <v>#N/A</v>
      </c>
      <c r="AC41" s="254" t="e">
        <f>AVERAGE(X28:AA28)</f>
        <v>#N/A</v>
      </c>
      <c r="AD41" s="396" t="e">
        <f>AVERAGE(AB28:AD28)</f>
        <v>#N/A</v>
      </c>
    </row>
    <row r="42" spans="1:30" s="99" customFormat="1" ht="14.1" customHeight="1" x14ac:dyDescent="0.2">
      <c r="A42" s="121"/>
      <c r="B42" s="121"/>
      <c r="C42" s="121"/>
      <c r="D42" s="121"/>
    </row>
    <row r="43" spans="1:30" s="99" customFormat="1" x14ac:dyDescent="0.2">
      <c r="A43" s="121"/>
      <c r="B43" s="121"/>
      <c r="C43" s="121"/>
      <c r="D43" s="121"/>
    </row>
  </sheetData>
  <sheetProtection algorithmName="SHA-512" hashValue="DMmIdqQTAkQtcgUvD0s2KAkKFwonM4eYTaLUvA1um7783ddkk1GCiD2VIysBuaYoUo1c3nX0LrZrg9W3T8Fnzw==" saltValue="MIh0dD+tFRHaGgFVcKBokA==" spinCount="100000" sheet="1" formatColumns="0" formatRows="0"/>
  <mergeCells count="32">
    <mergeCell ref="Z41:AA41"/>
    <mergeCell ref="Z31:AA32"/>
    <mergeCell ref="AB31:AC31"/>
    <mergeCell ref="Z36:AA36"/>
    <mergeCell ref="Z37:AA37"/>
    <mergeCell ref="Z38:AA38"/>
    <mergeCell ref="Z39:AA39"/>
    <mergeCell ref="Z40:AA40"/>
    <mergeCell ref="H33:H37"/>
    <mergeCell ref="C13:D15"/>
    <mergeCell ref="E14:E15"/>
    <mergeCell ref="H16:AD16"/>
    <mergeCell ref="H18:H19"/>
    <mergeCell ref="AA29:AD29"/>
    <mergeCell ref="Z33:AA33"/>
    <mergeCell ref="Z34:AA34"/>
    <mergeCell ref="Z35:AA35"/>
    <mergeCell ref="AB18:AD18"/>
    <mergeCell ref="C11:D12"/>
    <mergeCell ref="C2:E2"/>
    <mergeCell ref="H2:BA2"/>
    <mergeCell ref="C4:E4"/>
    <mergeCell ref="H4:BA4"/>
    <mergeCell ref="C5:E6"/>
    <mergeCell ref="C7:D8"/>
    <mergeCell ref="C9:D10"/>
    <mergeCell ref="E9:E10"/>
    <mergeCell ref="H5:BA5"/>
    <mergeCell ref="AF7:AF8"/>
    <mergeCell ref="H7:H8"/>
    <mergeCell ref="AB7:AD7"/>
    <mergeCell ref="AY7:BA7"/>
  </mergeCells>
  <conditionalFormatting sqref="AB20:AD28">
    <cfRule type="expression" dxfId="13" priority="41">
      <formula>AB20/AA20&gt;1.25</formula>
    </cfRule>
    <cfRule type="expression" dxfId="12" priority="42">
      <formula>AB20/AA20&lt;-1.25</formula>
    </cfRule>
  </conditionalFormatting>
  <conditionalFormatting sqref="Y3:AC3 Y13:AC14 AD31 Z15:AC15 AB31:AB41 AB54:AC1048576 Y53:AA1048576 AY8:BA8 AB19:AD28 AB18">
    <cfRule type="containsBlanks" priority="40">
      <formula>LEN(TRIM(Y3))=0</formula>
    </cfRule>
  </conditionalFormatting>
  <conditionalFormatting sqref="AY8:BA8 AB19:AD28">
    <cfRule type="cellIs" dxfId="11" priority="39" operator="lessThanOrEqual">
      <formula>0</formula>
    </cfRule>
  </conditionalFormatting>
  <conditionalFormatting sqref="AC33:AD41">
    <cfRule type="containsBlanks" priority="38">
      <formula>LEN(TRIM(AC33))=0</formula>
    </cfRule>
  </conditionalFormatting>
  <conditionalFormatting sqref="AD32">
    <cfRule type="expression" dxfId="10" priority="37">
      <formula>$AD33&lt;0</formula>
    </cfRule>
  </conditionalFormatting>
  <conditionalFormatting sqref="Z31 Z33:Z41">
    <cfRule type="containsBlanks" priority="6">
      <formula>LEN(TRIM(Z31))=0</formula>
    </cfRule>
  </conditionalFormatting>
  <hyperlinks>
    <hyperlink ref="E14" location="'2. GDP &amp; PRODUCTIVITY'!B18" display="Click to go to Productivity" xr:uid="{4780BFBF-7A16-4C4C-94EB-B243EC43EDE7}"/>
    <hyperlink ref="E8" location="'2.1 LABOR STRUCTURE'!A1" display="Click to go to Labor Market" xr:uid="{12ED5A59-9D70-46CD-9237-9520DD28AF7D}"/>
    <hyperlink ref="E14:E15" location="'GROWTH RATES'!A1" display="Click to go to Growth Rates" xr:uid="{2AF030C1-44C4-456D-8C49-96C8A2BFEA24}"/>
    <hyperlink ref="E12" location="ELASTICITY!A1" display="Click to go to Elasticities" xr:uid="{090123EE-E7A7-4640-9F01-E59120DE3D6D}"/>
    <hyperlink ref="AA29" location="ELASTICITY!A1" display="Click to Revise Elasticities" xr:uid="{FEE0ABE2-A71C-41C3-92B7-8946B4A492D8}"/>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Check Box 1">
              <controlPr defaultSize="0" autoFill="0" autoLine="0" autoPict="0">
                <anchor moveWithCells="1">
                  <from>
                    <xdr:col>4</xdr:col>
                    <xdr:colOff>485775</xdr:colOff>
                    <xdr:row>6</xdr:row>
                    <xdr:rowOff>28575</xdr:rowOff>
                  </from>
                  <to>
                    <xdr:col>5</xdr:col>
                    <xdr:colOff>561975</xdr:colOff>
                    <xdr:row>7</xdr:row>
                    <xdr:rowOff>9525</xdr:rowOff>
                  </to>
                </anchor>
              </controlPr>
            </control>
          </mc:Choice>
        </mc:AlternateContent>
        <mc:AlternateContent xmlns:mc="http://schemas.openxmlformats.org/markup-compatibility/2006">
          <mc:Choice Requires="x14">
            <control shapeId="71682" r:id="rId5" name="Check Box 2">
              <controlPr defaultSize="0" autoFill="0" autoLine="0" autoPict="0">
                <anchor moveWithCells="1">
                  <from>
                    <xdr:col>4</xdr:col>
                    <xdr:colOff>457200</xdr:colOff>
                    <xdr:row>8</xdr:row>
                    <xdr:rowOff>114300</xdr:rowOff>
                  </from>
                  <to>
                    <xdr:col>5</xdr:col>
                    <xdr:colOff>0</xdr:colOff>
                    <xdr:row>9</xdr:row>
                    <xdr:rowOff>161925</xdr:rowOff>
                  </to>
                </anchor>
              </controlPr>
            </control>
          </mc:Choice>
        </mc:AlternateContent>
        <mc:AlternateContent xmlns:mc="http://schemas.openxmlformats.org/markup-compatibility/2006">
          <mc:Choice Requires="x14">
            <control shapeId="71683" r:id="rId6" name="Check Box 3">
              <controlPr defaultSize="0" autoFill="0" autoLine="0" autoPict="0">
                <anchor moveWithCells="1">
                  <from>
                    <xdr:col>4</xdr:col>
                    <xdr:colOff>457200</xdr:colOff>
                    <xdr:row>9</xdr:row>
                    <xdr:rowOff>276225</xdr:rowOff>
                  </from>
                  <to>
                    <xdr:col>5</xdr:col>
                    <xdr:colOff>561975</xdr:colOff>
                    <xdr:row>11</xdr:row>
                    <xdr:rowOff>0</xdr:rowOff>
                  </to>
                </anchor>
              </controlPr>
            </control>
          </mc:Choice>
        </mc:AlternateContent>
        <mc:AlternateContent xmlns:mc="http://schemas.openxmlformats.org/markup-compatibility/2006">
          <mc:Choice Requires="x14">
            <control shapeId="71684" r:id="rId7" name="Check Box 4">
              <controlPr defaultSize="0" autoFill="0" autoLine="0" autoPict="0">
                <anchor moveWithCells="1">
                  <from>
                    <xdr:col>4</xdr:col>
                    <xdr:colOff>419100</xdr:colOff>
                    <xdr:row>12</xdr:row>
                    <xdr:rowOff>47625</xdr:rowOff>
                  </from>
                  <to>
                    <xdr:col>5</xdr:col>
                    <xdr:colOff>523875</xdr:colOff>
                    <xdr:row>13</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BFF05069-7FD7-4886-B73F-49299BA33B2A}">
            <xm:f>I$19='0. GUIDELINES'!$E$4</xm:f>
            <x14:dxf>
              <font>
                <color auto="1"/>
              </font>
              <fill>
                <patternFill>
                  <bgColor theme="9" tint="0.79998168889431442"/>
                </patternFill>
              </fill>
            </x14:dxf>
          </x14:cfRule>
          <xm:sqref>I19:AA28</xm:sqref>
        </x14:conditionalFormatting>
        <x14:conditionalFormatting xmlns:xm="http://schemas.microsoft.com/office/excel/2006/main">
          <x14:cfRule type="expression" priority="13" id="{57454A7F-5E64-46D7-9196-B64F5B7CEE64}">
            <xm:f>I$19='0. GUIDELINES'!$E$4</xm:f>
            <x14:dxf>
              <font>
                <color auto="1"/>
              </font>
              <fill>
                <patternFill>
                  <bgColor theme="9" tint="0.79998168889431442"/>
                </patternFill>
              </fill>
            </x14:dxf>
          </x14:cfRule>
          <xm:sqref>I9:Y12</xm:sqref>
        </x14:conditionalFormatting>
        <x14:conditionalFormatting xmlns:xm="http://schemas.microsoft.com/office/excel/2006/main">
          <x14:cfRule type="expression" priority="15" id="{78EEB5B0-FB05-4E39-94F0-FB8A2EE07774}">
            <xm:f>I$19='0. GUIDELINES'!$E$4</xm:f>
            <x14:dxf>
              <font>
                <color auto="1"/>
              </font>
              <fill>
                <patternFill>
                  <bgColor theme="9" tint="0.79998168889431442"/>
                </patternFill>
              </fill>
            </x14:dxf>
          </x14:cfRule>
          <xm:sqref>I8:AA8</xm:sqref>
        </x14:conditionalFormatting>
        <x14:conditionalFormatting xmlns:xm="http://schemas.microsoft.com/office/excel/2006/main">
          <x14:cfRule type="expression" priority="14" id="{94B342CF-C173-49AF-AAEF-67B3330761A3}">
            <xm:f>AG$19='0. GUIDELINES'!$E$4</xm:f>
            <x14:dxf>
              <font>
                <color auto="1"/>
              </font>
              <fill>
                <patternFill>
                  <bgColor theme="9" tint="0.79998168889431442"/>
                </patternFill>
              </fill>
            </x14:dxf>
          </x14:cfRule>
          <xm:sqref>AG8:AR8</xm:sqref>
        </x14:conditionalFormatting>
        <x14:conditionalFormatting xmlns:xm="http://schemas.microsoft.com/office/excel/2006/main">
          <x14:cfRule type="expression" priority="12" id="{BEEED328-1A38-4AA1-ACA6-833A8B9BC407}">
            <xm:f>AG$8='0. GUIDELINES'!$E$4</xm:f>
            <x14:dxf>
              <font>
                <color auto="1"/>
              </font>
              <fill>
                <patternFill>
                  <bgColor theme="9" tint="0.79998168889431442"/>
                </patternFill>
              </fill>
            </x14:dxf>
          </x14:cfRule>
          <xm:sqref>AG7:AV12 AG7:AX7</xm:sqref>
        </x14:conditionalFormatting>
        <x14:conditionalFormatting xmlns:xm="http://schemas.microsoft.com/office/excel/2006/main">
          <x14:cfRule type="expression" priority="11" id="{6B2C7106-067E-4B2E-9189-94530BA17F87}">
            <xm:f>Z$19='0. GUIDELINES'!$E$4</xm:f>
            <x14:dxf>
              <font>
                <color auto="1"/>
              </font>
              <fill>
                <patternFill>
                  <bgColor theme="9" tint="0.79998168889431442"/>
                </patternFill>
              </fill>
            </x14:dxf>
          </x14:cfRule>
          <xm:sqref>Z9:AA12</xm:sqref>
        </x14:conditionalFormatting>
        <x14:conditionalFormatting xmlns:xm="http://schemas.microsoft.com/office/excel/2006/main">
          <x14:cfRule type="expression" priority="9" id="{5E943D9D-F4F6-416A-BB8D-E7CA5D946424}">
            <xm:f>AW$8='0. GUIDELINES'!$E$4</xm:f>
            <x14:dxf>
              <font>
                <color auto="1"/>
              </font>
              <fill>
                <patternFill>
                  <bgColor theme="9" tint="0.79998168889431442"/>
                </patternFill>
              </fill>
            </x14:dxf>
          </x14:cfRule>
          <xm:sqref>AW7:AW12</xm:sqref>
        </x14:conditionalFormatting>
        <x14:conditionalFormatting xmlns:xm="http://schemas.microsoft.com/office/excel/2006/main">
          <x14:cfRule type="expression" priority="8" id="{7B776CAC-6FF9-48BC-8C47-05C103EDC263}">
            <xm:f>I$19='0. GUIDELINES'!$E$4</xm:f>
            <x14:dxf>
              <font>
                <color auto="1"/>
              </font>
              <fill>
                <patternFill>
                  <bgColor theme="9" tint="0.79998168889431442"/>
                </patternFill>
              </fill>
            </x14:dxf>
          </x14:cfRule>
          <xm:sqref>I7:AA7</xm:sqref>
        </x14:conditionalFormatting>
        <x14:conditionalFormatting xmlns:xm="http://schemas.microsoft.com/office/excel/2006/main">
          <x14:cfRule type="expression" priority="2" id="{7AA3D348-14B3-4EC3-BDA5-52ED26215736}">
            <xm:f>I$19='0. GUIDELINES'!$E$4</xm:f>
            <x14:dxf>
              <font>
                <color auto="1"/>
              </font>
              <fill>
                <patternFill>
                  <bgColor theme="9" tint="0.79998168889431442"/>
                </patternFill>
              </fill>
            </x14:dxf>
          </x14:cfRule>
          <xm:sqref>I18:AA18</xm:sqref>
        </x14:conditionalFormatting>
        <x14:conditionalFormatting xmlns:xm="http://schemas.microsoft.com/office/excel/2006/main">
          <x14:cfRule type="expression" priority="1" id="{1F84C94E-838B-41C6-87E7-E9E5F705A95A}">
            <xm:f>AX$8='0. GUIDELINES'!$E$4</xm:f>
            <x14:dxf>
              <font>
                <color auto="1"/>
              </font>
              <fill>
                <patternFill>
                  <bgColor theme="9" tint="0.79998168889431442"/>
                </patternFill>
              </fill>
            </x14:dxf>
          </x14:cfRule>
          <xm:sqref>AX7:AX12</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54627-83A5-45F4-AA1B-2C91C4F61BB8}">
  <sheetPr codeName="Sheet15">
    <tabColor theme="5" tint="0.59999389629810485"/>
  </sheetPr>
  <dimension ref="A1:AX47"/>
  <sheetViews>
    <sheetView topLeftCell="B1" workbookViewId="0">
      <selection activeCell="R7" sqref="R7"/>
    </sheetView>
  </sheetViews>
  <sheetFormatPr defaultColWidth="0" defaultRowHeight="0" customHeight="1" zeroHeight="1" x14ac:dyDescent="0.2"/>
  <cols>
    <col min="1" max="1" width="21.42578125" style="92" hidden="1" customWidth="1"/>
    <col min="2" max="2" width="3.140625" style="403" customWidth="1"/>
    <col min="3" max="3" width="46.140625" style="38" customWidth="1"/>
    <col min="4" max="4" width="16.28515625" style="38" bestFit="1" customWidth="1"/>
    <col min="5" max="5" width="9.140625" style="121" customWidth="1"/>
    <col min="6" max="6" width="10.5703125" style="31" bestFit="1" customWidth="1"/>
    <col min="7" max="13" width="9.140625" style="31" hidden="1" customWidth="1"/>
    <col min="14" max="22" width="9.140625" style="31" customWidth="1"/>
    <col min="23" max="23" width="9.42578125" style="99" customWidth="1"/>
    <col min="24" max="30" width="9.140625" style="31" customWidth="1"/>
    <col min="31" max="31" width="8.5703125" style="31" customWidth="1"/>
    <col min="32" max="32" width="18" style="31" hidden="1" customWidth="1"/>
    <col min="33" max="33" width="16.140625" style="31" hidden="1" customWidth="1"/>
    <col min="34" max="35" width="9.140625" style="31" hidden="1" customWidth="1"/>
    <col min="36" max="43" width="0" style="31" hidden="1" customWidth="1"/>
    <col min="44" max="44" width="9.140625" style="31" hidden="1" customWidth="1"/>
    <col min="45" max="47" width="0" style="31" hidden="1" customWidth="1"/>
    <col min="48" max="48" width="18" style="31" hidden="1" customWidth="1"/>
    <col min="49" max="50" width="16.140625" style="31" hidden="1" customWidth="1"/>
    <col min="51" max="16384" width="9.140625" style="31" hidden="1"/>
  </cols>
  <sheetData>
    <row r="1" spans="1:31" s="99" customFormat="1" ht="14.25" x14ac:dyDescent="0.2">
      <c r="A1" s="403"/>
      <c r="B1" s="403"/>
      <c r="C1" s="121"/>
      <c r="D1" s="121"/>
      <c r="E1" s="121"/>
    </row>
    <row r="2" spans="1:31" ht="18" x14ac:dyDescent="0.25">
      <c r="C2" s="544" t="s">
        <v>241</v>
      </c>
      <c r="D2" s="544"/>
      <c r="E2" s="544"/>
      <c r="F2" s="544"/>
      <c r="G2" s="544"/>
      <c r="H2" s="544"/>
      <c r="I2" s="544"/>
      <c r="J2" s="544"/>
      <c r="K2" s="544"/>
      <c r="L2" s="544"/>
      <c r="M2" s="544"/>
      <c r="N2" s="544"/>
      <c r="O2" s="544"/>
      <c r="P2" s="544"/>
      <c r="Q2" s="544"/>
      <c r="R2" s="544"/>
      <c r="S2" s="544"/>
      <c r="T2" s="544"/>
      <c r="U2" s="544"/>
      <c r="V2" s="544"/>
      <c r="W2" s="544"/>
      <c r="X2" s="544"/>
      <c r="Y2" s="544"/>
      <c r="Z2" s="544"/>
      <c r="AA2" s="544"/>
      <c r="AB2" s="544"/>
      <c r="AC2" s="544"/>
      <c r="AD2" s="544"/>
    </row>
    <row r="3" spans="1:31" s="99" customFormat="1" ht="14.25" x14ac:dyDescent="0.2">
      <c r="A3" s="403"/>
      <c r="B3" s="403"/>
      <c r="C3" s="121"/>
      <c r="D3" s="121"/>
      <c r="E3" s="121"/>
    </row>
    <row r="4" spans="1:31" ht="15" customHeight="1" x14ac:dyDescent="0.25">
      <c r="C4" s="545" t="s">
        <v>242</v>
      </c>
      <c r="D4" s="545"/>
      <c r="F4" s="211"/>
      <c r="G4" s="541" t="s">
        <v>243</v>
      </c>
      <c r="H4" s="541"/>
      <c r="I4" s="541"/>
      <c r="J4" s="541"/>
      <c r="K4" s="541"/>
      <c r="L4" s="541"/>
      <c r="M4" s="541"/>
      <c r="N4" s="541"/>
      <c r="O4" s="541"/>
      <c r="P4" s="541"/>
      <c r="Q4" s="541"/>
      <c r="R4" s="541"/>
      <c r="S4" s="541"/>
      <c r="T4" s="541"/>
      <c r="U4" s="541"/>
      <c r="V4" s="541"/>
      <c r="X4" s="99"/>
      <c r="Y4" s="99"/>
      <c r="Z4" s="99"/>
      <c r="AA4" s="99"/>
      <c r="AB4" s="99"/>
      <c r="AC4" s="99"/>
      <c r="AD4" s="99"/>
      <c r="AE4" s="99"/>
    </row>
    <row r="5" spans="1:31" ht="15" customHeight="1" x14ac:dyDescent="0.2">
      <c r="C5" s="545"/>
      <c r="D5" s="545"/>
      <c r="F5" s="405"/>
      <c r="G5" s="549" t="s">
        <v>122</v>
      </c>
      <c r="H5" s="549"/>
      <c r="I5" s="549"/>
      <c r="J5" s="549"/>
      <c r="K5" s="549"/>
      <c r="L5" s="549"/>
      <c r="M5" s="549"/>
      <c r="N5" s="549"/>
      <c r="O5" s="549"/>
      <c r="P5" s="549"/>
      <c r="Q5" s="549"/>
      <c r="R5" s="549"/>
      <c r="S5" s="549"/>
      <c r="T5" s="548" t="s">
        <v>7</v>
      </c>
      <c r="U5" s="548"/>
      <c r="V5" s="548"/>
      <c r="X5" s="99"/>
      <c r="Y5" s="99"/>
      <c r="Z5" s="99"/>
      <c r="AA5" s="99"/>
      <c r="AB5" s="99"/>
      <c r="AC5" s="99"/>
      <c r="AD5" s="99"/>
      <c r="AE5" s="99"/>
    </row>
    <row r="6" spans="1:31" ht="15.75" customHeight="1" x14ac:dyDescent="0.2">
      <c r="C6" s="545"/>
      <c r="D6" s="545"/>
      <c r="F6" s="405"/>
      <c r="G6" s="406">
        <v>2011</v>
      </c>
      <c r="H6" s="406">
        <v>2012</v>
      </c>
      <c r="I6" s="406">
        <v>2013</v>
      </c>
      <c r="J6" s="406">
        <v>2014</v>
      </c>
      <c r="K6" s="406">
        <v>2015</v>
      </c>
      <c r="L6" s="406">
        <v>2016</v>
      </c>
      <c r="M6" s="406">
        <v>2017</v>
      </c>
      <c r="N6" s="406">
        <v>2018</v>
      </c>
      <c r="O6" s="406">
        <v>2019</v>
      </c>
      <c r="P6" s="406">
        <v>2020</v>
      </c>
      <c r="Q6" s="406">
        <v>2021</v>
      </c>
      <c r="R6" s="406">
        <v>2022</v>
      </c>
      <c r="S6" s="406">
        <v>2023</v>
      </c>
      <c r="T6" s="212">
        <v>2024</v>
      </c>
      <c r="U6" s="212">
        <v>2025</v>
      </c>
      <c r="V6" s="212">
        <v>2026</v>
      </c>
      <c r="X6" s="99"/>
      <c r="Y6" s="99"/>
      <c r="Z6" s="99"/>
      <c r="AA6" s="99"/>
      <c r="AB6" s="99"/>
      <c r="AC6" s="99"/>
      <c r="AD6" s="99"/>
      <c r="AE6" s="99"/>
    </row>
    <row r="7" spans="1:31" ht="14.25" customHeight="1" x14ac:dyDescent="0.2">
      <c r="C7" s="205" t="s">
        <v>244</v>
      </c>
      <c r="D7" s="540"/>
      <c r="F7" s="406" t="s">
        <v>245</v>
      </c>
      <c r="G7" s="407" t="e" cm="1">
        <f t="array" ref="G7">_xlfn.XLOOKUP(1, ('0. GUIDELINES'!$E$3=[1]inflows!$A:$A) * (G$6=[1]inflows!$B:$B), [1]inflows!$C:$C)</f>
        <v>#N/A</v>
      </c>
      <c r="H7" s="407" t="e" cm="1">
        <f t="array" ref="H7">_xlfn.XLOOKUP(1, ('0. GUIDELINES'!$E$3=[1]inflows!$A:$A) * (H$6=[1]inflows!$B:$B), [1]inflows!$C:$C)</f>
        <v>#N/A</v>
      </c>
      <c r="I7" s="407" t="e" cm="1">
        <f t="array" ref="I7">_xlfn.XLOOKUP(1, ('0. GUIDELINES'!$E$3=[1]inflows!$A:$A) * (I$6=[1]inflows!$B:$B), [1]inflows!$C:$C)</f>
        <v>#N/A</v>
      </c>
      <c r="J7" s="407" t="e" cm="1">
        <f t="array" ref="J7">_xlfn.XLOOKUP(1, ('0. GUIDELINES'!$E$3=[1]inflows!$A:$A) * (J$6=[1]inflows!$B:$B), [1]inflows!$C:$C)</f>
        <v>#N/A</v>
      </c>
      <c r="K7" s="407" t="e" cm="1">
        <f t="array" ref="K7">_xlfn.XLOOKUP(1, ('0. GUIDELINES'!$E$3=[1]inflows!$A:$A) * (K$6=[1]inflows!$B:$B), [1]inflows!$C:$C)</f>
        <v>#N/A</v>
      </c>
      <c r="L7" s="407" t="e" cm="1">
        <f t="array" ref="L7">_xlfn.XLOOKUP(1, ('0. GUIDELINES'!$E$3=[1]inflows!$A:$A) * (L$6=[1]inflows!$B:$B), [1]inflows!$C:$C)</f>
        <v>#N/A</v>
      </c>
      <c r="M7" s="407" t="e" cm="1">
        <f t="array" ref="M7">_xlfn.XLOOKUP(1, ('0. GUIDELINES'!$E$3=[1]inflows!$A:$A) * (M$6=[1]inflows!$B:$B), [1]inflows!$C:$C)</f>
        <v>#N/A</v>
      </c>
      <c r="N7" s="407" t="e" cm="1">
        <f t="array" ref="N7">_xlfn.XLOOKUP(1, ('0. GUIDELINES'!$E$3=[1]inflows!$A:$A) * (N$6=[1]inflows!$B:$B), [1]inflows!$C:$C)</f>
        <v>#N/A</v>
      </c>
      <c r="O7" s="407" t="e" cm="1">
        <f t="array" ref="O7">_xlfn.XLOOKUP(1, ('0. GUIDELINES'!$E$3=[1]inflows!$A:$A) * (O$6=[1]inflows!$B:$B), [1]inflows!$C:$C)</f>
        <v>#N/A</v>
      </c>
      <c r="P7" s="407" t="e" cm="1">
        <f t="array" ref="P7">_xlfn.XLOOKUP(1, ('0. GUIDELINES'!$E$3=[1]inflows!$A:$A) * (P$6=[1]inflows!$B:$B), [1]inflows!$C:$C)</f>
        <v>#N/A</v>
      </c>
      <c r="Q7" s="407" t="e" cm="1">
        <f t="array" ref="Q7">_xlfn.XLOOKUP(1, ('0. GUIDELINES'!$E$3=[1]inflows!$A:$A) * (Q$6=[1]inflows!$B:$B), [1]inflows!$C:$C)</f>
        <v>#N/A</v>
      </c>
      <c r="R7" s="407" t="e" cm="1">
        <f t="array" ref="R7">_xlfn.XLOOKUP(1, ('0. GUIDELINES'!$E$3=[1]inflows!$A:$A) * (R$6=[1]inflows!$B:$B), [1]inflows!$C:$C)</f>
        <v>#N/A</v>
      </c>
      <c r="S7" s="407" t="e" cm="1">
        <f t="array" ref="S7">_xlfn.XLOOKUP(1, ('0. GUIDELINES'!$E$3=[1]inflows!$A:$A) * (S$6=[1]inflows!$B:$B), [1]inflows!$C:$C)</f>
        <v>#N/A</v>
      </c>
      <c r="T7" s="214" t="e" cm="1">
        <f t="array" ref="T7">_xlfn.XLOOKUP(1, ('0. GUIDELINES'!$E$3=[1]inflows!$A:$A) * (T$6=[1]inflows!$B:$B), [1]inflows!$C:$C)</f>
        <v>#N/A</v>
      </c>
      <c r="U7" s="214" t="e" cm="1">
        <f t="array" ref="U7">_xlfn.XLOOKUP(1, ('0. GUIDELINES'!$E$3=[1]inflows!$A:$A) * (U$6=[1]inflows!$B:$B), [1]inflows!$C:$C)</f>
        <v>#N/A</v>
      </c>
      <c r="V7" s="214" t="e" cm="1">
        <f t="array" ref="V7">_xlfn.XLOOKUP(1, ('0. GUIDELINES'!$E$3=[1]inflows!$A:$A) * (V$6=[1]inflows!$B:$B), [1]inflows!$C:$C)</f>
        <v>#N/A</v>
      </c>
      <c r="X7" s="99"/>
      <c r="Y7" s="99"/>
      <c r="Z7" s="99"/>
      <c r="AA7" s="99"/>
      <c r="AB7" s="99"/>
      <c r="AC7" s="99"/>
      <c r="AD7" s="99"/>
      <c r="AE7" s="99"/>
    </row>
    <row r="8" spans="1:31" ht="14.25" customHeight="1" x14ac:dyDescent="0.2">
      <c r="C8" s="204" t="s">
        <v>246</v>
      </c>
      <c r="D8" s="540"/>
      <c r="F8" s="408" t="s">
        <v>247</v>
      </c>
      <c r="G8" s="409"/>
      <c r="H8" s="409" t="e">
        <f>(+H7/G7-1)*100</f>
        <v>#N/A</v>
      </c>
      <c r="I8" s="409" t="e">
        <f t="shared" ref="I8:R8" si="0">(+I7/H7-1)*100</f>
        <v>#N/A</v>
      </c>
      <c r="J8" s="409" t="e">
        <f t="shared" si="0"/>
        <v>#N/A</v>
      </c>
      <c r="K8" s="409" t="e">
        <f t="shared" si="0"/>
        <v>#N/A</v>
      </c>
      <c r="L8" s="409" t="e">
        <f t="shared" si="0"/>
        <v>#N/A</v>
      </c>
      <c r="M8" s="409" t="e">
        <f t="shared" si="0"/>
        <v>#N/A</v>
      </c>
      <c r="N8" s="409" t="e">
        <f t="shared" si="0"/>
        <v>#N/A</v>
      </c>
      <c r="O8" s="409" t="e">
        <f t="shared" si="0"/>
        <v>#N/A</v>
      </c>
      <c r="P8" s="409" t="e">
        <f t="shared" si="0"/>
        <v>#N/A</v>
      </c>
      <c r="Q8" s="409" t="e">
        <f t="shared" si="0"/>
        <v>#N/A</v>
      </c>
      <c r="R8" s="409" t="e">
        <f t="shared" si="0"/>
        <v>#N/A</v>
      </c>
      <c r="S8" s="409" t="e">
        <f t="shared" ref="S8" si="1">(+S7/R7-1)*100</f>
        <v>#N/A</v>
      </c>
      <c r="T8" s="213" t="e">
        <f t="shared" ref="T8" si="2">(+T7/S7-1)*100</f>
        <v>#N/A</v>
      </c>
      <c r="U8" s="213" t="e">
        <f t="shared" ref="U8" si="3">(+U7/T7-1)*100</f>
        <v>#N/A</v>
      </c>
      <c r="V8" s="213" t="e">
        <f t="shared" ref="V8" si="4">(+V7/U7-1)*100</f>
        <v>#N/A</v>
      </c>
      <c r="X8" s="99"/>
      <c r="Y8" s="99"/>
      <c r="Z8" s="99"/>
      <c r="AA8" s="99"/>
      <c r="AB8" s="99"/>
      <c r="AC8" s="99"/>
      <c r="AD8" s="99"/>
      <c r="AE8" s="99"/>
    </row>
    <row r="9" spans="1:31" ht="16.5" customHeight="1" x14ac:dyDescent="0.2">
      <c r="C9" s="206" t="s">
        <v>248</v>
      </c>
      <c r="D9" s="208"/>
      <c r="F9" s="547" t="s">
        <v>249</v>
      </c>
      <c r="G9" s="547"/>
      <c r="H9" s="547"/>
      <c r="I9" s="547"/>
      <c r="J9" s="547"/>
      <c r="K9" s="547"/>
      <c r="L9" s="547"/>
      <c r="M9" s="547"/>
      <c r="N9" s="547"/>
      <c r="O9" s="547"/>
      <c r="P9" s="547"/>
      <c r="Q9" s="547"/>
      <c r="R9" s="547"/>
      <c r="S9" s="412"/>
      <c r="T9" s="413" t="s">
        <v>250</v>
      </c>
      <c r="U9" s="546" t="str">
        <f>[1]inflows!$D$2</f>
        <v>Jul-25-2024</v>
      </c>
      <c r="V9" s="546"/>
      <c r="X9" s="99"/>
      <c r="Y9" s="99"/>
      <c r="Z9" s="99"/>
      <c r="AA9" s="99"/>
      <c r="AB9" s="99"/>
      <c r="AC9" s="99"/>
      <c r="AD9" s="99"/>
      <c r="AE9" s="99"/>
    </row>
    <row r="10" spans="1:31" ht="19.5" customHeight="1" x14ac:dyDescent="0.2">
      <c r="A10" s="94" t="str">
        <f>'0. GUIDELINES'!E3&amp;"_"&amp;'CONTROL '!N1</f>
        <v>BGD_remittances</v>
      </c>
      <c r="B10" s="304"/>
      <c r="C10" s="204" t="s">
        <v>251</v>
      </c>
      <c r="D10" s="209" t="s">
        <v>252</v>
      </c>
      <c r="F10" s="99"/>
      <c r="G10" s="410"/>
      <c r="H10" s="104"/>
      <c r="I10" s="104"/>
      <c r="J10" s="104"/>
      <c r="K10" s="104"/>
      <c r="L10" s="104"/>
      <c r="M10" s="104"/>
      <c r="N10" s="104"/>
      <c r="O10" s="104"/>
      <c r="P10" s="410"/>
      <c r="Q10" s="411"/>
      <c r="R10" s="104"/>
      <c r="S10" s="104"/>
      <c r="T10" s="104"/>
      <c r="U10" s="104"/>
      <c r="V10" s="104"/>
      <c r="X10" s="99"/>
      <c r="Y10" s="99"/>
      <c r="Z10" s="99"/>
      <c r="AA10" s="99"/>
      <c r="AB10" s="99"/>
      <c r="AC10" s="99"/>
      <c r="AD10" s="99"/>
      <c r="AE10" s="99"/>
    </row>
    <row r="11" spans="1:31" ht="15.6" customHeight="1" x14ac:dyDescent="0.2">
      <c r="A11" s="94" t="str">
        <f>'0. GUIDELINES'!E3&amp;"_"&amp;'CONTROL '!N2</f>
        <v>BGD_gr_remittances</v>
      </c>
      <c r="B11" s="304"/>
      <c r="C11" s="207" t="s">
        <v>253</v>
      </c>
      <c r="D11" s="210" t="s">
        <v>254</v>
      </c>
      <c r="F11" s="99"/>
      <c r="G11" s="410"/>
      <c r="H11" s="104"/>
      <c r="I11" s="104"/>
      <c r="J11" s="104"/>
      <c r="K11" s="104"/>
      <c r="L11" s="104"/>
      <c r="M11" s="104"/>
      <c r="N11" s="104"/>
      <c r="O11" s="104"/>
      <c r="P11" s="410"/>
      <c r="Q11" s="411"/>
      <c r="R11" s="104"/>
      <c r="S11" s="104"/>
      <c r="T11" s="104"/>
      <c r="U11" s="104"/>
      <c r="V11" s="104"/>
      <c r="X11" s="99"/>
      <c r="Y11" s="99"/>
      <c r="Z11" s="99"/>
      <c r="AA11" s="99"/>
      <c r="AB11" s="99"/>
      <c r="AC11" s="99"/>
      <c r="AD11" s="99"/>
      <c r="AE11" s="99"/>
    </row>
    <row r="12" spans="1:31" ht="16.5" customHeight="1" x14ac:dyDescent="0.2">
      <c r="C12" s="207" t="s">
        <v>255</v>
      </c>
      <c r="D12" s="210" t="s">
        <v>256</v>
      </c>
      <c r="F12" s="99"/>
      <c r="G12" s="410"/>
      <c r="H12" s="104"/>
      <c r="I12" s="104"/>
      <c r="J12" s="104"/>
      <c r="K12" s="104"/>
      <c r="L12" s="104"/>
      <c r="M12" s="104"/>
      <c r="N12" s="104"/>
      <c r="O12" s="104"/>
      <c r="P12" s="410"/>
      <c r="Q12" s="411"/>
      <c r="R12" s="104"/>
      <c r="S12" s="104"/>
      <c r="T12" s="104"/>
      <c r="U12" s="104"/>
      <c r="V12" s="104"/>
      <c r="X12" s="99"/>
      <c r="Y12" s="99"/>
      <c r="Z12" s="99"/>
      <c r="AA12" s="99"/>
      <c r="AB12" s="99"/>
      <c r="AC12" s="99"/>
      <c r="AD12" s="99"/>
      <c r="AE12" s="99"/>
    </row>
    <row r="13" spans="1:31" ht="16.5" customHeight="1" x14ac:dyDescent="0.2">
      <c r="C13" s="542" t="str">
        <f>IF($D$12="Yes", "If you want to make changes to public transfers, please contact us using the link below. ", "Transfers are held constant in real terms.")</f>
        <v>Transfers are held constant in real terms.</v>
      </c>
      <c r="D13" s="542"/>
      <c r="F13" s="99"/>
      <c r="G13" s="410"/>
      <c r="H13" s="104"/>
      <c r="I13" s="104"/>
      <c r="J13" s="104"/>
      <c r="K13" s="104"/>
      <c r="L13" s="104"/>
      <c r="M13" s="104"/>
      <c r="N13" s="104"/>
      <c r="O13" s="104"/>
      <c r="P13" s="410"/>
      <c r="Q13" s="411"/>
      <c r="R13" s="104"/>
      <c r="S13" s="104"/>
      <c r="T13" s="104"/>
      <c r="U13" s="104"/>
      <c r="V13" s="104"/>
      <c r="X13" s="99"/>
      <c r="Y13" s="99"/>
      <c r="Z13" s="99"/>
      <c r="AA13" s="99"/>
      <c r="AB13" s="99"/>
      <c r="AC13" s="99"/>
      <c r="AD13" s="99"/>
      <c r="AE13" s="99"/>
    </row>
    <row r="14" spans="1:31" ht="16.5" customHeight="1" x14ac:dyDescent="0.2">
      <c r="C14" s="542"/>
      <c r="D14" s="542"/>
      <c r="F14" s="99"/>
      <c r="G14" s="410"/>
      <c r="H14" s="104"/>
      <c r="I14" s="104"/>
      <c r="J14" s="104"/>
      <c r="K14" s="104"/>
      <c r="L14" s="104"/>
      <c r="M14" s="104"/>
      <c r="N14" s="104"/>
      <c r="O14" s="104"/>
      <c r="P14" s="410"/>
      <c r="Q14" s="411"/>
      <c r="R14" s="104"/>
      <c r="S14" s="104"/>
      <c r="T14" s="104"/>
      <c r="U14" s="104"/>
      <c r="V14" s="104"/>
      <c r="X14" s="99"/>
      <c r="Y14" s="99"/>
      <c r="Z14" s="99"/>
      <c r="AA14" s="99"/>
      <c r="AB14" s="99"/>
      <c r="AC14" s="99"/>
      <c r="AD14" s="99"/>
      <c r="AE14" s="99"/>
    </row>
    <row r="15" spans="1:31" ht="16.5" customHeight="1" x14ac:dyDescent="0.2">
      <c r="C15" s="543" t="s">
        <v>129</v>
      </c>
      <c r="D15" s="543"/>
      <c r="F15" s="99"/>
      <c r="G15" s="410"/>
      <c r="H15" s="104"/>
      <c r="I15" s="104"/>
      <c r="J15" s="104"/>
      <c r="K15" s="104"/>
      <c r="L15" s="104"/>
      <c r="M15" s="104"/>
      <c r="N15" s="104"/>
      <c r="O15" s="104"/>
      <c r="P15" s="410"/>
      <c r="Q15" s="411"/>
      <c r="R15" s="104"/>
      <c r="S15" s="104"/>
      <c r="T15" s="104"/>
      <c r="U15" s="104"/>
      <c r="V15" s="104"/>
      <c r="X15" s="99"/>
      <c r="Y15" s="99"/>
      <c r="Z15" s="99"/>
      <c r="AA15" s="99"/>
      <c r="AB15" s="99"/>
      <c r="AC15" s="99"/>
      <c r="AD15" s="99"/>
      <c r="AE15" s="99"/>
    </row>
    <row r="16" spans="1:31" ht="16.5" customHeight="1" x14ac:dyDescent="0.25">
      <c r="C16" s="404"/>
      <c r="D16" s="404"/>
      <c r="F16" s="211"/>
      <c r="G16" s="541" t="s">
        <v>257</v>
      </c>
      <c r="H16" s="541"/>
      <c r="I16" s="541"/>
      <c r="J16" s="541"/>
      <c r="K16" s="541"/>
      <c r="L16" s="541"/>
      <c r="M16" s="541"/>
      <c r="N16" s="541"/>
      <c r="O16" s="541"/>
      <c r="P16" s="541"/>
      <c r="Q16" s="541"/>
      <c r="R16" s="541"/>
      <c r="S16" s="541"/>
      <c r="T16" s="541"/>
      <c r="U16" s="541"/>
      <c r="V16" s="541"/>
      <c r="X16" s="99"/>
      <c r="Y16" s="99"/>
      <c r="Z16" s="99"/>
      <c r="AA16" s="99"/>
      <c r="AB16" s="99"/>
      <c r="AC16" s="99"/>
      <c r="AD16" s="99"/>
      <c r="AE16" s="99"/>
    </row>
    <row r="17" spans="3:35" ht="16.5" customHeight="1" x14ac:dyDescent="0.2">
      <c r="C17" s="404"/>
      <c r="D17" s="404"/>
      <c r="F17" s="99"/>
      <c r="G17" s="549" t="s">
        <v>122</v>
      </c>
      <c r="H17" s="549"/>
      <c r="I17" s="549"/>
      <c r="J17" s="549"/>
      <c r="K17" s="549"/>
      <c r="L17" s="549"/>
      <c r="M17" s="549"/>
      <c r="N17" s="549"/>
      <c r="O17" s="549"/>
      <c r="P17" s="549"/>
      <c r="Q17" s="549"/>
      <c r="R17" s="549"/>
      <c r="S17" s="549"/>
      <c r="T17" s="548" t="s">
        <v>7</v>
      </c>
      <c r="U17" s="548"/>
      <c r="V17" s="548"/>
      <c r="X17" s="99"/>
      <c r="Y17" s="99"/>
      <c r="Z17" s="99"/>
      <c r="AA17" s="99"/>
      <c r="AB17" s="99"/>
      <c r="AC17" s="99"/>
      <c r="AD17" s="99"/>
      <c r="AE17" s="99"/>
    </row>
    <row r="18" spans="3:35" ht="16.5" customHeight="1" x14ac:dyDescent="0.2">
      <c r="C18" s="404"/>
      <c r="D18" s="404"/>
      <c r="F18" s="131"/>
      <c r="G18" s="406">
        <v>2011</v>
      </c>
      <c r="H18" s="406">
        <v>2012</v>
      </c>
      <c r="I18" s="406">
        <v>2013</v>
      </c>
      <c r="J18" s="406">
        <v>2014</v>
      </c>
      <c r="K18" s="406">
        <v>2015</v>
      </c>
      <c r="L18" s="406">
        <v>2016</v>
      </c>
      <c r="M18" s="406">
        <v>2017</v>
      </c>
      <c r="N18" s="406">
        <v>2018</v>
      </c>
      <c r="O18" s="414">
        <v>2019</v>
      </c>
      <c r="P18" s="406">
        <v>2020</v>
      </c>
      <c r="Q18" s="406">
        <v>2021</v>
      </c>
      <c r="R18" s="406">
        <v>2022</v>
      </c>
      <c r="S18" s="406">
        <v>2023</v>
      </c>
      <c r="T18" s="212">
        <v>2024</v>
      </c>
      <c r="U18" s="212">
        <v>2025</v>
      </c>
      <c r="V18" s="212">
        <v>2026</v>
      </c>
      <c r="X18" s="99"/>
      <c r="Y18" s="99"/>
      <c r="Z18" s="99"/>
      <c r="AA18" s="99"/>
      <c r="AB18" s="99"/>
      <c r="AC18" s="99"/>
      <c r="AD18" s="99"/>
      <c r="AE18" s="99"/>
    </row>
    <row r="19" spans="3:35" ht="16.5" customHeight="1" x14ac:dyDescent="0.2">
      <c r="C19" s="404"/>
      <c r="D19" s="404"/>
      <c r="F19" s="408" t="s">
        <v>247</v>
      </c>
      <c r="G19" s="415"/>
      <c r="H19" s="415">
        <f>'1. GDP'!O38</f>
        <v>6.5214370673565503</v>
      </c>
      <c r="I19" s="415">
        <f>'1. GDP'!P38</f>
        <v>6.0136003720140385</v>
      </c>
      <c r="J19" s="415">
        <f>'1. GDP'!Q38</f>
        <v>6.0610860042506376</v>
      </c>
      <c r="K19" s="415">
        <f>'1. GDP'!R38</f>
        <v>6.5526448353302902</v>
      </c>
      <c r="L19" s="415">
        <f>'1. GDP'!S38</f>
        <v>7.1134728556473181</v>
      </c>
      <c r="M19" s="415">
        <f>'1. GDP'!T38</f>
        <v>6.5902394107701268</v>
      </c>
      <c r="N19" s="409">
        <f>'1. GDP'!U38</f>
        <v>7.3194122993388344</v>
      </c>
      <c r="O19" s="409">
        <f>'1. GDP'!V38</f>
        <v>7.8819021854025229</v>
      </c>
      <c r="P19" s="409">
        <f>'1. GDP'!W38</f>
        <v>3.4480295312287579</v>
      </c>
      <c r="Q19" s="409">
        <f>'1. GDP'!X38</f>
        <v>6.938675089101598</v>
      </c>
      <c r="R19" s="409">
        <f>'1. GDP'!Y38</f>
        <v>7.099828775751571</v>
      </c>
      <c r="S19" s="409">
        <f>'1. GDP'!Z38</f>
        <v>5.7751090753483725</v>
      </c>
      <c r="T19" s="213">
        <f>'1. GDP'!AA38</f>
        <v>5.6430273201793835</v>
      </c>
      <c r="U19" s="213">
        <f>'1. GDP'!AB38</f>
        <v>5.6820170690020433</v>
      </c>
      <c r="V19" s="213">
        <f>'1. GDP'!AC38</f>
        <v>5.9219103171221699</v>
      </c>
      <c r="X19" s="99"/>
      <c r="Y19" s="99"/>
      <c r="Z19" s="99"/>
      <c r="AA19" s="99"/>
      <c r="AB19" s="99"/>
      <c r="AC19" s="99"/>
      <c r="AD19" s="99"/>
      <c r="AE19" s="99"/>
    </row>
    <row r="20" spans="3:35" ht="15.75" customHeight="1" x14ac:dyDescent="0.2">
      <c r="C20" s="404"/>
      <c r="D20" s="404"/>
      <c r="F20" s="99"/>
      <c r="G20" s="306"/>
      <c r="H20" s="306"/>
      <c r="I20" s="306"/>
      <c r="J20" s="306"/>
      <c r="K20" s="306"/>
      <c r="L20" s="306"/>
      <c r="M20" s="306"/>
      <c r="N20" s="306"/>
      <c r="O20" s="306"/>
      <c r="P20" s="306"/>
      <c r="Q20" s="306"/>
      <c r="R20" s="306"/>
      <c r="S20" s="306"/>
      <c r="T20" s="306"/>
      <c r="U20" s="306"/>
      <c r="V20" s="99"/>
      <c r="X20" s="99"/>
      <c r="Y20" s="99"/>
      <c r="Z20" s="99"/>
      <c r="AA20" s="99"/>
      <c r="AB20" s="99"/>
      <c r="AC20" s="99"/>
      <c r="AD20" s="99"/>
      <c r="AE20" s="99"/>
    </row>
    <row r="21" spans="3:35" ht="15.75" customHeight="1" x14ac:dyDescent="0.2">
      <c r="C21" s="404"/>
      <c r="D21" s="404"/>
      <c r="F21" s="99"/>
      <c r="G21" s="99"/>
      <c r="H21" s="99"/>
      <c r="I21" s="99"/>
      <c r="J21" s="99"/>
      <c r="K21" s="99"/>
      <c r="L21" s="99"/>
      <c r="M21" s="99"/>
      <c r="N21" s="99"/>
      <c r="O21" s="99"/>
      <c r="P21" s="99"/>
      <c r="Q21" s="99"/>
      <c r="R21" s="99"/>
      <c r="S21" s="99"/>
      <c r="T21" s="99"/>
      <c r="U21" s="99"/>
      <c r="V21" s="99"/>
      <c r="W21" s="306"/>
      <c r="X21" s="99"/>
      <c r="Y21" s="99"/>
      <c r="Z21" s="99"/>
      <c r="AA21" s="99"/>
      <c r="AB21" s="99"/>
      <c r="AC21" s="99"/>
      <c r="AD21" s="99"/>
      <c r="AE21" s="99"/>
      <c r="AI21" s="46"/>
    </row>
    <row r="22" spans="3:35" ht="15.6" customHeight="1" x14ac:dyDescent="0.2">
      <c r="C22" s="121"/>
      <c r="D22" s="121"/>
      <c r="E22" s="130"/>
      <c r="F22" s="99"/>
      <c r="G22" s="99"/>
      <c r="H22" s="99"/>
      <c r="I22" s="99"/>
      <c r="J22" s="99"/>
      <c r="K22" s="99"/>
      <c r="L22" s="99"/>
      <c r="M22" s="99"/>
      <c r="N22" s="99"/>
      <c r="O22" s="99"/>
      <c r="P22" s="99"/>
      <c r="Q22" s="99"/>
      <c r="R22" s="99"/>
      <c r="S22" s="99"/>
      <c r="T22" s="99"/>
      <c r="U22" s="99"/>
      <c r="V22" s="99"/>
      <c r="W22" s="306"/>
      <c r="X22" s="99"/>
      <c r="Y22" s="99"/>
      <c r="Z22" s="99"/>
      <c r="AA22" s="99"/>
      <c r="AB22" s="99"/>
      <c r="AC22" s="99"/>
      <c r="AD22" s="99"/>
      <c r="AE22" s="99"/>
    </row>
    <row r="23" spans="3:35" ht="15" customHeight="1" x14ac:dyDescent="0.2">
      <c r="C23" s="121"/>
      <c r="D23" s="121"/>
      <c r="F23" s="99"/>
      <c r="G23" s="99"/>
      <c r="H23" s="99"/>
      <c r="I23" s="99"/>
      <c r="J23" s="99"/>
      <c r="K23" s="99"/>
      <c r="L23" s="99"/>
      <c r="M23" s="99"/>
      <c r="N23" s="99"/>
      <c r="O23" s="99"/>
      <c r="P23" s="99"/>
      <c r="Q23" s="99"/>
      <c r="R23" s="99"/>
      <c r="S23" s="99"/>
      <c r="T23" s="99"/>
      <c r="U23" s="99"/>
      <c r="V23" s="99"/>
      <c r="X23" s="99"/>
      <c r="Y23" s="99"/>
      <c r="Z23" s="99"/>
      <c r="AA23" s="99"/>
      <c r="AB23" s="99"/>
      <c r="AC23" s="99"/>
      <c r="AD23" s="99"/>
      <c r="AE23" s="99"/>
      <c r="AI23" s="46"/>
    </row>
    <row r="24" spans="3:35" ht="15" customHeight="1" x14ac:dyDescent="0.2">
      <c r="C24" s="121"/>
      <c r="D24" s="121"/>
      <c r="F24" s="99"/>
      <c r="G24" s="99"/>
      <c r="H24" s="99"/>
      <c r="I24" s="99"/>
      <c r="J24" s="99"/>
      <c r="K24" s="99"/>
      <c r="L24" s="99"/>
      <c r="M24" s="99"/>
      <c r="N24" s="99"/>
      <c r="O24" s="99"/>
      <c r="P24" s="99"/>
      <c r="Q24" s="99"/>
      <c r="R24" s="99"/>
      <c r="S24" s="99"/>
      <c r="T24" s="99"/>
      <c r="U24" s="99"/>
      <c r="V24" s="99"/>
      <c r="X24" s="99"/>
      <c r="Y24" s="99"/>
      <c r="Z24" s="99"/>
      <c r="AA24" s="99"/>
      <c r="AB24" s="99"/>
      <c r="AC24" s="99"/>
      <c r="AD24" s="99"/>
      <c r="AE24" s="99"/>
      <c r="AI24" s="46"/>
    </row>
    <row r="25" spans="3:35" ht="15" customHeight="1" x14ac:dyDescent="0.2">
      <c r="C25" s="121"/>
      <c r="D25" s="121"/>
      <c r="F25" s="99"/>
      <c r="G25" s="99"/>
      <c r="H25" s="99"/>
      <c r="I25" s="99"/>
      <c r="J25" s="99"/>
      <c r="K25" s="99"/>
      <c r="L25" s="99"/>
      <c r="M25" s="99"/>
      <c r="N25" s="99"/>
      <c r="O25" s="99"/>
      <c r="P25" s="99"/>
      <c r="Q25" s="99"/>
      <c r="R25" s="99"/>
      <c r="S25" s="99"/>
      <c r="T25" s="99"/>
      <c r="U25" s="99"/>
      <c r="V25" s="99"/>
      <c r="X25" s="99"/>
      <c r="Y25" s="99"/>
      <c r="Z25" s="99"/>
      <c r="AA25" s="99"/>
      <c r="AB25" s="99"/>
      <c r="AC25" s="99"/>
      <c r="AD25" s="99"/>
      <c r="AE25" s="99"/>
    </row>
    <row r="26" spans="3:35" ht="15.75" customHeight="1" x14ac:dyDescent="0.2">
      <c r="C26" s="121"/>
      <c r="D26" s="121"/>
      <c r="F26" s="99"/>
      <c r="G26" s="99"/>
      <c r="H26" s="99"/>
      <c r="I26" s="99"/>
      <c r="J26" s="99"/>
      <c r="K26" s="99"/>
      <c r="L26" s="99"/>
      <c r="M26" s="99"/>
      <c r="N26" s="99"/>
      <c r="O26" s="99"/>
      <c r="P26" s="99"/>
      <c r="Q26" s="99"/>
      <c r="R26" s="99"/>
      <c r="S26" s="99"/>
      <c r="T26" s="99"/>
      <c r="U26" s="99"/>
      <c r="V26" s="99"/>
      <c r="X26" s="99"/>
      <c r="Y26" s="99"/>
      <c r="Z26" s="99"/>
      <c r="AA26" s="99"/>
      <c r="AB26" s="99"/>
      <c r="AC26" s="99"/>
      <c r="AD26" s="99"/>
      <c r="AE26" s="99"/>
      <c r="AI26" s="46"/>
    </row>
    <row r="27" spans="3:35" ht="14.25" x14ac:dyDescent="0.2">
      <c r="C27" s="121"/>
      <c r="D27" s="121"/>
      <c r="F27" s="99"/>
      <c r="G27" s="99"/>
      <c r="H27" s="99"/>
      <c r="I27" s="99"/>
      <c r="J27" s="99"/>
      <c r="K27" s="99"/>
      <c r="L27" s="99"/>
      <c r="M27" s="99"/>
      <c r="N27" s="99"/>
      <c r="O27" s="99"/>
      <c r="P27" s="99"/>
      <c r="Q27" s="99"/>
      <c r="R27" s="99"/>
      <c r="S27" s="99"/>
      <c r="T27" s="99"/>
      <c r="U27" s="99"/>
      <c r="V27" s="99"/>
      <c r="X27" s="99"/>
      <c r="Y27" s="99"/>
      <c r="Z27" s="99"/>
      <c r="AA27" s="99"/>
      <c r="AB27" s="99"/>
      <c r="AC27" s="99"/>
      <c r="AD27" s="99"/>
      <c r="AE27" s="99"/>
    </row>
    <row r="28" spans="3:35" ht="14.25" hidden="1" x14ac:dyDescent="0.2">
      <c r="AI28" s="46"/>
    </row>
    <row r="29" spans="3:35" ht="14.25" hidden="1" x14ac:dyDescent="0.2"/>
    <row r="30" spans="3:35" ht="14.25" hidden="1" x14ac:dyDescent="0.2">
      <c r="AI30" s="46"/>
    </row>
    <row r="34" ht="14.25" hidden="1" x14ac:dyDescent="0.2"/>
    <row r="35" ht="14.25" hidden="1" x14ac:dyDescent="0.2"/>
    <row r="36" ht="14.25" hidden="1" x14ac:dyDescent="0.2"/>
    <row r="37" ht="14.25" hidden="1" x14ac:dyDescent="0.2"/>
    <row r="38" ht="14.25" hidden="1" x14ac:dyDescent="0.2"/>
    <row r="39" ht="14.25" hidden="1" x14ac:dyDescent="0.2"/>
    <row r="40" ht="14.25" hidden="1" x14ac:dyDescent="0.2"/>
    <row r="41" ht="14.25" hidden="1" x14ac:dyDescent="0.2"/>
    <row r="42" ht="14.25" hidden="1" x14ac:dyDescent="0.2"/>
    <row r="43" ht="14.25" hidden="1" x14ac:dyDescent="0.2"/>
    <row r="44" ht="14.25" hidden="1" x14ac:dyDescent="0.2"/>
    <row r="45" ht="14.25" hidden="1" x14ac:dyDescent="0.2"/>
    <row r="46" ht="14.25" hidden="1" x14ac:dyDescent="0.2"/>
    <row r="47" ht="14.25" hidden="1" x14ac:dyDescent="0.2"/>
  </sheetData>
  <sheetProtection algorithmName="SHA-512" hashValue="zaVZv1nvSPwsDoDityKgHzeWXywJGcRKmmiuIBghPCyQFiotS3v3S6aPosDtRT86uALFLbeO3tuPuqDV3yVE3Q==" saltValue="ZiG8ZKdSii4eOAL11r+VFA==" spinCount="100000" sheet="1" insertColumns="0"/>
  <protectedRanges>
    <protectedRange sqref="D11:D12" name="Range2"/>
    <protectedRange sqref="S8:V8" name="Rango2"/>
    <protectedRange sqref="N19:V19" name="Rango3"/>
  </protectedRanges>
  <mergeCells count="13">
    <mergeCell ref="G16:V16"/>
    <mergeCell ref="U9:V9"/>
    <mergeCell ref="F9:R9"/>
    <mergeCell ref="T5:V5"/>
    <mergeCell ref="T17:V17"/>
    <mergeCell ref="G5:S5"/>
    <mergeCell ref="G17:S17"/>
    <mergeCell ref="D7:D8"/>
    <mergeCell ref="G4:V4"/>
    <mergeCell ref="C13:D14"/>
    <mergeCell ref="C15:D15"/>
    <mergeCell ref="C2:AD2"/>
    <mergeCell ref="C4:D6"/>
  </mergeCells>
  <hyperlinks>
    <hyperlink ref="D10" location="'1. GDP'!A1" display="Click to go to GDP" xr:uid="{18461297-A804-483C-90D1-FDDE1F0F24AD}"/>
    <hyperlink ref="C15" r:id="rId1" xr:uid="{5880B7CA-8F0A-4C8C-9A37-2F95909D2E6E}"/>
    <hyperlink ref="C15:D15" r:id="rId2" display="CONTACT US" xr:uid="{D72CAAA6-B857-4E35-8665-72484804B4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78849" r:id="rId6" name="Check Box 1">
              <controlPr defaultSize="0" autoFill="0" autoLine="0" autoPict="0">
                <anchor moveWithCells="1">
                  <from>
                    <xdr:col>3</xdr:col>
                    <xdr:colOff>447675</xdr:colOff>
                    <xdr:row>6</xdr:row>
                    <xdr:rowOff>85725</xdr:rowOff>
                  </from>
                  <to>
                    <xdr:col>3</xdr:col>
                    <xdr:colOff>752475</xdr:colOff>
                    <xdr:row>7</xdr:row>
                    <xdr:rowOff>123825</xdr:rowOff>
                  </to>
                </anchor>
              </controlPr>
            </control>
          </mc:Choice>
        </mc:AlternateContent>
        <mc:AlternateContent xmlns:mc="http://schemas.openxmlformats.org/markup-compatibility/2006">
          <mc:Choice Requires="x14">
            <control shapeId="78850" r:id="rId7" name="Check Box 2">
              <controlPr defaultSize="0" autoFill="0" autoLine="0" autoPict="0">
                <anchor moveWithCells="1">
                  <from>
                    <xdr:col>3</xdr:col>
                    <xdr:colOff>428625</xdr:colOff>
                    <xdr:row>8</xdr:row>
                    <xdr:rowOff>0</xdr:rowOff>
                  </from>
                  <to>
                    <xdr:col>3</xdr:col>
                    <xdr:colOff>733425</xdr:colOff>
                    <xdr:row>9</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FE27282-AA5E-4A74-891E-15450F6E0815}">
          <x14:formula1>
            <xm:f>'CONTROL '!$K$2:$K$3</xm:f>
          </x14:formula1>
          <xm:sqref>D11</xm:sqref>
        </x14:dataValidation>
        <x14:dataValidation type="list" allowBlank="1" showInputMessage="1" showErrorMessage="1" xr:uid="{BF8F636F-C923-4336-9BF3-474E86EA170B}">
          <x14:formula1>
            <xm:f>'CONTROL '!$F$2:$F$3</xm:f>
          </x14:formula1>
          <xm:sqref>D12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B150C-9BD9-4697-918E-494B13A266A3}">
  <sheetPr codeName="Sheet2">
    <tabColor rgb="FFFF9797"/>
  </sheetPr>
  <dimension ref="A1:R41"/>
  <sheetViews>
    <sheetView zoomScale="90" zoomScaleNormal="90" workbookViewId="0"/>
  </sheetViews>
  <sheetFormatPr defaultColWidth="0" defaultRowHeight="14.25" zeroHeight="1" x14ac:dyDescent="0.2"/>
  <cols>
    <col min="1" max="1" width="2.85546875" style="99" customWidth="1"/>
    <col min="2" max="9" width="10.7109375" style="31" customWidth="1"/>
    <col min="10" max="10" width="9.140625" style="99" customWidth="1"/>
    <col min="11" max="12" width="7.7109375" style="31" customWidth="1"/>
    <col min="13" max="13" width="9.140625" style="47" customWidth="1"/>
    <col min="14" max="14" width="9.140625" style="31" customWidth="1"/>
    <col min="15" max="15" width="5.5703125" style="31" customWidth="1"/>
    <col min="16" max="16" width="18.140625" style="60" bestFit="1" customWidth="1"/>
    <col min="17" max="17" width="3.28515625" style="38" hidden="1" customWidth="1"/>
    <col min="18" max="18" width="8.5703125" style="99" customWidth="1"/>
    <col min="19" max="16384" width="9.140625" style="31" hidden="1"/>
  </cols>
  <sheetData>
    <row r="1" spans="1:17" ht="15" customHeight="1" x14ac:dyDescent="0.2">
      <c r="B1" s="99"/>
      <c r="C1" s="99"/>
      <c r="D1" s="99"/>
      <c r="E1" s="99"/>
      <c r="F1" s="99"/>
      <c r="G1" s="99"/>
      <c r="H1" s="99"/>
      <c r="I1" s="99"/>
      <c r="K1" s="99"/>
      <c r="L1" s="99"/>
      <c r="M1" s="306"/>
      <c r="N1" s="99"/>
      <c r="O1" s="99"/>
      <c r="P1" s="416"/>
      <c r="Q1" s="121"/>
    </row>
    <row r="2" spans="1:17" ht="18" x14ac:dyDescent="0.25">
      <c r="B2" s="557" t="s">
        <v>94</v>
      </c>
      <c r="C2" s="557"/>
      <c r="D2" s="557"/>
      <c r="E2" s="557"/>
      <c r="F2" s="557"/>
      <c r="G2" s="557"/>
      <c r="H2" s="557"/>
      <c r="I2" s="557"/>
      <c r="K2" s="99"/>
      <c r="L2" s="99"/>
      <c r="M2" s="575" t="s">
        <v>81</v>
      </c>
      <c r="N2" s="575"/>
      <c r="O2" s="575"/>
      <c r="P2" s="575"/>
      <c r="Q2" s="92"/>
    </row>
    <row r="3" spans="1:17" ht="15.75" customHeight="1" x14ac:dyDescent="0.2">
      <c r="B3" s="99"/>
      <c r="C3" s="99"/>
      <c r="D3" s="99"/>
      <c r="E3" s="99"/>
      <c r="F3" s="99"/>
      <c r="G3" s="99"/>
      <c r="H3" s="99"/>
      <c r="I3" s="99"/>
      <c r="K3" s="555" t="s">
        <v>258</v>
      </c>
      <c r="L3" s="555"/>
      <c r="M3" s="570" t="s">
        <v>259</v>
      </c>
      <c r="N3" s="570"/>
      <c r="O3" s="570"/>
      <c r="P3" s="570"/>
      <c r="Q3" s="92"/>
    </row>
    <row r="4" spans="1:17" ht="15" customHeight="1" x14ac:dyDescent="0.2">
      <c r="B4" s="560" t="str">
        <f>"Congratulations, you have completed the inputs table for " &amp;'0. GUIDELINES'!$D$3 &amp; ". Please, before submitting, make sure that all categories below are marked as 'revised'. If it is not, please come back to the correspondent link and follow the instructions in all checkboxes; otherwise, you won't be able to submit your request."</f>
        <v>Congratulations, you have completed the inputs table for Bangladesh. Please, before submitting, make sure that all categories below are marked as 'revised'. If it is not, please come back to the correspondent link and follow the instructions in all checkboxes; otherwise, you won't be able to submit your request.</v>
      </c>
      <c r="C4" s="560"/>
      <c r="D4" s="560"/>
      <c r="E4" s="560"/>
      <c r="F4" s="560"/>
      <c r="G4" s="560"/>
      <c r="H4" s="560"/>
      <c r="I4" s="560"/>
      <c r="K4" s="556">
        <v>2026</v>
      </c>
      <c r="L4" s="556"/>
      <c r="M4" s="577" t="s">
        <v>29</v>
      </c>
      <c r="N4" s="577"/>
      <c r="O4" s="577"/>
      <c r="P4" s="249">
        <f>HLOOKUP($K$4, resumen!D:N, Q4, 0)</f>
        <v>3845542.75</v>
      </c>
      <c r="Q4" s="11">
        <v>9</v>
      </c>
    </row>
    <row r="5" spans="1:17" x14ac:dyDescent="0.2">
      <c r="A5" s="417" t="s">
        <v>260</v>
      </c>
      <c r="B5" s="560"/>
      <c r="C5" s="560"/>
      <c r="D5" s="560"/>
      <c r="E5" s="560"/>
      <c r="F5" s="560"/>
      <c r="G5" s="560"/>
      <c r="H5" s="560"/>
      <c r="I5" s="560"/>
      <c r="K5" s="306"/>
      <c r="L5" s="306"/>
      <c r="M5" s="577" t="s">
        <v>31</v>
      </c>
      <c r="N5" s="577"/>
      <c r="O5" s="577"/>
      <c r="P5" s="249">
        <f>HLOOKUP($K$4, resumen!D:N, Q5, 0)</f>
        <v>14261664</v>
      </c>
      <c r="Q5" s="11">
        <v>10</v>
      </c>
    </row>
    <row r="6" spans="1:17" x14ac:dyDescent="0.2">
      <c r="B6" s="560"/>
      <c r="C6" s="560"/>
      <c r="D6" s="560"/>
      <c r="E6" s="560"/>
      <c r="F6" s="560"/>
      <c r="G6" s="560"/>
      <c r="H6" s="560"/>
      <c r="I6" s="560"/>
      <c r="K6" s="306"/>
      <c r="L6" s="306"/>
      <c r="M6" s="577" t="s">
        <v>33</v>
      </c>
      <c r="N6" s="577"/>
      <c r="O6" s="577"/>
      <c r="P6" s="249">
        <f>HLOOKUP($K$4, resumen!D:N, Q6, 0)</f>
        <v>0</v>
      </c>
      <c r="Q6" s="11">
        <v>11</v>
      </c>
    </row>
    <row r="7" spans="1:17" x14ac:dyDescent="0.2">
      <c r="B7" s="560"/>
      <c r="C7" s="560"/>
      <c r="D7" s="560"/>
      <c r="E7" s="560"/>
      <c r="F7" s="560"/>
      <c r="G7" s="560"/>
      <c r="H7" s="560"/>
      <c r="I7" s="560"/>
      <c r="K7" s="306"/>
      <c r="L7" s="306"/>
      <c r="M7" s="577" t="s">
        <v>222</v>
      </c>
      <c r="N7" s="577"/>
      <c r="O7" s="577"/>
      <c r="P7" s="249">
        <f>HLOOKUP($K$4, resumen!D:N, Q7, 0)</f>
        <v>37965692</v>
      </c>
      <c r="Q7" s="11">
        <v>12</v>
      </c>
    </row>
    <row r="8" spans="1:17" x14ac:dyDescent="0.2">
      <c r="B8" s="99"/>
      <c r="C8" s="99"/>
      <c r="D8" s="99"/>
      <c r="E8" s="99"/>
      <c r="F8" s="99"/>
      <c r="G8" s="99"/>
      <c r="H8" s="99"/>
      <c r="I8" s="99"/>
      <c r="K8" s="306"/>
      <c r="L8" s="306"/>
      <c r="M8" s="571" t="s">
        <v>261</v>
      </c>
      <c r="N8" s="571"/>
      <c r="O8" s="571"/>
      <c r="P8" s="571"/>
      <c r="Q8" s="92"/>
    </row>
    <row r="9" spans="1:17" x14ac:dyDescent="0.2">
      <c r="B9" s="559" t="s">
        <v>100</v>
      </c>
      <c r="C9" s="559"/>
      <c r="D9" s="559"/>
      <c r="E9" s="558" t="str">
        <f>IF('CONTROL '!B2=TRUE,"revised","Please, revise the "&amp;B9&amp;" checklist")</f>
        <v>Please, revise the 1. GDP checklist</v>
      </c>
      <c r="F9" s="558"/>
      <c r="G9" s="558"/>
      <c r="H9" s="558"/>
      <c r="I9" s="558"/>
      <c r="K9" s="306"/>
      <c r="L9" s="306"/>
      <c r="M9" s="572" t="s">
        <v>262</v>
      </c>
      <c r="N9" s="572"/>
      <c r="O9" s="572"/>
      <c r="P9" s="572"/>
      <c r="Q9" s="92"/>
    </row>
    <row r="10" spans="1:17" x14ac:dyDescent="0.2">
      <c r="B10" s="561" t="s">
        <v>104</v>
      </c>
      <c r="C10" s="561"/>
      <c r="D10" s="561"/>
      <c r="E10" s="565" t="str">
        <f>IF(( AND( 'CONTROL '!B3=TRUE, 'CONTROL '!B4=TRUE, 'CONTROL '!B5=TRUE, 'CONTROL '!B6=TRUE, 'CONTROL '!B7=TRUE)),"revised","Please, revise the "&amp;B10&amp;" checklist")</f>
        <v>Please, revise the 2.1 Labor Market Structure checklist</v>
      </c>
      <c r="F10" s="565"/>
      <c r="G10" s="565"/>
      <c r="H10" s="565"/>
      <c r="I10" s="565"/>
      <c r="K10" s="306"/>
      <c r="L10" s="306"/>
      <c r="M10" s="574" t="s">
        <v>150</v>
      </c>
      <c r="N10" s="574"/>
      <c r="O10" s="574"/>
      <c r="P10" s="215">
        <f>HLOOKUP($K$4, resumen!D:N, Q10, 0)</f>
        <v>4.3257634225659567</v>
      </c>
      <c r="Q10" s="11">
        <v>15</v>
      </c>
    </row>
    <row r="11" spans="1:17" ht="15" customHeight="1" x14ac:dyDescent="0.2">
      <c r="B11" s="562" t="s">
        <v>263</v>
      </c>
      <c r="C11" s="562"/>
      <c r="D11" s="562"/>
      <c r="E11" s="566" t="str">
        <f>IF(( AND( 'CONTROL '!B8=TRUE, 'CONTROL '!B9=TRUE, 'CONTROL '!B10=TRUE, 'CONTROL '!B11=TRUE)),"revised","Please, revise the "&amp;B11&amp;" checklist")</f>
        <v>Please, revise the 2.2 Labor Income &amp; Productivity checklist</v>
      </c>
      <c r="F11" s="566"/>
      <c r="G11" s="566"/>
      <c r="H11" s="566"/>
      <c r="I11" s="566"/>
      <c r="J11" s="306"/>
      <c r="K11" s="306"/>
      <c r="L11" s="306"/>
      <c r="M11" s="574" t="s">
        <v>151</v>
      </c>
      <c r="N11" s="574"/>
      <c r="O11" s="574"/>
      <c r="P11" s="215">
        <f>HLOOKUP($K$4, resumen!D:N, Q11, 0)</f>
        <v>27.372346666206187</v>
      </c>
      <c r="Q11" s="11">
        <v>16</v>
      </c>
    </row>
    <row r="12" spans="1:17" x14ac:dyDescent="0.2">
      <c r="B12" s="563" t="s">
        <v>57</v>
      </c>
      <c r="C12" s="563"/>
      <c r="D12" s="563"/>
      <c r="E12" s="567" t="str">
        <f>IF('CONTROL '!B12=TRUE,"revised","Please, revise the "&amp;B12&amp;" checklist")</f>
        <v>Please, revise the Elasticities checklist</v>
      </c>
      <c r="F12" s="567"/>
      <c r="G12" s="567"/>
      <c r="H12" s="567"/>
      <c r="I12" s="567"/>
      <c r="J12" s="306"/>
      <c r="K12" s="306"/>
      <c r="L12" s="306"/>
      <c r="M12" s="574" t="s">
        <v>152</v>
      </c>
      <c r="N12" s="574"/>
      <c r="O12" s="574"/>
      <c r="P12" s="215">
        <f>HLOOKUP($K$4, resumen!D:N, Q12, 0)</f>
        <v>5.0704905198760883</v>
      </c>
      <c r="Q12" s="11">
        <v>17</v>
      </c>
    </row>
    <row r="13" spans="1:17" x14ac:dyDescent="0.2">
      <c r="B13" s="563" t="s">
        <v>200</v>
      </c>
      <c r="C13" s="563"/>
      <c r="D13" s="563"/>
      <c r="E13" s="567" t="str">
        <f>IF(( AND( 'CONTROL '!B13, 'CONTROL '!B14=TRUE)),"revised","Please, revise the "&amp;B13&amp;" checklist")</f>
        <v>Please, revise the Growth Rates checklist</v>
      </c>
      <c r="F13" s="567"/>
      <c r="G13" s="567"/>
      <c r="H13" s="567"/>
      <c r="I13" s="567"/>
      <c r="J13" s="306"/>
      <c r="K13" s="306"/>
      <c r="L13" s="306"/>
      <c r="M13" s="574" t="s">
        <v>153</v>
      </c>
      <c r="N13" s="574"/>
      <c r="O13" s="574"/>
      <c r="P13" s="215">
        <f>HLOOKUP($K$4, resumen!D:N, Q13, 0)</f>
        <v>2.84875309331027</v>
      </c>
      <c r="Q13" s="11">
        <v>18</v>
      </c>
    </row>
    <row r="14" spans="1:17" x14ac:dyDescent="0.2">
      <c r="B14" s="564" t="s">
        <v>264</v>
      </c>
      <c r="C14" s="564"/>
      <c r="D14" s="564"/>
      <c r="E14" s="568" t="str">
        <f>IF(( AND( 'CONTROL '!B15, 'CONTROL '!B16=TRUE)),"revised","Please, revise the "&amp;B14&amp;" checklist")</f>
        <v>Please, revise the 3. Non Labor Income checklist</v>
      </c>
      <c r="F14" s="568"/>
      <c r="G14" s="568"/>
      <c r="H14" s="568"/>
      <c r="I14" s="568"/>
      <c r="J14" s="306"/>
      <c r="K14" s="306"/>
      <c r="L14" s="306"/>
      <c r="M14" s="574" t="s">
        <v>204</v>
      </c>
      <c r="N14" s="574"/>
      <c r="O14" s="574"/>
      <c r="P14" s="215">
        <f>HLOOKUP($K$4, resumen!D:N, Q14, 0)</f>
        <v>5.225509578540426</v>
      </c>
      <c r="Q14" s="11">
        <v>19</v>
      </c>
    </row>
    <row r="15" spans="1:17" x14ac:dyDescent="0.2">
      <c r="B15" s="99"/>
      <c r="C15" s="99"/>
      <c r="D15" s="99"/>
      <c r="E15" s="99"/>
      <c r="F15" s="99"/>
      <c r="G15" s="99"/>
      <c r="H15" s="99"/>
      <c r="I15" s="99"/>
      <c r="J15" s="306"/>
      <c r="K15" s="306"/>
      <c r="L15" s="306"/>
      <c r="M15" s="574" t="s">
        <v>205</v>
      </c>
      <c r="N15" s="574"/>
      <c r="O15" s="574"/>
      <c r="P15" s="215">
        <f>HLOOKUP($K$4, resumen!D:N, Q15, 0)</f>
        <v>7.8072391620821371</v>
      </c>
      <c r="Q15" s="11">
        <v>20</v>
      </c>
    </row>
    <row r="16" spans="1:17" x14ac:dyDescent="0.2">
      <c r="B16" s="551" t="str">
        <f>IF((AND(E9="revised", E10="revised", E11="revised", E12="revised")), "If you conffirm that you reviwed this document and we should procceed with simulations, Click on the SUBMIT button below .", " If you see this message, it means that your submission is not complete. Please, review the document. Incomplete submission WILL NOT be considered")</f>
        <v xml:space="preserve"> If you see this message, it means that your submission is not complete. Please, review the document. Incomplete submission WILL NOT be considered</v>
      </c>
      <c r="C16" s="551"/>
      <c r="D16" s="551"/>
      <c r="E16" s="551"/>
      <c r="F16" s="551"/>
      <c r="G16" s="551"/>
      <c r="H16" s="551"/>
      <c r="I16" s="551"/>
      <c r="J16" s="306"/>
      <c r="K16" s="306"/>
      <c r="L16" s="306"/>
      <c r="M16" s="572" t="s">
        <v>164</v>
      </c>
      <c r="N16" s="572"/>
      <c r="O16" s="572"/>
      <c r="P16" s="572"/>
      <c r="Q16" s="92"/>
    </row>
    <row r="17" spans="2:17" x14ac:dyDescent="0.2">
      <c r="B17" s="551"/>
      <c r="C17" s="551"/>
      <c r="D17" s="551"/>
      <c r="E17" s="551"/>
      <c r="F17" s="551"/>
      <c r="G17" s="551"/>
      <c r="H17" s="551"/>
      <c r="I17" s="551"/>
      <c r="K17" s="306"/>
      <c r="L17" s="306"/>
      <c r="M17" s="574" t="s">
        <v>176</v>
      </c>
      <c r="N17" s="574"/>
      <c r="O17" s="574"/>
      <c r="P17" s="215">
        <f>HLOOKUP($K$4, resumen!D:N, Q17, 0)</f>
        <v>13.646754997226774</v>
      </c>
      <c r="Q17" s="11">
        <v>21</v>
      </c>
    </row>
    <row r="18" spans="2:17" x14ac:dyDescent="0.2">
      <c r="B18" s="551"/>
      <c r="C18" s="551"/>
      <c r="D18" s="551"/>
      <c r="E18" s="551"/>
      <c r="F18" s="551"/>
      <c r="G18" s="551"/>
      <c r="H18" s="551"/>
      <c r="I18" s="551"/>
      <c r="K18" s="306"/>
      <c r="L18" s="306"/>
      <c r="M18" s="574" t="s">
        <v>31</v>
      </c>
      <c r="N18" s="574"/>
      <c r="O18" s="574"/>
      <c r="P18" s="215">
        <f>HLOOKUP($K$4, resumen!D:N, Q18, 0)</f>
        <v>61.990618965428354</v>
      </c>
      <c r="Q18" s="11">
        <v>22</v>
      </c>
    </row>
    <row r="19" spans="2:17" x14ac:dyDescent="0.2">
      <c r="B19" s="250"/>
      <c r="C19" s="250"/>
      <c r="D19" s="250"/>
      <c r="E19" s="250"/>
      <c r="F19" s="250"/>
      <c r="G19" s="250"/>
      <c r="H19" s="250"/>
      <c r="I19" s="250"/>
      <c r="K19" s="306"/>
      <c r="L19" s="306"/>
      <c r="M19" s="574" t="s">
        <v>177</v>
      </c>
      <c r="N19" s="574"/>
      <c r="O19" s="574"/>
      <c r="P19" s="215">
        <f>HLOOKUP($K$4, resumen!D:N, Q19, 0)</f>
        <v>40.095222293764621</v>
      </c>
      <c r="Q19" s="11">
        <v>23</v>
      </c>
    </row>
    <row r="20" spans="2:17" x14ac:dyDescent="0.2">
      <c r="B20" s="552" t="str">
        <f>IF(B16="If you conffirm that you reviwed this document and we should procceed with simulations, Click on the SUBMIT button below .","Save the document before submitting it! Results are expected to deliver every Wednesday and Friday for submissions requested before Tuesday and Thursday COB.", "DO NOT SUBMIT UNTIL UNTIL ALL FIELDS ABOVE ARE MARKED AS REVISED. SAVE THE FILE BEFORE SUBMITTING!")</f>
        <v>DO NOT SUBMIT UNTIL UNTIL ALL FIELDS ABOVE ARE MARKED AS REVISED. SAVE THE FILE BEFORE SUBMITTING!</v>
      </c>
      <c r="C20" s="552"/>
      <c r="D20" s="552"/>
      <c r="E20" s="552"/>
      <c r="F20" s="552"/>
      <c r="G20" s="552"/>
      <c r="H20" s="552"/>
      <c r="I20" s="552"/>
      <c r="K20" s="306"/>
      <c r="L20" s="306"/>
      <c r="M20" s="573" t="s">
        <v>92</v>
      </c>
      <c r="N20" s="573"/>
      <c r="O20" s="573"/>
      <c r="P20" s="573"/>
      <c r="Q20" s="92"/>
    </row>
    <row r="21" spans="2:17" x14ac:dyDescent="0.2">
      <c r="B21" s="552"/>
      <c r="C21" s="552"/>
      <c r="D21" s="552"/>
      <c r="E21" s="552"/>
      <c r="F21" s="552"/>
      <c r="G21" s="552"/>
      <c r="H21" s="552"/>
      <c r="I21" s="552"/>
      <c r="K21" s="306"/>
      <c r="L21" s="306"/>
      <c r="M21" s="569" t="s">
        <v>265</v>
      </c>
      <c r="N21" s="569"/>
      <c r="O21" s="569"/>
      <c r="P21" s="569"/>
      <c r="Q21" s="92"/>
    </row>
    <row r="22" spans="2:17" ht="15" customHeight="1" x14ac:dyDescent="0.2">
      <c r="B22" s="99"/>
      <c r="C22" s="99"/>
      <c r="D22" s="99"/>
      <c r="E22" s="99"/>
      <c r="F22" s="99"/>
      <c r="G22" s="99"/>
      <c r="H22" s="99"/>
      <c r="I22" s="99"/>
      <c r="K22" s="306"/>
      <c r="L22" s="306"/>
      <c r="M22" s="578" t="s">
        <v>150</v>
      </c>
      <c r="N22" s="578"/>
      <c r="O22" s="578"/>
      <c r="P22" s="216" t="e">
        <f>HLOOKUP($K$4, resumen!D:N, Q22, 0)</f>
        <v>#N/A</v>
      </c>
      <c r="Q22" s="11">
        <v>2</v>
      </c>
    </row>
    <row r="23" spans="2:17" x14ac:dyDescent="0.2">
      <c r="B23" s="99"/>
      <c r="C23" s="99"/>
      <c r="D23" s="99"/>
      <c r="E23" s="99"/>
      <c r="F23" s="99"/>
      <c r="G23" s="99"/>
      <c r="H23" s="99"/>
      <c r="I23" s="99"/>
      <c r="K23" s="306"/>
      <c r="L23" s="306"/>
      <c r="M23" s="578" t="s">
        <v>151</v>
      </c>
      <c r="N23" s="578"/>
      <c r="O23" s="578"/>
      <c r="P23" s="216" t="e">
        <f>HLOOKUP($K$4, resumen!D:N, Q23, 0)</f>
        <v>#N/A</v>
      </c>
      <c r="Q23" s="11">
        <v>3</v>
      </c>
    </row>
    <row r="24" spans="2:17" x14ac:dyDescent="0.2">
      <c r="B24" s="99"/>
      <c r="C24" s="99"/>
      <c r="D24" s="99"/>
      <c r="E24" s="99"/>
      <c r="F24" s="99"/>
      <c r="G24" s="99"/>
      <c r="H24" s="99"/>
      <c r="I24" s="99"/>
      <c r="K24" s="306"/>
      <c r="L24" s="306"/>
      <c r="M24" s="578" t="s">
        <v>152</v>
      </c>
      <c r="N24" s="578"/>
      <c r="O24" s="578"/>
      <c r="P24" s="216" t="e">
        <f>HLOOKUP($K$4, resumen!D:N, Q24, 0)</f>
        <v>#N/A</v>
      </c>
      <c r="Q24" s="11">
        <v>4</v>
      </c>
    </row>
    <row r="25" spans="2:17" ht="14.25" customHeight="1" x14ac:dyDescent="0.2">
      <c r="B25" s="99"/>
      <c r="C25" s="99"/>
      <c r="D25" s="99"/>
      <c r="E25" s="99"/>
      <c r="F25" s="99"/>
      <c r="G25" s="99"/>
      <c r="H25" s="99"/>
      <c r="I25" s="99"/>
      <c r="K25" s="306"/>
      <c r="L25" s="306"/>
      <c r="M25" s="578" t="s">
        <v>153</v>
      </c>
      <c r="N25" s="578"/>
      <c r="O25" s="578"/>
      <c r="P25" s="216" t="e">
        <f>HLOOKUP($K$4, resumen!D:N, Q25, 0)</f>
        <v>#N/A</v>
      </c>
      <c r="Q25" s="11">
        <v>5</v>
      </c>
    </row>
    <row r="26" spans="2:17" x14ac:dyDescent="0.2">
      <c r="B26" s="99"/>
      <c r="C26" s="99"/>
      <c r="D26" s="99"/>
      <c r="E26" s="99"/>
      <c r="F26" s="99"/>
      <c r="G26" s="99"/>
      <c r="H26" s="99"/>
      <c r="I26" s="99"/>
      <c r="K26" s="306"/>
      <c r="L26" s="306"/>
      <c r="M26" s="578" t="s">
        <v>155</v>
      </c>
      <c r="N26" s="578"/>
      <c r="O26" s="578"/>
      <c r="P26" s="216" t="e">
        <f>HLOOKUP($K$4, resumen!D:N, Q26, 0)</f>
        <v>#N/A</v>
      </c>
      <c r="Q26" s="11">
        <v>6</v>
      </c>
    </row>
    <row r="27" spans="2:17" ht="15" thickBot="1" x14ac:dyDescent="0.25">
      <c r="B27" s="99"/>
      <c r="C27" s="99"/>
      <c r="D27" s="99"/>
      <c r="E27" s="99"/>
      <c r="F27" s="99"/>
      <c r="G27" s="99"/>
      <c r="H27" s="99"/>
      <c r="I27" s="99"/>
      <c r="K27" s="306"/>
      <c r="L27" s="306"/>
      <c r="M27" s="578" t="s">
        <v>157</v>
      </c>
      <c r="N27" s="578"/>
      <c r="O27" s="578"/>
      <c r="P27" s="216" t="e">
        <f>HLOOKUP($K$4, resumen!D:N, Q27, 0)</f>
        <v>#N/A</v>
      </c>
      <c r="Q27" s="12">
        <v>7</v>
      </c>
    </row>
    <row r="28" spans="2:17" x14ac:dyDescent="0.2">
      <c r="B28" s="554" t="s">
        <v>266</v>
      </c>
      <c r="C28" s="554"/>
      <c r="D28" s="554"/>
      <c r="E28" s="554"/>
      <c r="F28" s="554"/>
      <c r="G28" s="554"/>
      <c r="H28" s="554"/>
      <c r="I28" s="554"/>
      <c r="K28" s="306"/>
      <c r="L28" s="306"/>
      <c r="M28" s="579" t="s">
        <v>267</v>
      </c>
      <c r="N28" s="579"/>
      <c r="O28" s="579"/>
      <c r="P28" s="579"/>
      <c r="Q28" s="92"/>
    </row>
    <row r="29" spans="2:17" x14ac:dyDescent="0.2">
      <c r="B29" s="554"/>
      <c r="C29" s="554"/>
      <c r="D29" s="554"/>
      <c r="E29" s="554"/>
      <c r="F29" s="554"/>
      <c r="G29" s="554"/>
      <c r="H29" s="554"/>
      <c r="I29" s="554"/>
      <c r="K29" s="99"/>
      <c r="L29" s="99"/>
      <c r="M29" s="576" t="s">
        <v>268</v>
      </c>
      <c r="N29" s="576"/>
      <c r="O29" s="576"/>
      <c r="P29" s="217">
        <f>HLOOKUP($K$4, resumen!D:N, Q29, 0)*100</f>
        <v>0</v>
      </c>
      <c r="Q29" s="11">
        <v>32</v>
      </c>
    </row>
    <row r="30" spans="2:17" ht="15.75" customHeight="1" x14ac:dyDescent="0.2">
      <c r="B30" s="251"/>
      <c r="C30" s="251"/>
      <c r="D30" s="251"/>
      <c r="E30" s="251"/>
      <c r="F30" s="251"/>
      <c r="G30" s="251"/>
      <c r="H30" s="251"/>
      <c r="I30" s="251"/>
      <c r="K30" s="99"/>
      <c r="L30" s="99"/>
      <c r="M30" s="576" t="s">
        <v>269</v>
      </c>
      <c r="N30" s="576"/>
      <c r="O30" s="576"/>
      <c r="P30" s="217" t="str">
        <f>'3. NON-LABOR INCOME'!D11</f>
        <v>Neutral Distribution</v>
      </c>
      <c r="Q30" s="92"/>
    </row>
    <row r="31" spans="2:17" x14ac:dyDescent="0.2">
      <c r="B31" s="550" t="s">
        <v>270</v>
      </c>
      <c r="C31" s="550"/>
      <c r="D31" s="550"/>
      <c r="E31" s="550"/>
      <c r="F31" s="550"/>
      <c r="G31" s="550"/>
      <c r="H31" s="550"/>
      <c r="I31" s="550"/>
      <c r="K31" s="99"/>
      <c r="L31" s="99"/>
      <c r="M31" s="576" t="s">
        <v>271</v>
      </c>
      <c r="N31" s="576"/>
      <c r="O31" s="576"/>
      <c r="P31" s="217">
        <f>HLOOKUP($K$4, resumen!D:N, Q31, 0)</f>
        <v>0</v>
      </c>
      <c r="Q31" s="11">
        <v>33</v>
      </c>
    </row>
    <row r="32" spans="2:17" x14ac:dyDescent="0.2">
      <c r="B32" s="550"/>
      <c r="C32" s="550"/>
      <c r="D32" s="550"/>
      <c r="E32" s="550"/>
      <c r="F32" s="550"/>
      <c r="G32" s="550"/>
      <c r="H32" s="550"/>
      <c r="I32" s="550"/>
      <c r="K32" s="99"/>
      <c r="L32" s="99"/>
      <c r="M32" s="576" t="s">
        <v>79</v>
      </c>
      <c r="N32" s="576"/>
      <c r="O32" s="576"/>
      <c r="P32" s="217" t="str">
        <f>'3. NON-LABOR INCOME'!D12</f>
        <v>No</v>
      </c>
      <c r="Q32" s="92"/>
    </row>
    <row r="33" spans="2:17" x14ac:dyDescent="0.2">
      <c r="B33" s="553"/>
      <c r="C33" s="553"/>
      <c r="D33" s="553"/>
      <c r="E33" s="553"/>
      <c r="F33" s="553"/>
      <c r="G33" s="553"/>
      <c r="H33" s="553"/>
      <c r="I33" s="553"/>
      <c r="K33" s="99"/>
      <c r="L33" s="99"/>
      <c r="M33" s="247"/>
      <c r="N33" s="247"/>
      <c r="O33" s="247"/>
      <c r="P33" s="248"/>
      <c r="Q33" s="403"/>
    </row>
    <row r="34" spans="2:17" x14ac:dyDescent="0.2">
      <c r="B34" s="553"/>
      <c r="C34" s="553"/>
      <c r="D34" s="553"/>
      <c r="E34" s="553"/>
      <c r="F34" s="553"/>
      <c r="G34" s="553"/>
      <c r="H34" s="553"/>
      <c r="I34" s="553"/>
      <c r="K34" s="99"/>
      <c r="L34" s="99"/>
      <c r="M34" s="306"/>
      <c r="N34" s="99"/>
      <c r="O34" s="99"/>
      <c r="P34" s="416"/>
      <c r="Q34" s="121"/>
    </row>
    <row r="35" spans="2:17" hidden="1" x14ac:dyDescent="0.2">
      <c r="B35" s="553"/>
      <c r="C35" s="553"/>
      <c r="D35" s="553"/>
      <c r="E35" s="553"/>
      <c r="F35" s="553"/>
      <c r="G35" s="553"/>
      <c r="H35" s="553"/>
      <c r="I35" s="553"/>
    </row>
    <row r="40" spans="2:17" ht="14.25" hidden="1" customHeight="1" x14ac:dyDescent="0.2"/>
    <row r="41" spans="2:17" ht="15" hidden="1" customHeight="1" x14ac:dyDescent="0.2"/>
  </sheetData>
  <sheetProtection algorithmName="SHA-512" hashValue="9NF97YOKqv455gLs88uk6O7R90hr040Qo/HjTEHUTZO2+26md+W177LX9Wz147lANHx5lty0W7LWx+nQyZm/kQ==" saltValue="g0VCJcFy2HjXHH/LRYHRrA==" spinCount="100000" sheet="1" formatCells="0"/>
  <protectedRanges>
    <protectedRange sqref="K4:L4" name="Range1"/>
  </protectedRanges>
  <mergeCells count="52">
    <mergeCell ref="M2:P2"/>
    <mergeCell ref="M29:O29"/>
    <mergeCell ref="M30:O30"/>
    <mergeCell ref="M31:O31"/>
    <mergeCell ref="M32:O32"/>
    <mergeCell ref="M4:O4"/>
    <mergeCell ref="M5:O5"/>
    <mergeCell ref="M6:O6"/>
    <mergeCell ref="M7:O7"/>
    <mergeCell ref="M23:O23"/>
    <mergeCell ref="M25:O25"/>
    <mergeCell ref="M26:O26"/>
    <mergeCell ref="M27:O27"/>
    <mergeCell ref="M28:P28"/>
    <mergeCell ref="M24:O24"/>
    <mergeCell ref="M22:O22"/>
    <mergeCell ref="M21:P21"/>
    <mergeCell ref="M3:P3"/>
    <mergeCell ref="M8:P8"/>
    <mergeCell ref="M9:P9"/>
    <mergeCell ref="M20:P20"/>
    <mergeCell ref="M17:O17"/>
    <mergeCell ref="M10:O10"/>
    <mergeCell ref="M16:P16"/>
    <mergeCell ref="M11:O11"/>
    <mergeCell ref="M12:O12"/>
    <mergeCell ref="M13:O13"/>
    <mergeCell ref="M14:O14"/>
    <mergeCell ref="M15:O15"/>
    <mergeCell ref="M18:O18"/>
    <mergeCell ref="M19:O19"/>
    <mergeCell ref="E10:I10"/>
    <mergeCell ref="E11:I11"/>
    <mergeCell ref="E12:I12"/>
    <mergeCell ref="E13:I13"/>
    <mergeCell ref="E14:I14"/>
    <mergeCell ref="B10:D10"/>
    <mergeCell ref="B11:D11"/>
    <mergeCell ref="B12:D12"/>
    <mergeCell ref="B13:D13"/>
    <mergeCell ref="B14:D14"/>
    <mergeCell ref="K3:L3"/>
    <mergeCell ref="K4:L4"/>
    <mergeCell ref="B2:I2"/>
    <mergeCell ref="E9:I9"/>
    <mergeCell ref="B9:D9"/>
    <mergeCell ref="B4:I7"/>
    <mergeCell ref="B31:I32"/>
    <mergeCell ref="B16:I18"/>
    <mergeCell ref="B20:I21"/>
    <mergeCell ref="B33:I35"/>
    <mergeCell ref="B28:I29"/>
  </mergeCells>
  <hyperlinks>
    <hyperlink ref="B31:F31" r:id="rId1" display="Contact us " xr:uid="{BB7E389C-732B-4BF0-B039-41DE4EB2B397}"/>
    <hyperlink ref="B31:I32" r:id="rId2" display="Contact us " xr:uid="{83BCA5C3-123E-43DA-88B1-ECEABD0985C3}"/>
    <hyperlink ref="B9:D9" location="'1. GDP'!A1" display="1. GDP" xr:uid="{9CAA625F-19FC-4217-9691-A1AA868BF43C}"/>
    <hyperlink ref="B10:D10" location="'2.1 LABOR STRUCTURE'!A1" display="2.1 Labor Market Structure" xr:uid="{CC07F02B-AE60-448D-BDA4-0C3376DF1536}"/>
    <hyperlink ref="B11:D11" location="'2.2 LABOR INCOME &amp; PRODUCTIVITY'!A1" display="2.2 Labor Income &amp; Productivity" xr:uid="{E6956D0C-D023-4AB9-9094-15BD0C80BF94}"/>
    <hyperlink ref="B12:D12" location="ELASTICITY!A1" display="Elasticities" xr:uid="{EA09CD14-177A-41A6-BCB7-11D8DC8DFCDB}"/>
    <hyperlink ref="B13:D13" location="'GROWTH RATES'!A1" display="Growth Rates" xr:uid="{AD42D3E0-390D-4509-8498-3D6290E639CF}"/>
    <hyperlink ref="B14:D14" location="'3. NON-LABOR INCOME'!A1" display="3. Non Labor Income" xr:uid="{26A56BA9-CC40-4296-AB4B-FF1BA03F8EF2}"/>
  </hyperlinks>
  <pageMargins left="0.7" right="0.7" top="0.75" bottom="0.75" header="0.3" footer="0.3"/>
  <pageSetup orientation="portrait" r:id="rId3"/>
  <drawing r:id="rId4"/>
  <legacyDrawing r:id="rId5"/>
  <controls>
    <mc:AlternateContent xmlns:mc="http://schemas.openxmlformats.org/markup-compatibility/2006">
      <mc:Choice Requires="x14">
        <control shapeId="25601" r:id="rId6" name="CommandButton1">
          <controlPr defaultSize="0" autoFill="0" autoLine="0" r:id="rId7">
            <anchor>
              <from>
                <xdr:col>2</xdr:col>
                <xdr:colOff>647700</xdr:colOff>
                <xdr:row>22</xdr:row>
                <xdr:rowOff>152400</xdr:rowOff>
              </from>
              <to>
                <xdr:col>7</xdr:col>
                <xdr:colOff>95250</xdr:colOff>
                <xdr:row>25</xdr:row>
                <xdr:rowOff>66675</xdr:rowOff>
              </to>
            </anchor>
          </controlPr>
        </control>
      </mc:Choice>
      <mc:Fallback>
        <control shapeId="25601" r:id="rId6"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18CB23B-4336-48B9-BFD5-86B057B24909}">
          <x14:formula1>
            <xm:f>'CONTROL '!$P$8:$P$13</xm:f>
          </x14:formula1>
          <xm:sqref>K4:L4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DB58E-0B21-4081-BF01-10C5734C1776}">
  <sheetPr codeName="Sheet3"/>
  <dimension ref="A1:AR47"/>
  <sheetViews>
    <sheetView topLeftCell="N6" zoomScale="120" zoomScaleNormal="120" workbookViewId="0">
      <selection activeCell="AC39" sqref="AC39"/>
    </sheetView>
  </sheetViews>
  <sheetFormatPr defaultRowHeight="15" x14ac:dyDescent="0.25"/>
  <cols>
    <col min="3" max="3" width="12.85546875" bestFit="1" customWidth="1"/>
    <col min="4" max="4" width="22.85546875" bestFit="1" customWidth="1"/>
    <col min="5" max="5" width="12.85546875" bestFit="1" customWidth="1"/>
    <col min="10" max="10" width="15" bestFit="1" customWidth="1"/>
    <col min="11" max="11" width="19" bestFit="1" customWidth="1"/>
    <col min="12" max="12" width="22.5703125" bestFit="1" customWidth="1"/>
    <col min="13" max="13" width="20" bestFit="1" customWidth="1"/>
    <col min="14" max="14" width="14.42578125" bestFit="1" customWidth="1"/>
    <col min="15" max="15" width="16.5703125" customWidth="1"/>
    <col min="18" max="18" width="34.28515625" bestFit="1" customWidth="1"/>
  </cols>
  <sheetData>
    <row r="1" spans="1:44" ht="15.75" thickBot="1" x14ac:dyDescent="0.3">
      <c r="A1" s="580" t="s">
        <v>272</v>
      </c>
      <c r="B1" s="581"/>
      <c r="C1" s="33" t="s">
        <v>57</v>
      </c>
      <c r="D1" t="s">
        <v>273</v>
      </c>
      <c r="E1" s="33" t="s">
        <v>274</v>
      </c>
      <c r="F1" s="48" t="s">
        <v>275</v>
      </c>
      <c r="G1" s="34" t="s">
        <v>276</v>
      </c>
      <c r="H1" s="34" t="s">
        <v>277</v>
      </c>
      <c r="I1" s="44" t="s">
        <v>278</v>
      </c>
      <c r="J1" s="48" t="s">
        <v>124</v>
      </c>
      <c r="K1" s="41" t="s">
        <v>279</v>
      </c>
      <c r="L1" s="48" t="s">
        <v>280</v>
      </c>
      <c r="M1" s="48" t="s">
        <v>281</v>
      </c>
      <c r="N1" s="48" t="s">
        <v>282</v>
      </c>
      <c r="P1" t="s">
        <v>283</v>
      </c>
      <c r="R1" t="s">
        <v>284</v>
      </c>
      <c r="AF1" t="s">
        <v>285</v>
      </c>
    </row>
    <row r="2" spans="1:44" ht="16.5" thickTop="1" thickBot="1" x14ac:dyDescent="0.3">
      <c r="A2" s="27" t="s">
        <v>90</v>
      </c>
      <c r="B2" s="28" t="b">
        <v>0</v>
      </c>
      <c r="C2" t="s">
        <v>286</v>
      </c>
      <c r="D2" s="28" t="s">
        <v>185</v>
      </c>
      <c r="E2" t="s">
        <v>287</v>
      </c>
      <c r="F2" s="40" t="s">
        <v>288</v>
      </c>
      <c r="G2" t="s">
        <v>84</v>
      </c>
      <c r="H2" t="s">
        <v>85</v>
      </c>
      <c r="I2">
        <v>2019</v>
      </c>
      <c r="J2" s="40" t="s">
        <v>125</v>
      </c>
      <c r="K2" s="27" t="s">
        <v>254</v>
      </c>
      <c r="L2" s="36" t="s">
        <v>289</v>
      </c>
      <c r="M2" s="40" t="s">
        <v>290</v>
      </c>
      <c r="N2" s="35" t="s">
        <v>291</v>
      </c>
      <c r="P2">
        <v>2015</v>
      </c>
      <c r="R2" s="51" t="s">
        <v>292</v>
      </c>
      <c r="S2" s="582"/>
      <c r="T2" s="582"/>
      <c r="U2" s="582"/>
      <c r="V2" s="582"/>
      <c r="W2" s="582"/>
      <c r="Y2" s="583" t="s">
        <v>7</v>
      </c>
      <c r="Z2" s="583"/>
      <c r="AA2" s="583"/>
      <c r="AB2" s="583"/>
      <c r="AC2" s="218"/>
      <c r="AG2" s="53">
        <v>2015</v>
      </c>
      <c r="AH2" s="53">
        <v>2016</v>
      </c>
      <c r="AI2" s="53">
        <v>2017</v>
      </c>
      <c r="AJ2" s="53">
        <v>2018</v>
      </c>
      <c r="AK2" s="54">
        <v>2019</v>
      </c>
      <c r="AL2" s="54">
        <v>2020</v>
      </c>
      <c r="AM2" s="55">
        <v>2021</v>
      </c>
      <c r="AN2" s="56">
        <v>2022</v>
      </c>
      <c r="AO2" s="57">
        <v>2023</v>
      </c>
      <c r="AP2" s="57">
        <v>2024</v>
      </c>
      <c r="AQ2" s="57">
        <v>2025</v>
      </c>
      <c r="AR2" s="57">
        <v>2026</v>
      </c>
    </row>
    <row r="3" spans="1:44" ht="15.75" thickBot="1" x14ac:dyDescent="0.3">
      <c r="A3" s="27" t="s">
        <v>293</v>
      </c>
      <c r="B3" s="28" t="b">
        <v>0</v>
      </c>
      <c r="C3" t="s">
        <v>544</v>
      </c>
      <c r="D3" s="28" t="s">
        <v>294</v>
      </c>
      <c r="E3" t="s">
        <v>295</v>
      </c>
      <c r="F3" s="35" t="s">
        <v>256</v>
      </c>
      <c r="G3" s="69" t="s">
        <v>296</v>
      </c>
      <c r="H3" s="39" t="s">
        <v>297</v>
      </c>
      <c r="I3" s="28">
        <v>2019</v>
      </c>
      <c r="J3" s="40" t="s">
        <v>298</v>
      </c>
      <c r="K3" s="29" t="s">
        <v>299</v>
      </c>
      <c r="L3" s="36" t="s">
        <v>300</v>
      </c>
      <c r="M3" s="40" t="s">
        <v>301</v>
      </c>
      <c r="P3">
        <v>2016</v>
      </c>
      <c r="R3" s="52"/>
      <c r="S3" s="53">
        <v>2015</v>
      </c>
      <c r="T3" s="53">
        <v>2016</v>
      </c>
      <c r="U3" s="53">
        <v>2017</v>
      </c>
      <c r="V3" s="53">
        <v>2018</v>
      </c>
      <c r="W3" s="54">
        <v>2019</v>
      </c>
      <c r="X3" s="54">
        <v>2020</v>
      </c>
      <c r="Y3" s="55">
        <v>2021</v>
      </c>
      <c r="Z3" s="56">
        <v>2022</v>
      </c>
      <c r="AA3" s="57">
        <v>2023</v>
      </c>
      <c r="AB3" s="57">
        <v>2024</v>
      </c>
      <c r="AC3" s="57">
        <v>2025</v>
      </c>
      <c r="AD3" s="57">
        <v>2026</v>
      </c>
      <c r="AE3" s="218"/>
      <c r="AF3" t="s">
        <v>302</v>
      </c>
      <c r="AG3" s="23" t="e">
        <f>'3. NON-LABOR INCOME'!K$8</f>
        <v>#N/A</v>
      </c>
      <c r="AH3" s="23" t="e">
        <f>'3. NON-LABOR INCOME'!L$8</f>
        <v>#N/A</v>
      </c>
      <c r="AI3" s="23" t="e">
        <f>'3. NON-LABOR INCOME'!M$8</f>
        <v>#N/A</v>
      </c>
      <c r="AJ3" s="23" t="e">
        <f>'3. NON-LABOR INCOME'!N$8</f>
        <v>#N/A</v>
      </c>
      <c r="AK3" s="23" t="e">
        <f>'3. NON-LABOR INCOME'!O$8</f>
        <v>#N/A</v>
      </c>
      <c r="AL3" s="23" t="e">
        <f>'3. NON-LABOR INCOME'!P$8</f>
        <v>#N/A</v>
      </c>
      <c r="AM3" s="23" t="e">
        <f>'3. NON-LABOR INCOME'!Q$8</f>
        <v>#N/A</v>
      </c>
      <c r="AN3" s="23" t="e">
        <f>'3. NON-LABOR INCOME'!R$8</f>
        <v>#N/A</v>
      </c>
      <c r="AO3" s="23" t="e">
        <f>'3. NON-LABOR INCOME'!S$8</f>
        <v>#N/A</v>
      </c>
    </row>
    <row r="4" spans="1:44" ht="15.75" thickBot="1" x14ac:dyDescent="0.3">
      <c r="A4" s="27" t="s">
        <v>303</v>
      </c>
      <c r="B4" s="28" t="b">
        <v>1</v>
      </c>
      <c r="C4" t="s">
        <v>545</v>
      </c>
      <c r="D4" s="28" t="s">
        <v>304</v>
      </c>
      <c r="E4" t="s">
        <v>305</v>
      </c>
      <c r="G4" s="42" t="s">
        <v>306</v>
      </c>
      <c r="H4" s="39" t="s">
        <v>86</v>
      </c>
      <c r="I4" s="28">
        <v>2019</v>
      </c>
      <c r="J4" s="35" t="s">
        <v>127</v>
      </c>
      <c r="L4" s="36" t="s">
        <v>307</v>
      </c>
      <c r="M4" s="40" t="s">
        <v>308</v>
      </c>
      <c r="P4">
        <v>2017</v>
      </c>
      <c r="R4" s="58" t="s">
        <v>616</v>
      </c>
      <c r="S4" s="59" t="e">
        <f>'GROWTH RATES'!P$12</f>
        <v>#N/A</v>
      </c>
      <c r="T4" s="59" t="e">
        <f>'GROWTH RATES'!Q$12</f>
        <v>#N/A</v>
      </c>
      <c r="U4" s="59">
        <f>'GROWTH RATES'!R$12</f>
        <v>2.531243626577262</v>
      </c>
      <c r="V4" s="59">
        <f>'GROWTH RATES'!S$12</f>
        <v>2.531243626577262</v>
      </c>
      <c r="W4" s="59">
        <f>'GROWTH RATES'!T$12</f>
        <v>2.531243626577262</v>
      </c>
      <c r="X4" s="59">
        <f>'GROWTH RATES'!U$12</f>
        <v>2.531243626577262</v>
      </c>
      <c r="Y4" s="59">
        <f>'GROWTH RATES'!V$12</f>
        <v>2.531243626577262</v>
      </c>
      <c r="Z4" s="59">
        <f>'GROWTH RATES'!W$12</f>
        <v>2.531243626577262</v>
      </c>
      <c r="AA4" s="59">
        <f>'GROWTH RATES'!X$12</f>
        <v>0.84623124438992625</v>
      </c>
      <c r="AB4" s="59"/>
      <c r="AC4" s="59"/>
      <c r="AD4" s="59"/>
      <c r="AE4" s="219"/>
      <c r="AF4" t="s">
        <v>310</v>
      </c>
      <c r="AL4" s="23"/>
      <c r="AM4" s="23"/>
      <c r="AN4" s="23"/>
      <c r="AO4" s="23" t="e">
        <f>'3. NON-LABOR INCOME'!S$8</f>
        <v>#N/A</v>
      </c>
      <c r="AP4" s="23" t="e">
        <f>'3. NON-LABOR INCOME'!T$8</f>
        <v>#N/A</v>
      </c>
      <c r="AQ4" s="23" t="e">
        <f>'3. NON-LABOR INCOME'!U$8</f>
        <v>#N/A</v>
      </c>
      <c r="AR4" s="23" t="e">
        <f>'3. NON-LABOR INCOME'!V$8</f>
        <v>#N/A</v>
      </c>
    </row>
    <row r="5" spans="1:44" ht="15.75" thickBot="1" x14ac:dyDescent="0.3">
      <c r="A5" s="27" t="s">
        <v>311</v>
      </c>
      <c r="B5" s="28" t="b">
        <v>0</v>
      </c>
      <c r="C5" t="s">
        <v>546</v>
      </c>
      <c r="D5" s="28" t="s">
        <v>186</v>
      </c>
      <c r="E5" t="s">
        <v>312</v>
      </c>
      <c r="G5" s="42" t="s">
        <v>313</v>
      </c>
      <c r="H5" s="39" t="s">
        <v>314</v>
      </c>
      <c r="I5" s="28">
        <v>2020</v>
      </c>
      <c r="J5" s="40" t="s">
        <v>123</v>
      </c>
      <c r="L5" s="36" t="s">
        <v>315</v>
      </c>
      <c r="M5" s="40" t="s">
        <v>316</v>
      </c>
      <c r="P5">
        <v>2018</v>
      </c>
      <c r="R5" s="58" t="s">
        <v>618</v>
      </c>
      <c r="S5" s="59"/>
      <c r="T5" s="59"/>
      <c r="U5" s="59"/>
      <c r="V5" s="59"/>
      <c r="W5" s="59"/>
      <c r="X5" s="59"/>
      <c r="Y5" s="59"/>
      <c r="Z5" s="59"/>
      <c r="AA5" s="59">
        <f>'GROWTH RATES'!X$12</f>
        <v>0.84623124438992625</v>
      </c>
      <c r="AB5" s="59">
        <f>'GROWTH RATES'!Y$12</f>
        <v>0.76133330202750438</v>
      </c>
      <c r="AC5" s="59">
        <f>'GROWTH RATES'!Z$12</f>
        <v>0.69381115691801454</v>
      </c>
      <c r="AD5" s="59">
        <f>'GROWTH RATES'!AA$12</f>
        <v>0.65131678332529575</v>
      </c>
      <c r="AE5" s="219"/>
      <c r="AG5" s="53">
        <v>2015</v>
      </c>
      <c r="AH5" s="53">
        <v>2016</v>
      </c>
      <c r="AI5" s="53">
        <v>2017</v>
      </c>
      <c r="AJ5" s="53">
        <v>2018</v>
      </c>
      <c r="AK5" s="54">
        <v>2019</v>
      </c>
      <c r="AL5" s="54">
        <v>2020</v>
      </c>
      <c r="AM5" s="55">
        <v>2021</v>
      </c>
      <c r="AN5" s="56">
        <v>2022</v>
      </c>
      <c r="AO5" s="57">
        <v>2023</v>
      </c>
      <c r="AP5" s="57">
        <v>2024</v>
      </c>
      <c r="AQ5" s="57">
        <v>2025</v>
      </c>
      <c r="AR5" s="57">
        <v>2026</v>
      </c>
    </row>
    <row r="6" spans="1:44" x14ac:dyDescent="0.25">
      <c r="A6" s="27" t="s">
        <v>318</v>
      </c>
      <c r="B6" s="28" t="b">
        <v>0</v>
      </c>
      <c r="C6" t="s">
        <v>547</v>
      </c>
      <c r="D6" s="28" t="s">
        <v>319</v>
      </c>
      <c r="E6" t="s">
        <v>320</v>
      </c>
      <c r="G6" s="42" t="s">
        <v>321</v>
      </c>
      <c r="H6" s="39" t="s">
        <v>322</v>
      </c>
      <c r="I6" s="28">
        <v>2019</v>
      </c>
      <c r="L6" s="36" t="s">
        <v>323</v>
      </c>
      <c r="M6" s="40" t="s">
        <v>324</v>
      </c>
      <c r="P6">
        <v>2019</v>
      </c>
      <c r="R6" s="58" t="s">
        <v>619</v>
      </c>
      <c r="S6" s="59" t="e">
        <f>'GROWTH RATES'!P$13</f>
        <v>#N/A</v>
      </c>
      <c r="T6" s="59" t="e">
        <f>'GROWTH RATES'!Q$13</f>
        <v>#N/A</v>
      </c>
      <c r="U6" s="59">
        <f>'GROWTH RATES'!R$13</f>
        <v>1.0535065077480921</v>
      </c>
      <c r="V6" s="59">
        <f>'GROWTH RATES'!S$13</f>
        <v>1.0535065077480921</v>
      </c>
      <c r="W6" s="59">
        <f>'GROWTH RATES'!T$13</f>
        <v>1.0535065077480921</v>
      </c>
      <c r="X6" s="59">
        <f>'GROWTH RATES'!U$13</f>
        <v>1.0535065077480921</v>
      </c>
      <c r="Y6" s="59">
        <f>'GROWTH RATES'!V$13</f>
        <v>1.0535065077480921</v>
      </c>
      <c r="Z6" s="59">
        <f>'GROWTH RATES'!W$13</f>
        <v>1.0535065077480921</v>
      </c>
      <c r="AA6" s="59">
        <f>'GROWTH RATES'!X$13</f>
        <v>0.84623124438992625</v>
      </c>
      <c r="AB6" s="59"/>
      <c r="AC6" s="59"/>
      <c r="AD6" s="59"/>
      <c r="AE6" s="219"/>
      <c r="AF6" t="s">
        <v>326</v>
      </c>
      <c r="AG6" s="23">
        <f>'3. NON-LABOR INCOME'!K$19</f>
        <v>6.5526448353302902</v>
      </c>
      <c r="AH6" s="23">
        <f>'3. NON-LABOR INCOME'!L$19</f>
        <v>7.1134728556473181</v>
      </c>
      <c r="AI6" s="23">
        <f>'3. NON-LABOR INCOME'!M$19</f>
        <v>6.5902394107701268</v>
      </c>
      <c r="AJ6" s="23">
        <f>'3. NON-LABOR INCOME'!N$19</f>
        <v>7.3194122993388344</v>
      </c>
      <c r="AK6" s="23">
        <f>'3. NON-LABOR INCOME'!O$19</f>
        <v>7.8819021854025229</v>
      </c>
      <c r="AL6" s="23">
        <f>'3. NON-LABOR INCOME'!P$19</f>
        <v>3.4480295312287579</v>
      </c>
      <c r="AM6" s="23">
        <f>'3. NON-LABOR INCOME'!Q$19</f>
        <v>6.938675089101598</v>
      </c>
      <c r="AN6" s="23">
        <f>'3. NON-LABOR INCOME'!R$19</f>
        <v>7.099828775751571</v>
      </c>
      <c r="AO6" s="23">
        <f>'3. NON-LABOR INCOME'!S$19</f>
        <v>5.7751090753483725</v>
      </c>
    </row>
    <row r="7" spans="1:44" x14ac:dyDescent="0.25">
      <c r="A7" s="27" t="s">
        <v>327</v>
      </c>
      <c r="B7" s="28" t="b">
        <v>1</v>
      </c>
      <c r="C7" t="s">
        <v>548</v>
      </c>
      <c r="D7" t="s">
        <v>328</v>
      </c>
      <c r="E7" t="s">
        <v>329</v>
      </c>
      <c r="G7" s="42" t="s">
        <v>330</v>
      </c>
      <c r="H7" s="39" t="s">
        <v>331</v>
      </c>
      <c r="I7" s="28">
        <v>2019</v>
      </c>
      <c r="L7" s="36" t="s">
        <v>332</v>
      </c>
      <c r="M7" s="40" t="s">
        <v>333</v>
      </c>
      <c r="P7">
        <v>2020</v>
      </c>
      <c r="R7" s="58" t="s">
        <v>617</v>
      </c>
      <c r="S7" s="59"/>
      <c r="T7" s="59"/>
      <c r="U7" s="59"/>
      <c r="V7" s="59"/>
      <c r="W7" s="59"/>
      <c r="X7" s="59"/>
      <c r="Y7" s="59"/>
      <c r="Z7" s="59"/>
      <c r="AA7" s="59">
        <f>'GROWTH RATES'!X$13</f>
        <v>0.84623124438992625</v>
      </c>
      <c r="AB7" s="59">
        <f>'GROWTH RATES'!Y$13</f>
        <v>0.76133330202750438</v>
      </c>
      <c r="AC7" s="59">
        <f>'GROWTH RATES'!Z$13</f>
        <v>0.69381115691801454</v>
      </c>
      <c r="AD7" s="59">
        <f>'GROWTH RATES'!AA$13</f>
        <v>0.65131678332529575</v>
      </c>
      <c r="AE7" s="219"/>
      <c r="AF7" t="s">
        <v>335</v>
      </c>
      <c r="AL7" s="23"/>
      <c r="AM7" s="23"/>
      <c r="AN7" s="23"/>
      <c r="AO7" s="23">
        <f>'3. NON-LABOR INCOME'!S$19</f>
        <v>5.7751090753483725</v>
      </c>
      <c r="AP7" s="23">
        <f>'3. NON-LABOR INCOME'!T$19</f>
        <v>5.6430273201793835</v>
      </c>
      <c r="AQ7" s="23">
        <f>'3. NON-LABOR INCOME'!U$19</f>
        <v>5.6820170690020433</v>
      </c>
      <c r="AR7" s="23">
        <f>'3. NON-LABOR INCOME'!V$19</f>
        <v>5.9219103171221699</v>
      </c>
    </row>
    <row r="8" spans="1:44" x14ac:dyDescent="0.25">
      <c r="A8" s="27" t="s">
        <v>336</v>
      </c>
      <c r="B8" s="28" t="b">
        <v>0</v>
      </c>
      <c r="C8" t="s">
        <v>549</v>
      </c>
      <c r="D8" t="s">
        <v>337</v>
      </c>
      <c r="E8" t="s">
        <v>338</v>
      </c>
      <c r="G8" s="42" t="s">
        <v>339</v>
      </c>
      <c r="H8" s="39" t="s">
        <v>340</v>
      </c>
      <c r="I8" s="28">
        <v>2021</v>
      </c>
      <c r="L8" s="36" t="s">
        <v>341</v>
      </c>
      <c r="M8" s="40" t="s">
        <v>342</v>
      </c>
      <c r="P8">
        <v>2021</v>
      </c>
      <c r="R8" s="58" t="s">
        <v>620</v>
      </c>
      <c r="S8" s="59" t="e">
        <f>'GROWTH RATES'!P$14</f>
        <v>#N/A</v>
      </c>
      <c r="T8" s="59" t="e">
        <f>'GROWTH RATES'!Q$14</f>
        <v>#N/A</v>
      </c>
      <c r="U8" s="59">
        <f>'GROWTH RATES'!R$14</f>
        <v>4.9607262059719881</v>
      </c>
      <c r="V8" s="59">
        <f>'GROWTH RATES'!S$14</f>
        <v>4.9607262059719881</v>
      </c>
      <c r="W8" s="59">
        <f>'GROWTH RATES'!T$14</f>
        <v>4.9607262059719881</v>
      </c>
      <c r="X8" s="59">
        <f>'GROWTH RATES'!U$14</f>
        <v>4.9607262059719881</v>
      </c>
      <c r="Y8" s="59">
        <f>'GROWTH RATES'!V$14</f>
        <v>4.9607262059719881</v>
      </c>
      <c r="Z8" s="59">
        <f>'GROWTH RATES'!W$14</f>
        <v>4.9607262059719881</v>
      </c>
      <c r="AA8" s="59">
        <f>'GROWTH RATES'!X$14</f>
        <v>1.752303720090906</v>
      </c>
      <c r="AB8" s="59"/>
      <c r="AC8" s="59"/>
      <c r="AD8" s="59"/>
      <c r="AE8" s="219"/>
    </row>
    <row r="9" spans="1:44" x14ac:dyDescent="0.25">
      <c r="A9" s="27" t="s">
        <v>344</v>
      </c>
      <c r="B9" s="28" t="b">
        <v>0</v>
      </c>
      <c r="C9" t="s">
        <v>550</v>
      </c>
      <c r="G9" s="42" t="s">
        <v>345</v>
      </c>
      <c r="H9" s="39" t="s">
        <v>346</v>
      </c>
      <c r="I9" s="28">
        <v>2019</v>
      </c>
      <c r="L9" s="36" t="s">
        <v>347</v>
      </c>
      <c r="M9" s="40" t="s">
        <v>348</v>
      </c>
      <c r="P9">
        <v>2022</v>
      </c>
      <c r="R9" s="58" t="s">
        <v>621</v>
      </c>
      <c r="S9" s="59"/>
      <c r="T9" s="59"/>
      <c r="U9" s="59"/>
      <c r="V9" s="59"/>
      <c r="W9" s="59"/>
      <c r="X9" s="59"/>
      <c r="Y9" s="59"/>
      <c r="Z9" s="59"/>
      <c r="AA9" s="59">
        <f>'GROWTH RATES'!X$14</f>
        <v>1.752303720090906</v>
      </c>
      <c r="AB9" s="59">
        <f>'GROWTH RATES'!Y$14</f>
        <v>0.41582489551253909</v>
      </c>
      <c r="AC9" s="59">
        <f>'GROWTH RATES'!Z$14</f>
        <v>1.5671786818467146</v>
      </c>
      <c r="AD9" s="59">
        <f>'GROWTH RATES'!AA$14</f>
        <v>1.8618280673496355</v>
      </c>
      <c r="AE9" s="219"/>
    </row>
    <row r="10" spans="1:44" ht="15.75" thickBot="1" x14ac:dyDescent="0.3">
      <c r="A10" s="27" t="s">
        <v>350</v>
      </c>
      <c r="B10" s="28" t="b">
        <v>0</v>
      </c>
      <c r="C10" t="s">
        <v>551</v>
      </c>
      <c r="G10" s="42" t="s">
        <v>351</v>
      </c>
      <c r="H10" s="39" t="s">
        <v>352</v>
      </c>
      <c r="I10" s="28">
        <v>2019</v>
      </c>
      <c r="L10" s="37" t="s">
        <v>353</v>
      </c>
      <c r="M10" s="35" t="s">
        <v>354</v>
      </c>
      <c r="P10">
        <v>2023</v>
      </c>
      <c r="R10" s="58" t="s">
        <v>622</v>
      </c>
      <c r="S10" s="59" t="e">
        <f>'GROWTH RATES'!P$15</f>
        <v>#N/A</v>
      </c>
      <c r="T10" s="59" t="e">
        <f>'GROWTH RATES'!Q$15</f>
        <v>#N/A</v>
      </c>
      <c r="U10" s="59">
        <f>'GROWTH RATES'!R$15</f>
        <v>9.2737605019403979</v>
      </c>
      <c r="V10" s="59">
        <f>'GROWTH RATES'!S$15</f>
        <v>9.2737605019403979</v>
      </c>
      <c r="W10" s="59">
        <f>'GROWTH RATES'!T$15</f>
        <v>9.2737605019403979</v>
      </c>
      <c r="X10" s="59">
        <f>'GROWTH RATES'!U$15</f>
        <v>9.2737605019403979</v>
      </c>
      <c r="Y10" s="59">
        <f>'GROWTH RATES'!V$15</f>
        <v>9.2737605019403979</v>
      </c>
      <c r="Z10" s="59">
        <f>'GROWTH RATES'!W$15</f>
        <v>9.2737605019403979</v>
      </c>
      <c r="AA10" s="59">
        <f>'GROWTH RATES'!X$15</f>
        <v>1.752303720090906</v>
      </c>
      <c r="AB10" s="59"/>
      <c r="AC10" s="59"/>
      <c r="AD10" s="59"/>
      <c r="AE10" s="219"/>
    </row>
    <row r="11" spans="1:44" x14ac:dyDescent="0.25">
      <c r="A11" s="27" t="s">
        <v>356</v>
      </c>
      <c r="B11" s="28" t="b">
        <v>0</v>
      </c>
      <c r="C11" t="s">
        <v>552</v>
      </c>
      <c r="G11" s="42" t="s">
        <v>357</v>
      </c>
      <c r="H11" s="39" t="s">
        <v>358</v>
      </c>
      <c r="I11" s="28">
        <v>2014</v>
      </c>
      <c r="P11">
        <v>2024</v>
      </c>
      <c r="R11" s="58" t="s">
        <v>623</v>
      </c>
      <c r="S11" s="59"/>
      <c r="T11" s="59"/>
      <c r="U11" s="59"/>
      <c r="V11" s="59"/>
      <c r="W11" s="59"/>
      <c r="X11" s="59"/>
      <c r="Y11" s="59"/>
      <c r="Z11" s="59"/>
      <c r="AA11" s="59">
        <f>'GROWTH RATES'!X$15</f>
        <v>1.752303720090906</v>
      </c>
      <c r="AB11" s="59">
        <f>'GROWTH RATES'!Y$15</f>
        <v>0.41582489551253909</v>
      </c>
      <c r="AC11" s="59">
        <f>'GROWTH RATES'!Z$15</f>
        <v>1.5671786818467146</v>
      </c>
      <c r="AD11" s="59">
        <f>'GROWTH RATES'!AA$15</f>
        <v>1.8618280673496355</v>
      </c>
      <c r="AE11" s="219"/>
    </row>
    <row r="12" spans="1:44" x14ac:dyDescent="0.25">
      <c r="A12" s="27" t="s">
        <v>360</v>
      </c>
      <c r="B12" s="28" t="b">
        <v>0</v>
      </c>
      <c r="C12" t="s">
        <v>553</v>
      </c>
      <c r="G12" s="42" t="s">
        <v>361</v>
      </c>
      <c r="H12" s="39" t="s">
        <v>362</v>
      </c>
      <c r="I12" s="28">
        <v>2019</v>
      </c>
      <c r="P12">
        <v>2025</v>
      </c>
      <c r="R12" s="58" t="s">
        <v>632</v>
      </c>
      <c r="S12" s="59" t="e">
        <f>'GROWTH RATES'!P$16</f>
        <v>#N/A</v>
      </c>
      <c r="T12" s="59" t="e">
        <f>'GROWTH RATES'!Q$16</f>
        <v>#N/A</v>
      </c>
      <c r="U12" s="59">
        <f>'GROWTH RATES'!R$16</f>
        <v>-0.56977665196038529</v>
      </c>
      <c r="V12" s="59">
        <f>'GROWTH RATES'!S$16</f>
        <v>-0.56977665196038529</v>
      </c>
      <c r="W12" s="59">
        <f>'GROWTH RATES'!T$16</f>
        <v>-0.56977665196038529</v>
      </c>
      <c r="X12" s="59">
        <f>'GROWTH RATES'!U$16</f>
        <v>-0.56977665196038529</v>
      </c>
      <c r="Y12" s="59">
        <f>'GROWTH RATES'!V$16</f>
        <v>-0.56977665196038529</v>
      </c>
      <c r="Z12" s="59">
        <f>'GROWTH RATES'!W$16</f>
        <v>-0.56977665196038529</v>
      </c>
      <c r="AA12" s="59">
        <f>'GROWTH RATES'!X$16</f>
        <v>2.2214133718780364</v>
      </c>
      <c r="AB12" s="59"/>
      <c r="AC12" s="59"/>
      <c r="AD12" s="59"/>
      <c r="AE12" s="219"/>
    </row>
    <row r="13" spans="1:44" x14ac:dyDescent="0.25">
      <c r="A13" s="27" t="s">
        <v>363</v>
      </c>
      <c r="B13" s="28" t="b">
        <v>0</v>
      </c>
      <c r="C13" t="s">
        <v>554</v>
      </c>
      <c r="G13" s="42" t="s">
        <v>364</v>
      </c>
      <c r="H13" s="39" t="s">
        <v>365</v>
      </c>
      <c r="I13" s="28">
        <v>2020</v>
      </c>
      <c r="P13">
        <v>2026</v>
      </c>
      <c r="R13" s="58" t="s">
        <v>633</v>
      </c>
      <c r="S13" s="59"/>
      <c r="T13" s="59"/>
      <c r="U13" s="59"/>
      <c r="V13" s="59"/>
      <c r="W13" s="59"/>
      <c r="X13" s="59"/>
      <c r="Y13" s="59"/>
      <c r="Z13" s="59"/>
      <c r="AA13" s="59">
        <f>'GROWTH RATES'!X$16</f>
        <v>2.2214133718780364</v>
      </c>
      <c r="AB13" s="59">
        <f>'GROWTH RATES'!Y$16</f>
        <v>2.0335642842693837</v>
      </c>
      <c r="AC13" s="59">
        <f>'GROWTH RATES'!Z$16</f>
        <v>1.6256645010282536</v>
      </c>
      <c r="AD13" s="59">
        <f>'GROWTH RATES'!AA$16</f>
        <v>1.230766844969565</v>
      </c>
      <c r="AE13" s="219"/>
    </row>
    <row r="14" spans="1:44" x14ac:dyDescent="0.25">
      <c r="A14" s="27" t="s">
        <v>366</v>
      </c>
      <c r="B14" s="28" t="b">
        <v>0</v>
      </c>
      <c r="C14" t="s">
        <v>555</v>
      </c>
      <c r="G14" s="42" t="s">
        <v>367</v>
      </c>
      <c r="H14" s="39" t="s">
        <v>368</v>
      </c>
      <c r="I14" s="28">
        <v>2014</v>
      </c>
      <c r="R14" s="58" t="s">
        <v>634</v>
      </c>
      <c r="S14" s="59" t="e">
        <f>'GROWTH RATES'!P$17</f>
        <v>#N/A</v>
      </c>
      <c r="T14" s="59" t="e">
        <f>'GROWTH RATES'!Q$17</f>
        <v>#N/A</v>
      </c>
      <c r="U14" s="59">
        <f>'GROWTH RATES'!R$17</f>
        <v>13.999783586237768</v>
      </c>
      <c r="V14" s="59">
        <f>'GROWTH RATES'!S$17</f>
        <v>13.999783586237768</v>
      </c>
      <c r="W14" s="59">
        <f>'GROWTH RATES'!T$17</f>
        <v>13.999783586237768</v>
      </c>
      <c r="X14" s="59">
        <f>'GROWTH RATES'!U$17</f>
        <v>13.999783586237768</v>
      </c>
      <c r="Y14" s="59">
        <f>'GROWTH RATES'!V$17</f>
        <v>13.999783586237768</v>
      </c>
      <c r="Z14" s="59">
        <f>'GROWTH RATES'!W$17</f>
        <v>13.999783586237768</v>
      </c>
      <c r="AA14" s="59">
        <f>'GROWTH RATES'!X$17</f>
        <v>2.2214133718780364</v>
      </c>
      <c r="AB14" s="59"/>
      <c r="AC14" s="59"/>
      <c r="AD14" s="59"/>
      <c r="AE14" s="219"/>
    </row>
    <row r="15" spans="1:44" x14ac:dyDescent="0.25">
      <c r="A15" s="27" t="s">
        <v>369</v>
      </c>
      <c r="B15" s="28" t="b">
        <v>0</v>
      </c>
      <c r="C15" t="s">
        <v>556</v>
      </c>
      <c r="G15" s="42" t="s">
        <v>370</v>
      </c>
      <c r="H15" s="39" t="s">
        <v>371</v>
      </c>
      <c r="I15" s="28">
        <v>2019</v>
      </c>
      <c r="R15" s="58" t="s">
        <v>635</v>
      </c>
      <c r="S15" s="59"/>
      <c r="T15" s="59"/>
      <c r="U15" s="59"/>
      <c r="V15" s="59"/>
      <c r="W15" s="59"/>
      <c r="X15" s="59"/>
      <c r="Y15" s="59"/>
      <c r="Z15" s="59"/>
      <c r="AA15" s="59">
        <f>'GROWTH RATES'!X$17</f>
        <v>2.2214133718780364</v>
      </c>
      <c r="AB15" s="59">
        <f>'GROWTH RATES'!Y$17</f>
        <v>2.0335642842693837</v>
      </c>
      <c r="AC15" s="59">
        <f>'GROWTH RATES'!Z$17</f>
        <v>1.6256645010282536</v>
      </c>
      <c r="AD15" s="59">
        <f>'GROWTH RATES'!AA$17</f>
        <v>1.230766844969565</v>
      </c>
      <c r="AE15" s="219"/>
    </row>
    <row r="16" spans="1:44" ht="15.75" thickBot="1" x14ac:dyDescent="0.3">
      <c r="A16" s="29" t="s">
        <v>372</v>
      </c>
      <c r="B16" s="30" t="b">
        <v>0</v>
      </c>
      <c r="C16" t="s">
        <v>557</v>
      </c>
      <c r="G16" s="42" t="s">
        <v>373</v>
      </c>
      <c r="H16" s="39" t="s">
        <v>374</v>
      </c>
      <c r="I16" s="28">
        <v>2019</v>
      </c>
      <c r="R16" s="58" t="s">
        <v>624</v>
      </c>
      <c r="S16" s="59" t="e">
        <f>'GROWTH RATES'!P$18</f>
        <v>#N/A</v>
      </c>
      <c r="T16" s="59" t="e">
        <f>'GROWTH RATES'!Q$18</f>
        <v>#N/A</v>
      </c>
      <c r="U16" s="59">
        <f>'GROWTH RATES'!R$18</f>
        <v>-1.5037694874078467</v>
      </c>
      <c r="V16" s="59">
        <f>'GROWTH RATES'!S$18</f>
        <v>-1.5037694874078467</v>
      </c>
      <c r="W16" s="59">
        <f>'GROWTH RATES'!T$18</f>
        <v>-1.5037694874078467</v>
      </c>
      <c r="X16" s="59">
        <f>'GROWTH RATES'!U$18</f>
        <v>-1.5037694874078467</v>
      </c>
      <c r="Y16" s="59">
        <f>'GROWTH RATES'!V$18</f>
        <v>-1.5037694874078467</v>
      </c>
      <c r="Z16" s="59">
        <f>'GROWTH RATES'!W$18</f>
        <v>-1.5037694874078467</v>
      </c>
      <c r="AA16" s="59">
        <f>'GROWTH RATES'!X$18</f>
        <v>1.409212948555796</v>
      </c>
      <c r="AB16" s="59"/>
      <c r="AC16" s="59"/>
      <c r="AD16" s="59"/>
    </row>
    <row r="17" spans="3:31" x14ac:dyDescent="0.25">
      <c r="C17" t="s">
        <v>558</v>
      </c>
      <c r="G17" s="42" t="s">
        <v>375</v>
      </c>
      <c r="H17" s="39" t="s">
        <v>376</v>
      </c>
      <c r="I17" s="28">
        <v>2019</v>
      </c>
      <c r="R17" s="58" t="s">
        <v>625</v>
      </c>
      <c r="S17" s="59"/>
      <c r="T17" s="59"/>
      <c r="U17" s="59"/>
      <c r="V17" s="59"/>
      <c r="W17" s="59"/>
      <c r="X17" s="59"/>
      <c r="Y17" s="59"/>
      <c r="Z17" s="59"/>
      <c r="AA17" s="59">
        <f>'GROWTH RATES'!X$18</f>
        <v>1.409212948555796</v>
      </c>
      <c r="AB17" s="59">
        <f>'GROWTH RATES'!Y$18</f>
        <v>1.6488432194457752</v>
      </c>
      <c r="AC17" s="59">
        <f>'GROWTH RATES'!Z$18</f>
        <v>2.0047301499419601</v>
      </c>
      <c r="AD17" s="59">
        <f>'GROWTH RATES'!AA$18</f>
        <v>1.8264039597002217</v>
      </c>
      <c r="AE17" s="218"/>
    </row>
    <row r="18" spans="3:31" ht="15.75" thickBot="1" x14ac:dyDescent="0.3">
      <c r="C18" t="s">
        <v>559</v>
      </c>
      <c r="G18" s="43" t="s">
        <v>377</v>
      </c>
      <c r="H18" s="45" t="s">
        <v>378</v>
      </c>
      <c r="I18" s="30">
        <v>2019</v>
      </c>
      <c r="R18" s="58" t="s">
        <v>626</v>
      </c>
      <c r="S18" s="59" t="e">
        <f>'GROWTH RATES'!P$19</f>
        <v>#N/A</v>
      </c>
      <c r="T18" s="59" t="e">
        <f>'GROWTH RATES'!Q$19</f>
        <v>#N/A</v>
      </c>
      <c r="U18" s="59">
        <f>'GROWTH RATES'!R$19</f>
        <v>12.913779526544577</v>
      </c>
      <c r="V18" s="59">
        <f>'GROWTH RATES'!S$19</f>
        <v>12.913779526544577</v>
      </c>
      <c r="W18" s="59">
        <f>'GROWTH RATES'!T$19</f>
        <v>12.913779526544577</v>
      </c>
      <c r="X18" s="59">
        <f>'GROWTH RATES'!U$19</f>
        <v>12.913779526544577</v>
      </c>
      <c r="Y18" s="59">
        <f>'GROWTH RATES'!V$19</f>
        <v>12.913779526544577</v>
      </c>
      <c r="Z18" s="59">
        <f>'GROWTH RATES'!W$19</f>
        <v>12.913779526544577</v>
      </c>
      <c r="AA18" s="59">
        <f>'GROWTH RATES'!X$19</f>
        <v>1.409212948555796</v>
      </c>
      <c r="AB18" s="59"/>
      <c r="AC18" s="59"/>
      <c r="AD18" s="59"/>
      <c r="AE18" s="23"/>
    </row>
    <row r="19" spans="3:31" x14ac:dyDescent="0.25">
      <c r="C19" t="s">
        <v>560</v>
      </c>
      <c r="R19" s="58" t="s">
        <v>627</v>
      </c>
      <c r="S19" s="59"/>
      <c r="T19" s="59"/>
      <c r="U19" s="59"/>
      <c r="V19" s="59"/>
      <c r="W19" s="59"/>
      <c r="X19" s="59"/>
      <c r="Y19" s="59"/>
      <c r="Z19" s="59"/>
      <c r="AA19" s="59">
        <f>'GROWTH RATES'!X$19</f>
        <v>1.409212948555796</v>
      </c>
      <c r="AB19" s="59">
        <f>'GROWTH RATES'!Y$19</f>
        <v>1.6488432194457752</v>
      </c>
      <c r="AC19" s="59">
        <f>'GROWTH RATES'!Z$19</f>
        <v>2.0047301499419601</v>
      </c>
      <c r="AD19" s="59">
        <f>'GROWTH RATES'!AA$19</f>
        <v>1.8264039597002217</v>
      </c>
      <c r="AE19" s="23"/>
    </row>
    <row r="20" spans="3:31" x14ac:dyDescent="0.25">
      <c r="C20" t="s">
        <v>561</v>
      </c>
      <c r="R20" s="58" t="s">
        <v>628</v>
      </c>
      <c r="S20" s="59" t="e">
        <f>'GROWTH RATES'!P$20</f>
        <v>#N/A</v>
      </c>
      <c r="T20" s="59" t="e">
        <f>'GROWTH RATES'!Q$20</f>
        <v>#N/A</v>
      </c>
      <c r="U20" s="59">
        <f>'GROWTH RATES'!R$20</f>
        <v>-2.56493183392561</v>
      </c>
      <c r="V20" s="59">
        <f>'GROWTH RATES'!S$20</f>
        <v>-2.56493183392561</v>
      </c>
      <c r="W20" s="59">
        <f>'GROWTH RATES'!T$20</f>
        <v>-2.56493183392561</v>
      </c>
      <c r="X20" s="59">
        <f>'GROWTH RATES'!U$20</f>
        <v>-2.56493183392561</v>
      </c>
      <c r="Y20" s="59">
        <f>'GROWTH RATES'!V$20</f>
        <v>-2.56493183392561</v>
      </c>
      <c r="Z20" s="59">
        <f>'GROWTH RATES'!W$20</f>
        <v>-2.56493183392561</v>
      </c>
      <c r="AA20" s="59">
        <f>'GROWTH RATES'!X$20</f>
        <v>0.63951913519554682</v>
      </c>
      <c r="AB20" s="59"/>
      <c r="AC20" s="59"/>
      <c r="AD20" s="59"/>
      <c r="AE20" s="23"/>
    </row>
    <row r="21" spans="3:31" x14ac:dyDescent="0.25">
      <c r="C21" t="s">
        <v>562</v>
      </c>
      <c r="R21" s="58" t="s">
        <v>629</v>
      </c>
      <c r="S21" s="59"/>
      <c r="T21" s="59"/>
      <c r="U21" s="59"/>
      <c r="V21" s="59"/>
      <c r="W21" s="59"/>
      <c r="X21" s="59"/>
      <c r="Y21" s="59"/>
      <c r="Z21" s="59"/>
      <c r="AA21" s="59">
        <f>'GROWTH RATES'!X$20</f>
        <v>0.63951913519554682</v>
      </c>
      <c r="AB21" s="59">
        <f>'GROWTH RATES'!Y$20</f>
        <v>1.6192254974243785</v>
      </c>
      <c r="AC21" s="59">
        <f>'GROWTH RATES'!Z$20</f>
        <v>1.5219083442072632</v>
      </c>
      <c r="AD21" s="59">
        <f>'GROWTH RATES'!AA$20</f>
        <v>1.6689992572710703</v>
      </c>
      <c r="AE21" s="23"/>
    </row>
    <row r="22" spans="3:31" x14ac:dyDescent="0.25">
      <c r="C22" t="s">
        <v>563</v>
      </c>
      <c r="R22" s="58" t="s">
        <v>630</v>
      </c>
      <c r="S22" s="59" t="e">
        <f>'GROWTH RATES'!P$21</f>
        <v>#N/A</v>
      </c>
      <c r="T22" s="59" t="e">
        <f>'GROWTH RATES'!Q$21</f>
        <v>#N/A</v>
      </c>
      <c r="U22" s="59">
        <f>'GROWTH RATES'!R$21</f>
        <v>6.3075463189282477</v>
      </c>
      <c r="V22" s="59">
        <f>'GROWTH RATES'!S$21</f>
        <v>6.3075463189282477</v>
      </c>
      <c r="W22" s="59">
        <f>'GROWTH RATES'!T$21</f>
        <v>6.3075463189282477</v>
      </c>
      <c r="X22" s="59">
        <f>'GROWTH RATES'!U$21</f>
        <v>6.3075463189282477</v>
      </c>
      <c r="Y22" s="59">
        <f>'GROWTH RATES'!V$21</f>
        <v>6.3075463189282477</v>
      </c>
      <c r="Z22" s="59">
        <f>'GROWTH RATES'!W$21</f>
        <v>6.3075463189282477</v>
      </c>
      <c r="AA22" s="59">
        <f>'GROWTH RATES'!X$21</f>
        <v>0.63951913519554682</v>
      </c>
      <c r="AB22" s="59"/>
      <c r="AC22" s="59"/>
      <c r="AD22" s="59"/>
      <c r="AE22" s="23"/>
    </row>
    <row r="23" spans="3:31" x14ac:dyDescent="0.25">
      <c r="C23" t="s">
        <v>564</v>
      </c>
      <c r="R23" s="58" t="s">
        <v>631</v>
      </c>
      <c r="S23" s="59"/>
      <c r="T23" s="59"/>
      <c r="U23" s="59"/>
      <c r="V23" s="59"/>
      <c r="W23" s="59"/>
      <c r="X23" s="59"/>
      <c r="Y23" s="59"/>
      <c r="Z23" s="59"/>
      <c r="AA23" s="59">
        <f>'GROWTH RATES'!X$21</f>
        <v>0.63951913519554682</v>
      </c>
      <c r="AB23" s="59">
        <f>'GROWTH RATES'!Y$21</f>
        <v>1.6192254974243785</v>
      </c>
      <c r="AC23" s="59">
        <f>'GROWTH RATES'!Z$21</f>
        <v>1.5219083442072632</v>
      </c>
      <c r="AD23" s="59">
        <f>'GROWTH RATES'!AA$21</f>
        <v>1.6689992572710703</v>
      </c>
      <c r="AE23" s="23"/>
    </row>
    <row r="24" spans="3:31" x14ac:dyDescent="0.25">
      <c r="C24" t="s">
        <v>565</v>
      </c>
      <c r="R24" s="58" t="s">
        <v>636</v>
      </c>
      <c r="S24" s="59" t="e">
        <f>'GROWTH RATES'!P$22</f>
        <v>#N/A</v>
      </c>
      <c r="T24" s="59" t="e">
        <f>'GROWTH RATES'!Q$22</f>
        <v>#N/A</v>
      </c>
      <c r="U24" s="59">
        <f>'GROWTH RATES'!R$22</f>
        <v>-7.8153484264231636</v>
      </c>
      <c r="V24" s="59">
        <f>'GROWTH RATES'!S$22</f>
        <v>-7.8153484264231636</v>
      </c>
      <c r="W24" s="59">
        <f>'GROWTH RATES'!T$22</f>
        <v>-7.8153484264231636</v>
      </c>
      <c r="X24" s="59">
        <f>'GROWTH RATES'!U$22</f>
        <v>-7.8153484264231636</v>
      </c>
      <c r="Y24" s="59">
        <f>'GROWTH RATES'!V$22</f>
        <v>-7.8153484264231636</v>
      </c>
      <c r="Z24" s="59">
        <f>'GROWTH RATES'!W$22</f>
        <v>-7.8153484264231636</v>
      </c>
      <c r="AA24" s="59">
        <f>'GROWTH RATES'!X$22</f>
        <v>1.3918400593740177</v>
      </c>
      <c r="AB24" s="59"/>
      <c r="AC24" s="59"/>
      <c r="AD24" s="59"/>
      <c r="AE24" s="23"/>
    </row>
    <row r="25" spans="3:31" x14ac:dyDescent="0.25">
      <c r="C25" t="s">
        <v>566</v>
      </c>
      <c r="R25" s="58" t="s">
        <v>637</v>
      </c>
      <c r="S25" s="59"/>
      <c r="T25" s="59"/>
      <c r="U25" s="59"/>
      <c r="V25" s="59"/>
      <c r="W25" s="59"/>
      <c r="X25" s="59"/>
      <c r="Y25" s="59"/>
      <c r="Z25" s="59"/>
      <c r="AA25" s="59">
        <f>'GROWTH RATES'!X$22</f>
        <v>1.3918400593740177</v>
      </c>
      <c r="AB25" s="59">
        <f>'GROWTH RATES'!Y$22</f>
        <v>1.3092630037113906</v>
      </c>
      <c r="AC25" s="59">
        <f>'GROWTH RATES'!Z$22</f>
        <v>0.9245492578707708</v>
      </c>
      <c r="AD25" s="59">
        <f>'GROWTH RATES'!AA$22</f>
        <v>0.99817293336576984</v>
      </c>
      <c r="AE25" s="23"/>
    </row>
    <row r="26" spans="3:31" x14ac:dyDescent="0.25">
      <c r="C26" t="s">
        <v>567</v>
      </c>
      <c r="R26" s="58" t="s">
        <v>636</v>
      </c>
      <c r="S26" s="59" t="e">
        <f>'GROWTH RATES'!P$23</f>
        <v>#N/A</v>
      </c>
      <c r="T26" s="59" t="e">
        <f>'GROWTH RATES'!Q$23</f>
        <v>#N/A</v>
      </c>
      <c r="U26" s="59">
        <f>'GROWTH RATES'!R$23</f>
        <v>3.4223589519351894</v>
      </c>
      <c r="V26" s="59">
        <f>'GROWTH RATES'!S$23</f>
        <v>3.4223589519351894</v>
      </c>
      <c r="W26" s="59">
        <f>'GROWTH RATES'!T$23</f>
        <v>3.4223589519351894</v>
      </c>
      <c r="X26" s="59">
        <f>'GROWTH RATES'!U$23</f>
        <v>3.4223589519351894</v>
      </c>
      <c r="Y26" s="59">
        <f>'GROWTH RATES'!V$23</f>
        <v>3.4223589519351894</v>
      </c>
      <c r="Z26" s="59">
        <f>'GROWTH RATES'!W$23</f>
        <v>3.4223589519351894</v>
      </c>
      <c r="AA26" s="59">
        <f>'GROWTH RATES'!X$23</f>
        <v>1.3918400593740177</v>
      </c>
      <c r="AB26" s="59"/>
      <c r="AC26" s="59"/>
      <c r="AD26" s="59"/>
      <c r="AE26" s="23"/>
    </row>
    <row r="27" spans="3:31" ht="15.75" thickBot="1" x14ac:dyDescent="0.3">
      <c r="R27" s="451" t="s">
        <v>637</v>
      </c>
      <c r="S27" s="452"/>
      <c r="T27" s="452"/>
      <c r="U27" s="452"/>
      <c r="V27" s="452"/>
      <c r="W27" s="452"/>
      <c r="X27" s="452"/>
      <c r="Y27" s="452"/>
      <c r="Z27" s="452"/>
      <c r="AA27" s="452">
        <f>'GROWTH RATES'!X$23</f>
        <v>1.3918400593740177</v>
      </c>
      <c r="AB27" s="452">
        <f>'GROWTH RATES'!Y$23</f>
        <v>1.3092630037113906</v>
      </c>
      <c r="AC27" s="452">
        <f>'GROWTH RATES'!Z$23</f>
        <v>0.9245492578707708</v>
      </c>
      <c r="AD27" s="452">
        <f>'GROWTH RATES'!AA$23</f>
        <v>0.99817293336576984</v>
      </c>
      <c r="AE27" s="23"/>
    </row>
    <row r="28" spans="3:31" ht="16.5" thickTop="1" thickBot="1" x14ac:dyDescent="0.3">
      <c r="AE28" s="23"/>
    </row>
    <row r="29" spans="3:31" ht="16.5" thickTop="1" thickBot="1" x14ac:dyDescent="0.3">
      <c r="R29" s="51" t="s">
        <v>281</v>
      </c>
      <c r="S29" s="53">
        <v>2015</v>
      </c>
      <c r="T29" s="53">
        <v>2016</v>
      </c>
      <c r="U29" s="53">
        <v>2017</v>
      </c>
      <c r="V29" s="53">
        <v>2018</v>
      </c>
      <c r="W29" s="54">
        <v>2019</v>
      </c>
      <c r="X29" s="54">
        <v>2020</v>
      </c>
      <c r="Y29" s="55">
        <v>2021</v>
      </c>
      <c r="Z29" s="56">
        <v>2022</v>
      </c>
      <c r="AA29" s="57">
        <v>2023</v>
      </c>
      <c r="AB29" s="57">
        <v>2024</v>
      </c>
      <c r="AC29" s="57">
        <v>2025</v>
      </c>
      <c r="AD29" s="57">
        <v>2026</v>
      </c>
      <c r="AE29" s="23"/>
    </row>
    <row r="30" spans="3:31" x14ac:dyDescent="0.25">
      <c r="R30" s="23" t="s">
        <v>309</v>
      </c>
      <c r="S30" s="23" t="e">
        <f>'GROWTH RATES'!P32</f>
        <v>#N/A</v>
      </c>
      <c r="T30" s="23" t="e">
        <f>'GROWTH RATES'!Q32</f>
        <v>#N/A</v>
      </c>
      <c r="U30" s="23" t="e">
        <f>'GROWTH RATES'!Q32</f>
        <v>#N/A</v>
      </c>
      <c r="V30" s="23" t="e">
        <f>'GROWTH RATES'!R32</f>
        <v>#N/A</v>
      </c>
      <c r="W30" s="23" t="e">
        <f>'GROWTH RATES'!S32</f>
        <v>#N/A</v>
      </c>
      <c r="X30" s="23" t="e">
        <f>'GROWTH RATES'!T32</f>
        <v>#N/A</v>
      </c>
      <c r="Y30" s="23" t="e">
        <f>'GROWTH RATES'!U32</f>
        <v>#N/A</v>
      </c>
      <c r="Z30" s="23" t="e">
        <f>'GROWTH RATES'!V32</f>
        <v>#N/A</v>
      </c>
      <c r="AA30" s="23" t="e">
        <f>'GROWTH RATES'!W32</f>
        <v>#N/A</v>
      </c>
      <c r="AB30" s="23"/>
      <c r="AC30" s="23"/>
      <c r="AD30" s="23"/>
      <c r="AE30" s="23"/>
    </row>
    <row r="31" spans="3:31" x14ac:dyDescent="0.25">
      <c r="R31" s="23" t="s">
        <v>325</v>
      </c>
      <c r="S31" s="23" t="e">
        <f>'GROWTH RATES'!P33</f>
        <v>#N/A</v>
      </c>
      <c r="T31" s="23" t="e">
        <f>'GROWTH RATES'!Q33</f>
        <v>#N/A</v>
      </c>
      <c r="U31" s="23" t="e">
        <f>'GROWTH RATES'!Q33</f>
        <v>#N/A</v>
      </c>
      <c r="V31" s="23" t="e">
        <f>'GROWTH RATES'!R33</f>
        <v>#N/A</v>
      </c>
      <c r="W31" s="23" t="e">
        <f>'GROWTH RATES'!S33</f>
        <v>#N/A</v>
      </c>
      <c r="X31" s="23" t="e">
        <f>'GROWTH RATES'!T33</f>
        <v>#N/A</v>
      </c>
      <c r="Y31" s="23" t="e">
        <f>'GROWTH RATES'!U33</f>
        <v>#N/A</v>
      </c>
      <c r="Z31" s="23" t="e">
        <f>'GROWTH RATES'!V33</f>
        <v>#N/A</v>
      </c>
      <c r="AA31" s="23" t="e">
        <f>'GROWTH RATES'!W33</f>
        <v>#N/A</v>
      </c>
      <c r="AB31" s="23"/>
      <c r="AC31" s="23"/>
      <c r="AD31" s="23"/>
      <c r="AE31" s="23"/>
    </row>
    <row r="32" spans="3:31" x14ac:dyDescent="0.25">
      <c r="R32" s="23" t="s">
        <v>343</v>
      </c>
      <c r="S32" s="23" t="e">
        <f>'GROWTH RATES'!P36</f>
        <v>#N/A</v>
      </c>
      <c r="T32" s="23" t="e">
        <f>'GROWTH RATES'!Q36</f>
        <v>#N/A</v>
      </c>
      <c r="U32" s="23" t="e">
        <f>'GROWTH RATES'!Q36</f>
        <v>#N/A</v>
      </c>
      <c r="V32" s="23" t="e">
        <f>'GROWTH RATES'!R36</f>
        <v>#N/A</v>
      </c>
      <c r="W32" s="23" t="e">
        <f>'GROWTH RATES'!S36</f>
        <v>#N/A</v>
      </c>
      <c r="X32" s="23" t="e">
        <f>'GROWTH RATES'!T36</f>
        <v>#N/A</v>
      </c>
      <c r="Y32" s="23" t="e">
        <f>'GROWTH RATES'!U36</f>
        <v>#N/A</v>
      </c>
      <c r="Z32" s="23" t="e">
        <f>'GROWTH RATES'!V36</f>
        <v>#N/A</v>
      </c>
      <c r="AA32" s="23" t="e">
        <f>'GROWTH RATES'!W36</f>
        <v>#N/A</v>
      </c>
      <c r="AB32" s="23"/>
      <c r="AC32" s="23"/>
      <c r="AD32" s="23"/>
      <c r="AE32" s="23"/>
    </row>
    <row r="33" spans="18:31" x14ac:dyDescent="0.25">
      <c r="R33" s="23" t="s">
        <v>355</v>
      </c>
      <c r="S33" s="23" t="e">
        <f>'GROWTH RATES'!P37</f>
        <v>#N/A</v>
      </c>
      <c r="T33" s="23" t="e">
        <f>'GROWTH RATES'!Q37</f>
        <v>#N/A</v>
      </c>
      <c r="U33" s="23" t="e">
        <f>'GROWTH RATES'!Q37</f>
        <v>#N/A</v>
      </c>
      <c r="V33" s="23" t="e">
        <f>'GROWTH RATES'!R37</f>
        <v>#N/A</v>
      </c>
      <c r="W33" s="23" t="e">
        <f>'GROWTH RATES'!S37</f>
        <v>#N/A</v>
      </c>
      <c r="X33" s="23" t="e">
        <f>'GROWTH RATES'!T37</f>
        <v>#N/A</v>
      </c>
      <c r="Y33" s="23" t="e">
        <f>'GROWTH RATES'!U37</f>
        <v>#N/A</v>
      </c>
      <c r="Z33" s="23" t="e">
        <f>'GROWTH RATES'!V37</f>
        <v>#N/A</v>
      </c>
      <c r="AA33" s="23" t="e">
        <f>'GROWTH RATES'!W37</f>
        <v>#N/A</v>
      </c>
      <c r="AB33" s="23"/>
      <c r="AC33" s="23"/>
      <c r="AD33" s="23"/>
      <c r="AE33" s="23"/>
    </row>
    <row r="34" spans="18:31" x14ac:dyDescent="0.25">
      <c r="R34" s="23" t="s">
        <v>379</v>
      </c>
      <c r="S34" s="23" t="e">
        <f>'GROWTH RATES'!P41</f>
        <v>#N/A</v>
      </c>
      <c r="T34" s="23" t="e">
        <f>'GROWTH RATES'!Q41</f>
        <v>#N/A</v>
      </c>
      <c r="U34" s="23" t="e">
        <f>'GROWTH RATES'!Q41</f>
        <v>#N/A</v>
      </c>
      <c r="V34" s="23" t="e">
        <f>'GROWTH RATES'!R41</f>
        <v>#N/A</v>
      </c>
      <c r="W34" s="23" t="e">
        <f>'GROWTH RATES'!S41</f>
        <v>#N/A</v>
      </c>
      <c r="X34" s="23" t="e">
        <f>'GROWTH RATES'!T41</f>
        <v>#N/A</v>
      </c>
      <c r="Y34" s="23" t="e">
        <f>'GROWTH RATES'!U41</f>
        <v>#N/A</v>
      </c>
      <c r="Z34" s="23" t="e">
        <f>'GROWTH RATES'!V41</f>
        <v>#N/A</v>
      </c>
      <c r="AA34" s="23" t="e">
        <f>'GROWTH RATES'!W41</f>
        <v>#N/A</v>
      </c>
      <c r="AB34" s="23"/>
      <c r="AC34" s="23"/>
      <c r="AD34" s="23"/>
      <c r="AE34" s="23"/>
    </row>
    <row r="35" spans="18:31" x14ac:dyDescent="0.25">
      <c r="R35" s="23" t="s">
        <v>380</v>
      </c>
      <c r="S35" s="23" t="e">
        <f>'GROWTH RATES'!P42</f>
        <v>#N/A</v>
      </c>
      <c r="T35" s="23" t="e">
        <f>'GROWTH RATES'!Q42</f>
        <v>#N/A</v>
      </c>
      <c r="U35" s="23" t="e">
        <f>'GROWTH RATES'!Q42</f>
        <v>#N/A</v>
      </c>
      <c r="V35" s="23" t="e">
        <f>'GROWTH RATES'!R42</f>
        <v>#N/A</v>
      </c>
      <c r="W35" s="23" t="e">
        <f>'GROWTH RATES'!S42</f>
        <v>#N/A</v>
      </c>
      <c r="X35" s="23" t="e">
        <f>'GROWTH RATES'!T42</f>
        <v>#N/A</v>
      </c>
      <c r="Y35" s="23" t="e">
        <f>'GROWTH RATES'!U42</f>
        <v>#N/A</v>
      </c>
      <c r="Z35" s="23" t="e">
        <f>'GROWTH RATES'!V42</f>
        <v>#N/A</v>
      </c>
      <c r="AA35" s="23" t="e">
        <f>'GROWTH RATES'!W42</f>
        <v>#N/A</v>
      </c>
      <c r="AB35" s="23"/>
      <c r="AC35" s="23"/>
      <c r="AD35" s="23"/>
      <c r="AE35" s="23"/>
    </row>
    <row r="36" spans="18:31" x14ac:dyDescent="0.25">
      <c r="R36" s="23" t="s">
        <v>381</v>
      </c>
      <c r="S36" s="23" t="e">
        <f>'GROWTH RATES'!P43</f>
        <v>#N/A</v>
      </c>
      <c r="T36" s="23" t="e">
        <f>'GROWTH RATES'!Q43</f>
        <v>#N/A</v>
      </c>
      <c r="U36" s="23" t="e">
        <f>'GROWTH RATES'!Q43</f>
        <v>#N/A</v>
      </c>
      <c r="V36" s="23" t="e">
        <f>'GROWTH RATES'!R43</f>
        <v>#N/A</v>
      </c>
      <c r="W36" s="23" t="e">
        <f>'GROWTH RATES'!S43</f>
        <v>#N/A</v>
      </c>
      <c r="X36" s="23" t="e">
        <f>'GROWTH RATES'!T43</f>
        <v>#N/A</v>
      </c>
      <c r="Y36" s="23" t="e">
        <f>'GROWTH RATES'!U43</f>
        <v>#N/A</v>
      </c>
      <c r="Z36" s="23" t="e">
        <f>'GROWTH RATES'!V43</f>
        <v>#N/A</v>
      </c>
      <c r="AA36" s="23" t="e">
        <f>'GROWTH RATES'!W43</f>
        <v>#N/A</v>
      </c>
      <c r="AB36" s="23"/>
      <c r="AC36" s="23"/>
      <c r="AD36" s="23"/>
    </row>
    <row r="37" spans="18:31" x14ac:dyDescent="0.25">
      <c r="R37" s="23" t="s">
        <v>382</v>
      </c>
      <c r="S37" s="23" t="e">
        <f>'GROWTH RATES'!P44</f>
        <v>#N/A</v>
      </c>
      <c r="T37" s="23" t="e">
        <f>'GROWTH RATES'!Q44</f>
        <v>#N/A</v>
      </c>
      <c r="U37" s="23" t="e">
        <f>'GROWTH RATES'!Q44</f>
        <v>#N/A</v>
      </c>
      <c r="V37" s="23" t="e">
        <f>'GROWTH RATES'!R44</f>
        <v>#N/A</v>
      </c>
      <c r="W37" s="23" t="e">
        <f>'GROWTH RATES'!S44</f>
        <v>#N/A</v>
      </c>
      <c r="X37" s="23" t="e">
        <f>'GROWTH RATES'!T44</f>
        <v>#N/A</v>
      </c>
      <c r="Y37" s="23" t="e">
        <f>'GROWTH RATES'!U44</f>
        <v>#N/A</v>
      </c>
      <c r="Z37" s="23" t="e">
        <f>'GROWTH RATES'!V44</f>
        <v>#N/A</v>
      </c>
      <c r="AA37" s="23" t="e">
        <f>'GROWTH RATES'!W44</f>
        <v>#N/A</v>
      </c>
      <c r="AB37" s="23"/>
      <c r="AC37" s="23"/>
      <c r="AD37" s="23"/>
    </row>
    <row r="38" spans="18:31" x14ac:dyDescent="0.25">
      <c r="R38" s="23" t="s">
        <v>383</v>
      </c>
      <c r="S38" s="23" t="e">
        <f>'GROWTH RATES'!P45</f>
        <v>#N/A</v>
      </c>
      <c r="T38" s="23" t="e">
        <f>'GROWTH RATES'!Q45</f>
        <v>#N/A</v>
      </c>
      <c r="U38" s="23" t="e">
        <f>'GROWTH RATES'!Q45</f>
        <v>#N/A</v>
      </c>
      <c r="V38" s="23" t="e">
        <f>'GROWTH RATES'!R45</f>
        <v>#N/A</v>
      </c>
      <c r="W38" s="23" t="e">
        <f>'GROWTH RATES'!S45</f>
        <v>#N/A</v>
      </c>
      <c r="X38" s="23" t="e">
        <f>'GROWTH RATES'!T45</f>
        <v>#N/A</v>
      </c>
      <c r="Y38" s="23" t="e">
        <f>'GROWTH RATES'!U45</f>
        <v>#N/A</v>
      </c>
      <c r="Z38" s="23" t="e">
        <f>'GROWTH RATES'!V45</f>
        <v>#N/A</v>
      </c>
      <c r="AA38" s="23" t="e">
        <f>'GROWTH RATES'!W45</f>
        <v>#N/A</v>
      </c>
      <c r="AB38" s="23"/>
      <c r="AC38" s="23"/>
      <c r="AD38" s="23"/>
    </row>
    <row r="39" spans="18:31" x14ac:dyDescent="0.25">
      <c r="R39" s="23" t="s">
        <v>317</v>
      </c>
      <c r="X39" s="23"/>
      <c r="Y39" s="23"/>
      <c r="Z39" s="23"/>
      <c r="AA39" s="23" t="e">
        <f>'GROWTH RATES'!W32</f>
        <v>#N/A</v>
      </c>
      <c r="AB39" s="23" t="e">
        <f>'GROWTH RATES'!X32</f>
        <v>#N/A</v>
      </c>
      <c r="AC39" s="23">
        <f>'GROWTH RATES'!Y32</f>
        <v>0.570017257116054</v>
      </c>
      <c r="AD39" s="23">
        <f>'GROWTH RATES'!Z32</f>
        <v>0.53481838954110561</v>
      </c>
    </row>
    <row r="40" spans="18:31" x14ac:dyDescent="0.25">
      <c r="R40" s="23" t="s">
        <v>334</v>
      </c>
      <c r="X40" s="23"/>
      <c r="Y40" s="23"/>
      <c r="Z40" s="23"/>
      <c r="AA40" s="23" t="e">
        <f>'GROWTH RATES'!W33</f>
        <v>#N/A</v>
      </c>
      <c r="AB40" s="23" t="e">
        <f>'GROWTH RATES'!X33</f>
        <v>#N/A</v>
      </c>
      <c r="AC40" s="23">
        <f>'GROWTH RATES'!Y33</f>
        <v>0.570017257116054</v>
      </c>
      <c r="AD40" s="23">
        <f>'GROWTH RATES'!Z33</f>
        <v>0.53481838954110561</v>
      </c>
    </row>
    <row r="41" spans="18:31" x14ac:dyDescent="0.25">
      <c r="R41" s="23" t="s">
        <v>349</v>
      </c>
      <c r="X41" s="23"/>
      <c r="Y41" s="23"/>
      <c r="Z41" s="23"/>
      <c r="AA41" s="23" t="e">
        <f>'GROWTH RATES'!W36</f>
        <v>#N/A</v>
      </c>
      <c r="AB41" s="23" t="e">
        <f>'GROWTH RATES'!X36</f>
        <v>#N/A</v>
      </c>
      <c r="AC41" s="23">
        <f>'GROWTH RATES'!Y36</f>
        <v>1.5124899828330756</v>
      </c>
      <c r="AD41" s="23">
        <f>'GROWTH RATES'!Z36</f>
        <v>1.2412301327693218</v>
      </c>
    </row>
    <row r="42" spans="18:31" x14ac:dyDescent="0.25">
      <c r="R42" s="23" t="s">
        <v>359</v>
      </c>
      <c r="X42" s="23"/>
      <c r="Y42" s="23"/>
      <c r="Z42" s="23"/>
      <c r="AA42" s="23" t="e">
        <f>'GROWTH RATES'!W37</f>
        <v>#N/A</v>
      </c>
      <c r="AB42" s="23" t="e">
        <f>'GROWTH RATES'!X37</f>
        <v>#N/A</v>
      </c>
      <c r="AC42" s="23">
        <f>'GROWTH RATES'!Y37</f>
        <v>1.5124899828330756</v>
      </c>
      <c r="AD42" s="23">
        <f>'GROWTH RATES'!Z37</f>
        <v>1.2412301327693218</v>
      </c>
    </row>
    <row r="43" spans="18:31" x14ac:dyDescent="0.25">
      <c r="R43" s="23" t="s">
        <v>384</v>
      </c>
      <c r="X43" s="23"/>
      <c r="Y43" s="23"/>
      <c r="Z43" s="23"/>
      <c r="AA43" s="23" t="e">
        <f>'GROWTH RATES'!W41</f>
        <v>#N/A</v>
      </c>
      <c r="AB43" s="23" t="e">
        <f>'GROWTH RATES'!X41</f>
        <v>#N/A</v>
      </c>
      <c r="AC43" s="23" t="e">
        <f>'GROWTH RATES'!Y41</f>
        <v>#DIV/0!</v>
      </c>
      <c r="AD43" s="23" t="e">
        <f>'GROWTH RATES'!Z41</f>
        <v>#DIV/0!</v>
      </c>
    </row>
    <row r="44" spans="18:31" x14ac:dyDescent="0.25">
      <c r="R44" s="23" t="s">
        <v>385</v>
      </c>
      <c r="X44" s="23"/>
      <c r="Y44" s="23"/>
      <c r="Z44" s="23"/>
      <c r="AA44" s="23" t="e">
        <f>'GROWTH RATES'!W42</f>
        <v>#N/A</v>
      </c>
      <c r="AB44" s="23" t="e">
        <f>'GROWTH RATES'!X42</f>
        <v>#N/A</v>
      </c>
      <c r="AC44" s="23" t="e">
        <f>'GROWTH RATES'!Y42</f>
        <v>#DIV/0!</v>
      </c>
      <c r="AD44" s="23" t="e">
        <f>'GROWTH RATES'!Z42</f>
        <v>#DIV/0!</v>
      </c>
    </row>
    <row r="45" spans="18:31" x14ac:dyDescent="0.25">
      <c r="R45" s="23" t="s">
        <v>386</v>
      </c>
      <c r="X45" s="23"/>
      <c r="Y45" s="23"/>
      <c r="Z45" s="23"/>
      <c r="AA45" s="23" t="e">
        <f>'GROWTH RATES'!W43</f>
        <v>#N/A</v>
      </c>
      <c r="AB45" s="23" t="e">
        <f>'GROWTH RATES'!X43</f>
        <v>#N/A</v>
      </c>
      <c r="AC45" s="23" t="e">
        <f>'GROWTH RATES'!Y43</f>
        <v>#N/A</v>
      </c>
      <c r="AD45" s="23" t="e">
        <f>'GROWTH RATES'!Z43</f>
        <v>#N/A</v>
      </c>
    </row>
    <row r="46" spans="18:31" x14ac:dyDescent="0.25">
      <c r="R46" s="23" t="s">
        <v>387</v>
      </c>
      <c r="X46" s="23"/>
      <c r="Y46" s="23"/>
      <c r="Z46" s="23"/>
      <c r="AA46" s="23" t="e">
        <f>'GROWTH RATES'!W44</f>
        <v>#N/A</v>
      </c>
      <c r="AB46" s="23" t="e">
        <f>'GROWTH RATES'!X44</f>
        <v>#N/A</v>
      </c>
      <c r="AC46" s="23" t="e">
        <f>'GROWTH RATES'!Y44</f>
        <v>#N/A</v>
      </c>
      <c r="AD46" s="23" t="e">
        <f>'GROWTH RATES'!Z44</f>
        <v>#N/A</v>
      </c>
    </row>
    <row r="47" spans="18:31" x14ac:dyDescent="0.25">
      <c r="R47" s="23" t="s">
        <v>388</v>
      </c>
      <c r="X47" s="23"/>
      <c r="Y47" s="23"/>
      <c r="Z47" s="23"/>
      <c r="AA47" s="23" t="e">
        <f>'GROWTH RATES'!W45</f>
        <v>#N/A</v>
      </c>
      <c r="AB47" s="23" t="e">
        <f>'GROWTH RATES'!X45</f>
        <v>#N/A</v>
      </c>
      <c r="AC47" s="23" t="e">
        <f>'GROWTH RATES'!Y45</f>
        <v>#N/A</v>
      </c>
      <c r="AD47" s="23" t="e">
        <f>'GROWTH RATES'!Z45</f>
        <v>#N/A</v>
      </c>
    </row>
  </sheetData>
  <sheetProtection selectLockedCells="1" selectUnlockedCells="1"/>
  <mergeCells count="3">
    <mergeCell ref="A1:B1"/>
    <mergeCell ref="S2:W2"/>
    <mergeCell ref="Y2:AB2"/>
  </mergeCells>
  <phoneticPr fontId="24" type="noConversion"/>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5E703-3C2B-4491-BEDC-53CBBF3F4D3B}">
  <sheetPr codeName="Sheet162">
    <tabColor theme="4" tint="0.39997558519241921"/>
  </sheetPr>
  <dimension ref="A1:R55"/>
  <sheetViews>
    <sheetView workbookViewId="0">
      <selection activeCell="D6" sqref="D6"/>
    </sheetView>
  </sheetViews>
  <sheetFormatPr defaultColWidth="0" defaultRowHeight="0" customHeight="1" zeroHeight="1" x14ac:dyDescent="0.25"/>
  <cols>
    <col min="1" max="1" width="4.42578125" style="221" customWidth="1"/>
    <col min="2" max="2" width="2.85546875" style="221" customWidth="1"/>
    <col min="3" max="3" width="24.5703125" style="221" customWidth="1"/>
    <col min="4" max="4" width="13.5703125" style="222" customWidth="1"/>
    <col min="5" max="5" width="1.42578125" style="221" customWidth="1"/>
    <col min="6" max="6" width="3.5703125" style="221" customWidth="1"/>
    <col min="7" max="7" width="2.85546875" style="223" customWidth="1"/>
    <col min="8" max="8" width="19.85546875" style="223" customWidth="1"/>
    <col min="9" max="9" width="15.42578125" style="223" customWidth="1"/>
    <col min="10" max="10" width="2.85546875" style="223" customWidth="1"/>
    <col min="11" max="11" width="4.42578125" style="221" customWidth="1"/>
    <col min="12" max="18" width="0" style="221" hidden="1" customWidth="1"/>
    <col min="19" max="16384" width="8.5703125" style="221" hidden="1"/>
  </cols>
  <sheetData>
    <row r="1" spans="1:18" ht="12.75" x14ac:dyDescent="0.25">
      <c r="A1" s="220"/>
      <c r="B1" s="220"/>
      <c r="E1" s="220"/>
    </row>
    <row r="2" spans="1:18" ht="18.75" x14ac:dyDescent="0.25">
      <c r="B2" s="584" t="s">
        <v>389</v>
      </c>
      <c r="C2" s="584"/>
      <c r="D2" s="584"/>
      <c r="E2" s="584"/>
      <c r="F2" s="584"/>
      <c r="G2" s="584"/>
      <c r="H2" s="584"/>
      <c r="I2" s="584"/>
      <c r="J2" s="584"/>
    </row>
    <row r="3" spans="1:18" ht="12.75" x14ac:dyDescent="0.25">
      <c r="C3" s="226"/>
    </row>
    <row r="4" spans="1:18" ht="15" x14ac:dyDescent="0.25">
      <c r="C4" s="235" t="s">
        <v>390</v>
      </c>
      <c r="D4" s="246" t="s">
        <v>391</v>
      </c>
      <c r="E4" s="242"/>
      <c r="F4" s="242"/>
      <c r="G4" s="242"/>
      <c r="H4" s="242" t="s">
        <v>392</v>
      </c>
      <c r="I4" s="243" t="s">
        <v>393</v>
      </c>
      <c r="L4" s="221" t="s">
        <v>394</v>
      </c>
      <c r="N4" s="221">
        <v>0</v>
      </c>
      <c r="P4" s="221" t="s">
        <v>395</v>
      </c>
      <c r="R4" s="223"/>
    </row>
    <row r="5" spans="1:18" ht="12.75" x14ac:dyDescent="0.25">
      <c r="C5" s="242"/>
      <c r="D5" s="235"/>
      <c r="E5" s="242"/>
      <c r="F5" s="242"/>
      <c r="G5" s="242"/>
      <c r="H5" s="242"/>
      <c r="I5" s="242"/>
      <c r="L5" s="221" t="s">
        <v>391</v>
      </c>
      <c r="N5" s="221">
        <f>N4+1</f>
        <v>1</v>
      </c>
      <c r="P5" s="221" t="s">
        <v>393</v>
      </c>
      <c r="R5" s="223"/>
    </row>
    <row r="6" spans="1:18" ht="38.25" x14ac:dyDescent="0.25">
      <c r="C6" s="242" t="s">
        <v>396</v>
      </c>
      <c r="D6" s="235">
        <v>2023</v>
      </c>
      <c r="E6" s="242"/>
      <c r="F6" s="242"/>
      <c r="G6" s="242"/>
      <c r="H6" s="244" t="s">
        <v>397</v>
      </c>
      <c r="I6" s="245">
        <v>0</v>
      </c>
      <c r="J6" s="221"/>
      <c r="N6" s="221">
        <f t="shared" ref="N6:N16" si="0">N5+1</f>
        <v>2</v>
      </c>
      <c r="R6" s="223"/>
    </row>
    <row r="7" spans="1:18" ht="12.75" x14ac:dyDescent="0.25">
      <c r="N7" s="221">
        <f t="shared" si="0"/>
        <v>3</v>
      </c>
      <c r="P7" s="240"/>
      <c r="R7" s="223"/>
    </row>
    <row r="8" spans="1:18" ht="12.75" x14ac:dyDescent="0.25">
      <c r="B8" s="585" t="s">
        <v>398</v>
      </c>
      <c r="C8" s="585"/>
      <c r="D8" s="585"/>
      <c r="E8" s="585"/>
      <c r="G8" s="238"/>
      <c r="H8" s="237" t="s">
        <v>399</v>
      </c>
      <c r="I8" s="221"/>
      <c r="M8" s="240">
        <v>2015</v>
      </c>
      <c r="N8" s="221">
        <f t="shared" si="0"/>
        <v>4</v>
      </c>
      <c r="R8" s="223"/>
    </row>
    <row r="9" spans="1:18" ht="12.75" x14ac:dyDescent="0.25">
      <c r="B9" s="238">
        <v>13</v>
      </c>
      <c r="C9" s="228" t="s">
        <v>160</v>
      </c>
      <c r="D9" s="229">
        <f>HLOOKUP($D$6,resumen!$P$1:$AA$25,parameters!B9,0)</f>
        <v>0</v>
      </c>
      <c r="F9" s="238"/>
      <c r="G9" s="238">
        <v>2</v>
      </c>
      <c r="H9" s="228" t="s">
        <v>400</v>
      </c>
      <c r="I9" s="229" t="e">
        <f>HLOOKUP($D$6,resumen!$P$1:$AA$25,parameters!G9,0)</f>
        <v>#N/A</v>
      </c>
      <c r="M9" s="240">
        <v>2016</v>
      </c>
      <c r="N9" s="221">
        <f t="shared" si="0"/>
        <v>5</v>
      </c>
      <c r="R9" s="223"/>
    </row>
    <row r="10" spans="1:18" ht="12.75" x14ac:dyDescent="0.25">
      <c r="B10" s="238">
        <v>14</v>
      </c>
      <c r="C10" s="228" t="s">
        <v>162</v>
      </c>
      <c r="D10" s="229">
        <f>HLOOKUP($D$6,resumen!$P$1:$AA$25,parameters!B10,0)</f>
        <v>7.4403889342142815E-3</v>
      </c>
      <c r="F10" s="238"/>
      <c r="G10" s="238">
        <v>3</v>
      </c>
      <c r="H10" s="228" t="s">
        <v>401</v>
      </c>
      <c r="I10" s="229" t="e">
        <f>HLOOKUP($D$6,resumen!$P$1:$AA$25,parameters!G10,0)</f>
        <v>#N/A</v>
      </c>
      <c r="M10" s="240">
        <v>2017</v>
      </c>
      <c r="N10" s="221">
        <f t="shared" si="0"/>
        <v>6</v>
      </c>
      <c r="R10" s="223"/>
    </row>
    <row r="11" spans="1:18" ht="12.75" x14ac:dyDescent="0.25">
      <c r="B11" s="238"/>
      <c r="C11" s="228"/>
      <c r="D11" s="229"/>
      <c r="F11" s="238"/>
      <c r="G11" s="238">
        <v>4</v>
      </c>
      <c r="H11" s="228" t="s">
        <v>152</v>
      </c>
      <c r="I11" s="229" t="e">
        <f>HLOOKUP($D$6,resumen!$P$1:$AA$25,parameters!G11,0)</f>
        <v>#N/A</v>
      </c>
      <c r="M11" s="240">
        <v>2018</v>
      </c>
      <c r="N11" s="221">
        <f t="shared" si="0"/>
        <v>7</v>
      </c>
      <c r="R11" s="223"/>
    </row>
    <row r="12" spans="1:18" ht="12.75" x14ac:dyDescent="0.25">
      <c r="B12" s="238"/>
      <c r="C12" s="236" t="s">
        <v>124</v>
      </c>
      <c r="D12" s="231"/>
      <c r="F12" s="238"/>
      <c r="G12" s="238">
        <v>5</v>
      </c>
      <c r="H12" s="228" t="s">
        <v>153</v>
      </c>
      <c r="I12" s="229" t="e">
        <f>HLOOKUP($D$6,resumen!$P$1:$AA$25,parameters!G12,0)</f>
        <v>#N/A</v>
      </c>
      <c r="M12" s="240">
        <v>2019</v>
      </c>
      <c r="N12" s="221">
        <f t="shared" si="0"/>
        <v>8</v>
      </c>
      <c r="P12" s="241"/>
      <c r="R12" s="223"/>
    </row>
    <row r="13" spans="1:18" ht="12.75" x14ac:dyDescent="0.25">
      <c r="B13" s="238">
        <v>9</v>
      </c>
      <c r="C13" s="232" t="s">
        <v>29</v>
      </c>
      <c r="D13" s="229">
        <f>HLOOKUP($D$6,resumen!$P$1:$AA$25,parameters!B13,0)</f>
        <v>3.371439220677197E-2</v>
      </c>
      <c r="F13" s="238"/>
      <c r="G13" s="238">
        <v>6</v>
      </c>
      <c r="H13" s="228" t="s">
        <v>402</v>
      </c>
      <c r="I13" s="229" t="e">
        <f>HLOOKUP($D$6,resumen!$P$1:$AA$25,parameters!G13,0)</f>
        <v>#N/A</v>
      </c>
      <c r="M13" s="240">
        <v>2020</v>
      </c>
      <c r="N13" s="221">
        <f t="shared" si="0"/>
        <v>9</v>
      </c>
      <c r="P13" s="241"/>
      <c r="R13" s="223"/>
    </row>
    <row r="14" spans="1:18" ht="12.75" x14ac:dyDescent="0.25">
      <c r="B14" s="238">
        <v>10</v>
      </c>
      <c r="C14" s="232" t="s">
        <v>31</v>
      </c>
      <c r="D14" s="229">
        <f>HLOOKUP($D$6,resumen!$P$1:$AA$25,parameters!B14,0)</f>
        <v>8.367331362803121E-2</v>
      </c>
      <c r="F14" s="238"/>
      <c r="G14" s="238">
        <v>7</v>
      </c>
      <c r="H14" s="228" t="s">
        <v>403</v>
      </c>
      <c r="I14" s="229" t="e">
        <f>HLOOKUP($D$6,resumen!$P$1:$AA$25,parameters!G14,0)</f>
        <v>#N/A</v>
      </c>
      <c r="M14" s="240">
        <v>2021</v>
      </c>
      <c r="N14" s="221">
        <f>N13+1</f>
        <v>10</v>
      </c>
      <c r="P14" s="241"/>
      <c r="R14" s="223"/>
    </row>
    <row r="15" spans="1:18" ht="12.75" x14ac:dyDescent="0.25">
      <c r="B15" s="238">
        <v>11</v>
      </c>
      <c r="C15" s="232" t="s">
        <v>33</v>
      </c>
      <c r="D15" s="229" t="e">
        <f>HLOOKUP($D$6,resumen!$P$1:$AA$25,parameters!B15,0)</f>
        <v>#DIV/0!</v>
      </c>
      <c r="F15" s="238"/>
      <c r="G15" s="238">
        <v>8</v>
      </c>
      <c r="H15" s="228" t="s">
        <v>404</v>
      </c>
      <c r="I15" s="229" t="e">
        <f>HLOOKUP($D$6,resumen!$P$1:$AA$25,parameters!G15,0)</f>
        <v>#N/A</v>
      </c>
      <c r="M15" s="240">
        <v>2022</v>
      </c>
      <c r="N15" s="221">
        <f t="shared" si="0"/>
        <v>11</v>
      </c>
      <c r="P15" s="241"/>
      <c r="R15" s="223"/>
    </row>
    <row r="16" spans="1:18" ht="12.75" x14ac:dyDescent="0.25">
      <c r="B16" s="238">
        <v>12</v>
      </c>
      <c r="C16" s="232" t="s">
        <v>222</v>
      </c>
      <c r="D16" s="229">
        <f>HLOOKUP($D$6,resumen!$P$1:$AA$25,parameters!B16,0)</f>
        <v>5.7751090753483725E-2</v>
      </c>
      <c r="F16" s="238"/>
      <c r="M16" s="240">
        <v>2023</v>
      </c>
      <c r="N16" s="221">
        <f t="shared" si="0"/>
        <v>12</v>
      </c>
      <c r="P16" s="241"/>
      <c r="R16" s="223"/>
    </row>
    <row r="17" spans="2:18" ht="12.75" x14ac:dyDescent="0.25">
      <c r="B17" s="238"/>
      <c r="C17" s="232"/>
      <c r="D17" s="229"/>
      <c r="F17" s="238"/>
      <c r="G17" s="585" t="s">
        <v>405</v>
      </c>
      <c r="H17" s="585"/>
      <c r="I17" s="585"/>
      <c r="J17" s="585"/>
      <c r="M17" s="240">
        <v>2024</v>
      </c>
      <c r="P17" s="241"/>
      <c r="R17" s="223"/>
    </row>
    <row r="18" spans="2:18" ht="12.75" x14ac:dyDescent="0.25">
      <c r="B18" s="238"/>
      <c r="C18" s="236" t="s">
        <v>406</v>
      </c>
      <c r="D18" s="229"/>
      <c r="F18" s="238"/>
      <c r="G18" s="238">
        <v>24</v>
      </c>
      <c r="H18" s="230" t="s">
        <v>282</v>
      </c>
      <c r="I18" s="229" t="e">
        <f>HLOOKUP($D$6,resumen!$P$1:$AA$25,parameters!G18,0)</f>
        <v>#N/A</v>
      </c>
      <c r="J18" s="221"/>
      <c r="M18" s="221">
        <v>2025</v>
      </c>
      <c r="R18" s="223"/>
    </row>
    <row r="19" spans="2:18" ht="12.75" x14ac:dyDescent="0.25">
      <c r="B19" s="238">
        <v>15</v>
      </c>
      <c r="C19" s="228" t="s">
        <v>400</v>
      </c>
      <c r="D19" s="229">
        <f>HLOOKUP($D$6,resumen!$P$1:$AA$25,parameters!B19,0)</f>
        <v>-4.9029685067715212E-3</v>
      </c>
      <c r="F19" s="238"/>
      <c r="G19" s="238">
        <v>25</v>
      </c>
      <c r="H19" s="230" t="s">
        <v>407</v>
      </c>
      <c r="I19" s="229">
        <f>HLOOKUP($D$6,resumen!$P$1:$AA$25,parameters!G19,0)</f>
        <v>5.7751090753483725E-2</v>
      </c>
      <c r="J19" s="221"/>
      <c r="M19" s="221">
        <v>2026</v>
      </c>
      <c r="R19" s="223"/>
    </row>
    <row r="20" spans="2:18" ht="12.75" x14ac:dyDescent="0.25">
      <c r="B20" s="238">
        <v>16</v>
      </c>
      <c r="C20" s="228" t="s">
        <v>401</v>
      </c>
      <c r="D20" s="229">
        <f>HLOOKUP($D$6,resumen!$P$1:$AA$25,parameters!B20,0)</f>
        <v>-4.9029685067712991E-3</v>
      </c>
      <c r="F20" s="238"/>
      <c r="G20" s="238">
        <v>25</v>
      </c>
      <c r="H20" s="230" t="s">
        <v>408</v>
      </c>
      <c r="I20" s="229">
        <f>HLOOKUP($D$6,resumen!$P$1:$AA$25,parameters!G20,0)</f>
        <v>5.7751090753483725E-2</v>
      </c>
      <c r="J20" s="221"/>
      <c r="R20" s="223"/>
    </row>
    <row r="21" spans="2:18" ht="12.75" x14ac:dyDescent="0.25">
      <c r="B21" s="238">
        <v>17</v>
      </c>
      <c r="C21" s="228" t="s">
        <v>152</v>
      </c>
      <c r="D21" s="229">
        <f>HLOOKUP($D$6,resumen!$P$1:$AA$25,parameters!B21,0)</f>
        <v>4.0376732977076557E-3</v>
      </c>
      <c r="F21" s="238"/>
      <c r="G21" s="238"/>
      <c r="H21" s="230"/>
      <c r="I21" s="233"/>
      <c r="J21" s="221"/>
      <c r="M21" s="221" t="s">
        <v>395</v>
      </c>
      <c r="R21" s="223"/>
    </row>
    <row r="22" spans="2:18" ht="12.75" x14ac:dyDescent="0.25">
      <c r="B22" s="238">
        <v>18</v>
      </c>
      <c r="C22" s="228" t="s">
        <v>153</v>
      </c>
      <c r="D22" s="229">
        <f>HLOOKUP($D$6,resumen!$P$1:$AA$25,parameters!B22,0)</f>
        <v>4.0376732977076557E-3</v>
      </c>
      <c r="F22" s="238"/>
      <c r="G22" s="238"/>
      <c r="H22" s="585" t="s">
        <v>409</v>
      </c>
      <c r="I22" s="585"/>
      <c r="J22" s="585"/>
      <c r="M22" s="221" t="s">
        <v>393</v>
      </c>
      <c r="R22" s="223"/>
    </row>
    <row r="23" spans="2:18" ht="12.75" x14ac:dyDescent="0.25">
      <c r="B23" s="238">
        <v>19</v>
      </c>
      <c r="C23" s="228" t="s">
        <v>402</v>
      </c>
      <c r="D23" s="229">
        <f>HLOOKUP($D$6,resumen!$P$1:$AA$25,parameters!B23,0)</f>
        <v>4.8080940389216842E-4</v>
      </c>
      <c r="F23" s="238"/>
      <c r="G23" s="238">
        <v>26</v>
      </c>
      <c r="H23" s="221" t="s">
        <v>410</v>
      </c>
      <c r="I23" s="239" t="e">
        <f>HLOOKUP($D$6,resumen!$P$1:$AA$26,parameters!G23,0)</f>
        <v>#N/A</v>
      </c>
      <c r="R23" s="223"/>
    </row>
    <row r="24" spans="2:18" ht="12.75" x14ac:dyDescent="0.25">
      <c r="B24" s="238">
        <v>20</v>
      </c>
      <c r="C24" s="228" t="s">
        <v>403</v>
      </c>
      <c r="D24" s="229">
        <f>HLOOKUP($D$6,resumen!$P$1:$AA$25,parameters!B24,0)</f>
        <v>4.8080940389239046E-4</v>
      </c>
      <c r="F24" s="238"/>
      <c r="G24" s="238"/>
      <c r="H24" s="227"/>
      <c r="R24" s="223"/>
    </row>
    <row r="25" spans="2:18" ht="12.75" x14ac:dyDescent="0.25">
      <c r="B25" s="238"/>
      <c r="C25" s="228"/>
      <c r="D25" s="229"/>
      <c r="F25" s="238"/>
      <c r="G25" s="238"/>
      <c r="H25" s="234"/>
      <c r="I25" s="229"/>
    </row>
    <row r="26" spans="2:18" ht="12.75" x14ac:dyDescent="0.25">
      <c r="B26" s="238"/>
      <c r="C26" s="236" t="s">
        <v>35</v>
      </c>
      <c r="D26" s="229"/>
      <c r="F26" s="238"/>
      <c r="G26" s="238"/>
      <c r="H26" s="234"/>
      <c r="I26" s="229"/>
    </row>
    <row r="27" spans="2:18" ht="12.75" x14ac:dyDescent="0.25">
      <c r="B27" s="238">
        <v>21</v>
      </c>
      <c r="C27" s="232" t="s">
        <v>29</v>
      </c>
      <c r="D27" s="229">
        <f>HLOOKUP($D$6,resumen!$P$1:$AA$25,parameters!B27,0)</f>
        <v>0</v>
      </c>
      <c r="F27" s="238"/>
      <c r="G27" s="238"/>
      <c r="H27" s="234"/>
      <c r="I27" s="229"/>
    </row>
    <row r="28" spans="2:18" ht="12.75" x14ac:dyDescent="0.25">
      <c r="B28" s="238">
        <v>22</v>
      </c>
      <c r="C28" s="232" t="s">
        <v>31</v>
      </c>
      <c r="D28" s="229">
        <f>HLOOKUP($D$6,resumen!$P$1:$AA$25,parameters!B28,0)</f>
        <v>0</v>
      </c>
      <c r="F28" s="238"/>
      <c r="G28" s="238"/>
      <c r="H28" s="234"/>
      <c r="I28" s="229"/>
    </row>
    <row r="29" spans="2:18" ht="12.75" x14ac:dyDescent="0.25">
      <c r="B29" s="238">
        <v>23</v>
      </c>
      <c r="C29" s="232" t="s">
        <v>33</v>
      </c>
      <c r="D29" s="229">
        <f>HLOOKUP($D$6,resumen!$P$1:$AA$25,parameters!B29,0)</f>
        <v>0</v>
      </c>
      <c r="F29" s="238"/>
      <c r="G29" s="238"/>
      <c r="H29" s="234"/>
      <c r="I29" s="229"/>
    </row>
    <row r="30" spans="2:18" ht="12.75" x14ac:dyDescent="0.25">
      <c r="B30" s="238"/>
      <c r="C30" s="232"/>
      <c r="D30" s="229"/>
      <c r="F30" s="238"/>
      <c r="G30" s="238"/>
      <c r="H30" s="234"/>
      <c r="I30" s="229"/>
    </row>
    <row r="31" spans="2:18" ht="12.75" x14ac:dyDescent="0.25">
      <c r="B31" s="238"/>
      <c r="C31" s="237"/>
      <c r="D31" s="221"/>
      <c r="F31" s="238"/>
      <c r="G31" s="238"/>
      <c r="H31" s="227"/>
    </row>
    <row r="32" spans="2:18" ht="12.75" hidden="1" x14ac:dyDescent="0.25">
      <c r="B32" s="238">
        <v>2</v>
      </c>
      <c r="C32" s="228"/>
      <c r="D32" s="229"/>
      <c r="F32" s="238"/>
      <c r="G32" s="238"/>
      <c r="H32" s="234"/>
      <c r="I32" s="229"/>
    </row>
    <row r="33" spans="2:9" ht="13.5" hidden="1" customHeight="1" x14ac:dyDescent="0.25">
      <c r="B33" s="238">
        <v>3</v>
      </c>
      <c r="C33" s="228"/>
      <c r="D33" s="229"/>
      <c r="F33" s="238"/>
      <c r="G33" s="238"/>
      <c r="H33" s="234"/>
      <c r="I33" s="229"/>
    </row>
    <row r="34" spans="2:9" ht="12" hidden="1" customHeight="1" x14ac:dyDescent="0.25">
      <c r="B34" s="238">
        <v>4</v>
      </c>
      <c r="C34" s="228"/>
      <c r="D34" s="229"/>
      <c r="F34" s="238"/>
      <c r="G34" s="238"/>
      <c r="H34" s="234"/>
      <c r="I34" s="229"/>
    </row>
    <row r="35" spans="2:9" ht="12" hidden="1" customHeight="1" x14ac:dyDescent="0.25">
      <c r="B35" s="238">
        <v>5</v>
      </c>
      <c r="C35" s="228"/>
      <c r="D35" s="229"/>
      <c r="F35" s="238"/>
      <c r="G35" s="238"/>
      <c r="H35" s="234"/>
      <c r="I35" s="229"/>
    </row>
    <row r="36" spans="2:9" ht="12.6" hidden="1" customHeight="1" x14ac:dyDescent="0.25">
      <c r="B36" s="238">
        <v>6</v>
      </c>
      <c r="C36" s="228"/>
      <c r="D36" s="229"/>
      <c r="F36" s="238"/>
      <c r="G36" s="221"/>
      <c r="H36" s="234"/>
      <c r="I36" s="229"/>
    </row>
    <row r="37" spans="2:9" ht="12.6" hidden="1" customHeight="1" x14ac:dyDescent="0.25">
      <c r="B37" s="238">
        <v>7</v>
      </c>
      <c r="C37" s="228"/>
      <c r="D37" s="229"/>
      <c r="F37" s="238"/>
    </row>
    <row r="38" spans="2:9" ht="12.6" hidden="1" customHeight="1" x14ac:dyDescent="0.25">
      <c r="B38" s="238">
        <v>8</v>
      </c>
      <c r="C38" s="228"/>
      <c r="D38" s="229"/>
      <c r="F38" s="238"/>
    </row>
    <row r="39" spans="2:9" ht="12.6" hidden="1" customHeight="1" x14ac:dyDescent="0.25">
      <c r="B39" s="238"/>
      <c r="C39" s="228"/>
      <c r="D39" s="229"/>
    </row>
    <row r="40" spans="2:9" ht="11.1" hidden="1" customHeight="1" x14ac:dyDescent="0.25">
      <c r="D40" s="221"/>
    </row>
    <row r="41" spans="2:9" ht="12.75" hidden="1" x14ac:dyDescent="0.25">
      <c r="C41" s="224" t="s">
        <v>401</v>
      </c>
    </row>
    <row r="42" spans="2:9" ht="12.75" hidden="1" x14ac:dyDescent="0.25">
      <c r="C42" s="224" t="s">
        <v>152</v>
      </c>
    </row>
    <row r="43" spans="2:9" ht="12.75" hidden="1" x14ac:dyDescent="0.25">
      <c r="C43" s="224" t="s">
        <v>153</v>
      </c>
    </row>
    <row r="44" spans="2:9" ht="12.75" hidden="1" x14ac:dyDescent="0.25">
      <c r="C44" s="224" t="s">
        <v>402</v>
      </c>
    </row>
    <row r="45" spans="2:9" ht="12.75" hidden="1" x14ac:dyDescent="0.25">
      <c r="C45" s="225" t="s">
        <v>403</v>
      </c>
    </row>
    <row r="46" spans="2:9" ht="12.95" hidden="1" customHeight="1" x14ac:dyDescent="0.25"/>
    <row r="47" spans="2:9" ht="12.95" hidden="1" customHeight="1" x14ac:dyDescent="0.25"/>
    <row r="48" spans="2:9" ht="12.95" hidden="1" customHeight="1" x14ac:dyDescent="0.25"/>
    <row r="49" ht="12.95" hidden="1" customHeight="1" x14ac:dyDescent="0.25"/>
    <row r="50" ht="12.95" hidden="1" customHeight="1" x14ac:dyDescent="0.25"/>
    <row r="51" ht="12.95" hidden="1" customHeight="1" x14ac:dyDescent="0.25"/>
    <row r="52" ht="12.95" hidden="1" customHeight="1" x14ac:dyDescent="0.25"/>
    <row r="53" ht="12.95" hidden="1" customHeight="1" x14ac:dyDescent="0.25"/>
    <row r="54" ht="12.95" hidden="1" customHeight="1" x14ac:dyDescent="0.25"/>
    <row r="55" ht="12.95" hidden="1" customHeight="1" x14ac:dyDescent="0.25"/>
  </sheetData>
  <mergeCells count="4">
    <mergeCell ref="B2:J2"/>
    <mergeCell ref="B8:E8"/>
    <mergeCell ref="G17:J17"/>
    <mergeCell ref="H22:J22"/>
  </mergeCells>
  <dataValidations count="4">
    <dataValidation type="list" allowBlank="1" showInputMessage="1" showErrorMessage="1" sqref="D6" xr:uid="{F6140847-22B1-467F-871A-4B36596C58E3}">
      <formula1>$M$8:$M$19</formula1>
    </dataValidation>
    <dataValidation type="list" allowBlank="1" showInputMessage="1" showErrorMessage="1" sqref="I4" xr:uid="{05D0374F-2F53-4AE8-9616-1DDDA21B9D32}">
      <formula1>$P$4:$P$5</formula1>
    </dataValidation>
    <dataValidation type="list" allowBlank="1" showInputMessage="1" showErrorMessage="1" sqref="D4" xr:uid="{C515CF80-677D-48CA-8DBC-8DA4EF9F49BA}">
      <formula1>$L$4:$L$5</formula1>
    </dataValidation>
    <dataValidation type="list" allowBlank="1" showInputMessage="1" showErrorMessage="1" sqref="I6" xr:uid="{A8A4EA0A-0844-43F2-B0F1-FF4C863345EA}">
      <formula1>$N$4:$N$16</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82B16-4C5C-4650-AFD9-EF34FD7542C4}">
  <sheetPr codeName="Sheet32"/>
  <dimension ref="A1:AE37"/>
  <sheetViews>
    <sheetView workbookViewId="0">
      <selection activeCell="K37" sqref="K37"/>
    </sheetView>
  </sheetViews>
  <sheetFormatPr defaultColWidth="9.140625" defaultRowHeight="12.75" x14ac:dyDescent="0.2"/>
  <cols>
    <col min="1" max="1" width="24.5703125" style="262" bestFit="1" customWidth="1"/>
    <col min="2" max="6" width="14.140625" style="262" hidden="1" customWidth="1"/>
    <col min="7" max="7" width="12.140625" style="262" hidden="1" customWidth="1"/>
    <col min="8" max="8" width="14.5703125" style="262" hidden="1" customWidth="1"/>
    <col min="9" max="9" width="12.42578125" style="262" customWidth="1"/>
    <col min="10" max="11" width="12.5703125" style="262" bestFit="1" customWidth="1"/>
    <col min="12" max="12" width="12" style="262" bestFit="1" customWidth="1"/>
    <col min="13" max="14" width="12" style="262" customWidth="1"/>
    <col min="15" max="15" width="6" style="262" bestFit="1" customWidth="1"/>
    <col min="16" max="21" width="12" style="262" customWidth="1"/>
    <col min="22" max="27" width="12" style="262" bestFit="1" customWidth="1"/>
    <col min="28" max="28" width="9.140625" style="262"/>
    <col min="29" max="29" width="11.85546875" style="262" bestFit="1" customWidth="1"/>
    <col min="30" max="16384" width="9.140625" style="262"/>
  </cols>
  <sheetData>
    <row r="1" spans="1:31" ht="13.5" thickBot="1" x14ac:dyDescent="0.25">
      <c r="A1" s="67" t="s">
        <v>411</v>
      </c>
      <c r="B1" s="68">
        <v>2014</v>
      </c>
      <c r="C1" s="68">
        <v>2015</v>
      </c>
      <c r="D1" s="68">
        <v>2016</v>
      </c>
      <c r="E1" s="68">
        <v>2017</v>
      </c>
      <c r="F1" s="68">
        <v>2018</v>
      </c>
      <c r="G1" s="68">
        <v>2019</v>
      </c>
      <c r="H1" s="68">
        <v>2020</v>
      </c>
      <c r="I1" s="68">
        <v>2021</v>
      </c>
      <c r="J1" s="68">
        <v>2022</v>
      </c>
      <c r="K1" s="68">
        <v>2023</v>
      </c>
      <c r="L1" s="68">
        <v>2024</v>
      </c>
      <c r="M1" s="68">
        <v>2025</v>
      </c>
      <c r="N1" s="68">
        <v>2026</v>
      </c>
      <c r="O1" s="282"/>
      <c r="P1" s="289">
        <v>2015</v>
      </c>
      <c r="Q1" s="289">
        <v>2016</v>
      </c>
      <c r="R1" s="289">
        <v>2017</v>
      </c>
      <c r="S1" s="289">
        <v>2018</v>
      </c>
      <c r="T1" s="289">
        <v>2019</v>
      </c>
      <c r="U1" s="289">
        <v>2020</v>
      </c>
      <c r="V1" s="289">
        <v>2021</v>
      </c>
      <c r="W1" s="289">
        <v>2022</v>
      </c>
      <c r="X1" s="289">
        <v>2023</v>
      </c>
      <c r="Y1" s="289">
        <v>2024</v>
      </c>
      <c r="Z1" s="289">
        <v>2025</v>
      </c>
      <c r="AA1" s="289">
        <v>2026</v>
      </c>
      <c r="AB1" s="22"/>
      <c r="AC1" s="290" t="s">
        <v>136</v>
      </c>
      <c r="AD1" s="290">
        <f>'0. GUIDELINES'!E4</f>
        <v>2022</v>
      </c>
      <c r="AE1" s="291">
        <v>1</v>
      </c>
    </row>
    <row r="2" spans="1:31" x14ac:dyDescent="0.2">
      <c r="A2" s="224" t="s">
        <v>412</v>
      </c>
      <c r="B2" s="261" t="e">
        <f>'2.2 LABOR INCOME &amp; PRODUCTIVITY'!R20</f>
        <v>#N/A</v>
      </c>
      <c r="C2" s="261" t="e">
        <f>'2.2 LABOR INCOME &amp; PRODUCTIVITY'!S20</f>
        <v>#N/A</v>
      </c>
      <c r="D2" s="261" t="e">
        <f>'2.2 LABOR INCOME &amp; PRODUCTIVITY'!T20</f>
        <v>#N/A</v>
      </c>
      <c r="E2" s="261" t="e">
        <f>'2.2 LABOR INCOME &amp; PRODUCTIVITY'!U20</f>
        <v>#N/A</v>
      </c>
      <c r="F2" s="261" t="e">
        <f>'2.2 LABOR INCOME &amp; PRODUCTIVITY'!V20</f>
        <v>#N/A</v>
      </c>
      <c r="G2" s="261" t="e">
        <f>'2.2 LABOR INCOME &amp; PRODUCTIVITY'!W20</f>
        <v>#N/A</v>
      </c>
      <c r="H2" s="261" t="e">
        <f>'2.2 LABOR INCOME &amp; PRODUCTIVITY'!X20</f>
        <v>#N/A</v>
      </c>
      <c r="I2" s="261" t="e">
        <f>'2.2 LABOR INCOME &amp; PRODUCTIVITY'!Y20</f>
        <v>#N/A</v>
      </c>
      <c r="J2" s="261" t="e">
        <f>'2.2 LABOR INCOME &amp; PRODUCTIVITY'!Z20</f>
        <v>#N/A</v>
      </c>
      <c r="K2" s="261" t="e">
        <f>'2.2 LABOR INCOME &amp; PRODUCTIVITY'!AA20</f>
        <v>#N/A</v>
      </c>
      <c r="L2" s="261" t="e">
        <f>'2.2 LABOR INCOME &amp; PRODUCTIVITY'!AB20</f>
        <v>#N/A</v>
      </c>
      <c r="M2" s="261" t="e">
        <f>'2.2 LABOR INCOME &amp; PRODUCTIVITY'!AC20</f>
        <v>#N/A</v>
      </c>
      <c r="N2" s="261" t="e">
        <f>'2.2 LABOR INCOME &amp; PRODUCTIVITY'!AD20</f>
        <v>#N/A</v>
      </c>
      <c r="O2" s="283"/>
      <c r="P2" s="229" t="e">
        <f t="shared" ref="P2:P8" si="0">C2/$AC2-1</f>
        <v>#N/A</v>
      </c>
      <c r="Q2" s="229" t="e">
        <f t="shared" ref="Q2:Q8" si="1">D2/$AC2-1</f>
        <v>#N/A</v>
      </c>
      <c r="R2" s="229" t="e">
        <f t="shared" ref="R2:R8" si="2">E2/$AC2-1</f>
        <v>#N/A</v>
      </c>
      <c r="S2" s="229" t="e">
        <f t="shared" ref="S2:S8" si="3">F2/$AC2-1</f>
        <v>#N/A</v>
      </c>
      <c r="T2" s="229" t="e">
        <f t="shared" ref="T2:T8" si="4">G2/$AC2-1</f>
        <v>#N/A</v>
      </c>
      <c r="U2" s="229" t="e">
        <f t="shared" ref="U2:U8" si="5">H2/$AC2-1</f>
        <v>#N/A</v>
      </c>
      <c r="V2" s="229" t="e">
        <f t="shared" ref="V2:V8" si="6">I2/$AC2-1</f>
        <v>#N/A</v>
      </c>
      <c r="W2" s="229" t="e">
        <f t="shared" ref="W2:W8" si="7">J2/$AC2-1</f>
        <v>#N/A</v>
      </c>
      <c r="X2" s="229" t="e">
        <f t="shared" ref="X2:X8" si="8">K2/$AC2-1</f>
        <v>#N/A</v>
      </c>
      <c r="Y2" s="229" t="e">
        <f t="shared" ref="Y2:Y8" si="9">L2/$AC2-1</f>
        <v>#N/A</v>
      </c>
      <c r="Z2" s="229" t="e">
        <f t="shared" ref="Z2:Z8" si="10">M2/$AC2-1</f>
        <v>#N/A</v>
      </c>
      <c r="AA2" s="229" t="e">
        <f t="shared" ref="AA2:AA8" si="11">N2/$AC2-1</f>
        <v>#N/A</v>
      </c>
      <c r="AC2" s="261" t="e">
        <f>HLOOKUP($AD$1,B:N, $AE2, 0)</f>
        <v>#N/A</v>
      </c>
      <c r="AE2" s="291">
        <v>2</v>
      </c>
    </row>
    <row r="3" spans="1:31" x14ac:dyDescent="0.2">
      <c r="A3" s="224" t="s">
        <v>413</v>
      </c>
      <c r="B3" s="261" t="e">
        <f>'2.2 LABOR INCOME &amp; PRODUCTIVITY'!R21</f>
        <v>#N/A</v>
      </c>
      <c r="C3" s="261" t="e">
        <f>'2.2 LABOR INCOME &amp; PRODUCTIVITY'!S21</f>
        <v>#N/A</v>
      </c>
      <c r="D3" s="261" t="e">
        <f>'2.2 LABOR INCOME &amp; PRODUCTIVITY'!T21</f>
        <v>#N/A</v>
      </c>
      <c r="E3" s="261" t="e">
        <f>'2.2 LABOR INCOME &amp; PRODUCTIVITY'!U21</f>
        <v>#N/A</v>
      </c>
      <c r="F3" s="261" t="e">
        <f>'2.2 LABOR INCOME &amp; PRODUCTIVITY'!V21</f>
        <v>#N/A</v>
      </c>
      <c r="G3" s="261" t="e">
        <f>'2.2 LABOR INCOME &amp; PRODUCTIVITY'!W21</f>
        <v>#N/A</v>
      </c>
      <c r="H3" s="261" t="e">
        <f>'2.2 LABOR INCOME &amp; PRODUCTIVITY'!X21</f>
        <v>#N/A</v>
      </c>
      <c r="I3" s="261" t="e">
        <f>'2.2 LABOR INCOME &amp; PRODUCTIVITY'!Y21</f>
        <v>#N/A</v>
      </c>
      <c r="J3" s="261" t="e">
        <f>'2.2 LABOR INCOME &amp; PRODUCTIVITY'!Z21</f>
        <v>#N/A</v>
      </c>
      <c r="K3" s="261" t="e">
        <f>'2.2 LABOR INCOME &amp; PRODUCTIVITY'!AA21</f>
        <v>#N/A</v>
      </c>
      <c r="L3" s="261" t="e">
        <f>'2.2 LABOR INCOME &amp; PRODUCTIVITY'!AB21</f>
        <v>#N/A</v>
      </c>
      <c r="M3" s="261" t="e">
        <f>'2.2 LABOR INCOME &amp; PRODUCTIVITY'!AC21</f>
        <v>#N/A</v>
      </c>
      <c r="N3" s="261" t="e">
        <f>'2.2 LABOR INCOME &amp; PRODUCTIVITY'!AD21</f>
        <v>#N/A</v>
      </c>
      <c r="O3" s="283"/>
      <c r="P3" s="229" t="e">
        <f t="shared" si="0"/>
        <v>#N/A</v>
      </c>
      <c r="Q3" s="229" t="e">
        <f t="shared" si="1"/>
        <v>#N/A</v>
      </c>
      <c r="R3" s="229" t="e">
        <f t="shared" si="2"/>
        <v>#N/A</v>
      </c>
      <c r="S3" s="229" t="e">
        <f t="shared" si="3"/>
        <v>#N/A</v>
      </c>
      <c r="T3" s="229" t="e">
        <f t="shared" si="4"/>
        <v>#N/A</v>
      </c>
      <c r="U3" s="229" t="e">
        <f t="shared" si="5"/>
        <v>#N/A</v>
      </c>
      <c r="V3" s="229" t="e">
        <f t="shared" si="6"/>
        <v>#N/A</v>
      </c>
      <c r="W3" s="229" t="e">
        <f t="shared" si="7"/>
        <v>#N/A</v>
      </c>
      <c r="X3" s="229" t="e">
        <f t="shared" si="8"/>
        <v>#N/A</v>
      </c>
      <c r="Y3" s="229" t="e">
        <f t="shared" si="9"/>
        <v>#N/A</v>
      </c>
      <c r="Z3" s="229" t="e">
        <f t="shared" si="10"/>
        <v>#N/A</v>
      </c>
      <c r="AA3" s="229" t="e">
        <f t="shared" si="11"/>
        <v>#N/A</v>
      </c>
      <c r="AC3" s="261" t="e">
        <f t="shared" ref="AC3:AC25" si="12">HLOOKUP($AD$1,B:N, $AE3, 0)</f>
        <v>#N/A</v>
      </c>
      <c r="AE3" s="291">
        <v>3</v>
      </c>
    </row>
    <row r="4" spans="1:31" x14ac:dyDescent="0.2">
      <c r="A4" s="224" t="s">
        <v>414</v>
      </c>
      <c r="B4" s="261" t="e">
        <f>'2.2 LABOR INCOME &amp; PRODUCTIVITY'!R22</f>
        <v>#N/A</v>
      </c>
      <c r="C4" s="261" t="e">
        <f>'2.2 LABOR INCOME &amp; PRODUCTIVITY'!S22</f>
        <v>#N/A</v>
      </c>
      <c r="D4" s="261" t="e">
        <f>'2.2 LABOR INCOME &amp; PRODUCTIVITY'!T22</f>
        <v>#N/A</v>
      </c>
      <c r="E4" s="261" t="e">
        <f>'2.2 LABOR INCOME &amp; PRODUCTIVITY'!U22</f>
        <v>#N/A</v>
      </c>
      <c r="F4" s="261" t="e">
        <f>'2.2 LABOR INCOME &amp; PRODUCTIVITY'!V22</f>
        <v>#N/A</v>
      </c>
      <c r="G4" s="261" t="e">
        <f>'2.2 LABOR INCOME &amp; PRODUCTIVITY'!W22</f>
        <v>#N/A</v>
      </c>
      <c r="H4" s="261" t="e">
        <f>'2.2 LABOR INCOME &amp; PRODUCTIVITY'!X22</f>
        <v>#N/A</v>
      </c>
      <c r="I4" s="261" t="e">
        <f>'2.2 LABOR INCOME &amp; PRODUCTIVITY'!Y22</f>
        <v>#N/A</v>
      </c>
      <c r="J4" s="261" t="e">
        <f>'2.2 LABOR INCOME &amp; PRODUCTIVITY'!Z22</f>
        <v>#N/A</v>
      </c>
      <c r="K4" s="261" t="e">
        <f>'2.2 LABOR INCOME &amp; PRODUCTIVITY'!AA22</f>
        <v>#N/A</v>
      </c>
      <c r="L4" s="261" t="e">
        <f>'2.2 LABOR INCOME &amp; PRODUCTIVITY'!AB22</f>
        <v>#N/A</v>
      </c>
      <c r="M4" s="261" t="e">
        <f>'2.2 LABOR INCOME &amp; PRODUCTIVITY'!AC22</f>
        <v>#N/A</v>
      </c>
      <c r="N4" s="261" t="e">
        <f>'2.2 LABOR INCOME &amp; PRODUCTIVITY'!AD22</f>
        <v>#N/A</v>
      </c>
      <c r="O4" s="283"/>
      <c r="P4" s="229" t="e">
        <f t="shared" si="0"/>
        <v>#N/A</v>
      </c>
      <c r="Q4" s="229" t="e">
        <f t="shared" si="1"/>
        <v>#N/A</v>
      </c>
      <c r="R4" s="229" t="e">
        <f t="shared" si="2"/>
        <v>#N/A</v>
      </c>
      <c r="S4" s="229" t="e">
        <f t="shared" si="3"/>
        <v>#N/A</v>
      </c>
      <c r="T4" s="229" t="e">
        <f t="shared" si="4"/>
        <v>#N/A</v>
      </c>
      <c r="U4" s="229" t="e">
        <f t="shared" si="5"/>
        <v>#N/A</v>
      </c>
      <c r="V4" s="229" t="e">
        <f t="shared" si="6"/>
        <v>#N/A</v>
      </c>
      <c r="W4" s="229" t="e">
        <f t="shared" si="7"/>
        <v>#N/A</v>
      </c>
      <c r="X4" s="229" t="e">
        <f t="shared" si="8"/>
        <v>#N/A</v>
      </c>
      <c r="Y4" s="229" t="e">
        <f t="shared" si="9"/>
        <v>#N/A</v>
      </c>
      <c r="Z4" s="229" t="e">
        <f t="shared" si="10"/>
        <v>#N/A</v>
      </c>
      <c r="AA4" s="229" t="e">
        <f t="shared" si="11"/>
        <v>#N/A</v>
      </c>
      <c r="AC4" s="261" t="e">
        <f t="shared" si="12"/>
        <v>#N/A</v>
      </c>
      <c r="AE4" s="291">
        <v>4</v>
      </c>
    </row>
    <row r="5" spans="1:31" x14ac:dyDescent="0.2">
      <c r="A5" s="224" t="s">
        <v>415</v>
      </c>
      <c r="B5" s="261" t="e">
        <f>'2.2 LABOR INCOME &amp; PRODUCTIVITY'!R23</f>
        <v>#N/A</v>
      </c>
      <c r="C5" s="261" t="e">
        <f>'2.2 LABOR INCOME &amp; PRODUCTIVITY'!S23</f>
        <v>#N/A</v>
      </c>
      <c r="D5" s="261" t="e">
        <f>'2.2 LABOR INCOME &amp; PRODUCTIVITY'!T23</f>
        <v>#N/A</v>
      </c>
      <c r="E5" s="261" t="e">
        <f>'2.2 LABOR INCOME &amp; PRODUCTIVITY'!U23</f>
        <v>#N/A</v>
      </c>
      <c r="F5" s="261" t="e">
        <f>'2.2 LABOR INCOME &amp; PRODUCTIVITY'!V23</f>
        <v>#N/A</v>
      </c>
      <c r="G5" s="261" t="e">
        <f>'2.2 LABOR INCOME &amp; PRODUCTIVITY'!W23</f>
        <v>#N/A</v>
      </c>
      <c r="H5" s="261" t="e">
        <f>'2.2 LABOR INCOME &amp; PRODUCTIVITY'!X23</f>
        <v>#N/A</v>
      </c>
      <c r="I5" s="261" t="e">
        <f>'2.2 LABOR INCOME &amp; PRODUCTIVITY'!Y23</f>
        <v>#N/A</v>
      </c>
      <c r="J5" s="261" t="e">
        <f>'2.2 LABOR INCOME &amp; PRODUCTIVITY'!Z23</f>
        <v>#N/A</v>
      </c>
      <c r="K5" s="261" t="e">
        <f>'2.2 LABOR INCOME &amp; PRODUCTIVITY'!AA23</f>
        <v>#N/A</v>
      </c>
      <c r="L5" s="261" t="e">
        <f>'2.2 LABOR INCOME &amp; PRODUCTIVITY'!AB23</f>
        <v>#N/A</v>
      </c>
      <c r="M5" s="261" t="e">
        <f>'2.2 LABOR INCOME &amp; PRODUCTIVITY'!AC23</f>
        <v>#N/A</v>
      </c>
      <c r="N5" s="261" t="e">
        <f>'2.2 LABOR INCOME &amp; PRODUCTIVITY'!AD23</f>
        <v>#N/A</v>
      </c>
      <c r="O5" s="283"/>
      <c r="P5" s="229" t="e">
        <f t="shared" si="0"/>
        <v>#N/A</v>
      </c>
      <c r="Q5" s="229" t="e">
        <f t="shared" si="1"/>
        <v>#N/A</v>
      </c>
      <c r="R5" s="229" t="e">
        <f t="shared" si="2"/>
        <v>#N/A</v>
      </c>
      <c r="S5" s="229" t="e">
        <f t="shared" si="3"/>
        <v>#N/A</v>
      </c>
      <c r="T5" s="229" t="e">
        <f t="shared" si="4"/>
        <v>#N/A</v>
      </c>
      <c r="U5" s="229" t="e">
        <f t="shared" si="5"/>
        <v>#N/A</v>
      </c>
      <c r="V5" s="229" t="e">
        <f t="shared" si="6"/>
        <v>#N/A</v>
      </c>
      <c r="W5" s="229" t="e">
        <f t="shared" si="7"/>
        <v>#N/A</v>
      </c>
      <c r="X5" s="229" t="e">
        <f t="shared" si="8"/>
        <v>#N/A</v>
      </c>
      <c r="Y5" s="229" t="e">
        <f t="shared" si="9"/>
        <v>#N/A</v>
      </c>
      <c r="Z5" s="229" t="e">
        <f t="shared" si="10"/>
        <v>#N/A</v>
      </c>
      <c r="AA5" s="229" t="e">
        <f t="shared" si="11"/>
        <v>#N/A</v>
      </c>
      <c r="AC5" s="261" t="e">
        <f t="shared" si="12"/>
        <v>#N/A</v>
      </c>
      <c r="AE5" s="291">
        <v>5</v>
      </c>
    </row>
    <row r="6" spans="1:31" x14ac:dyDescent="0.2">
      <c r="A6" s="224" t="s">
        <v>416</v>
      </c>
      <c r="B6" s="261" t="e">
        <f>'2.2 LABOR INCOME &amp; PRODUCTIVITY'!R24</f>
        <v>#N/A</v>
      </c>
      <c r="C6" s="261" t="e">
        <f>'2.2 LABOR INCOME &amp; PRODUCTIVITY'!S24</f>
        <v>#N/A</v>
      </c>
      <c r="D6" s="261" t="e">
        <f>'2.2 LABOR INCOME &amp; PRODUCTIVITY'!T24</f>
        <v>#N/A</v>
      </c>
      <c r="E6" s="261" t="e">
        <f>'2.2 LABOR INCOME &amp; PRODUCTIVITY'!U24</f>
        <v>#N/A</v>
      </c>
      <c r="F6" s="261" t="e">
        <f>'2.2 LABOR INCOME &amp; PRODUCTIVITY'!V24</f>
        <v>#N/A</v>
      </c>
      <c r="G6" s="261" t="e">
        <f>'2.2 LABOR INCOME &amp; PRODUCTIVITY'!W24</f>
        <v>#N/A</v>
      </c>
      <c r="H6" s="261" t="e">
        <f>'2.2 LABOR INCOME &amp; PRODUCTIVITY'!X24</f>
        <v>#N/A</v>
      </c>
      <c r="I6" s="261" t="e">
        <f>'2.2 LABOR INCOME &amp; PRODUCTIVITY'!Y24</f>
        <v>#N/A</v>
      </c>
      <c r="J6" s="261" t="e">
        <f>'2.2 LABOR INCOME &amp; PRODUCTIVITY'!Z24</f>
        <v>#N/A</v>
      </c>
      <c r="K6" s="261" t="e">
        <f>'2.2 LABOR INCOME &amp; PRODUCTIVITY'!AA24</f>
        <v>#N/A</v>
      </c>
      <c r="L6" s="261" t="e">
        <f>'2.2 LABOR INCOME &amp; PRODUCTIVITY'!AB24</f>
        <v>#N/A</v>
      </c>
      <c r="M6" s="261" t="e">
        <f>'2.2 LABOR INCOME &amp; PRODUCTIVITY'!AC24</f>
        <v>#N/A</v>
      </c>
      <c r="N6" s="261" t="e">
        <f>'2.2 LABOR INCOME &amp; PRODUCTIVITY'!AD24</f>
        <v>#N/A</v>
      </c>
      <c r="O6" s="283"/>
      <c r="P6" s="229" t="e">
        <f t="shared" si="0"/>
        <v>#N/A</v>
      </c>
      <c r="Q6" s="229" t="e">
        <f t="shared" si="1"/>
        <v>#N/A</v>
      </c>
      <c r="R6" s="229" t="e">
        <f t="shared" si="2"/>
        <v>#N/A</v>
      </c>
      <c r="S6" s="229" t="e">
        <f t="shared" si="3"/>
        <v>#N/A</v>
      </c>
      <c r="T6" s="229" t="e">
        <f t="shared" si="4"/>
        <v>#N/A</v>
      </c>
      <c r="U6" s="229" t="e">
        <f t="shared" si="5"/>
        <v>#N/A</v>
      </c>
      <c r="V6" s="229" t="e">
        <f t="shared" si="6"/>
        <v>#N/A</v>
      </c>
      <c r="W6" s="229" t="e">
        <f t="shared" si="7"/>
        <v>#N/A</v>
      </c>
      <c r="X6" s="229" t="e">
        <f t="shared" si="8"/>
        <v>#N/A</v>
      </c>
      <c r="Y6" s="229" t="e">
        <f t="shared" si="9"/>
        <v>#N/A</v>
      </c>
      <c r="Z6" s="229" t="e">
        <f t="shared" si="10"/>
        <v>#N/A</v>
      </c>
      <c r="AA6" s="229" t="e">
        <f t="shared" si="11"/>
        <v>#N/A</v>
      </c>
      <c r="AC6" s="261" t="e">
        <f t="shared" si="12"/>
        <v>#N/A</v>
      </c>
      <c r="AE6" s="291">
        <v>6</v>
      </c>
    </row>
    <row r="7" spans="1:31" x14ac:dyDescent="0.2">
      <c r="A7" s="224" t="s">
        <v>417</v>
      </c>
      <c r="B7" s="261" t="e">
        <f>'2.2 LABOR INCOME &amp; PRODUCTIVITY'!R25</f>
        <v>#N/A</v>
      </c>
      <c r="C7" s="261" t="e">
        <f>'2.2 LABOR INCOME &amp; PRODUCTIVITY'!S25</f>
        <v>#N/A</v>
      </c>
      <c r="D7" s="261" t="e">
        <f>'2.2 LABOR INCOME &amp; PRODUCTIVITY'!T25</f>
        <v>#N/A</v>
      </c>
      <c r="E7" s="261" t="e">
        <f>'2.2 LABOR INCOME &amp; PRODUCTIVITY'!U25</f>
        <v>#N/A</v>
      </c>
      <c r="F7" s="261" t="e">
        <f>'2.2 LABOR INCOME &amp; PRODUCTIVITY'!V25</f>
        <v>#N/A</v>
      </c>
      <c r="G7" s="261" t="e">
        <f>'2.2 LABOR INCOME &amp; PRODUCTIVITY'!W25</f>
        <v>#N/A</v>
      </c>
      <c r="H7" s="261" t="e">
        <f>'2.2 LABOR INCOME &amp; PRODUCTIVITY'!X25</f>
        <v>#N/A</v>
      </c>
      <c r="I7" s="261" t="e">
        <f>'2.2 LABOR INCOME &amp; PRODUCTIVITY'!Y25</f>
        <v>#N/A</v>
      </c>
      <c r="J7" s="261" t="e">
        <f>'2.2 LABOR INCOME &amp; PRODUCTIVITY'!Z25</f>
        <v>#N/A</v>
      </c>
      <c r="K7" s="261" t="e">
        <f>'2.2 LABOR INCOME &amp; PRODUCTIVITY'!AA25</f>
        <v>#N/A</v>
      </c>
      <c r="L7" s="261" t="e">
        <f>'2.2 LABOR INCOME &amp; PRODUCTIVITY'!AB25</f>
        <v>#N/A</v>
      </c>
      <c r="M7" s="261" t="e">
        <f>'2.2 LABOR INCOME &amp; PRODUCTIVITY'!AC25</f>
        <v>#N/A</v>
      </c>
      <c r="N7" s="261" t="e">
        <f>'2.2 LABOR INCOME &amp; PRODUCTIVITY'!AD25</f>
        <v>#N/A</v>
      </c>
      <c r="O7" s="283"/>
      <c r="P7" s="229" t="e">
        <f t="shared" si="0"/>
        <v>#N/A</v>
      </c>
      <c r="Q7" s="229" t="e">
        <f t="shared" si="1"/>
        <v>#N/A</v>
      </c>
      <c r="R7" s="229" t="e">
        <f t="shared" si="2"/>
        <v>#N/A</v>
      </c>
      <c r="S7" s="229" t="e">
        <f t="shared" si="3"/>
        <v>#N/A</v>
      </c>
      <c r="T7" s="229" t="e">
        <f t="shared" si="4"/>
        <v>#N/A</v>
      </c>
      <c r="U7" s="229" t="e">
        <f t="shared" si="5"/>
        <v>#N/A</v>
      </c>
      <c r="V7" s="229" t="e">
        <f t="shared" si="6"/>
        <v>#N/A</v>
      </c>
      <c r="W7" s="229" t="e">
        <f t="shared" si="7"/>
        <v>#N/A</v>
      </c>
      <c r="X7" s="229" t="e">
        <f t="shared" si="8"/>
        <v>#N/A</v>
      </c>
      <c r="Y7" s="229" t="e">
        <f t="shared" si="9"/>
        <v>#N/A</v>
      </c>
      <c r="Z7" s="229" t="e">
        <f t="shared" si="10"/>
        <v>#N/A</v>
      </c>
      <c r="AA7" s="229" t="e">
        <f t="shared" si="11"/>
        <v>#N/A</v>
      </c>
      <c r="AC7" s="261" t="e">
        <f t="shared" si="12"/>
        <v>#N/A</v>
      </c>
      <c r="AE7" s="291">
        <v>7</v>
      </c>
    </row>
    <row r="8" spans="1:31" ht="13.5" thickBot="1" x14ac:dyDescent="0.25">
      <c r="A8" s="263" t="s">
        <v>418</v>
      </c>
      <c r="B8" s="264" t="e">
        <f>'2.2 LABOR INCOME &amp; PRODUCTIVITY'!R26</f>
        <v>#N/A</v>
      </c>
      <c r="C8" s="264" t="e">
        <f>'2.2 LABOR INCOME &amp; PRODUCTIVITY'!S26</f>
        <v>#N/A</v>
      </c>
      <c r="D8" s="264" t="e">
        <f>'2.2 LABOR INCOME &amp; PRODUCTIVITY'!T26</f>
        <v>#N/A</v>
      </c>
      <c r="E8" s="264" t="e">
        <f>'2.2 LABOR INCOME &amp; PRODUCTIVITY'!U26</f>
        <v>#N/A</v>
      </c>
      <c r="F8" s="264" t="e">
        <f>'2.2 LABOR INCOME &amp; PRODUCTIVITY'!V26</f>
        <v>#N/A</v>
      </c>
      <c r="G8" s="264" t="e">
        <f>'2.2 LABOR INCOME &amp; PRODUCTIVITY'!W26</f>
        <v>#N/A</v>
      </c>
      <c r="H8" s="264" t="e">
        <f>'2.2 LABOR INCOME &amp; PRODUCTIVITY'!X26</f>
        <v>#N/A</v>
      </c>
      <c r="I8" s="264" t="e">
        <f>'2.2 LABOR INCOME &amp; PRODUCTIVITY'!Y26</f>
        <v>#N/A</v>
      </c>
      <c r="J8" s="264" t="e">
        <f>'2.2 LABOR INCOME &amp; PRODUCTIVITY'!Z26</f>
        <v>#N/A</v>
      </c>
      <c r="K8" s="264" t="e">
        <f>'2.2 LABOR INCOME &amp; PRODUCTIVITY'!AA26</f>
        <v>#N/A</v>
      </c>
      <c r="L8" s="264" t="e">
        <f>'2.2 LABOR INCOME &amp; PRODUCTIVITY'!AB26</f>
        <v>#N/A</v>
      </c>
      <c r="M8" s="264" t="e">
        <f>'2.2 LABOR INCOME &amp; PRODUCTIVITY'!AC26</f>
        <v>#N/A</v>
      </c>
      <c r="N8" s="264" t="e">
        <f>'2.2 LABOR INCOME &amp; PRODUCTIVITY'!AD26</f>
        <v>#N/A</v>
      </c>
      <c r="O8" s="284"/>
      <c r="P8" s="269" t="e">
        <f t="shared" si="0"/>
        <v>#N/A</v>
      </c>
      <c r="Q8" s="269" t="e">
        <f t="shared" si="1"/>
        <v>#N/A</v>
      </c>
      <c r="R8" s="269" t="e">
        <f t="shared" si="2"/>
        <v>#N/A</v>
      </c>
      <c r="S8" s="269" t="e">
        <f t="shared" si="3"/>
        <v>#N/A</v>
      </c>
      <c r="T8" s="269" t="e">
        <f t="shared" si="4"/>
        <v>#N/A</v>
      </c>
      <c r="U8" s="269" t="e">
        <f t="shared" si="5"/>
        <v>#N/A</v>
      </c>
      <c r="V8" s="269" t="e">
        <f t="shared" si="6"/>
        <v>#N/A</v>
      </c>
      <c r="W8" s="269" t="e">
        <f t="shared" si="7"/>
        <v>#N/A</v>
      </c>
      <c r="X8" s="269" t="e">
        <f t="shared" si="8"/>
        <v>#N/A</v>
      </c>
      <c r="Y8" s="269" t="e">
        <f t="shared" si="9"/>
        <v>#N/A</v>
      </c>
      <c r="Z8" s="269" t="e">
        <f t="shared" si="10"/>
        <v>#N/A</v>
      </c>
      <c r="AA8" s="269" t="e">
        <f t="shared" si="11"/>
        <v>#N/A</v>
      </c>
      <c r="AC8" s="264" t="e">
        <f t="shared" si="12"/>
        <v>#N/A</v>
      </c>
      <c r="AE8" s="291">
        <v>8</v>
      </c>
    </row>
    <row r="9" spans="1:31" ht="13.5" thickTop="1" x14ac:dyDescent="0.2">
      <c r="A9" s="265" t="s">
        <v>125</v>
      </c>
      <c r="B9" s="266">
        <f>'1. GDP'!Q9</f>
        <v>2871706.5</v>
      </c>
      <c r="C9" s="266">
        <f>'1. GDP'!R9</f>
        <v>2967288</v>
      </c>
      <c r="D9" s="266">
        <f>'1. GDP'!S9</f>
        <v>2795050</v>
      </c>
      <c r="E9" s="266">
        <f>'1. GDP'!T9</f>
        <v>2884380</v>
      </c>
      <c r="F9" s="266">
        <f>'1. GDP'!U9</f>
        <v>2986618</v>
      </c>
      <c r="G9" s="266">
        <f>'1. GDP'!V9</f>
        <v>3083999</v>
      </c>
      <c r="H9" s="266">
        <f>'1. GDP'!W9</f>
        <v>3189501</v>
      </c>
      <c r="I9" s="266">
        <f>'1. GDP'!X9</f>
        <v>3290753</v>
      </c>
      <c r="J9" s="266">
        <f>'1. GDP'!Y9</f>
        <v>3391252</v>
      </c>
      <c r="K9" s="266">
        <f>'1. GDP'!Z9</f>
        <v>3505586</v>
      </c>
      <c r="L9" s="266">
        <f>'1. GDP'!AA9</f>
        <v>3614259.25</v>
      </c>
      <c r="M9" s="266">
        <f>'1. GDP'!AB9</f>
        <v>3726301.25</v>
      </c>
      <c r="N9" s="266">
        <f>'1. GDP'!AC9</f>
        <v>3845542.75</v>
      </c>
      <c r="O9" s="285"/>
      <c r="P9" s="229">
        <f t="shared" ref="P9:P25" si="13">+C9/$AC9-1</f>
        <v>-0.12501695538992674</v>
      </c>
      <c r="Q9" s="229">
        <f t="shared" ref="Q9:Q25" si="14">+D9/$AC9-1</f>
        <v>-0.17580586756749428</v>
      </c>
      <c r="R9" s="229">
        <f t="shared" ref="R9:R25" si="15">+E9/$AC9-1</f>
        <v>-0.14946456352992932</v>
      </c>
      <c r="S9" s="229">
        <f t="shared" ref="S9:S25" si="16">+F9/$AC9-1</f>
        <v>-0.11931699561106046</v>
      </c>
      <c r="T9" s="229">
        <f t="shared" ref="T9:T25" si="17">+G9/$AC9-1</f>
        <v>-9.0601642107398739E-2</v>
      </c>
      <c r="U9" s="229">
        <f t="shared" ref="U9:U25" si="18">+H9/$AC9-1</f>
        <v>-5.9491597793381312E-2</v>
      </c>
      <c r="V9" s="229">
        <f t="shared" ref="V9:V25" si="19">+I9/$AC9-1</f>
        <v>-2.9634777952213476E-2</v>
      </c>
      <c r="W9" s="229">
        <f t="shared" ref="W9:W25" si="20">+J9/$AC9-1</f>
        <v>0</v>
      </c>
      <c r="X9" s="229">
        <f t="shared" ref="X9:X25" si="21">+K9/$AC9-1</f>
        <v>3.371439220677197E-2</v>
      </c>
      <c r="Y9" s="229">
        <f t="shared" ref="Y9:Y25" si="22">+L9/$AC9-1</f>
        <v>6.575956313479514E-2</v>
      </c>
      <c r="Z9" s="229">
        <f t="shared" ref="Z9:Z25" si="23">+M9/$AC9-1</f>
        <v>9.8798098755267905E-2</v>
      </c>
      <c r="AA9" s="229">
        <f t="shared" ref="AA9:AA24" si="24">+N9/$AC9-1</f>
        <v>0.13395959663274803</v>
      </c>
      <c r="AC9" s="266">
        <f t="shared" si="12"/>
        <v>3391252</v>
      </c>
      <c r="AE9" s="291">
        <v>9</v>
      </c>
    </row>
    <row r="10" spans="1:31" x14ac:dyDescent="0.2">
      <c r="A10" s="265" t="s">
        <v>126</v>
      </c>
      <c r="B10" s="266">
        <f>'1. GDP'!Q10</f>
        <v>5144418</v>
      </c>
      <c r="C10" s="266">
        <f>'1. GDP'!R10</f>
        <v>5641724</v>
      </c>
      <c r="D10" s="266">
        <f>'1. GDP'!S10</f>
        <v>6449400</v>
      </c>
      <c r="E10" s="266">
        <f>'1. GDP'!T10</f>
        <v>6982905</v>
      </c>
      <c r="F10" s="266">
        <f>'1. GDP'!U10</f>
        <v>7694869</v>
      </c>
      <c r="G10" s="266">
        <f>'1. GDP'!V10</f>
        <v>8590038</v>
      </c>
      <c r="H10" s="266">
        <f>'1. GDP'!W10</f>
        <v>8900232</v>
      </c>
      <c r="I10" s="266">
        <f>'1. GDP'!X10</f>
        <v>9815808</v>
      </c>
      <c r="J10" s="266">
        <f>'1. GDP'!Y10</f>
        <v>10783223</v>
      </c>
      <c r="K10" s="266">
        <f>'1. GDP'!Z10</f>
        <v>11685491</v>
      </c>
      <c r="L10" s="266">
        <f>'1. GDP'!AA10</f>
        <v>12456733</v>
      </c>
      <c r="M10" s="266">
        <f>'1. GDP'!AB10</f>
        <v>13353618</v>
      </c>
      <c r="N10" s="266">
        <f>'1. GDP'!AC10</f>
        <v>14261664</v>
      </c>
      <c r="O10" s="285"/>
      <c r="P10" s="229">
        <f t="shared" si="13"/>
        <v>-0.47680540409857053</v>
      </c>
      <c r="Q10" s="229">
        <f t="shared" si="14"/>
        <v>-0.40190423586714286</v>
      </c>
      <c r="R10" s="229">
        <f t="shared" si="15"/>
        <v>-0.35242876828198766</v>
      </c>
      <c r="S10" s="229">
        <f t="shared" si="16"/>
        <v>-0.28640361049752938</v>
      </c>
      <c r="T10" s="229">
        <f t="shared" si="17"/>
        <v>-0.20338863436284305</v>
      </c>
      <c r="U10" s="229">
        <f t="shared" si="18"/>
        <v>-0.17462228129753044</v>
      </c>
      <c r="V10" s="229">
        <f t="shared" si="19"/>
        <v>-8.9714828303189109E-2</v>
      </c>
      <c r="W10" s="229">
        <f t="shared" si="20"/>
        <v>0</v>
      </c>
      <c r="X10" s="229">
        <f t="shared" si="21"/>
        <v>8.367331362803121E-2</v>
      </c>
      <c r="Y10" s="229">
        <f t="shared" si="22"/>
        <v>0.15519571467640048</v>
      </c>
      <c r="Z10" s="229">
        <f t="shared" si="23"/>
        <v>0.23836982690611141</v>
      </c>
      <c r="AA10" s="229">
        <f t="shared" si="24"/>
        <v>0.32257897291004745</v>
      </c>
      <c r="AC10" s="266">
        <f t="shared" si="12"/>
        <v>10783223</v>
      </c>
      <c r="AE10" s="291">
        <v>10</v>
      </c>
    </row>
    <row r="11" spans="1:31" x14ac:dyDescent="0.2">
      <c r="A11" s="265" t="s">
        <v>127</v>
      </c>
      <c r="B11" s="266">
        <f>'1. GDP'!Q32</f>
        <v>0</v>
      </c>
      <c r="C11" s="266">
        <f>'1. GDP'!R32</f>
        <v>0</v>
      </c>
      <c r="D11" s="266">
        <f>'1. GDP'!S32</f>
        <v>0</v>
      </c>
      <c r="E11" s="266">
        <f>'1. GDP'!T32</f>
        <v>0</v>
      </c>
      <c r="F11" s="266">
        <f>'1. GDP'!U32</f>
        <v>0</v>
      </c>
      <c r="G11" s="266">
        <f>'1. GDP'!V32</f>
        <v>0</v>
      </c>
      <c r="H11" s="266">
        <f>'1. GDP'!W32</f>
        <v>0</v>
      </c>
      <c r="I11" s="266">
        <f>'1. GDP'!X32</f>
        <v>0</v>
      </c>
      <c r="J11" s="266">
        <f>'1. GDP'!Y32</f>
        <v>0</v>
      </c>
      <c r="K11" s="266">
        <f>'1. GDP'!Z32</f>
        <v>0</v>
      </c>
      <c r="L11" s="266">
        <f>'1. GDP'!AA32</f>
        <v>0</v>
      </c>
      <c r="M11" s="266">
        <f>'1. GDP'!AB32</f>
        <v>0</v>
      </c>
      <c r="N11" s="266">
        <f>'1. GDP'!AC32</f>
        <v>0</v>
      </c>
      <c r="O11" s="285"/>
      <c r="P11" s="229" t="e">
        <f t="shared" si="13"/>
        <v>#DIV/0!</v>
      </c>
      <c r="Q11" s="229" t="e">
        <f t="shared" si="14"/>
        <v>#DIV/0!</v>
      </c>
      <c r="R11" s="229" t="e">
        <f t="shared" si="15"/>
        <v>#DIV/0!</v>
      </c>
      <c r="S11" s="229" t="e">
        <f t="shared" si="16"/>
        <v>#DIV/0!</v>
      </c>
      <c r="T11" s="229" t="e">
        <f t="shared" si="17"/>
        <v>#DIV/0!</v>
      </c>
      <c r="U11" s="229" t="e">
        <f t="shared" si="18"/>
        <v>#DIV/0!</v>
      </c>
      <c r="V11" s="229" t="e">
        <f t="shared" si="19"/>
        <v>#DIV/0!</v>
      </c>
      <c r="W11" s="229" t="e">
        <f t="shared" si="20"/>
        <v>#DIV/0!</v>
      </c>
      <c r="X11" s="229" t="e">
        <f t="shared" si="21"/>
        <v>#DIV/0!</v>
      </c>
      <c r="Y11" s="229" t="e">
        <f t="shared" si="22"/>
        <v>#DIV/0!</v>
      </c>
      <c r="Z11" s="229" t="e">
        <f t="shared" si="23"/>
        <v>#DIV/0!</v>
      </c>
      <c r="AA11" s="229" t="e">
        <f t="shared" si="24"/>
        <v>#DIV/0!</v>
      </c>
      <c r="AC11" s="266">
        <f t="shared" si="12"/>
        <v>0</v>
      </c>
      <c r="AE11" s="291">
        <v>11</v>
      </c>
    </row>
    <row r="12" spans="1:31" ht="13.5" thickBot="1" x14ac:dyDescent="0.25">
      <c r="A12" s="267" t="s">
        <v>419</v>
      </c>
      <c r="B12" s="268">
        <f>'1. GDP'!Q8</f>
        <v>18187862</v>
      </c>
      <c r="C12" s="268">
        <f>'1. GDP'!R8</f>
        <v>19379648</v>
      </c>
      <c r="D12" s="268">
        <f>'1. GDP'!S8</f>
        <v>20758214</v>
      </c>
      <c r="E12" s="268">
        <f>'1. GDP'!T8</f>
        <v>22126230</v>
      </c>
      <c r="F12" s="268">
        <f>'1. GDP'!U8</f>
        <v>23745740</v>
      </c>
      <c r="G12" s="268">
        <f>'1. GDP'!V8</f>
        <v>25617356</v>
      </c>
      <c r="H12" s="268">
        <f>'1. GDP'!W8</f>
        <v>26500650</v>
      </c>
      <c r="I12" s="268">
        <f>'1. GDP'!X8</f>
        <v>28339444</v>
      </c>
      <c r="J12" s="268">
        <f>'1. GDP'!Y8</f>
        <v>30351496</v>
      </c>
      <c r="K12" s="268">
        <f>'1. GDP'!Z8</f>
        <v>32104328</v>
      </c>
      <c r="L12" s="268">
        <f>'1. GDP'!AA8</f>
        <v>33915984</v>
      </c>
      <c r="M12" s="268">
        <f>'1. GDP'!AB8</f>
        <v>35843096</v>
      </c>
      <c r="N12" s="268">
        <f>'1. GDP'!AC8</f>
        <v>37965692</v>
      </c>
      <c r="O12" s="8"/>
      <c r="P12" s="269">
        <f t="shared" si="13"/>
        <v>-0.36149282394515247</v>
      </c>
      <c r="Q12" s="269">
        <f t="shared" si="14"/>
        <v>-0.31607278929513061</v>
      </c>
      <c r="R12" s="269">
        <f t="shared" si="15"/>
        <v>-0.27100034871427758</v>
      </c>
      <c r="S12" s="269">
        <f t="shared" si="16"/>
        <v>-0.2176418585759331</v>
      </c>
      <c r="T12" s="269">
        <f t="shared" si="17"/>
        <v>-0.15597715512935506</v>
      </c>
      <c r="U12" s="269">
        <f t="shared" si="18"/>
        <v>-0.12687499818789827</v>
      </c>
      <c r="V12" s="269">
        <f t="shared" si="19"/>
        <v>-6.6291691190444091E-2</v>
      </c>
      <c r="W12" s="269">
        <f t="shared" si="20"/>
        <v>0</v>
      </c>
      <c r="X12" s="269">
        <f t="shared" si="21"/>
        <v>5.7751090753483725E-2</v>
      </c>
      <c r="Y12" s="269">
        <f t="shared" si="22"/>
        <v>0.11744027378419841</v>
      </c>
      <c r="Z12" s="269">
        <f t="shared" si="23"/>
        <v>0.18093342087651965</v>
      </c>
      <c r="AA12" s="269">
        <f t="shared" si="24"/>
        <v>0.25086723896574981</v>
      </c>
      <c r="AC12" s="268">
        <f t="shared" si="12"/>
        <v>30351496</v>
      </c>
      <c r="AE12" s="291">
        <v>12</v>
      </c>
    </row>
    <row r="13" spans="1:31" ht="13.5" thickTop="1" x14ac:dyDescent="0.2">
      <c r="A13" s="224" t="s">
        <v>420</v>
      </c>
      <c r="B13" s="270" t="e">
        <f>'2.1 LABOR STRUCTURE'!R38*100</f>
        <v>#N/A</v>
      </c>
      <c r="C13" s="270" t="e">
        <f>'2.1 LABOR STRUCTURE'!S38*100</f>
        <v>#N/A</v>
      </c>
      <c r="D13" s="270">
        <f>'2.1 LABOR STRUCTURE'!T38*100</f>
        <v>46.853399167625327</v>
      </c>
      <c r="E13" s="270">
        <f>'2.1 LABOR STRUCTURE'!U38*100</f>
        <v>47.009955136041917</v>
      </c>
      <c r="F13" s="270">
        <f>'2.1 LABOR STRUCTURE'!V38*100</f>
        <v>47.162137665390553</v>
      </c>
      <c r="G13" s="270">
        <f>'2.1 LABOR STRUCTURE'!W38*100</f>
        <v>47.310127491264744</v>
      </c>
      <c r="H13" s="270">
        <f>'2.1 LABOR STRUCTURE'!X38*100</f>
        <v>47.454095525868745</v>
      </c>
      <c r="I13" s="270">
        <f>'2.1 LABOR STRUCTURE'!Y38*100</f>
        <v>47.594203516474749</v>
      </c>
      <c r="J13" s="270">
        <f>'2.1 LABOR STRUCTURE'!Z38*100</f>
        <v>47.73060465161744</v>
      </c>
      <c r="K13" s="270">
        <f>'2.1 LABOR STRUCTURE'!AA38*100</f>
        <v>47.73060465161744</v>
      </c>
      <c r="L13" s="270">
        <f>'2.1 LABOR STRUCTURE'!AB38*100</f>
        <v>47.73060465161744</v>
      </c>
      <c r="M13" s="270">
        <f>'2.1 LABOR STRUCTURE'!AC38*100</f>
        <v>47.73060465161744</v>
      </c>
      <c r="N13" s="270">
        <f>'2.1 LABOR STRUCTURE'!AD38*100</f>
        <v>47.73060465161744</v>
      </c>
      <c r="O13" s="286"/>
      <c r="P13" s="229" t="e">
        <f t="shared" si="13"/>
        <v>#N/A</v>
      </c>
      <c r="Q13" s="229">
        <f t="shared" si="14"/>
        <v>-1.8378260455629625E-2</v>
      </c>
      <c r="R13" s="229">
        <f t="shared" si="15"/>
        <v>-1.5098269146923582E-2</v>
      </c>
      <c r="S13" s="229">
        <f t="shared" si="16"/>
        <v>-1.1909905402960885E-2</v>
      </c>
      <c r="T13" s="229">
        <f t="shared" si="17"/>
        <v>-8.8093826470820868E-3</v>
      </c>
      <c r="U13" s="229">
        <f t="shared" si="18"/>
        <v>-5.7931201116541153E-3</v>
      </c>
      <c r="V13" s="229">
        <f t="shared" si="19"/>
        <v>-2.8577290427865831E-3</v>
      </c>
      <c r="W13" s="229">
        <f t="shared" si="20"/>
        <v>0</v>
      </c>
      <c r="X13" s="229">
        <f t="shared" si="21"/>
        <v>0</v>
      </c>
      <c r="Y13" s="229">
        <f t="shared" si="22"/>
        <v>0</v>
      </c>
      <c r="Z13" s="229">
        <f t="shared" si="23"/>
        <v>0</v>
      </c>
      <c r="AA13" s="229">
        <f t="shared" si="24"/>
        <v>0</v>
      </c>
      <c r="AC13" s="270">
        <f t="shared" si="12"/>
        <v>47.73060465161744</v>
      </c>
      <c r="AE13" s="291">
        <v>13</v>
      </c>
    </row>
    <row r="14" spans="1:31" ht="13.5" thickBot="1" x14ac:dyDescent="0.25">
      <c r="A14" s="263" t="s">
        <v>421</v>
      </c>
      <c r="B14" s="271" t="e">
        <f>'2.1 LABOR STRUCTURE'!R40*100</f>
        <v>#N/A</v>
      </c>
      <c r="C14" s="271" t="e">
        <f>'2.1 LABOR STRUCTURE'!S40*100</f>
        <v>#N/A</v>
      </c>
      <c r="D14" s="271">
        <f>'2.1 LABOR STRUCTURE'!T40*100</f>
        <v>3.3851029025926147</v>
      </c>
      <c r="E14" s="271">
        <f>'2.1 LABOR STRUCTURE'!U40*100</f>
        <v>3.6196626658794528</v>
      </c>
      <c r="F14" s="271">
        <f>'2.1 LABOR STRUCTURE'!V40*100</f>
        <v>3.8461773213587529</v>
      </c>
      <c r="G14" s="271">
        <f>'2.1 LABOR STRUCTURE'!W40*100</f>
        <v>4.0650537962520943</v>
      </c>
      <c r="H14" s="271">
        <f>'2.1 LABOR STRUCTURE'!X40*100</f>
        <v>4.2766720292597409</v>
      </c>
      <c r="I14" s="271">
        <f>'2.1 LABOR STRUCTURE'!Y40*100</f>
        <v>4.4813871715077118</v>
      </c>
      <c r="J14" s="271">
        <f>'2.1 LABOR STRUCTURE'!Z40*100</f>
        <v>4.6795315755635798</v>
      </c>
      <c r="K14" s="271">
        <f>'2.1 LABOR STRUCTURE'!AA40*100</f>
        <v>4.7143491105157089</v>
      </c>
      <c r="L14" s="271">
        <f>'2.1 LABOR STRUCTURE'!AB40*100</f>
        <v>4.7143491088124554</v>
      </c>
      <c r="M14" s="271">
        <f>'2.1 LABOR STRUCTURE'!AC40*100</f>
        <v>4.7143491132432835</v>
      </c>
      <c r="N14" s="271">
        <f>'2.1 LABOR STRUCTURE'!AD40*100</f>
        <v>4.7143491191830558</v>
      </c>
      <c r="O14" s="287"/>
      <c r="P14" s="269" t="e">
        <f t="shared" si="13"/>
        <v>#N/A</v>
      </c>
      <c r="Q14" s="269">
        <f t="shared" si="14"/>
        <v>-0.27661500987202348</v>
      </c>
      <c r="R14" s="269">
        <f t="shared" si="15"/>
        <v>-0.22649038532376642</v>
      </c>
      <c r="S14" s="269">
        <f t="shared" si="16"/>
        <v>-0.17808497298246395</v>
      </c>
      <c r="T14" s="269">
        <f t="shared" si="17"/>
        <v>-0.13131181388331181</v>
      </c>
      <c r="U14" s="269">
        <f t="shared" si="18"/>
        <v>-8.6089716416823281E-2</v>
      </c>
      <c r="V14" s="269">
        <f t="shared" si="19"/>
        <v>-4.2342785993917498E-2</v>
      </c>
      <c r="W14" s="269">
        <f t="shared" si="20"/>
        <v>0</v>
      </c>
      <c r="X14" s="269">
        <f t="shared" si="21"/>
        <v>7.4403889342142815E-3</v>
      </c>
      <c r="Y14" s="269">
        <f t="shared" si="22"/>
        <v>7.4403885702347683E-3</v>
      </c>
      <c r="Z14" s="269">
        <f t="shared" si="23"/>
        <v>7.4403895170875867E-3</v>
      </c>
      <c r="AA14" s="269">
        <f t="shared" si="24"/>
        <v>7.4403907863966889E-3</v>
      </c>
      <c r="AC14" s="271">
        <f t="shared" si="12"/>
        <v>4.6795315755635798</v>
      </c>
      <c r="AE14" s="291">
        <v>14</v>
      </c>
    </row>
    <row r="15" spans="1:31" ht="13.5" thickTop="1" x14ac:dyDescent="0.2">
      <c r="A15" s="224" t="s">
        <v>422</v>
      </c>
      <c r="B15" s="270" t="e">
        <f>('2.1 LABOR STRUCTURE'!R21/'2.1 LABOR STRUCTURE'!R11)*100</f>
        <v>#N/A</v>
      </c>
      <c r="C15" s="270" t="e">
        <f>('2.1 LABOR STRUCTURE'!S21/'2.1 LABOR STRUCTURE'!S11)*100</f>
        <v>#N/A</v>
      </c>
      <c r="D15" s="270">
        <f>('2.1 LABOR STRUCTURE'!T21/'2.1 LABOR STRUCTURE'!T11)*100</f>
        <v>4.1515059428229799</v>
      </c>
      <c r="E15" s="270">
        <f>('2.1 LABOR STRUCTURE'!U21/'2.1 LABOR STRUCTURE'!U11)*100</f>
        <v>4.1992725839181695</v>
      </c>
      <c r="F15" s="270">
        <f>('2.1 LABOR STRUCTURE'!V21/'2.1 LABOR STRUCTURE'!V11)*100</f>
        <v>4.2456220820023907</v>
      </c>
      <c r="G15" s="270">
        <f>('2.1 LABOR STRUCTURE'!W21/'2.1 LABOR STRUCTURE'!W11)*100</f>
        <v>4.2906165810314656</v>
      </c>
      <c r="H15" s="270">
        <f>('2.1 LABOR STRUCTURE'!X21/'2.1 LABOR STRUCTURE'!X11)*100</f>
        <v>4.3343146438267315</v>
      </c>
      <c r="I15" s="270">
        <f>('2.1 LABOR STRUCTURE'!Y21/'2.1 LABOR STRUCTURE'!Y11)*100</f>
        <v>4.3767715063715</v>
      </c>
      <c r="J15" s="270">
        <f>('2.1 LABOR STRUCTURE'!Z21/'2.1 LABOR STRUCTURE'!Z11)*100</f>
        <v>4.4180393107418272</v>
      </c>
      <c r="K15" s="270">
        <f>('2.1 LABOR STRUCTURE'!AA21/'2.1 LABOR STRUCTURE'!AA11)*100</f>
        <v>4.3963778031395817</v>
      </c>
      <c r="L15" s="270">
        <f>('2.1 LABOR STRUCTURE'!AB21/'2.1 LABOR STRUCTURE'!AB11)*100</f>
        <v>4.3725639554981663</v>
      </c>
      <c r="M15" s="270">
        <f>('2.1 LABOR STRUCTURE'!AC21/'2.1 LABOR STRUCTURE'!AC11)*100</f>
        <v>4.3484703552852562</v>
      </c>
      <c r="N15" s="270">
        <f>('2.1 LABOR STRUCTURE'!AD21/'2.1 LABOR STRUCTURE'!AD11)*100</f>
        <v>4.3257634225659567</v>
      </c>
      <c r="O15" s="9"/>
      <c r="P15" s="229" t="e">
        <f t="shared" si="13"/>
        <v>#N/A</v>
      </c>
      <c r="Q15" s="229">
        <f t="shared" si="14"/>
        <v>-6.0328428330370332E-2</v>
      </c>
      <c r="R15" s="229">
        <f t="shared" si="15"/>
        <v>-4.951669992880281E-2</v>
      </c>
      <c r="S15" s="229">
        <f t="shared" si="16"/>
        <v>-3.9025734406714974E-2</v>
      </c>
      <c r="T15" s="229">
        <f t="shared" si="17"/>
        <v>-2.8841465806008437E-2</v>
      </c>
      <c r="U15" s="229">
        <f t="shared" si="18"/>
        <v>-1.8950638739571923E-2</v>
      </c>
      <c r="V15" s="229">
        <f t="shared" si="19"/>
        <v>-9.3407508326126543E-3</v>
      </c>
      <c r="W15" s="229">
        <f t="shared" si="20"/>
        <v>0</v>
      </c>
      <c r="X15" s="229">
        <f t="shared" si="21"/>
        <v>-4.9029685067715212E-3</v>
      </c>
      <c r="Y15" s="229">
        <f t="shared" si="22"/>
        <v>-1.0293107880025909E-2</v>
      </c>
      <c r="Z15" s="229">
        <f t="shared" si="23"/>
        <v>-1.5746567778929466E-2</v>
      </c>
      <c r="AA15" s="229">
        <f t="shared" si="24"/>
        <v>-2.0886162771688088E-2</v>
      </c>
      <c r="AC15" s="270">
        <f t="shared" si="12"/>
        <v>4.4180393107418272</v>
      </c>
      <c r="AE15" s="291">
        <v>15</v>
      </c>
    </row>
    <row r="16" spans="1:31" x14ac:dyDescent="0.2">
      <c r="A16" s="224" t="s">
        <v>423</v>
      </c>
      <c r="B16" s="270" t="e">
        <f>('2.1 LABOR STRUCTURE'!R22/'2.1 LABOR STRUCTURE'!R11)*100</f>
        <v>#N/A</v>
      </c>
      <c r="C16" s="270" t="e">
        <f>('2.1 LABOR STRUCTURE'!S22/'2.1 LABOR STRUCTURE'!S11)*100</f>
        <v>#N/A</v>
      </c>
      <c r="D16" s="270">
        <f>('2.1 LABOR STRUCTURE'!T22/'2.1 LABOR STRUCTURE'!T11)*100</f>
        <v>28.660512655007643</v>
      </c>
      <c r="E16" s="270">
        <f>('2.1 LABOR STRUCTURE'!U22/'2.1 LABOR STRUCTURE'!U11)*100</f>
        <v>28.534297751744081</v>
      </c>
      <c r="F16" s="270">
        <f>('2.1 LABOR STRUCTURE'!V22/'2.1 LABOR STRUCTURE'!V11)*100</f>
        <v>28.411827398315705</v>
      </c>
      <c r="G16" s="270">
        <f>('2.1 LABOR STRUCTURE'!W22/'2.1 LABOR STRUCTURE'!W11)*100</f>
        <v>28.292937390307188</v>
      </c>
      <c r="H16" s="270">
        <f>('2.1 LABOR STRUCTURE'!X22/'2.1 LABOR STRUCTURE'!X11)*100</f>
        <v>28.177472985817904</v>
      </c>
      <c r="I16" s="270">
        <f>('2.1 LABOR STRUCTURE'!Y22/'2.1 LABOR STRUCTURE'!Y11)*100</f>
        <v>28.065288233528467</v>
      </c>
      <c r="J16" s="270">
        <f>('2.1 LABOR STRUCTURE'!Z22/'2.1 LABOR STRUCTURE'!Z11)*100</f>
        <v>27.956245357222386</v>
      </c>
      <c r="K16" s="270">
        <f>('2.1 LABOR STRUCTURE'!AA22/'2.1 LABOR STRUCTURE'!AA11)*100</f>
        <v>27.819176766668352</v>
      </c>
      <c r="L16" s="270">
        <f>('2.1 LABOR STRUCTURE'!AB22/'2.1 LABOR STRUCTURE'!AB11)*100</f>
        <v>27.668488707840023</v>
      </c>
      <c r="M16" s="270">
        <f>('2.1 LABOR STRUCTURE'!AC22/'2.1 LABOR STRUCTURE'!AC11)*100</f>
        <v>27.516030444860501</v>
      </c>
      <c r="N16" s="270">
        <f>('2.1 LABOR STRUCTURE'!AD22/'2.1 LABOR STRUCTURE'!AD11)*100</f>
        <v>27.372346666206187</v>
      </c>
      <c r="O16" s="9"/>
      <c r="P16" s="229" t="e">
        <f t="shared" si="13"/>
        <v>#N/A</v>
      </c>
      <c r="Q16" s="229">
        <f t="shared" si="14"/>
        <v>2.5191769809793652E-2</v>
      </c>
      <c r="R16" s="229">
        <f t="shared" si="15"/>
        <v>2.0677039678804965E-2</v>
      </c>
      <c r="S16" s="229">
        <f t="shared" si="16"/>
        <v>1.6296252779010034E-2</v>
      </c>
      <c r="T16" s="229">
        <f t="shared" si="17"/>
        <v>1.2043535488495793E-2</v>
      </c>
      <c r="U16" s="229">
        <f t="shared" si="18"/>
        <v>7.9133526612280569E-3</v>
      </c>
      <c r="V16" s="229">
        <f t="shared" si="19"/>
        <v>3.9004835918678982E-3</v>
      </c>
      <c r="W16" s="229">
        <f t="shared" si="20"/>
        <v>0</v>
      </c>
      <c r="X16" s="229">
        <f t="shared" si="21"/>
        <v>-4.9029685067712991E-3</v>
      </c>
      <c r="Y16" s="229">
        <f t="shared" si="22"/>
        <v>-1.0293107880025909E-2</v>
      </c>
      <c r="Z16" s="229">
        <f t="shared" si="23"/>
        <v>-1.5746567778929466E-2</v>
      </c>
      <c r="AA16" s="229">
        <f t="shared" si="24"/>
        <v>-2.0886162771688199E-2</v>
      </c>
      <c r="AC16" s="270">
        <f t="shared" si="12"/>
        <v>27.956245357222386</v>
      </c>
      <c r="AE16" s="291">
        <v>16</v>
      </c>
    </row>
    <row r="17" spans="1:31" x14ac:dyDescent="0.2">
      <c r="A17" s="224" t="s">
        <v>424</v>
      </c>
      <c r="B17" s="270" t="e">
        <f>('2.1 LABOR STRUCTURE'!R23/'2.1 LABOR STRUCTURE'!R11)*100</f>
        <v>#N/A</v>
      </c>
      <c r="C17" s="270" t="e">
        <f>('2.1 LABOR STRUCTURE'!S23/'2.1 LABOR STRUCTURE'!S11)*100</f>
        <v>#N/A</v>
      </c>
      <c r="D17" s="270">
        <f>('2.1 LABOR STRUCTURE'!T23/'2.1 LABOR STRUCTURE'!T11)*100</f>
        <v>4.1193985950441645</v>
      </c>
      <c r="E17" s="270">
        <f>('2.1 LABOR STRUCTURE'!U23/'2.1 LABOR STRUCTURE'!U11)*100</f>
        <v>4.2853217659104494</v>
      </c>
      <c r="F17" s="270">
        <f>('2.1 LABOR STRUCTURE'!V23/'2.1 LABOR STRUCTURE'!V11)*100</f>
        <v>4.4463223201438797</v>
      </c>
      <c r="G17" s="270">
        <f>('2.1 LABOR STRUCTURE'!W23/'2.1 LABOR STRUCTURE'!W11)*100</f>
        <v>4.6026161222466211</v>
      </c>
      <c r="H17" s="270">
        <f>('2.1 LABOR STRUCTURE'!X23/'2.1 LABOR STRUCTURE'!X11)*100</f>
        <v>4.754406597219643</v>
      </c>
      <c r="I17" s="270">
        <f>('2.1 LABOR STRUCTURE'!Y23/'2.1 LABOR STRUCTURE'!Y11)*100</f>
        <v>4.9018856138920412</v>
      </c>
      <c r="J17" s="270">
        <f>('2.1 LABOR STRUCTURE'!Z23/'2.1 LABOR STRUCTURE'!Z11)*100</f>
        <v>5.0452342940340875</v>
      </c>
      <c r="K17" s="270">
        <f>('2.1 LABOR STRUCTURE'!AA23/'2.1 LABOR STRUCTURE'!AA11)*100</f>
        <v>5.0656053018237879</v>
      </c>
      <c r="L17" s="270">
        <f>('2.1 LABOR STRUCTURE'!AB23/'2.1 LABOR STRUCTURE'!AB11)*100</f>
        <v>5.0208906889268139</v>
      </c>
      <c r="M17" s="270">
        <f>('2.1 LABOR STRUCTURE'!AC23/'2.1 LABOR STRUCTURE'!AC11)*100</f>
        <v>5.0365334160020074</v>
      </c>
      <c r="N17" s="270">
        <f>('2.1 LABOR STRUCTURE'!AD23/'2.1 LABOR STRUCTURE'!AD11)*100</f>
        <v>5.0704905198760883</v>
      </c>
      <c r="O17" s="9"/>
      <c r="P17" s="229" t="e">
        <f t="shared" si="13"/>
        <v>#N/A</v>
      </c>
      <c r="Q17" s="229">
        <f t="shared" si="14"/>
        <v>-0.18350697807725391</v>
      </c>
      <c r="R17" s="229">
        <f t="shared" si="15"/>
        <v>-0.15061986893695367</v>
      </c>
      <c r="S17" s="229">
        <f t="shared" si="16"/>
        <v>-0.11870845613620207</v>
      </c>
      <c r="T17" s="229">
        <f t="shared" si="17"/>
        <v>-8.7729953851866882E-2</v>
      </c>
      <c r="U17" s="229">
        <f t="shared" si="18"/>
        <v>-5.7644041855170913E-2</v>
      </c>
      <c r="V17" s="229">
        <f t="shared" si="19"/>
        <v>-2.8412690429769349E-2</v>
      </c>
      <c r="W17" s="229">
        <f t="shared" si="20"/>
        <v>0</v>
      </c>
      <c r="X17" s="229">
        <f t="shared" si="21"/>
        <v>4.0376732977076557E-3</v>
      </c>
      <c r="Y17" s="229">
        <f t="shared" si="22"/>
        <v>-4.8250693007576562E-3</v>
      </c>
      <c r="Z17" s="229">
        <f t="shared" si="23"/>
        <v>-1.7245736322629712E-3</v>
      </c>
      <c r="AA17" s="229">
        <f t="shared" si="24"/>
        <v>5.0059569823874828E-3</v>
      </c>
      <c r="AC17" s="270">
        <f t="shared" si="12"/>
        <v>5.0452342940340875</v>
      </c>
      <c r="AE17" s="291">
        <v>17</v>
      </c>
    </row>
    <row r="18" spans="1:31" x14ac:dyDescent="0.2">
      <c r="A18" s="224" t="s">
        <v>425</v>
      </c>
      <c r="B18" s="270" t="e">
        <f>('2.1 LABOR STRUCTURE'!R24/'2.1 LABOR STRUCTURE'!R11)*100</f>
        <v>#N/A</v>
      </c>
      <c r="C18" s="270" t="e">
        <f>('2.1 LABOR STRUCTURE'!S24/'2.1 LABOR STRUCTURE'!S11)*100</f>
        <v>#N/A</v>
      </c>
      <c r="D18" s="270">
        <f>('2.1 LABOR STRUCTURE'!T24/'2.1 LABOR STRUCTURE'!T11)*100</f>
        <v>1.8176249628546008</v>
      </c>
      <c r="E18" s="270">
        <f>('2.1 LABOR STRUCTURE'!U24/'2.1 LABOR STRUCTURE'!U11)*100</f>
        <v>1.9998750626758384</v>
      </c>
      <c r="F18" s="270">
        <f>('2.1 LABOR STRUCTURE'!V24/'2.1 LABOR STRUCTURE'!V11)*100</f>
        <v>2.1767181577488222</v>
      </c>
      <c r="G18" s="270">
        <f>('2.1 LABOR STRUCTURE'!W24/'2.1 LABOR STRUCTURE'!W11)*100</f>
        <v>2.3483913537584415</v>
      </c>
      <c r="H18" s="270">
        <f>('2.1 LABOR STRUCTURE'!X24/'2.1 LABOR STRUCTURE'!X11)*100</f>
        <v>2.5151180928348076</v>
      </c>
      <c r="I18" s="270">
        <f>('2.1 LABOR STRUCTURE'!Y24/'2.1 LABOR STRUCTURE'!Y11)*100</f>
        <v>2.6771091238026479</v>
      </c>
      <c r="J18" s="270">
        <f>('2.1 LABOR STRUCTURE'!Z24/'2.1 LABOR STRUCTURE'!Z11)*100</f>
        <v>2.8345633909115162</v>
      </c>
      <c r="K18" s="270">
        <f>('2.1 LABOR STRUCTURE'!AA24/'2.1 LABOR STRUCTURE'!AA11)*100</f>
        <v>2.8460084318256595</v>
      </c>
      <c r="L18" s="270">
        <f>('2.1 LABOR STRUCTURE'!AB24/'2.1 LABOR STRUCTURE'!AB11)*100</f>
        <v>2.820886426112978</v>
      </c>
      <c r="M18" s="270">
        <f>('2.1 LABOR STRUCTURE'!AC24/'2.1 LABOR STRUCTURE'!AC11)*100</f>
        <v>2.8296749776285726</v>
      </c>
      <c r="N18" s="270">
        <f>('2.1 LABOR STRUCTURE'!AD24/'2.1 LABOR STRUCTURE'!AD11)*100</f>
        <v>2.84875309331027</v>
      </c>
      <c r="O18" s="9"/>
      <c r="P18" s="229" t="e">
        <f t="shared" si="13"/>
        <v>#N/A</v>
      </c>
      <c r="Q18" s="229">
        <f t="shared" si="14"/>
        <v>-0.35876369225593374</v>
      </c>
      <c r="R18" s="229">
        <f t="shared" si="15"/>
        <v>-0.29446804079666933</v>
      </c>
      <c r="S18" s="229">
        <f t="shared" si="16"/>
        <v>-0.23207991582476106</v>
      </c>
      <c r="T18" s="229">
        <f t="shared" si="17"/>
        <v>-0.17151566929562845</v>
      </c>
      <c r="U18" s="229">
        <f t="shared" si="18"/>
        <v>-0.11269647350309708</v>
      </c>
      <c r="V18" s="229">
        <f t="shared" si="19"/>
        <v>-5.5547978787038321E-2</v>
      </c>
      <c r="W18" s="229">
        <f t="shared" si="20"/>
        <v>0</v>
      </c>
      <c r="X18" s="229">
        <f t="shared" si="21"/>
        <v>4.0376732977076557E-3</v>
      </c>
      <c r="Y18" s="229">
        <f t="shared" si="22"/>
        <v>-4.8250693007574341E-3</v>
      </c>
      <c r="Z18" s="229">
        <f t="shared" si="23"/>
        <v>-1.7245736322628602E-3</v>
      </c>
      <c r="AA18" s="229">
        <f t="shared" si="24"/>
        <v>5.0059569823877048E-3</v>
      </c>
      <c r="AC18" s="270">
        <f t="shared" si="12"/>
        <v>2.8345633909115162</v>
      </c>
      <c r="AE18" s="291">
        <v>18</v>
      </c>
    </row>
    <row r="19" spans="1:31" x14ac:dyDescent="0.2">
      <c r="A19" s="224" t="s">
        <v>426</v>
      </c>
      <c r="B19" s="270" t="e">
        <f>('2.1 LABOR STRUCTURE'!R31/'2.1 LABOR STRUCTURE'!R11)*100</f>
        <v>#N/A</v>
      </c>
      <c r="C19" s="270" t="e">
        <f>('2.1 LABOR STRUCTURE'!S31/'2.1 LABOR STRUCTURE'!S11)*100</f>
        <v>#N/A</v>
      </c>
      <c r="D19" s="270">
        <f>('2.1 LABOR STRUCTURE'!T31/'2.1 LABOR STRUCTURE'!T11)*100</f>
        <v>9.3383577721402009</v>
      </c>
      <c r="E19" s="270">
        <f>('2.1 LABOR STRUCTURE'!U31/'2.1 LABOR STRUCTURE'!U11)*100</f>
        <v>8.6055553797622029</v>
      </c>
      <c r="F19" s="270">
        <f>('2.1 LABOR STRUCTURE'!V31/'2.1 LABOR STRUCTURE'!V11)*100</f>
        <v>7.8944938040916108</v>
      </c>
      <c r="G19" s="270">
        <f>('2.1 LABOR STRUCTURE'!W31/'2.1 LABOR STRUCTURE'!W11)*100</f>
        <v>7.2042196760312081</v>
      </c>
      <c r="H19" s="270">
        <f>('2.1 LABOR STRUCTURE'!X31/'2.1 LABOR STRUCTURE'!X11)*100</f>
        <v>6.5338345657438426</v>
      </c>
      <c r="I19" s="270">
        <f>('2.1 LABOR STRUCTURE'!Y31/'2.1 LABOR STRUCTURE'!Y11)*100</f>
        <v>5.8824910814140807</v>
      </c>
      <c r="J19" s="270">
        <f>('2.1 LABOR STRUCTURE'!Z31/'2.1 LABOR STRUCTURE'!Z11)*100</f>
        <v>5.249389295787207</v>
      </c>
      <c r="K19" s="270">
        <f>('2.1 LABOR STRUCTURE'!AA31/'2.1 LABOR STRUCTURE'!AA11)*100</f>
        <v>5.2519132515253126</v>
      </c>
      <c r="L19" s="270">
        <f>('2.1 LABOR STRUCTURE'!AB31/'2.1 LABOR STRUCTURE'!AB11)*100</f>
        <v>5.2518698906337331</v>
      </c>
      <c r="M19" s="270">
        <f>('2.1 LABOR STRUCTURE'!AC31/'2.1 LABOR STRUCTURE'!AC11)*100</f>
        <v>5.2348994143894583</v>
      </c>
      <c r="N19" s="270">
        <f>('2.1 LABOR STRUCTURE'!AD31/'2.1 LABOR STRUCTURE'!AD11)*100</f>
        <v>5.225509578540426</v>
      </c>
      <c r="O19" s="9"/>
      <c r="P19" s="229" t="e">
        <f t="shared" si="13"/>
        <v>#N/A</v>
      </c>
      <c r="Q19" s="229">
        <f t="shared" si="14"/>
        <v>0.77894174844957953</v>
      </c>
      <c r="R19" s="229">
        <f t="shared" si="15"/>
        <v>0.63934410173549527</v>
      </c>
      <c r="S19" s="229">
        <f t="shared" si="16"/>
        <v>0.50388804473449511</v>
      </c>
      <c r="T19" s="229">
        <f t="shared" si="17"/>
        <v>0.37239196220650106</v>
      </c>
      <c r="U19" s="229">
        <f t="shared" si="18"/>
        <v>0.24468470474983461</v>
      </c>
      <c r="V19" s="229">
        <f t="shared" si="19"/>
        <v>0.12060484562174811</v>
      </c>
      <c r="W19" s="229">
        <f t="shared" si="20"/>
        <v>0</v>
      </c>
      <c r="X19" s="229">
        <f t="shared" si="21"/>
        <v>4.8080940389216842E-4</v>
      </c>
      <c r="Y19" s="229">
        <f t="shared" si="22"/>
        <v>4.7254922558637169E-4</v>
      </c>
      <c r="Z19" s="229">
        <f t="shared" si="23"/>
        <v>-2.7602984997469049E-3</v>
      </c>
      <c r="AA19" s="229">
        <f t="shared" si="24"/>
        <v>-4.5490467369119214E-3</v>
      </c>
      <c r="AC19" s="270">
        <f t="shared" si="12"/>
        <v>5.249389295787207</v>
      </c>
      <c r="AE19" s="291">
        <v>19</v>
      </c>
    </row>
    <row r="20" spans="1:31" ht="13.5" thickBot="1" x14ac:dyDescent="0.25">
      <c r="A20" s="263" t="s">
        <v>427</v>
      </c>
      <c r="B20" s="271" t="e">
        <f>('2.1 LABOR STRUCTURE'!R32/'2.1 LABOR STRUCTURE'!R11)*100</f>
        <v>#N/A</v>
      </c>
      <c r="C20" s="271" t="e">
        <f>('2.1 LABOR STRUCTURE'!S32/'2.1 LABOR STRUCTURE'!S11)*100</f>
        <v>#N/A</v>
      </c>
      <c r="D20" s="271">
        <f>('2.1 LABOR STRUCTURE'!T32/'2.1 LABOR STRUCTURE'!T11)*100</f>
        <v>6.9968798966894967</v>
      </c>
      <c r="E20" s="271">
        <f>('2.1 LABOR STRUCTURE'!U32/'2.1 LABOR STRUCTURE'!U11)*100</f>
        <v>7.1485019955303732</v>
      </c>
      <c r="F20" s="271">
        <f>('2.1 LABOR STRUCTURE'!V32/'2.1 LABOR STRUCTURE'!V11)*100</f>
        <v>7.2956257626327403</v>
      </c>
      <c r="G20" s="271">
        <f>('2.1 LABOR STRUCTURE'!W32/'2.1 LABOR STRUCTURE'!W11)*100</f>
        <v>7.4384484569370564</v>
      </c>
      <c r="H20" s="271">
        <f>('2.1 LABOR STRUCTURE'!X32/'2.1 LABOR STRUCTURE'!X11)*100</f>
        <v>7.5771559700547444</v>
      </c>
      <c r="I20" s="271">
        <f>('2.1 LABOR STRUCTURE'!Y32/'2.1 LABOR STRUCTURE'!Y11)*100</f>
        <v>7.7119236334625167</v>
      </c>
      <c r="J20" s="271">
        <f>('2.1 LABOR STRUCTURE'!Z32/'2.1 LABOR STRUCTURE'!Z11)*100</f>
        <v>7.8429169578772395</v>
      </c>
      <c r="K20" s="271">
        <f>('2.1 LABOR STRUCTURE'!AA32/'2.1 LABOR STRUCTURE'!AA11)*100</f>
        <v>7.8466879061045338</v>
      </c>
      <c r="L20" s="271">
        <f>('2.1 LABOR STRUCTURE'!AB32/'2.1 LABOR STRUCTURE'!AB11)*100</f>
        <v>7.846623122212022</v>
      </c>
      <c r="M20" s="271">
        <f>('2.1 LABOR STRUCTURE'!AC32/'2.1 LABOR STRUCTURE'!AC11)*100</f>
        <v>7.8212681659647716</v>
      </c>
      <c r="N20" s="271">
        <f>('2.1 LABOR STRUCTURE'!AD32/'2.1 LABOR STRUCTURE'!AD11)*100</f>
        <v>7.8072391620821371</v>
      </c>
      <c r="O20" s="10"/>
      <c r="P20" s="269" t="e">
        <f t="shared" si="13"/>
        <v>#N/A</v>
      </c>
      <c r="Q20" s="269">
        <f t="shared" si="14"/>
        <v>-0.10787275521743267</v>
      </c>
      <c r="R20" s="269">
        <f t="shared" si="15"/>
        <v>-8.8540394610376771E-2</v>
      </c>
      <c r="S20" s="269">
        <f t="shared" si="16"/>
        <v>-6.9781587409874724E-2</v>
      </c>
      <c r="T20" s="269">
        <f t="shared" si="17"/>
        <v>-5.1571182394573811E-2</v>
      </c>
      <c r="U20" s="269">
        <f t="shared" si="18"/>
        <v>-3.3885477718283208E-2</v>
      </c>
      <c r="V20" s="269">
        <f t="shared" si="19"/>
        <v>-1.6702117989806919E-2</v>
      </c>
      <c r="W20" s="269">
        <f t="shared" si="20"/>
        <v>0</v>
      </c>
      <c r="X20" s="269">
        <f t="shared" si="21"/>
        <v>4.8080940389239046E-4</v>
      </c>
      <c r="Y20" s="269">
        <f t="shared" si="22"/>
        <v>4.7254922558637169E-4</v>
      </c>
      <c r="Z20" s="269">
        <f t="shared" si="23"/>
        <v>-2.7602984997469049E-3</v>
      </c>
      <c r="AA20" s="269">
        <f t="shared" si="24"/>
        <v>-4.5490467369119214E-3</v>
      </c>
      <c r="AC20" s="271">
        <f t="shared" si="12"/>
        <v>7.8429169578772395</v>
      </c>
      <c r="AE20" s="291">
        <v>20</v>
      </c>
    </row>
    <row r="21" spans="1:31" ht="13.5" thickTop="1" x14ac:dyDescent="0.2">
      <c r="A21" s="265" t="s">
        <v>428</v>
      </c>
      <c r="B21" s="270" t="e">
        <f>'2.1 LABOR STRUCTURE'!R50*100</f>
        <v>#N/A</v>
      </c>
      <c r="C21" s="270" t="e">
        <f>'2.1 LABOR STRUCTURE'!S50*100</f>
        <v>#N/A</v>
      </c>
      <c r="D21" s="270">
        <f>'2.1 LABOR STRUCTURE'!T50*100</f>
        <v>12.652394214775493</v>
      </c>
      <c r="E21" s="270">
        <f>'2.1 LABOR STRUCTURE'!U50*100</f>
        <v>12.828642096958138</v>
      </c>
      <c r="F21" s="270">
        <f>'2.1 LABOR STRUCTURE'!V50*100</f>
        <v>13.000470488551565</v>
      </c>
      <c r="G21" s="270">
        <f>'2.1 LABOR STRUCTURE'!W50*100</f>
        <v>13.168043562116042</v>
      </c>
      <c r="H21" s="270">
        <f>'2.1 LABOR STRUCTURE'!X50*100</f>
        <v>13.331517458223837</v>
      </c>
      <c r="I21" s="270">
        <f>'2.1 LABOR STRUCTURE'!Y50*100</f>
        <v>13.491040770720788</v>
      </c>
      <c r="J21" s="270">
        <f>'2.1 LABOR STRUCTURE'!Z50*100</f>
        <v>13.646754997226774</v>
      </c>
      <c r="K21" s="270">
        <f>'2.1 LABOR STRUCTURE'!AA50*100</f>
        <v>13.64675499722677</v>
      </c>
      <c r="L21" s="270">
        <f>'2.1 LABOR STRUCTURE'!AB50*100</f>
        <v>13.646754997226774</v>
      </c>
      <c r="M21" s="270">
        <f>'2.1 LABOR STRUCTURE'!AC50*100</f>
        <v>13.646754997226774</v>
      </c>
      <c r="N21" s="270">
        <f>'2.1 LABOR STRUCTURE'!AD50*100</f>
        <v>13.646754997226774</v>
      </c>
      <c r="O21" s="9"/>
      <c r="P21" s="229" t="e">
        <f t="shared" si="13"/>
        <v>#N/A</v>
      </c>
      <c r="Q21" s="229">
        <f t="shared" si="14"/>
        <v>-7.286426572861826E-2</v>
      </c>
      <c r="R21" s="229">
        <f t="shared" si="15"/>
        <v>-5.9949262695409233E-2</v>
      </c>
      <c r="S21" s="229">
        <f t="shared" si="16"/>
        <v>-4.7358108854928749E-2</v>
      </c>
      <c r="T21" s="229">
        <f t="shared" si="17"/>
        <v>-3.5078774053466488E-2</v>
      </c>
      <c r="U21" s="229">
        <f t="shared" si="18"/>
        <v>-2.3099816701259601E-2</v>
      </c>
      <c r="V21" s="229">
        <f t="shared" si="19"/>
        <v>-1.1410348213742316E-2</v>
      </c>
      <c r="W21" s="229">
        <f t="shared" si="20"/>
        <v>0</v>
      </c>
      <c r="X21" s="229">
        <f t="shared" si="21"/>
        <v>0</v>
      </c>
      <c r="Y21" s="229">
        <f t="shared" si="22"/>
        <v>0</v>
      </c>
      <c r="Z21" s="229">
        <f t="shared" si="23"/>
        <v>0</v>
      </c>
      <c r="AA21" s="229">
        <f t="shared" si="24"/>
        <v>0</v>
      </c>
      <c r="AC21" s="270">
        <f t="shared" si="12"/>
        <v>13.646754997226774</v>
      </c>
      <c r="AE21" s="291">
        <v>21</v>
      </c>
    </row>
    <row r="22" spans="1:31" x14ac:dyDescent="0.2">
      <c r="A22" s="265" t="s">
        <v>429</v>
      </c>
      <c r="B22" s="270" t="e">
        <f>'2.1 LABOR STRUCTURE'!R52*100</f>
        <v>#N/A</v>
      </c>
      <c r="C22" s="270" t="e">
        <f>'2.1 LABOR STRUCTURE'!S52*100</f>
        <v>#N/A</v>
      </c>
      <c r="D22" s="270">
        <f>'2.1 LABOR STRUCTURE'!T52*100</f>
        <v>78.74449778943702</v>
      </c>
      <c r="E22" s="270">
        <f>'2.1 LABOR STRUCTURE'!U52*100</f>
        <v>75.442249886224758</v>
      </c>
      <c r="F22" s="270">
        <f>'2.1 LABOR STRUCTURE'!V52*100</f>
        <v>72.372725744714344</v>
      </c>
      <c r="G22" s="270">
        <f>'2.1 LABOR STRUCTURE'!W52*100</f>
        <v>69.512161165707141</v>
      </c>
      <c r="H22" s="270">
        <f>'2.1 LABOR STRUCTURE'!X52*100</f>
        <v>66.839920967352043</v>
      </c>
      <c r="I22" s="270">
        <f>'2.1 LABOR STRUCTURE'!Y52*100</f>
        <v>64.338000402450689</v>
      </c>
      <c r="J22" s="270">
        <f>'2.1 LABOR STRUCTURE'!Z52*100</f>
        <v>61.990618965428347</v>
      </c>
      <c r="K22" s="270">
        <f>'2.1 LABOR STRUCTURE'!AA52*100</f>
        <v>61.990618965428354</v>
      </c>
      <c r="L22" s="270">
        <f>'2.1 LABOR STRUCTURE'!AB52*100</f>
        <v>61.990618965428347</v>
      </c>
      <c r="M22" s="270">
        <f>'2.1 LABOR STRUCTURE'!AC52*100</f>
        <v>61.990618965428347</v>
      </c>
      <c r="N22" s="270">
        <f>'2.1 LABOR STRUCTURE'!AD52*100</f>
        <v>61.990618965428354</v>
      </c>
      <c r="O22" s="9"/>
      <c r="P22" s="229" t="e">
        <f t="shared" si="13"/>
        <v>#N/A</v>
      </c>
      <c r="Q22" s="229">
        <f t="shared" si="14"/>
        <v>0.2702647449503961</v>
      </c>
      <c r="R22" s="229">
        <f t="shared" si="15"/>
        <v>0.21699462185235285</v>
      </c>
      <c r="S22" s="229">
        <f t="shared" si="16"/>
        <v>0.16747867584732479</v>
      </c>
      <c r="T22" s="229">
        <f t="shared" si="17"/>
        <v>0.12133355539607527</v>
      </c>
      <c r="U22" s="229">
        <f t="shared" si="18"/>
        <v>7.8226384618422795E-2</v>
      </c>
      <c r="V22" s="229">
        <f t="shared" si="19"/>
        <v>3.7866720419930999E-2</v>
      </c>
      <c r="W22" s="229">
        <f t="shared" si="20"/>
        <v>0</v>
      </c>
      <c r="X22" s="229">
        <f t="shared" si="21"/>
        <v>0</v>
      </c>
      <c r="Y22" s="229">
        <f t="shared" si="22"/>
        <v>0</v>
      </c>
      <c r="Z22" s="229">
        <f t="shared" si="23"/>
        <v>0</v>
      </c>
      <c r="AA22" s="229">
        <f t="shared" si="24"/>
        <v>0</v>
      </c>
      <c r="AC22" s="270">
        <f t="shared" si="12"/>
        <v>61.990618965428347</v>
      </c>
      <c r="AE22" s="291">
        <v>22</v>
      </c>
    </row>
    <row r="23" spans="1:31" ht="13.5" thickBot="1" x14ac:dyDescent="0.25">
      <c r="A23" s="272" t="s">
        <v>430</v>
      </c>
      <c r="B23" s="271" t="e">
        <f>'2.1 LABOR STRUCTURE'!R55*100</f>
        <v>#N/A</v>
      </c>
      <c r="C23" s="271" t="e">
        <f>'2.1 LABOR STRUCTURE'!S55*100</f>
        <v>#N/A</v>
      </c>
      <c r="D23" s="271">
        <f>'2.1 LABOR STRUCTURE'!T55*100</f>
        <v>57.166953805387934</v>
      </c>
      <c r="E23" s="271">
        <f>'2.1 LABOR STRUCTURE'!U55*100</f>
        <v>54.624375008678584</v>
      </c>
      <c r="F23" s="271">
        <f>'2.1 LABOR STRUCTURE'!V55*100</f>
        <v>51.971242026200891</v>
      </c>
      <c r="G23" s="271">
        <f>'2.1 LABOR STRUCTURE'!W55*100</f>
        <v>49.200184082645158</v>
      </c>
      <c r="H23" s="271">
        <f>'2.1 LABOR STRUCTURE'!X55*100</f>
        <v>46.303160286076064</v>
      </c>
      <c r="I23" s="271">
        <f>'2.1 LABOR STRUCTURE'!Y55*100</f>
        <v>43.271381701904176</v>
      </c>
      <c r="J23" s="271">
        <f>'2.1 LABOR STRUCTURE'!Z55*100</f>
        <v>40.095222293764621</v>
      </c>
      <c r="K23" s="271">
        <f>'2.1 LABOR STRUCTURE'!AA55*100</f>
        <v>40.095222293764621</v>
      </c>
      <c r="L23" s="271">
        <f>'2.1 LABOR STRUCTURE'!AB55*100</f>
        <v>40.095222293764621</v>
      </c>
      <c r="M23" s="271">
        <f>'2.1 LABOR STRUCTURE'!AC55*100</f>
        <v>40.095222293764621</v>
      </c>
      <c r="N23" s="271">
        <f>'2.1 LABOR STRUCTURE'!AD55*100</f>
        <v>40.095222293764621</v>
      </c>
      <c r="O23" s="10"/>
      <c r="P23" s="269" t="e">
        <f t="shared" si="13"/>
        <v>#N/A</v>
      </c>
      <c r="Q23" s="269">
        <f t="shared" si="14"/>
        <v>0.42577969481112499</v>
      </c>
      <c r="R23" s="269">
        <f t="shared" si="15"/>
        <v>0.36236618439133705</v>
      </c>
      <c r="S23" s="269">
        <f t="shared" si="16"/>
        <v>0.29619538321609862</v>
      </c>
      <c r="T23" s="269">
        <f t="shared" si="17"/>
        <v>0.22708345952471465</v>
      </c>
      <c r="U23" s="269">
        <f t="shared" si="18"/>
        <v>0.15482986842741275</v>
      </c>
      <c r="V23" s="269">
        <f t="shared" si="19"/>
        <v>7.9215408381299701E-2</v>
      </c>
      <c r="W23" s="269">
        <f t="shared" si="20"/>
        <v>0</v>
      </c>
      <c r="X23" s="269">
        <f t="shared" si="21"/>
        <v>0</v>
      </c>
      <c r="Y23" s="269">
        <f t="shared" si="22"/>
        <v>0</v>
      </c>
      <c r="Z23" s="269">
        <f t="shared" si="23"/>
        <v>0</v>
      </c>
      <c r="AA23" s="269">
        <f t="shared" si="24"/>
        <v>0</v>
      </c>
      <c r="AC23" s="271">
        <f t="shared" si="12"/>
        <v>40.095222293764621</v>
      </c>
      <c r="AE23" s="291">
        <v>23</v>
      </c>
    </row>
    <row r="24" spans="1:31" ht="14.25" thickTop="1" thickBot="1" x14ac:dyDescent="0.25">
      <c r="A24" s="273" t="s">
        <v>282</v>
      </c>
      <c r="B24" s="274" t="e">
        <f>'3. NON-LABOR INCOME'!J$7</f>
        <v>#N/A</v>
      </c>
      <c r="C24" s="274" t="e">
        <f>'3. NON-LABOR INCOME'!K$7</f>
        <v>#N/A</v>
      </c>
      <c r="D24" s="274" t="e">
        <f>'3. NON-LABOR INCOME'!L$7</f>
        <v>#N/A</v>
      </c>
      <c r="E24" s="274" t="e">
        <f>'3. NON-LABOR INCOME'!M$7</f>
        <v>#N/A</v>
      </c>
      <c r="F24" s="274" t="e">
        <f>'3. NON-LABOR INCOME'!N$7</f>
        <v>#N/A</v>
      </c>
      <c r="G24" s="274" t="e">
        <f>'3. NON-LABOR INCOME'!O$7</f>
        <v>#N/A</v>
      </c>
      <c r="H24" s="274" t="e">
        <f>'3. NON-LABOR INCOME'!P$7</f>
        <v>#N/A</v>
      </c>
      <c r="I24" s="274" t="e">
        <f>'3. NON-LABOR INCOME'!Q$7</f>
        <v>#N/A</v>
      </c>
      <c r="J24" s="274" t="e">
        <f>'3. NON-LABOR INCOME'!R$7</f>
        <v>#N/A</v>
      </c>
      <c r="K24" s="274" t="e">
        <f>'3. NON-LABOR INCOME'!S$7</f>
        <v>#N/A</v>
      </c>
      <c r="L24" s="274" t="e">
        <f>'3. NON-LABOR INCOME'!T$7</f>
        <v>#N/A</v>
      </c>
      <c r="M24" s="274" t="e">
        <f>'3. NON-LABOR INCOME'!U$7</f>
        <v>#N/A</v>
      </c>
      <c r="N24" s="274" t="e">
        <f>'3. NON-LABOR INCOME'!V$7</f>
        <v>#N/A</v>
      </c>
      <c r="O24" s="288"/>
      <c r="P24" s="269" t="e">
        <f t="shared" si="13"/>
        <v>#N/A</v>
      </c>
      <c r="Q24" s="269" t="e">
        <f t="shared" si="14"/>
        <v>#N/A</v>
      </c>
      <c r="R24" s="269" t="e">
        <f t="shared" si="15"/>
        <v>#N/A</v>
      </c>
      <c r="S24" s="269" t="e">
        <f t="shared" si="16"/>
        <v>#N/A</v>
      </c>
      <c r="T24" s="269" t="e">
        <f t="shared" si="17"/>
        <v>#N/A</v>
      </c>
      <c r="U24" s="269" t="e">
        <f t="shared" si="18"/>
        <v>#N/A</v>
      </c>
      <c r="V24" s="269" t="e">
        <f t="shared" si="19"/>
        <v>#N/A</v>
      </c>
      <c r="W24" s="269" t="e">
        <f t="shared" si="20"/>
        <v>#N/A</v>
      </c>
      <c r="X24" s="269" t="e">
        <f t="shared" si="21"/>
        <v>#N/A</v>
      </c>
      <c r="Y24" s="269" t="e">
        <f t="shared" si="22"/>
        <v>#N/A</v>
      </c>
      <c r="Z24" s="269" t="e">
        <f t="shared" si="23"/>
        <v>#N/A</v>
      </c>
      <c r="AA24" s="269" t="e">
        <f t="shared" si="24"/>
        <v>#N/A</v>
      </c>
      <c r="AC24" s="274" t="e">
        <f t="shared" si="12"/>
        <v>#N/A</v>
      </c>
      <c r="AE24" s="291">
        <v>24</v>
      </c>
    </row>
    <row r="25" spans="1:31" ht="14.25" thickTop="1" thickBot="1" x14ac:dyDescent="0.25">
      <c r="A25" s="275" t="s">
        <v>484</v>
      </c>
      <c r="B25" s="292">
        <v>1</v>
      </c>
      <c r="C25" s="292">
        <f>B25*(1+'3. NON-LABOR INCOME'!K$19/100)</f>
        <v>1.0655264483533029</v>
      </c>
      <c r="D25" s="292">
        <f>C25*(1+'3. NON-LABOR INCOME'!L$19/100)</f>
        <v>1.1413223830266581</v>
      </c>
      <c r="E25" s="292">
        <f>D25*(1+'3. NON-LABOR INCOME'!M$19/100)</f>
        <v>1.2165382605168218</v>
      </c>
      <c r="F25" s="292">
        <f>E25*(1+'3. NON-LABOR INCOME'!N$19/100)</f>
        <v>1.3055817115832526</v>
      </c>
      <c r="G25" s="292">
        <f>F25*(1+'3. NON-LABOR INCOME'!O$19/100)</f>
        <v>1.4084863850407487</v>
      </c>
      <c r="H25" s="292">
        <f>G25*(1+'3. NON-LABOR INCOME'!P$19/100)</f>
        <v>1.4570514115402902</v>
      </c>
      <c r="I25" s="292">
        <f>H25*(1+'3. NON-LABOR INCOME'!Q$19/100)</f>
        <v>1.5581514748682395</v>
      </c>
      <c r="J25" s="292">
        <f>I25*(1+'3. NON-LABOR INCOME'!R$19/100)</f>
        <v>1.6687775616507323</v>
      </c>
      <c r="K25" s="292">
        <f>J25*(1+'3. NON-LABOR INCOME'!S$19/100)</f>
        <v>1.765151286061001</v>
      </c>
      <c r="L25" s="292">
        <f>K25*(1+'3. NON-LABOR INCOME'!T$19/100)</f>
        <v>1.8647592553759211</v>
      </c>
      <c r="M25" s="292">
        <f>L25*(1+'3. NON-LABOR INCOME'!U$19/100)</f>
        <v>1.9707151945621764</v>
      </c>
      <c r="N25" s="292">
        <f>M25*(1+'3. NON-LABOR INCOME'!V$19/100)</f>
        <v>2.087419180990048</v>
      </c>
      <c r="O25" s="288"/>
      <c r="P25" s="269">
        <f t="shared" si="13"/>
        <v>-0.3614928239451527</v>
      </c>
      <c r="Q25" s="269">
        <f t="shared" si="14"/>
        <v>-0.31607278929513083</v>
      </c>
      <c r="R25" s="269">
        <f t="shared" si="15"/>
        <v>-0.27100034871427769</v>
      </c>
      <c r="S25" s="269">
        <f t="shared" si="16"/>
        <v>-0.21764185857593343</v>
      </c>
      <c r="T25" s="269">
        <f t="shared" si="17"/>
        <v>-0.15597715512935528</v>
      </c>
      <c r="U25" s="269">
        <f t="shared" si="18"/>
        <v>-0.12687499818789838</v>
      </c>
      <c r="V25" s="269">
        <f t="shared" si="19"/>
        <v>-6.6291691190444202E-2</v>
      </c>
      <c r="W25" s="269">
        <f t="shared" si="20"/>
        <v>0</v>
      </c>
      <c r="X25" s="269">
        <f t="shared" si="21"/>
        <v>5.7751090753483725E-2</v>
      </c>
      <c r="Y25" s="269">
        <f t="shared" si="22"/>
        <v>0.11744027378419819</v>
      </c>
      <c r="Z25" s="269">
        <f t="shared" si="23"/>
        <v>0.18093342087651965</v>
      </c>
      <c r="AA25" s="269">
        <f t="shared" ref="AA25" si="25">+N25/$AC25-1</f>
        <v>0.25086723896574981</v>
      </c>
      <c r="AC25" s="276">
        <f t="shared" si="12"/>
        <v>1.6687775616507323</v>
      </c>
      <c r="AE25" s="291">
        <v>25</v>
      </c>
    </row>
    <row r="26" spans="1:31" ht="14.25" thickTop="1" thickBot="1" x14ac:dyDescent="0.25">
      <c r="A26" s="275" t="s">
        <v>483</v>
      </c>
      <c r="B26" s="277" t="e">
        <f>'POPULATION (hidden)'!N6</f>
        <v>#N/A</v>
      </c>
      <c r="C26" s="277" t="e">
        <f>'POPULATION (hidden)'!O6</f>
        <v>#N/A</v>
      </c>
      <c r="D26" s="277" t="e">
        <f>'POPULATION (hidden)'!P6</f>
        <v>#N/A</v>
      </c>
      <c r="E26" s="277" t="e">
        <f>'POPULATION (hidden)'!Q6</f>
        <v>#N/A</v>
      </c>
      <c r="F26" s="277" t="e">
        <f>'POPULATION (hidden)'!R6</f>
        <v>#N/A</v>
      </c>
      <c r="G26" s="277" t="e">
        <f>'POPULATION (hidden)'!S6</f>
        <v>#N/A</v>
      </c>
      <c r="H26" s="277" t="e">
        <f>'POPULATION (hidden)'!T6</f>
        <v>#N/A</v>
      </c>
      <c r="I26" s="277" t="e">
        <f>'POPULATION (hidden)'!U6</f>
        <v>#N/A</v>
      </c>
      <c r="J26" s="277" t="e">
        <f>'POPULATION (hidden)'!V6</f>
        <v>#N/A</v>
      </c>
      <c r="K26" s="277" t="e">
        <f>'POPULATION (hidden)'!W6</f>
        <v>#N/A</v>
      </c>
      <c r="L26" s="277" t="e">
        <f>'POPULATION (hidden)'!X6</f>
        <v>#N/A</v>
      </c>
      <c r="M26" s="277" t="e">
        <f>'POPULATION (hidden)'!Y6</f>
        <v>#N/A</v>
      </c>
      <c r="N26" s="277" t="e">
        <f>'POPULATION (hidden)'!Z6</f>
        <v>#N/A</v>
      </c>
      <c r="O26" s="288"/>
      <c r="P26" s="278" t="e">
        <f t="shared" ref="P26" si="26">C26</f>
        <v>#N/A</v>
      </c>
      <c r="Q26" s="278" t="e">
        <f t="shared" ref="Q26" si="27">D26</f>
        <v>#N/A</v>
      </c>
      <c r="R26" s="278" t="e">
        <f t="shared" ref="R26" si="28">E26</f>
        <v>#N/A</v>
      </c>
      <c r="S26" s="278" t="e">
        <f t="shared" ref="S26" si="29">F26</f>
        <v>#N/A</v>
      </c>
      <c r="T26" s="278" t="e">
        <f t="shared" ref="T26" si="30">G26</f>
        <v>#N/A</v>
      </c>
      <c r="U26" s="278" t="e">
        <f t="shared" ref="U26" si="31">H26</f>
        <v>#N/A</v>
      </c>
      <c r="V26" s="278" t="e">
        <f t="shared" ref="V26" si="32">I26</f>
        <v>#N/A</v>
      </c>
      <c r="W26" s="278" t="e">
        <f t="shared" ref="W26" si="33">J26</f>
        <v>#N/A</v>
      </c>
      <c r="X26" s="278" t="e">
        <f t="shared" ref="X26" si="34">K26</f>
        <v>#N/A</v>
      </c>
      <c r="Y26" s="278" t="e">
        <f t="shared" ref="Y26" si="35">L26</f>
        <v>#N/A</v>
      </c>
      <c r="Z26" s="278" t="e">
        <f t="shared" ref="Z26" si="36">M26</f>
        <v>#N/A</v>
      </c>
      <c r="AA26" s="278" t="e">
        <f t="shared" ref="AA26" si="37">N26</f>
        <v>#N/A</v>
      </c>
      <c r="AC26" s="277" t="e">
        <f>HLOOKUP($AD$1,B:N, AE26, 0)</f>
        <v>#N/A</v>
      </c>
      <c r="AE26" s="291">
        <v>26</v>
      </c>
    </row>
    <row r="27" spans="1:31" ht="13.5" thickTop="1" x14ac:dyDescent="0.2"/>
    <row r="28" spans="1:31" x14ac:dyDescent="0.2">
      <c r="H28" s="279"/>
    </row>
    <row r="29" spans="1:31" x14ac:dyDescent="0.2">
      <c r="H29" s="279"/>
    </row>
    <row r="30" spans="1:31" x14ac:dyDescent="0.2">
      <c r="H30" s="279"/>
    </row>
    <row r="31" spans="1:31" x14ac:dyDescent="0.2">
      <c r="H31" s="279"/>
    </row>
    <row r="34" spans="1:3" x14ac:dyDescent="0.2">
      <c r="A34" s="280"/>
      <c r="B34" s="280"/>
      <c r="C34" s="232"/>
    </row>
    <row r="35" spans="1:3" x14ac:dyDescent="0.2">
      <c r="A35" s="280"/>
      <c r="B35" s="280"/>
      <c r="C35" s="232"/>
    </row>
    <row r="36" spans="1:3" x14ac:dyDescent="0.2">
      <c r="A36" s="280"/>
      <c r="B36" s="280"/>
      <c r="C36" s="232"/>
    </row>
    <row r="37" spans="1:3" x14ac:dyDescent="0.2">
      <c r="A37" s="281"/>
      <c r="B37" s="281"/>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60061-FF2D-4BC4-A160-EF41D134DB97}">
  <sheetPr codeName="Sheet29"/>
  <dimension ref="A1:Z23"/>
  <sheetViews>
    <sheetView topLeftCell="D1" workbookViewId="0">
      <selection activeCell="E6" sqref="E6"/>
    </sheetView>
  </sheetViews>
  <sheetFormatPr defaultRowHeight="15" x14ac:dyDescent="0.25"/>
  <cols>
    <col min="1" max="1" width="17.5703125" style="84" hidden="1" customWidth="1"/>
    <col min="2" max="2" width="15.5703125" style="32" hidden="1" customWidth="1"/>
    <col min="3" max="3" width="9.140625" hidden="1" customWidth="1"/>
    <col min="4" max="4" width="40.140625" bestFit="1" customWidth="1"/>
    <col min="5" max="5" width="10.85546875" bestFit="1" customWidth="1"/>
    <col min="6" max="25" width="11.28515625" customWidth="1"/>
    <col min="26" max="26" width="10.85546875" bestFit="1" customWidth="1"/>
    <col min="28" max="28" width="9.85546875" bestFit="1" customWidth="1"/>
  </cols>
  <sheetData>
    <row r="1" spans="1:26" ht="15.75" x14ac:dyDescent="0.25">
      <c r="D1" s="24" t="s">
        <v>431</v>
      </c>
      <c r="E1" s="2"/>
      <c r="F1" s="2"/>
      <c r="G1" s="2"/>
      <c r="H1" s="2"/>
      <c r="I1" s="2"/>
      <c r="J1" s="2"/>
      <c r="K1" s="3"/>
      <c r="L1" s="3"/>
    </row>
    <row r="3" spans="1:26" x14ac:dyDescent="0.25">
      <c r="D3" s="25" t="s">
        <v>432</v>
      </c>
      <c r="E3" s="1"/>
      <c r="F3" s="1"/>
      <c r="G3" s="1"/>
      <c r="H3" s="1"/>
      <c r="I3" s="1"/>
      <c r="J3" s="2"/>
      <c r="K3" s="3"/>
      <c r="L3" s="3"/>
      <c r="M3" s="3"/>
      <c r="N3" s="3"/>
      <c r="O3" s="3"/>
      <c r="P3" s="3"/>
      <c r="Q3" s="3"/>
      <c r="R3" s="3"/>
      <c r="S3" s="3"/>
      <c r="T3" s="3"/>
      <c r="U3" s="3"/>
      <c r="V3" s="3"/>
      <c r="W3" s="3"/>
      <c r="X3" s="3"/>
      <c r="Y3" s="3"/>
    </row>
    <row r="4" spans="1:26" ht="15.75" thickBot="1" x14ac:dyDescent="0.3">
      <c r="D4" s="3"/>
      <c r="E4" s="3"/>
      <c r="F4" s="3"/>
      <c r="G4" s="3"/>
      <c r="H4" s="3"/>
      <c r="I4" s="3"/>
      <c r="J4" s="4"/>
      <c r="K4" s="3"/>
      <c r="L4" s="3"/>
      <c r="M4" s="3"/>
      <c r="N4" s="3"/>
      <c r="O4" s="3"/>
      <c r="P4" s="3"/>
      <c r="Q4" s="3"/>
      <c r="R4" s="3"/>
      <c r="S4" s="3"/>
      <c r="T4" s="3"/>
      <c r="U4" s="3"/>
      <c r="V4" s="3"/>
      <c r="W4" s="3"/>
      <c r="X4" s="3"/>
      <c r="Y4" s="3"/>
    </row>
    <row r="5" spans="1:26" ht="16.5" thickTop="1" thickBot="1" x14ac:dyDescent="0.3">
      <c r="D5" s="4"/>
      <c r="E5" s="5">
        <v>2005</v>
      </c>
      <c r="F5" s="5">
        <v>2006</v>
      </c>
      <c r="G5" s="5">
        <v>2007</v>
      </c>
      <c r="H5" s="5">
        <v>2008</v>
      </c>
      <c r="I5" s="5">
        <v>2009</v>
      </c>
      <c r="J5" s="5">
        <v>2010</v>
      </c>
      <c r="K5" s="20">
        <v>2011</v>
      </c>
      <c r="L5" s="21">
        <v>2012</v>
      </c>
      <c r="M5" s="21">
        <v>2013</v>
      </c>
      <c r="N5" s="21">
        <v>2014</v>
      </c>
      <c r="O5" s="21">
        <v>2015</v>
      </c>
      <c r="P5" s="21">
        <v>2016</v>
      </c>
      <c r="Q5" s="21">
        <v>2017</v>
      </c>
      <c r="R5" s="21">
        <v>2018</v>
      </c>
      <c r="S5" s="21">
        <v>2019</v>
      </c>
      <c r="T5" s="6">
        <v>2020</v>
      </c>
      <c r="U5" s="6">
        <v>2021</v>
      </c>
      <c r="V5" s="6">
        <v>2022</v>
      </c>
      <c r="W5" s="6">
        <v>2023</v>
      </c>
      <c r="X5" s="6">
        <v>2024</v>
      </c>
      <c r="Y5" s="6">
        <v>2025</v>
      </c>
      <c r="Z5" s="6">
        <v>2026</v>
      </c>
    </row>
    <row r="6" spans="1:26" ht="15.75" thickTop="1" x14ac:dyDescent="0.25">
      <c r="A6" s="84" t="str">
        <f>"pop_total"&amp;"_"&amp;'0. GUIDELINES'!E3</f>
        <v>pop_total_BGD</v>
      </c>
      <c r="C6" s="93" t="s">
        <v>433</v>
      </c>
      <c r="D6" s="61" t="s">
        <v>434</v>
      </c>
      <c r="E6" s="7" t="e" cm="1">
        <f t="array" ref="E6">_xlfn.XLOOKUP(1, ('0. GUIDELINES'!$E$3='[1]input-mpo'!$A:$A) * (E$5='[1]input-mpo'!$B:$B) * ($C6='[1]input-mpo'!$C:$C), '[1]input-mpo'!$D:$D)</f>
        <v>#N/A</v>
      </c>
      <c r="F6" s="7" t="e" cm="1">
        <f t="array" ref="F6">_xlfn.XLOOKUP(1, ('0. GUIDELINES'!$E$3='[1]input-mpo'!$A:$A) * (F$5='[1]input-mpo'!$B:$B) * ($C6='[1]input-mpo'!$C:$C), '[1]input-mpo'!$D:$D)</f>
        <v>#N/A</v>
      </c>
      <c r="G6" s="7" t="e" cm="1">
        <f t="array" ref="G6">_xlfn.XLOOKUP(1, ('0. GUIDELINES'!$E$3='[1]input-mpo'!$A:$A) * (G$5='[1]input-mpo'!$B:$B) * ($C6='[1]input-mpo'!$C:$C), '[1]input-mpo'!$D:$D)</f>
        <v>#N/A</v>
      </c>
      <c r="H6" s="7" t="e" cm="1">
        <f t="array" ref="H6">_xlfn.XLOOKUP(1, ('0. GUIDELINES'!$E$3='[1]input-mpo'!$A:$A) * (H$5='[1]input-mpo'!$B:$B) * ($C6='[1]input-mpo'!$C:$C), '[1]input-mpo'!$D:$D)</f>
        <v>#N/A</v>
      </c>
      <c r="I6" s="7" t="e" cm="1">
        <f t="array" ref="I6">_xlfn.XLOOKUP(1, ('0. GUIDELINES'!$E$3='[1]input-mpo'!$A:$A) * (I$5='[1]input-mpo'!$B:$B) * ($C6='[1]input-mpo'!$C:$C), '[1]input-mpo'!$D:$D)</f>
        <v>#N/A</v>
      </c>
      <c r="J6" s="7" t="e" cm="1">
        <f t="array" ref="J6">_xlfn.XLOOKUP(1, ('0. GUIDELINES'!$E$3='[1]input-mpo'!$A:$A) * (J$5='[1]input-mpo'!$B:$B) * ($C6='[1]input-mpo'!$C:$C), '[1]input-mpo'!$D:$D)</f>
        <v>#N/A</v>
      </c>
      <c r="K6" s="7" t="e" cm="1">
        <f t="array" ref="K6">_xlfn.XLOOKUP(1, ('0. GUIDELINES'!$E$3='[1]input-mpo'!$A:$A) * (K$5='[1]input-mpo'!$B:$B) * ($C6='[1]input-mpo'!$C:$C), '[1]input-mpo'!$D:$D)</f>
        <v>#N/A</v>
      </c>
      <c r="L6" s="7" t="e" cm="1">
        <f t="array" ref="L6">_xlfn.XLOOKUP(1, ('0. GUIDELINES'!$E$3='[1]input-mpo'!$A:$A) * (L$5='[1]input-mpo'!$B:$B) * ($C6='[1]input-mpo'!$C:$C), '[1]input-mpo'!$D:$D)</f>
        <v>#N/A</v>
      </c>
      <c r="M6" s="7" t="e" cm="1">
        <f t="array" ref="M6">_xlfn.XLOOKUP(1, ('0. GUIDELINES'!$E$3='[1]input-mpo'!$A:$A) * (M$5='[1]input-mpo'!$B:$B) * ($C6='[1]input-mpo'!$C:$C), '[1]input-mpo'!$D:$D)</f>
        <v>#N/A</v>
      </c>
      <c r="N6" s="7" t="e" cm="1">
        <f t="array" ref="N6">_xlfn.XLOOKUP(1, ('0. GUIDELINES'!$E$3='[1]input-mpo'!$A:$A) * (N$5='[1]input-mpo'!$B:$B) * ($C6='[1]input-mpo'!$C:$C), '[1]input-mpo'!$D:$D)</f>
        <v>#N/A</v>
      </c>
      <c r="O6" s="7" t="e" cm="1">
        <f t="array" ref="O6">_xlfn.XLOOKUP(1, ('0. GUIDELINES'!$E$3='[1]input-mpo'!$A:$A) * (O$5='[1]input-mpo'!$B:$B) * ($C6='[1]input-mpo'!$C:$C), '[1]input-mpo'!$D:$D)</f>
        <v>#N/A</v>
      </c>
      <c r="P6" s="7" t="e" cm="1">
        <f t="array" ref="P6">_xlfn.XLOOKUP(1, ('0. GUIDELINES'!$E$3='[1]input-mpo'!$A:$A) * (P$5='[1]input-mpo'!$B:$B) * ($C6='[1]input-mpo'!$C:$C), '[1]input-mpo'!$D:$D)</f>
        <v>#N/A</v>
      </c>
      <c r="Q6" s="7" t="e" cm="1">
        <f t="array" ref="Q6">_xlfn.XLOOKUP(1, ('0. GUIDELINES'!$E$3='[1]input-mpo'!$A:$A) * (Q$5='[1]input-mpo'!$B:$B) * ($C6='[1]input-mpo'!$C:$C), '[1]input-mpo'!$D:$D)</f>
        <v>#N/A</v>
      </c>
      <c r="R6" s="7" t="e" cm="1">
        <f t="array" ref="R6">_xlfn.XLOOKUP(1, ('0. GUIDELINES'!$E$3='[1]input-mpo'!$A:$A) * (R$5='[1]input-mpo'!$B:$B) * ($C6='[1]input-mpo'!$C:$C), '[1]input-mpo'!$D:$D)</f>
        <v>#N/A</v>
      </c>
      <c r="S6" s="7" t="e" cm="1">
        <f t="array" ref="S6">_xlfn.XLOOKUP(1, ('0. GUIDELINES'!$E$3='[1]input-mpo'!$A:$A) * (S$5='[1]input-mpo'!$B:$B) * ($C6='[1]input-mpo'!$C:$C), '[1]input-mpo'!$D:$D)</f>
        <v>#N/A</v>
      </c>
      <c r="T6" s="7" t="e" cm="1">
        <f t="array" ref="T6">_xlfn.XLOOKUP(1, ('0. GUIDELINES'!$E$3='[1]input-mpo'!$A:$A) * (T$5='[1]input-mpo'!$B:$B) * ($C6='[1]input-mpo'!$C:$C), '[1]input-mpo'!$D:$D)</f>
        <v>#N/A</v>
      </c>
      <c r="U6" s="7" t="e" cm="1">
        <f t="array" ref="U6">_xlfn.XLOOKUP(1, ('0. GUIDELINES'!$E$3='[1]input-mpo'!$A:$A) * (U$5='[1]input-mpo'!$B:$B) * ($C6='[1]input-mpo'!$C:$C), '[1]input-mpo'!$D:$D)</f>
        <v>#N/A</v>
      </c>
      <c r="V6" s="7" t="e" cm="1">
        <f t="array" ref="V6">_xlfn.XLOOKUP(1, ('0. GUIDELINES'!$E$3='[1]input-mpo'!$A:$A) * (V$5='[1]input-mpo'!$B:$B) * ($C6='[1]input-mpo'!$C:$C), '[1]input-mpo'!$D:$D)</f>
        <v>#N/A</v>
      </c>
      <c r="W6" s="7" t="e" cm="1">
        <f t="array" ref="W6">_xlfn.XLOOKUP(1, ('0. GUIDELINES'!$E$3='[1]input-mpo'!$A:$A) * (W$5='[1]input-mpo'!$B:$B) * ($C6='[1]input-mpo'!$C:$C), '[1]input-mpo'!$D:$D)</f>
        <v>#N/A</v>
      </c>
      <c r="X6" s="7" t="e" cm="1">
        <f t="array" ref="X6">_xlfn.XLOOKUP(1, ('0. GUIDELINES'!$E$3='[1]input-mpo'!$A:$A) * (X$5='[1]input-mpo'!$B:$B) * ($C6='[1]input-mpo'!$C:$C), '[1]input-mpo'!$D:$D)</f>
        <v>#N/A</v>
      </c>
      <c r="Y6" s="7" t="e" cm="1">
        <f t="array" ref="Y6">_xlfn.XLOOKUP(1, ('0. GUIDELINES'!$E$3='[1]input-mpo'!$A:$A) * (Y$5='[1]input-mpo'!$B:$B) * ($C6='[1]input-mpo'!$C:$C), '[1]input-mpo'!$D:$D)</f>
        <v>#N/A</v>
      </c>
      <c r="Z6" s="7" t="e" cm="1">
        <f t="array" ref="Z6">_xlfn.XLOOKUP(1, ('0. GUIDELINES'!$E$3='[1]input-mpo'!$A:$A) * (Z$5='[1]input-mpo'!$B:$B) * ($C6='[1]input-mpo'!$C:$C), '[1]input-mpo'!$D:$D)</f>
        <v>#N/A</v>
      </c>
    </row>
    <row r="7" spans="1:26" s="62" customFormat="1" ht="15.75" thickBot="1" x14ac:dyDescent="0.3">
      <c r="A7" s="85"/>
      <c r="D7" s="49" t="s">
        <v>435</v>
      </c>
      <c r="E7" s="63" t="e">
        <f>+(E6/#REF!-1)*100</f>
        <v>#N/A</v>
      </c>
      <c r="F7" s="63" t="e">
        <f t="shared" ref="F7:Z7" si="0">+(F6/E6-1)*100</f>
        <v>#N/A</v>
      </c>
      <c r="G7" s="63" t="e">
        <f t="shared" si="0"/>
        <v>#N/A</v>
      </c>
      <c r="H7" s="63" t="e">
        <f t="shared" si="0"/>
        <v>#N/A</v>
      </c>
      <c r="I7" s="63" t="e">
        <f t="shared" si="0"/>
        <v>#N/A</v>
      </c>
      <c r="J7" s="63" t="e">
        <f t="shared" si="0"/>
        <v>#N/A</v>
      </c>
      <c r="K7" s="63" t="e">
        <f t="shared" si="0"/>
        <v>#N/A</v>
      </c>
      <c r="L7" s="63" t="e">
        <f t="shared" si="0"/>
        <v>#N/A</v>
      </c>
      <c r="M7" s="63" t="e">
        <f t="shared" si="0"/>
        <v>#N/A</v>
      </c>
      <c r="N7" s="63" t="e">
        <f t="shared" si="0"/>
        <v>#N/A</v>
      </c>
      <c r="O7" s="63" t="e">
        <f t="shared" si="0"/>
        <v>#N/A</v>
      </c>
      <c r="P7" s="63" t="e">
        <f t="shared" si="0"/>
        <v>#N/A</v>
      </c>
      <c r="Q7" s="63" t="e">
        <f t="shared" si="0"/>
        <v>#N/A</v>
      </c>
      <c r="R7" s="63" t="e">
        <f t="shared" si="0"/>
        <v>#N/A</v>
      </c>
      <c r="S7" s="63" t="e">
        <f t="shared" si="0"/>
        <v>#N/A</v>
      </c>
      <c r="T7" s="63" t="e">
        <f t="shared" si="0"/>
        <v>#N/A</v>
      </c>
      <c r="U7" s="63" t="e">
        <f t="shared" si="0"/>
        <v>#N/A</v>
      </c>
      <c r="V7" s="63" t="e">
        <f t="shared" si="0"/>
        <v>#N/A</v>
      </c>
      <c r="W7" s="63" t="e">
        <f t="shared" si="0"/>
        <v>#N/A</v>
      </c>
      <c r="X7" s="63" t="e">
        <f t="shared" si="0"/>
        <v>#N/A</v>
      </c>
      <c r="Y7" s="63" t="e">
        <f t="shared" si="0"/>
        <v>#N/A</v>
      </c>
      <c r="Z7" s="63" t="e">
        <f t="shared" si="0"/>
        <v>#N/A</v>
      </c>
    </row>
    <row r="8" spans="1:26" ht="15.75" thickTop="1" x14ac:dyDescent="0.25">
      <c r="A8" s="84" t="str">
        <f>"pop_1564"&amp;"_"&amp;'0. GUIDELINES'!E3</f>
        <v>pop_1564_BGD</v>
      </c>
      <c r="C8" s="93" t="s">
        <v>289</v>
      </c>
      <c r="D8" s="26" t="s">
        <v>436</v>
      </c>
      <c r="E8" s="7" t="e" cm="1">
        <f t="array" ref="E8">_xlfn.XLOOKUP(1, ('0. GUIDELINES'!$E$3='[1]input-mpo'!$A:$A) * (E$5='[1]input-mpo'!$B:$B) * ($C8='[1]input-mpo'!$C:$C), '[1]input-mpo'!$D:$D)</f>
        <v>#N/A</v>
      </c>
      <c r="F8" s="7" t="e" cm="1">
        <f t="array" ref="F8">_xlfn.XLOOKUP(1, ('0. GUIDELINES'!$E$3='[1]input-mpo'!$A:$A) * (F$5='[1]input-mpo'!$B:$B) * ($C8='[1]input-mpo'!$C:$C), '[1]input-mpo'!$D:$D)</f>
        <v>#N/A</v>
      </c>
      <c r="G8" s="7" t="e" cm="1">
        <f t="array" ref="G8">_xlfn.XLOOKUP(1, ('0. GUIDELINES'!$E$3='[1]input-mpo'!$A:$A) * (G$5='[1]input-mpo'!$B:$B) * ($C8='[1]input-mpo'!$C:$C), '[1]input-mpo'!$D:$D)</f>
        <v>#N/A</v>
      </c>
      <c r="H8" s="7" t="e" cm="1">
        <f t="array" ref="H8">_xlfn.XLOOKUP(1, ('0. GUIDELINES'!$E$3='[1]input-mpo'!$A:$A) * (H$5='[1]input-mpo'!$B:$B) * ($C8='[1]input-mpo'!$C:$C), '[1]input-mpo'!$D:$D)</f>
        <v>#N/A</v>
      </c>
      <c r="I8" s="7" t="e" cm="1">
        <f t="array" ref="I8">_xlfn.XLOOKUP(1, ('0. GUIDELINES'!$E$3='[1]input-mpo'!$A:$A) * (I$5='[1]input-mpo'!$B:$B) * ($C8='[1]input-mpo'!$C:$C), '[1]input-mpo'!$D:$D)</f>
        <v>#N/A</v>
      </c>
      <c r="J8" s="7" t="e" cm="1">
        <f t="array" ref="J8">_xlfn.XLOOKUP(1, ('0. GUIDELINES'!$E$3='[1]input-mpo'!$A:$A) * (J$5='[1]input-mpo'!$B:$B) * ($C8='[1]input-mpo'!$C:$C), '[1]input-mpo'!$D:$D)</f>
        <v>#N/A</v>
      </c>
      <c r="K8" s="7" t="e" cm="1">
        <f t="array" ref="K8">_xlfn.XLOOKUP(1, ('0. GUIDELINES'!$E$3='[1]input-mpo'!$A:$A) * (K$5='[1]input-mpo'!$B:$B) * ($C8='[1]input-mpo'!$C:$C), '[1]input-mpo'!$D:$D)</f>
        <v>#N/A</v>
      </c>
      <c r="L8" s="7" t="e" cm="1">
        <f t="array" ref="L8">_xlfn.XLOOKUP(1, ('0. GUIDELINES'!$E$3='[1]input-mpo'!$A:$A) * (L$5='[1]input-mpo'!$B:$B) * ($C8='[1]input-mpo'!$C:$C), '[1]input-mpo'!$D:$D)</f>
        <v>#N/A</v>
      </c>
      <c r="M8" s="7" t="e" cm="1">
        <f t="array" ref="M8">_xlfn.XLOOKUP(1, ('0. GUIDELINES'!$E$3='[1]input-mpo'!$A:$A) * (M$5='[1]input-mpo'!$B:$B) * ($C8='[1]input-mpo'!$C:$C), '[1]input-mpo'!$D:$D)</f>
        <v>#N/A</v>
      </c>
      <c r="N8" s="7" t="e" cm="1">
        <f t="array" ref="N8">_xlfn.XLOOKUP(1, ('0. GUIDELINES'!$E$3='[1]input-mpo'!$A:$A) * (N$5='[1]input-mpo'!$B:$B) * ($C8='[1]input-mpo'!$C:$C), '[1]input-mpo'!$D:$D)</f>
        <v>#N/A</v>
      </c>
      <c r="O8" s="7" t="e" cm="1">
        <f t="array" ref="O8">_xlfn.XLOOKUP(1, ('0. GUIDELINES'!$E$3='[1]input-mpo'!$A:$A) * (O$5='[1]input-mpo'!$B:$B) * ($C8='[1]input-mpo'!$C:$C), '[1]input-mpo'!$D:$D)</f>
        <v>#N/A</v>
      </c>
      <c r="P8" s="7" t="e" cm="1">
        <f t="array" ref="P8">_xlfn.XLOOKUP(1, ('0. GUIDELINES'!$E$3='[1]input-mpo'!$A:$A) * (P$5='[1]input-mpo'!$B:$B) * ($C8='[1]input-mpo'!$C:$C), '[1]input-mpo'!$D:$D)</f>
        <v>#N/A</v>
      </c>
      <c r="Q8" s="7" t="e" cm="1">
        <f t="array" ref="Q8">_xlfn.XLOOKUP(1, ('0. GUIDELINES'!$E$3='[1]input-mpo'!$A:$A) * (Q$5='[1]input-mpo'!$B:$B) * ($C8='[1]input-mpo'!$C:$C), '[1]input-mpo'!$D:$D)</f>
        <v>#N/A</v>
      </c>
      <c r="R8" s="7" t="e" cm="1">
        <f t="array" ref="R8">_xlfn.XLOOKUP(1, ('0. GUIDELINES'!$E$3='[1]input-mpo'!$A:$A) * (R$5='[1]input-mpo'!$B:$B) * ($C8='[1]input-mpo'!$C:$C), '[1]input-mpo'!$D:$D)</f>
        <v>#N/A</v>
      </c>
      <c r="S8" s="7" t="e" cm="1">
        <f t="array" ref="S8">_xlfn.XLOOKUP(1, ('0. GUIDELINES'!$E$3='[1]input-mpo'!$A:$A) * (S$5='[1]input-mpo'!$B:$B) * ($C8='[1]input-mpo'!$C:$C), '[1]input-mpo'!$D:$D)</f>
        <v>#N/A</v>
      </c>
      <c r="T8" s="7" t="e" cm="1">
        <f t="array" ref="T8">_xlfn.XLOOKUP(1, ('0. GUIDELINES'!$E$3='[1]input-mpo'!$A:$A) * (T$5='[1]input-mpo'!$B:$B) * ($C8='[1]input-mpo'!$C:$C), '[1]input-mpo'!$D:$D)</f>
        <v>#N/A</v>
      </c>
      <c r="U8" s="7" t="e" cm="1">
        <f t="array" ref="U8">_xlfn.XLOOKUP(1, ('0. GUIDELINES'!$E$3='[1]input-mpo'!$A:$A) * (U$5='[1]input-mpo'!$B:$B) * ($C8='[1]input-mpo'!$C:$C), '[1]input-mpo'!$D:$D)</f>
        <v>#N/A</v>
      </c>
      <c r="V8" s="7" t="e" cm="1">
        <f t="array" ref="V8">_xlfn.XLOOKUP(1, ('0. GUIDELINES'!$E$3='[1]input-mpo'!$A:$A) * (V$5='[1]input-mpo'!$B:$B) * ($C8='[1]input-mpo'!$C:$C), '[1]input-mpo'!$D:$D)</f>
        <v>#N/A</v>
      </c>
      <c r="W8" s="7" t="e" cm="1">
        <f t="array" ref="W8">_xlfn.XLOOKUP(1, ('0. GUIDELINES'!$E$3='[1]input-mpo'!$A:$A) * (W$5='[1]input-mpo'!$B:$B) * ($C8='[1]input-mpo'!$C:$C), '[1]input-mpo'!$D:$D)</f>
        <v>#N/A</v>
      </c>
      <c r="X8" s="7" t="e" cm="1">
        <f t="array" ref="X8">_xlfn.XLOOKUP(1, ('0. GUIDELINES'!$E$3='[1]input-mpo'!$A:$A) * (X$5='[1]input-mpo'!$B:$B) * ($C8='[1]input-mpo'!$C:$C), '[1]input-mpo'!$D:$D)</f>
        <v>#N/A</v>
      </c>
      <c r="Y8" s="7" t="e" cm="1">
        <f t="array" ref="Y8">_xlfn.XLOOKUP(1, ('0. GUIDELINES'!$E$3='[1]input-mpo'!$A:$A) * (Y$5='[1]input-mpo'!$B:$B) * ($C8='[1]input-mpo'!$C:$C), '[1]input-mpo'!$D:$D)</f>
        <v>#N/A</v>
      </c>
      <c r="Z8" s="7" t="e" cm="1">
        <f t="array" ref="Z8">_xlfn.XLOOKUP(1, ('0. GUIDELINES'!$E$3='[1]input-mpo'!$A:$A) * (Z$5='[1]input-mpo'!$B:$B) * ($C8='[1]input-mpo'!$C:$C), '[1]input-mpo'!$D:$D)</f>
        <v>#N/A</v>
      </c>
    </row>
    <row r="9" spans="1:26" s="62" customFormat="1" ht="15" customHeight="1" thickBot="1" x14ac:dyDescent="0.3">
      <c r="A9" s="85"/>
      <c r="D9" s="64" t="s">
        <v>437</v>
      </c>
      <c r="E9" s="63" t="e">
        <f>+(E8/#REF!-1)*100</f>
        <v>#N/A</v>
      </c>
      <c r="F9" s="63" t="e">
        <f t="shared" ref="F9:K9" si="1">+(F8/E8-1)*100</f>
        <v>#N/A</v>
      </c>
      <c r="G9" s="63" t="e">
        <f t="shared" si="1"/>
        <v>#N/A</v>
      </c>
      <c r="H9" s="63" t="e">
        <f t="shared" si="1"/>
        <v>#N/A</v>
      </c>
      <c r="I9" s="63" t="e">
        <f t="shared" si="1"/>
        <v>#N/A</v>
      </c>
      <c r="J9" s="63" t="e">
        <f t="shared" si="1"/>
        <v>#N/A</v>
      </c>
      <c r="K9" s="63" t="e">
        <f t="shared" si="1"/>
        <v>#N/A</v>
      </c>
      <c r="L9" s="63" t="e">
        <f t="shared" ref="L9:Y9" si="2">+(L8/K8-1)*100</f>
        <v>#N/A</v>
      </c>
      <c r="M9" s="63" t="e">
        <f t="shared" si="2"/>
        <v>#N/A</v>
      </c>
      <c r="N9" s="63" t="e">
        <f t="shared" si="2"/>
        <v>#N/A</v>
      </c>
      <c r="O9" s="63" t="e">
        <f t="shared" si="2"/>
        <v>#N/A</v>
      </c>
      <c r="P9" s="63" t="e">
        <f t="shared" si="2"/>
        <v>#N/A</v>
      </c>
      <c r="Q9" s="63" t="e">
        <f>+(Q8/P8-1)*100</f>
        <v>#N/A</v>
      </c>
      <c r="R9" s="63" t="e">
        <f t="shared" si="2"/>
        <v>#N/A</v>
      </c>
      <c r="S9" s="63" t="e">
        <f t="shared" si="2"/>
        <v>#N/A</v>
      </c>
      <c r="T9" s="63" t="e">
        <f t="shared" si="2"/>
        <v>#N/A</v>
      </c>
      <c r="U9" s="63" t="e">
        <f t="shared" si="2"/>
        <v>#N/A</v>
      </c>
      <c r="V9" s="63" t="e">
        <f t="shared" si="2"/>
        <v>#N/A</v>
      </c>
      <c r="W9" s="63" t="e">
        <f t="shared" si="2"/>
        <v>#N/A</v>
      </c>
      <c r="X9" s="63" t="e">
        <f t="shared" si="2"/>
        <v>#N/A</v>
      </c>
      <c r="Y9" s="63" t="e">
        <f t="shared" si="2"/>
        <v>#N/A</v>
      </c>
      <c r="Z9" s="63" t="e">
        <f>+Z7</f>
        <v>#N/A</v>
      </c>
    </row>
    <row r="10" spans="1:26" ht="15.75" thickTop="1" x14ac:dyDescent="0.25">
      <c r="D10" s="4"/>
      <c r="E10" s="4"/>
      <c r="F10" s="4"/>
      <c r="G10" s="4"/>
      <c r="H10" s="4"/>
      <c r="I10" s="4"/>
      <c r="J10" s="4"/>
      <c r="K10" s="3"/>
      <c r="L10" s="3"/>
      <c r="M10" s="3"/>
      <c r="N10" s="3"/>
      <c r="O10" s="3"/>
      <c r="P10" s="3"/>
      <c r="Q10" s="3"/>
      <c r="R10" s="3"/>
      <c r="S10" s="3"/>
      <c r="T10" s="3"/>
      <c r="U10" s="3"/>
      <c r="V10" s="3"/>
      <c r="W10" s="3"/>
      <c r="X10" s="3"/>
      <c r="Y10" s="3"/>
    </row>
    <row r="12" spans="1:26" x14ac:dyDescent="0.25">
      <c r="D12" s="25" t="s">
        <v>479</v>
      </c>
      <c r="E12" s="1"/>
      <c r="F12" s="1"/>
      <c r="G12" s="1"/>
      <c r="H12" s="1"/>
      <c r="I12" s="1"/>
      <c r="J12" s="2"/>
      <c r="K12" s="3"/>
      <c r="L12" s="3"/>
      <c r="M12" s="3"/>
      <c r="N12" s="3"/>
      <c r="O12" s="3"/>
      <c r="P12" s="3"/>
      <c r="Q12" s="3"/>
      <c r="R12" s="3"/>
      <c r="S12" s="3"/>
      <c r="T12" s="3"/>
      <c r="U12" s="3"/>
      <c r="V12" s="3"/>
      <c r="W12" s="3"/>
      <c r="X12" s="3"/>
      <c r="Y12" s="3"/>
    </row>
    <row r="13" spans="1:26" ht="15.75" thickBot="1" x14ac:dyDescent="0.3">
      <c r="D13" s="3"/>
      <c r="E13" s="3"/>
      <c r="F13" s="3"/>
      <c r="G13" s="3"/>
      <c r="H13" s="3"/>
      <c r="I13" s="3"/>
      <c r="J13" s="4"/>
      <c r="K13" s="3"/>
      <c r="L13" s="3"/>
      <c r="M13" s="3"/>
      <c r="N13" s="3"/>
      <c r="O13" s="3"/>
      <c r="P13" s="3"/>
      <c r="Q13" s="3"/>
      <c r="R13" s="3"/>
      <c r="S13" s="3"/>
      <c r="T13" s="3"/>
      <c r="U13" s="3"/>
      <c r="V13" s="3"/>
      <c r="W13" s="3"/>
      <c r="X13" s="3"/>
      <c r="Y13" s="3"/>
    </row>
    <row r="14" spans="1:26" ht="16.5" thickTop="1" thickBot="1" x14ac:dyDescent="0.3">
      <c r="D14" s="4"/>
      <c r="E14" s="5">
        <v>2005</v>
      </c>
      <c r="F14" s="5">
        <v>2006</v>
      </c>
      <c r="G14" s="5">
        <v>2007</v>
      </c>
      <c r="H14" s="5">
        <v>2008</v>
      </c>
      <c r="I14" s="5">
        <v>2009</v>
      </c>
      <c r="J14" s="5">
        <v>2010</v>
      </c>
      <c r="K14" s="20">
        <v>2011</v>
      </c>
      <c r="L14" s="21">
        <v>2012</v>
      </c>
      <c r="M14" s="21">
        <v>2013</v>
      </c>
      <c r="N14" s="21">
        <v>2014</v>
      </c>
      <c r="O14" s="21">
        <v>2015</v>
      </c>
      <c r="P14" s="21">
        <v>2016</v>
      </c>
      <c r="Q14" s="21">
        <v>2017</v>
      </c>
      <c r="R14" s="21">
        <v>2018</v>
      </c>
      <c r="S14" s="21">
        <v>2019</v>
      </c>
      <c r="T14" s="6">
        <v>2020</v>
      </c>
      <c r="U14" s="6">
        <v>2021</v>
      </c>
      <c r="V14" s="6">
        <v>2022</v>
      </c>
      <c r="W14" s="6">
        <v>2023</v>
      </c>
      <c r="X14" s="6">
        <v>2024</v>
      </c>
      <c r="Y14" s="6">
        <v>2025</v>
      </c>
      <c r="Z14" s="6">
        <v>2026</v>
      </c>
    </row>
    <row r="15" spans="1:26" ht="15.75" thickTop="1" x14ac:dyDescent="0.25">
      <c r="C15" s="95" t="s">
        <v>138</v>
      </c>
      <c r="D15" s="61" t="s">
        <v>434</v>
      </c>
      <c r="E15" s="7" t="e" cm="1">
        <f t="array" ref="E15">_xlfn.XLOOKUP(1, ('0. GUIDELINES'!$E$3='[1]input-labor'!$A:$A) * (E$5='[1]input-labor'!$B:$B) * ($C15='[1]input-labor'!$C:$C), '[1]input-labor'!$D:$D)</f>
        <v>#N/A</v>
      </c>
      <c r="F15" s="7" t="e" cm="1">
        <f t="array" ref="F15">_xlfn.XLOOKUP(1, ('0. GUIDELINES'!$E$3='[1]input-labor'!$A:$A) * (F$5='[1]input-labor'!$B:$B) * ($C15='[1]input-labor'!$C:$C), '[1]input-labor'!$D:$D)</f>
        <v>#N/A</v>
      </c>
      <c r="G15" s="7" t="e" cm="1">
        <f t="array" ref="G15">_xlfn.XLOOKUP(1, ('0. GUIDELINES'!$E$3='[1]input-labor'!$A:$A) * (G$5='[1]input-labor'!$B:$B) * ($C15='[1]input-labor'!$C:$C), '[1]input-labor'!$D:$D)</f>
        <v>#N/A</v>
      </c>
      <c r="H15" s="7" t="e" cm="1">
        <f t="array" ref="H15">_xlfn.XLOOKUP(1, ('0. GUIDELINES'!$E$3='[1]input-labor'!$A:$A) * (H$5='[1]input-labor'!$B:$B) * ($C15='[1]input-labor'!$C:$C), '[1]input-labor'!$D:$D)</f>
        <v>#N/A</v>
      </c>
      <c r="I15" s="7" t="e" cm="1">
        <f t="array" ref="I15">_xlfn.XLOOKUP(1, ('0. GUIDELINES'!$E$3='[1]input-labor'!$A:$A) * (I$5='[1]input-labor'!$B:$B) * ($C15='[1]input-labor'!$C:$C), '[1]input-labor'!$D:$D)</f>
        <v>#N/A</v>
      </c>
      <c r="J15" s="7" t="e" cm="1">
        <f t="array" ref="J15">_xlfn.XLOOKUP(1, ('0. GUIDELINES'!$E$3='[1]input-labor'!$A:$A) * (J$5='[1]input-labor'!$B:$B) * ($C15='[1]input-labor'!$C:$C), '[1]input-labor'!$D:$D)</f>
        <v>#N/A</v>
      </c>
      <c r="K15" s="7" t="e" cm="1">
        <f t="array" ref="K15">_xlfn.XLOOKUP(1, ('0. GUIDELINES'!$E$3='[1]input-labor'!$A:$A) * (K$5='[1]input-labor'!$B:$B) * ($C15='[1]input-labor'!$C:$C), '[1]input-labor'!$D:$D)</f>
        <v>#N/A</v>
      </c>
      <c r="L15" s="7" t="e" cm="1">
        <f t="array" ref="L15">_xlfn.XLOOKUP(1, ('0. GUIDELINES'!$E$3='[1]input-labor'!$A:$A) * (L$5='[1]input-labor'!$B:$B) * ($C15='[1]input-labor'!$C:$C), '[1]input-labor'!$D:$D)</f>
        <v>#N/A</v>
      </c>
      <c r="M15" s="7" t="e" cm="1">
        <f t="array" ref="M15">_xlfn.XLOOKUP(1, ('0. GUIDELINES'!$E$3='[1]input-labor'!$A:$A) * (M$5='[1]input-labor'!$B:$B) * ($C15='[1]input-labor'!$C:$C), '[1]input-labor'!$D:$D)</f>
        <v>#N/A</v>
      </c>
      <c r="N15" s="7" t="e" cm="1">
        <f t="array" ref="N15">_xlfn.XLOOKUP(1, ('0. GUIDELINES'!$E$3='[1]input-labor'!$A:$A) * (N$5='[1]input-labor'!$B:$B) * ($C15='[1]input-labor'!$C:$C), '[1]input-labor'!$D:$D)</f>
        <v>#N/A</v>
      </c>
      <c r="O15" s="7" t="e" cm="1">
        <f t="array" ref="O15">_xlfn.XLOOKUP(1, ('0. GUIDELINES'!$E$3='[1]input-labor'!$A:$A) * (O$5='[1]input-labor'!$B:$B) * ($C15='[1]input-labor'!$C:$C), '[1]input-labor'!$D:$D)</f>
        <v>#N/A</v>
      </c>
      <c r="P15" s="7" t="e" cm="1">
        <f t="array" ref="P15">_xlfn.XLOOKUP(1, ('0. GUIDELINES'!$E$3='[1]input-labor'!$A:$A) * (P$5='[1]input-labor'!$B:$B) * ($C15='[1]input-labor'!$C:$C), '[1]input-labor'!$D:$D)</f>
        <v>#N/A</v>
      </c>
      <c r="Q15" s="7" t="e" cm="1">
        <f t="array" ref="Q15">_xlfn.XLOOKUP(1, ('0. GUIDELINES'!$E$3='[1]input-labor'!$A:$A) * (Q$5='[1]input-labor'!$B:$B) * ($C15='[1]input-labor'!$C:$C), '[1]input-labor'!$D:$D)</f>
        <v>#N/A</v>
      </c>
      <c r="R15" s="7" t="e" cm="1">
        <f t="array" ref="R15">_xlfn.XLOOKUP(1, ('0. GUIDELINES'!$E$3='[1]input-labor'!$A:$A) * (R$5='[1]input-labor'!$B:$B) * ($C15='[1]input-labor'!$C:$C), '[1]input-labor'!$D:$D)</f>
        <v>#N/A</v>
      </c>
      <c r="S15" s="7" t="e" cm="1">
        <f t="array" ref="S15">_xlfn.XLOOKUP(1, ('0. GUIDELINES'!$E$3='[1]input-labor'!$A:$A) * (S$5='[1]input-labor'!$B:$B) * ($C15='[1]input-labor'!$C:$C), '[1]input-labor'!$D:$D)</f>
        <v>#N/A</v>
      </c>
      <c r="T15" s="7" t="e" cm="1">
        <f t="array" ref="T15">_xlfn.XLOOKUP(1, ('0. GUIDELINES'!$E$3='[1]input-labor'!$A:$A) * (T$5='[1]input-labor'!$B:$B) * ($C15='[1]input-labor'!$C:$C), '[1]input-labor'!$D:$D)</f>
        <v>#N/A</v>
      </c>
      <c r="U15" s="7" t="e" cm="1">
        <f t="array" ref="U15">_xlfn.XLOOKUP(1, ('0. GUIDELINES'!$E$3='[1]input-labor'!$A:$A) * (U$5='[1]input-labor'!$B:$B) * ($C15='[1]input-labor'!$C:$C), '[1]input-labor'!$D:$D)</f>
        <v>#N/A</v>
      </c>
      <c r="V15" s="7" t="e" cm="1">
        <f t="array" ref="V15">_xlfn.XLOOKUP(1, ('0. GUIDELINES'!$E$3='[1]input-labor'!$A:$A) * (V$5='[1]input-labor'!$B:$B) * ($C15='[1]input-labor'!$C:$C), '[1]input-labor'!$D:$D)</f>
        <v>#N/A</v>
      </c>
      <c r="W15" s="7" t="e" cm="1">
        <f t="array" ref="W15">_xlfn.XLOOKUP(1, ('0. GUIDELINES'!$E$3='[1]input-labor'!$A:$A) * (W$5='[1]input-labor'!$B:$B) * ($C15='[1]input-labor'!$C:$C), '[1]input-labor'!$D:$D)</f>
        <v>#N/A</v>
      </c>
      <c r="X15" s="7" t="e" cm="1">
        <f t="array" ref="X15">_xlfn.XLOOKUP(1, ('0. GUIDELINES'!$E$3='[1]input-labor'!$A:$A) * (X$5='[1]input-labor'!$B:$B) * ($C15='[1]input-labor'!$C:$C), '[1]input-labor'!$D:$D)</f>
        <v>#N/A</v>
      </c>
      <c r="Y15" s="7" t="e" cm="1">
        <f t="array" ref="Y15">_xlfn.XLOOKUP(1, ('0. GUIDELINES'!$E$3='[1]input-labor'!$A:$A) * (Y$5='[1]input-labor'!$B:$B) * ($C15='[1]input-labor'!$C:$C), '[1]input-labor'!$D:$D)</f>
        <v>#N/A</v>
      </c>
      <c r="Z15" s="7" t="e" cm="1">
        <f t="array" ref="Z15">_xlfn.XLOOKUP(1, ('0. GUIDELINES'!$E$3='[1]input-labor'!$A:$A) * (Z$5='[1]input-labor'!$B:$B) * ($C15='[1]input-labor'!$C:$C), '[1]input-labor'!$D:$D)</f>
        <v>#N/A</v>
      </c>
    </row>
    <row r="16" spans="1:26" ht="15.75" thickBot="1" x14ac:dyDescent="0.3">
      <c r="D16" s="49" t="s">
        <v>435</v>
      </c>
      <c r="E16" s="63" t="e">
        <f>+(E15/#REF!-1)*100</f>
        <v>#N/A</v>
      </c>
      <c r="F16" s="63" t="e">
        <f t="shared" ref="F16" si="3">+(F15/E15-1)*100</f>
        <v>#N/A</v>
      </c>
      <c r="G16" s="63" t="e">
        <f t="shared" ref="G16" si="4">+(G15/F15-1)*100</f>
        <v>#N/A</v>
      </c>
      <c r="H16" s="63" t="e">
        <f t="shared" ref="H16" si="5">+(H15/G15-1)*100</f>
        <v>#N/A</v>
      </c>
      <c r="I16" s="63" t="e">
        <f t="shared" ref="I16" si="6">+(I15/H15-1)*100</f>
        <v>#N/A</v>
      </c>
      <c r="J16" s="63" t="e">
        <f t="shared" ref="J16" si="7">+(J15/I15-1)*100</f>
        <v>#N/A</v>
      </c>
      <c r="K16" s="63" t="e">
        <f t="shared" ref="K16" si="8">+(K15/J15-1)*100</f>
        <v>#N/A</v>
      </c>
      <c r="L16" s="63" t="e">
        <f t="shared" ref="L16" si="9">+(L15/K15-1)*100</f>
        <v>#N/A</v>
      </c>
      <c r="M16" s="63" t="e">
        <f t="shared" ref="M16" si="10">+(M15/L15-1)*100</f>
        <v>#N/A</v>
      </c>
      <c r="N16" s="63" t="e">
        <f t="shared" ref="N16" si="11">+(N15/M15-1)*100</f>
        <v>#N/A</v>
      </c>
      <c r="O16" s="63" t="e">
        <f t="shared" ref="O16" si="12">+(O15/N15-1)*100</f>
        <v>#N/A</v>
      </c>
      <c r="P16" s="63" t="e">
        <f t="shared" ref="P16" si="13">+(P15/O15-1)*100</f>
        <v>#N/A</v>
      </c>
      <c r="Q16" s="63" t="e">
        <f t="shared" ref="Q16" si="14">+(Q15/P15-1)*100</f>
        <v>#N/A</v>
      </c>
      <c r="R16" s="63" t="e">
        <f t="shared" ref="R16" si="15">+(R15/Q15-1)*100</f>
        <v>#N/A</v>
      </c>
      <c r="S16" s="63" t="e">
        <f t="shared" ref="S16" si="16">+(S15/R15-1)*100</f>
        <v>#N/A</v>
      </c>
      <c r="T16" s="63" t="e">
        <f t="shared" ref="T16" si="17">+(T15/S15-1)*100</f>
        <v>#N/A</v>
      </c>
      <c r="U16" s="63" t="e">
        <f t="shared" ref="U16" si="18">+(U15/T15-1)*100</f>
        <v>#N/A</v>
      </c>
      <c r="V16" s="63" t="e">
        <f t="shared" ref="V16" si="19">+(V15/U15-1)*100</f>
        <v>#N/A</v>
      </c>
      <c r="W16" s="63" t="e">
        <f t="shared" ref="W16" si="20">+(W15/V15-1)*100</f>
        <v>#N/A</v>
      </c>
      <c r="X16" s="63" t="e">
        <f t="shared" ref="X16" si="21">+(X15/W15-1)*100</f>
        <v>#N/A</v>
      </c>
      <c r="Y16" s="63" t="e">
        <f t="shared" ref="Y16" si="22">+(Y15/X15-1)*100</f>
        <v>#N/A</v>
      </c>
      <c r="Z16" s="63" t="e">
        <f t="shared" ref="Z16" si="23">+(Z15/Y15-1)*100</f>
        <v>#N/A</v>
      </c>
    </row>
    <row r="17" spans="3:26" ht="15.75" thickTop="1" x14ac:dyDescent="0.25">
      <c r="C17" s="95" t="s">
        <v>485</v>
      </c>
      <c r="D17" s="26" t="s">
        <v>436</v>
      </c>
      <c r="E17" s="7" t="e" cm="1">
        <f t="array" ref="E17">_xlfn.XLOOKUP(1, ('0. GUIDELINES'!$E$3='[1]input-labor'!$A:$A) * (E$5='[1]input-labor'!$B:$B) * ($C17='[1]input-labor'!$C:$C), '[1]input-labor'!$D:$D)</f>
        <v>#N/A</v>
      </c>
      <c r="F17" s="7" t="e" cm="1">
        <f t="array" ref="F17">_xlfn.XLOOKUP(1, ('0. GUIDELINES'!$E$3='[1]input-labor'!$A:$A) * (F$5='[1]input-labor'!$B:$B) * ($C17='[1]input-labor'!$C:$C), '[1]input-labor'!$D:$D)</f>
        <v>#N/A</v>
      </c>
      <c r="G17" s="7" t="e" cm="1">
        <f t="array" ref="G17">_xlfn.XLOOKUP(1, ('0. GUIDELINES'!$E$3='[1]input-labor'!$A:$A) * (G$5='[1]input-labor'!$B:$B) * ($C17='[1]input-labor'!$C:$C), '[1]input-labor'!$D:$D)</f>
        <v>#N/A</v>
      </c>
      <c r="H17" s="7" t="e" cm="1">
        <f t="array" ref="H17">_xlfn.XLOOKUP(1, ('0. GUIDELINES'!$E$3='[1]input-labor'!$A:$A) * (H$5='[1]input-labor'!$B:$B) * ($C17='[1]input-labor'!$C:$C), '[1]input-labor'!$D:$D)</f>
        <v>#N/A</v>
      </c>
      <c r="I17" s="7" t="e" cm="1">
        <f t="array" ref="I17">_xlfn.XLOOKUP(1, ('0. GUIDELINES'!$E$3='[1]input-labor'!$A:$A) * (I$5='[1]input-labor'!$B:$B) * ($C17='[1]input-labor'!$C:$C), '[1]input-labor'!$D:$D)</f>
        <v>#N/A</v>
      </c>
      <c r="J17" s="7" t="e" cm="1">
        <f t="array" ref="J17">_xlfn.XLOOKUP(1, ('0. GUIDELINES'!$E$3='[1]input-labor'!$A:$A) * (J$5='[1]input-labor'!$B:$B) * ($C17='[1]input-labor'!$C:$C), '[1]input-labor'!$D:$D)</f>
        <v>#N/A</v>
      </c>
      <c r="K17" s="7" t="e" cm="1">
        <f t="array" ref="K17">_xlfn.XLOOKUP(1, ('0. GUIDELINES'!$E$3='[1]input-labor'!$A:$A) * (K$5='[1]input-labor'!$B:$B) * ($C17='[1]input-labor'!$C:$C), '[1]input-labor'!$D:$D)</f>
        <v>#N/A</v>
      </c>
      <c r="L17" s="7" t="e" cm="1">
        <f t="array" ref="L17">_xlfn.XLOOKUP(1, ('0. GUIDELINES'!$E$3='[1]input-labor'!$A:$A) * (L$5='[1]input-labor'!$B:$B) * ($C17='[1]input-labor'!$C:$C), '[1]input-labor'!$D:$D)</f>
        <v>#N/A</v>
      </c>
      <c r="M17" s="7" t="e" cm="1">
        <f t="array" ref="M17">_xlfn.XLOOKUP(1, ('0. GUIDELINES'!$E$3='[1]input-labor'!$A:$A) * (M$5='[1]input-labor'!$B:$B) * ($C17='[1]input-labor'!$C:$C), '[1]input-labor'!$D:$D)</f>
        <v>#N/A</v>
      </c>
      <c r="N17" s="7" t="e" cm="1">
        <f t="array" ref="N17">_xlfn.XLOOKUP(1, ('0. GUIDELINES'!$E$3='[1]input-labor'!$A:$A) * (N$5='[1]input-labor'!$B:$B) * ($C17='[1]input-labor'!$C:$C), '[1]input-labor'!$D:$D)</f>
        <v>#N/A</v>
      </c>
      <c r="O17" s="7" t="e" cm="1">
        <f t="array" ref="O17">_xlfn.XLOOKUP(1, ('0. GUIDELINES'!$E$3='[1]input-labor'!$A:$A) * (O$5='[1]input-labor'!$B:$B) * ($C17='[1]input-labor'!$C:$C), '[1]input-labor'!$D:$D)</f>
        <v>#N/A</v>
      </c>
      <c r="P17" s="7" t="e" cm="1">
        <f t="array" ref="P17">_xlfn.XLOOKUP(1, ('0. GUIDELINES'!$E$3='[1]input-labor'!$A:$A) * (P$5='[1]input-labor'!$B:$B) * ($C17='[1]input-labor'!$C:$C), '[1]input-labor'!$D:$D)</f>
        <v>#N/A</v>
      </c>
      <c r="Q17" s="7" t="e" cm="1">
        <f t="array" ref="Q17">_xlfn.XLOOKUP(1, ('0. GUIDELINES'!$E$3='[1]input-labor'!$A:$A) * (Q$5='[1]input-labor'!$B:$B) * ($C17='[1]input-labor'!$C:$C), '[1]input-labor'!$D:$D)</f>
        <v>#N/A</v>
      </c>
      <c r="R17" s="7" t="e" cm="1">
        <f t="array" ref="R17">_xlfn.XLOOKUP(1, ('0. GUIDELINES'!$E$3='[1]input-labor'!$A:$A) * (R$5='[1]input-labor'!$B:$B) * ($C17='[1]input-labor'!$C:$C), '[1]input-labor'!$D:$D)</f>
        <v>#N/A</v>
      </c>
      <c r="S17" s="7" t="e" cm="1">
        <f t="array" ref="S17">_xlfn.XLOOKUP(1, ('0. GUIDELINES'!$E$3='[1]input-labor'!$A:$A) * (S$5='[1]input-labor'!$B:$B) * ($C17='[1]input-labor'!$C:$C), '[1]input-labor'!$D:$D)</f>
        <v>#N/A</v>
      </c>
      <c r="T17" s="7" t="e" cm="1">
        <f t="array" ref="T17">_xlfn.XLOOKUP(1, ('0. GUIDELINES'!$E$3='[1]input-labor'!$A:$A) * (T$5='[1]input-labor'!$B:$B) * ($C17='[1]input-labor'!$C:$C), '[1]input-labor'!$D:$D)</f>
        <v>#N/A</v>
      </c>
      <c r="U17" s="7" t="e" cm="1">
        <f t="array" ref="U17">_xlfn.XLOOKUP(1, ('0. GUIDELINES'!$E$3='[1]input-labor'!$A:$A) * (U$5='[1]input-labor'!$B:$B) * ($C17='[1]input-labor'!$C:$C), '[1]input-labor'!$D:$D)</f>
        <v>#N/A</v>
      </c>
      <c r="V17" s="7" t="e" cm="1">
        <f t="array" ref="V17">_xlfn.XLOOKUP(1, ('0. GUIDELINES'!$E$3='[1]input-labor'!$A:$A) * (V$5='[1]input-labor'!$B:$B) * ($C17='[1]input-labor'!$C:$C), '[1]input-labor'!$D:$D)</f>
        <v>#N/A</v>
      </c>
      <c r="W17" s="7" t="e" cm="1">
        <f t="array" ref="W17">_xlfn.XLOOKUP(1, ('0. GUIDELINES'!$E$3='[1]input-labor'!$A:$A) * (W$5='[1]input-labor'!$B:$B) * ($C17='[1]input-labor'!$C:$C), '[1]input-labor'!$D:$D)</f>
        <v>#N/A</v>
      </c>
      <c r="X17" s="7" t="e" cm="1">
        <f t="array" ref="X17">_xlfn.XLOOKUP(1, ('0. GUIDELINES'!$E$3='[1]input-labor'!$A:$A) * (X$5='[1]input-labor'!$B:$B) * ($C17='[1]input-labor'!$C:$C), '[1]input-labor'!$D:$D)</f>
        <v>#N/A</v>
      </c>
      <c r="Y17" s="7" t="e" cm="1">
        <f t="array" ref="Y17">_xlfn.XLOOKUP(1, ('0. GUIDELINES'!$E$3='[1]input-labor'!$A:$A) * (Y$5='[1]input-labor'!$B:$B) * ($C17='[1]input-labor'!$C:$C), '[1]input-labor'!$D:$D)</f>
        <v>#N/A</v>
      </c>
      <c r="Z17" s="7" t="e" cm="1">
        <f t="array" ref="Z17">_xlfn.XLOOKUP(1, ('0. GUIDELINES'!$E$3='[1]input-labor'!$A:$A) * (Z$5='[1]input-labor'!$B:$B) * ($C17='[1]input-labor'!$C:$C), '[1]input-labor'!$D:$D)</f>
        <v>#N/A</v>
      </c>
    </row>
    <row r="18" spans="3:26" ht="15.75" thickBot="1" x14ac:dyDescent="0.3">
      <c r="D18" s="64" t="s">
        <v>437</v>
      </c>
      <c r="E18" s="63" t="e">
        <f>+(E17/#REF!-1)*100</f>
        <v>#N/A</v>
      </c>
      <c r="F18" s="63" t="e">
        <f t="shared" ref="F18" si="24">+(F17/E17-1)*100</f>
        <v>#N/A</v>
      </c>
      <c r="G18" s="63" t="e">
        <f t="shared" ref="G18" si="25">+(G17/F17-1)*100</f>
        <v>#N/A</v>
      </c>
      <c r="H18" s="63" t="e">
        <f t="shared" ref="H18" si="26">+(H17/G17-1)*100</f>
        <v>#N/A</v>
      </c>
      <c r="I18" s="63" t="e">
        <f t="shared" ref="I18" si="27">+(I17/H17-1)*100</f>
        <v>#N/A</v>
      </c>
      <c r="J18" s="63" t="e">
        <f t="shared" ref="J18" si="28">+(J17/I17-1)*100</f>
        <v>#N/A</v>
      </c>
      <c r="K18" s="63" t="e">
        <f t="shared" ref="K18" si="29">+(K17/J17-1)*100</f>
        <v>#N/A</v>
      </c>
      <c r="L18" s="63" t="e">
        <f t="shared" ref="L18" si="30">+(L17/K17-1)*100</f>
        <v>#N/A</v>
      </c>
      <c r="M18" s="63" t="e">
        <f t="shared" ref="M18" si="31">+(M17/L17-1)*100</f>
        <v>#N/A</v>
      </c>
      <c r="N18" s="63" t="e">
        <f t="shared" ref="N18" si="32">+(N17/M17-1)*100</f>
        <v>#N/A</v>
      </c>
      <c r="O18" s="63" t="e">
        <f t="shared" ref="O18" si="33">+(O17/N17-1)*100</f>
        <v>#N/A</v>
      </c>
      <c r="P18" s="63" t="e">
        <f t="shared" ref="P18" si="34">+(P17/O17-1)*100</f>
        <v>#N/A</v>
      </c>
      <c r="Q18" s="63" t="e">
        <f>+(Q17/P17-1)*100</f>
        <v>#N/A</v>
      </c>
      <c r="R18" s="63" t="e">
        <f t="shared" ref="R18" si="35">+(R17/Q17-1)*100</f>
        <v>#N/A</v>
      </c>
      <c r="S18" s="63" t="e">
        <f t="shared" ref="S18" si="36">+(S17/R17-1)*100</f>
        <v>#N/A</v>
      </c>
      <c r="T18" s="63" t="e">
        <f t="shared" ref="T18" si="37">+(T17/S17-1)*100</f>
        <v>#N/A</v>
      </c>
      <c r="U18" s="63" t="e">
        <f t="shared" ref="U18" si="38">+(U17/T17-1)*100</f>
        <v>#N/A</v>
      </c>
      <c r="V18" s="63" t="e">
        <f t="shared" ref="V18" si="39">+(V17/U17-1)*100</f>
        <v>#N/A</v>
      </c>
      <c r="W18" s="63" t="e">
        <f t="shared" ref="W18" si="40">+(W17/V17-1)*100</f>
        <v>#N/A</v>
      </c>
      <c r="X18" s="63" t="e">
        <f t="shared" ref="X18" si="41">+(X17/W17-1)*100</f>
        <v>#N/A</v>
      </c>
      <c r="Y18" s="63" t="e">
        <f t="shared" ref="Y18" si="42">+(Y17/X17-1)*100</f>
        <v>#N/A</v>
      </c>
      <c r="Z18" s="63" t="e">
        <f>+Z16</f>
        <v>#N/A</v>
      </c>
    </row>
    <row r="19" spans="3:26" ht="15.75" thickTop="1" x14ac:dyDescent="0.25"/>
    <row r="21" spans="3:26" x14ac:dyDescent="0.25">
      <c r="S21" s="95" t="s">
        <v>480</v>
      </c>
      <c r="V21" t="e">
        <f>+V15/V6</f>
        <v>#N/A</v>
      </c>
      <c r="W21" t="e">
        <f>+W15/W6</f>
        <v>#N/A</v>
      </c>
    </row>
    <row r="22" spans="3:26" x14ac:dyDescent="0.25">
      <c r="S22" s="95" t="s">
        <v>481</v>
      </c>
      <c r="V22" t="e">
        <f>+V17/V8</f>
        <v>#N/A</v>
      </c>
      <c r="W22" t="e">
        <f>+W17/W8</f>
        <v>#N/A</v>
      </c>
    </row>
    <row r="23" spans="3:26" x14ac:dyDescent="0.25">
      <c r="S23" s="260" t="s">
        <v>482</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872EF-C380-4B6E-AB03-C94ED395E1C4}">
  <sheetPr codeName="Sheet16"/>
  <dimension ref="A1:B2"/>
  <sheetViews>
    <sheetView workbookViewId="0"/>
  </sheetViews>
  <sheetFormatPr defaultRowHeight="15" x14ac:dyDescent="0.25"/>
  <sheetData>
    <row r="1" spans="1:2" x14ac:dyDescent="0.25">
      <c r="A1" s="16" t="s">
        <v>438</v>
      </c>
      <c r="B1" s="16" t="s">
        <v>439</v>
      </c>
    </row>
    <row r="2" spans="1:2" x14ac:dyDescent="0.25">
      <c r="A2" s="14" t="s">
        <v>440</v>
      </c>
      <c r="B2" s="50" t="e">
        <f>+parameters!I23</f>
        <v>#N/A</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3C381-5D57-4917-B20C-E532BD1A7BD1}">
  <sheetPr codeName="Sheet36"/>
  <dimension ref="A1:F2"/>
  <sheetViews>
    <sheetView workbookViewId="0"/>
  </sheetViews>
  <sheetFormatPr defaultColWidth="8.5703125" defaultRowHeight="12" x14ac:dyDescent="0.25"/>
  <cols>
    <col min="1" max="1" width="12.42578125" style="14" customWidth="1"/>
    <col min="2" max="2" width="11.42578125" style="14" bestFit="1" customWidth="1"/>
    <col min="3" max="3" width="6.42578125" style="14" bestFit="1" customWidth="1"/>
    <col min="4" max="4" width="14.85546875" style="14" customWidth="1"/>
    <col min="5" max="16384" width="8.5703125" style="14"/>
  </cols>
  <sheetData>
    <row r="1" spans="1:6" x14ac:dyDescent="0.25">
      <c r="A1" s="13" t="s">
        <v>441</v>
      </c>
      <c r="B1" s="14" t="s">
        <v>442</v>
      </c>
      <c r="C1" s="14" t="s">
        <v>443</v>
      </c>
      <c r="D1" s="14" t="s">
        <v>444</v>
      </c>
      <c r="E1" s="14" t="s">
        <v>445</v>
      </c>
      <c r="F1" s="14" t="s">
        <v>446</v>
      </c>
    </row>
    <row r="2" spans="1:6" x14ac:dyDescent="0.25">
      <c r="A2" s="14">
        <f>IF(parameters!D4="national",1,0)</f>
        <v>0</v>
      </c>
      <c r="B2" s="14">
        <f>+parameters!D6</f>
        <v>2023</v>
      </c>
      <c r="C2" s="14">
        <f>parameters!I6</f>
        <v>0</v>
      </c>
      <c r="D2" s="14">
        <v>2</v>
      </c>
      <c r="E2" s="14">
        <v>0</v>
      </c>
      <c r="F2" s="14">
        <f>IF(parameters!I4="si",1,0)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F0CBB-63F7-483E-A076-842251B4C95F}">
  <sheetPr codeName="Sheet34"/>
  <dimension ref="A1:B5"/>
  <sheetViews>
    <sheetView workbookViewId="0">
      <selection activeCell="B3" sqref="B3"/>
    </sheetView>
  </sheetViews>
  <sheetFormatPr defaultRowHeight="15" x14ac:dyDescent="0.25"/>
  <sheetData>
    <row r="1" spans="1:2" x14ac:dyDescent="0.25">
      <c r="A1" s="15" t="s">
        <v>447</v>
      </c>
      <c r="B1" s="16" t="s">
        <v>448</v>
      </c>
    </row>
    <row r="2" spans="1:2" x14ac:dyDescent="0.25">
      <c r="A2" s="14" t="s">
        <v>449</v>
      </c>
      <c r="B2" s="17">
        <f>parameters!D13</f>
        <v>3.371439220677197E-2</v>
      </c>
    </row>
    <row r="3" spans="1:2" x14ac:dyDescent="0.25">
      <c r="A3" s="14" t="s">
        <v>450</v>
      </c>
      <c r="B3" s="17">
        <f>parameters!D14</f>
        <v>8.367331362803121E-2</v>
      </c>
    </row>
    <row r="4" spans="1:2" x14ac:dyDescent="0.25">
      <c r="A4" s="14" t="s">
        <v>451</v>
      </c>
      <c r="B4" s="17" t="e">
        <f>parameters!D15</f>
        <v>#DIV/0!</v>
      </c>
    </row>
    <row r="5" spans="1:2" x14ac:dyDescent="0.25">
      <c r="A5" s="14" t="s">
        <v>123</v>
      </c>
      <c r="B5" s="17">
        <f>parameters!D16</f>
        <v>5.7751090753483725E-2</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87EFC-1536-4E52-860B-B31E6BFEBBD5}">
  <sheetPr codeName="Sheet37"/>
  <dimension ref="A1:B9"/>
  <sheetViews>
    <sheetView workbookViewId="0"/>
  </sheetViews>
  <sheetFormatPr defaultRowHeight="15" x14ac:dyDescent="0.25"/>
  <sheetData>
    <row r="1" spans="1:2" x14ac:dyDescent="0.25">
      <c r="A1" s="16" t="s">
        <v>452</v>
      </c>
      <c r="B1" s="16" t="s">
        <v>448</v>
      </c>
    </row>
    <row r="2" spans="1:2" x14ac:dyDescent="0.25">
      <c r="A2" s="14" t="s">
        <v>453</v>
      </c>
      <c r="B2">
        <f>parameters!D9</f>
        <v>0</v>
      </c>
    </row>
    <row r="3" spans="1:2" x14ac:dyDescent="0.25">
      <c r="A3" s="14" t="s">
        <v>454</v>
      </c>
      <c r="B3">
        <f>parameters!D10</f>
        <v>7.4403889342142815E-3</v>
      </c>
    </row>
    <row r="4" spans="1:2" x14ac:dyDescent="0.25">
      <c r="A4" s="14" t="s">
        <v>455</v>
      </c>
      <c r="B4" s="18">
        <f>parameters!D19</f>
        <v>-4.9029685067715212E-3</v>
      </c>
    </row>
    <row r="5" spans="1:2" x14ac:dyDescent="0.25">
      <c r="A5" s="14" t="s">
        <v>456</v>
      </c>
      <c r="B5" s="18">
        <f>parameters!D20</f>
        <v>-4.9029685067712991E-3</v>
      </c>
    </row>
    <row r="6" spans="1:2" x14ac:dyDescent="0.25">
      <c r="A6" s="14" t="s">
        <v>457</v>
      </c>
      <c r="B6" s="18">
        <f>parameters!D21</f>
        <v>4.0376732977076557E-3</v>
      </c>
    </row>
    <row r="7" spans="1:2" x14ac:dyDescent="0.25">
      <c r="A7" s="14" t="s">
        <v>458</v>
      </c>
      <c r="B7" s="18">
        <f>parameters!D22</f>
        <v>4.0376732977076557E-3</v>
      </c>
    </row>
    <row r="8" spans="1:2" x14ac:dyDescent="0.25">
      <c r="A8" s="14" t="s">
        <v>459</v>
      </c>
      <c r="B8" s="18">
        <f>parameters!D23</f>
        <v>4.8080940389216842E-4</v>
      </c>
    </row>
    <row r="9" spans="1:2" x14ac:dyDescent="0.25">
      <c r="A9" s="14" t="s">
        <v>460</v>
      </c>
      <c r="B9" s="18">
        <f>parameters!D24</f>
        <v>4.8080940389239046E-4</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CD87-102C-418A-8932-7A0D7DC38BEC}">
  <sheetPr codeName="Sheet35"/>
  <dimension ref="A1:B8"/>
  <sheetViews>
    <sheetView workbookViewId="0"/>
  </sheetViews>
  <sheetFormatPr defaultRowHeight="15" x14ac:dyDescent="0.25"/>
  <cols>
    <col min="1" max="1" width="11.85546875" bestFit="1" customWidth="1"/>
  </cols>
  <sheetData>
    <row r="1" spans="1:2" x14ac:dyDescent="0.25">
      <c r="A1" s="15" t="s">
        <v>447</v>
      </c>
      <c r="B1" s="16" t="s">
        <v>448</v>
      </c>
    </row>
    <row r="2" spans="1:2" x14ac:dyDescent="0.25">
      <c r="A2" t="s">
        <v>461</v>
      </c>
      <c r="B2" t="e">
        <f>parameters!I9</f>
        <v>#N/A</v>
      </c>
    </row>
    <row r="3" spans="1:2" x14ac:dyDescent="0.25">
      <c r="A3" t="s">
        <v>462</v>
      </c>
      <c r="B3" t="e">
        <f>parameters!I10</f>
        <v>#N/A</v>
      </c>
    </row>
    <row r="4" spans="1:2" x14ac:dyDescent="0.25">
      <c r="A4" t="s">
        <v>463</v>
      </c>
      <c r="B4" t="e">
        <f>parameters!I11</f>
        <v>#N/A</v>
      </c>
    </row>
    <row r="5" spans="1:2" x14ac:dyDescent="0.25">
      <c r="A5" t="s">
        <v>464</v>
      </c>
      <c r="B5" t="e">
        <f>parameters!I12</f>
        <v>#N/A</v>
      </c>
    </row>
    <row r="6" spans="1:2" x14ac:dyDescent="0.25">
      <c r="A6" t="s">
        <v>465</v>
      </c>
      <c r="B6" t="e">
        <f>parameters!I13</f>
        <v>#N/A</v>
      </c>
    </row>
    <row r="7" spans="1:2" x14ac:dyDescent="0.25">
      <c r="A7" t="s">
        <v>466</v>
      </c>
      <c r="B7" t="e">
        <f>parameters!I14</f>
        <v>#N/A</v>
      </c>
    </row>
    <row r="8" spans="1:2" x14ac:dyDescent="0.25">
      <c r="A8" t="s">
        <v>467</v>
      </c>
      <c r="B8" t="e">
        <f>parameters!I15</f>
        <v>#N/A</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DDBBD-7466-46B8-89D2-309F9108EF6E}">
  <sheetPr codeName="Sheet33"/>
  <dimension ref="A1:B6"/>
  <sheetViews>
    <sheetView workbookViewId="0"/>
  </sheetViews>
  <sheetFormatPr defaultRowHeight="15" x14ac:dyDescent="0.25"/>
  <sheetData>
    <row r="1" spans="1:2" x14ac:dyDescent="0.25">
      <c r="A1" s="19" t="s">
        <v>452</v>
      </c>
      <c r="B1" s="16" t="s">
        <v>448</v>
      </c>
    </row>
    <row r="2" spans="1:2" x14ac:dyDescent="0.25">
      <c r="A2" s="14" t="s">
        <v>282</v>
      </c>
      <c r="B2" s="18" t="e">
        <f>parameters!I18</f>
        <v>#N/A</v>
      </c>
    </row>
    <row r="3" spans="1:2" x14ac:dyDescent="0.25">
      <c r="A3" s="14" t="s">
        <v>407</v>
      </c>
      <c r="B3" s="18">
        <f>parameters!I19</f>
        <v>5.7751090753483725E-2</v>
      </c>
    </row>
    <row r="4" spans="1:2" x14ac:dyDescent="0.25">
      <c r="A4" s="14" t="s">
        <v>408</v>
      </c>
      <c r="B4" s="18">
        <f>parameters!I20</f>
        <v>5.7751090753483725E-2</v>
      </c>
    </row>
    <row r="5" spans="1:2" x14ac:dyDescent="0.25">
      <c r="A5" s="14" t="s">
        <v>468</v>
      </c>
      <c r="B5" s="18">
        <v>0</v>
      </c>
    </row>
    <row r="6" spans="1:2" x14ac:dyDescent="0.25">
      <c r="A6" s="14" t="s">
        <v>469</v>
      </c>
      <c r="B6" s="18">
        <v>0</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02340-A1B2-4FA4-85FE-2DF3CC578076}">
  <sheetPr codeName="Sheet38"/>
  <dimension ref="A1:B4"/>
  <sheetViews>
    <sheetView workbookViewId="0"/>
  </sheetViews>
  <sheetFormatPr defaultRowHeight="15" x14ac:dyDescent="0.25"/>
  <sheetData>
    <row r="1" spans="1:2" x14ac:dyDescent="0.25">
      <c r="A1" s="16" t="s">
        <v>452</v>
      </c>
      <c r="B1" s="16" t="s">
        <v>448</v>
      </c>
    </row>
    <row r="2" spans="1:2" x14ac:dyDescent="0.25">
      <c r="A2" s="14" t="s">
        <v>449</v>
      </c>
      <c r="B2" s="18">
        <f>parameters!D27</f>
        <v>0</v>
      </c>
    </row>
    <row r="3" spans="1:2" x14ac:dyDescent="0.25">
      <c r="A3" s="14" t="s">
        <v>450</v>
      </c>
      <c r="B3" s="18">
        <f>parameters!D28</f>
        <v>0</v>
      </c>
    </row>
    <row r="4" spans="1:2" x14ac:dyDescent="0.25">
      <c r="A4" s="14" t="s">
        <v>451</v>
      </c>
      <c r="B4" s="18">
        <f>parameters!D29</f>
        <v>0</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C0005-EFE4-4187-9FA2-E002254DCAAE}">
  <sheetPr codeName="Sheet39"/>
  <dimension ref="A1:B2"/>
  <sheetViews>
    <sheetView workbookViewId="0"/>
  </sheetViews>
  <sheetFormatPr defaultRowHeight="15" x14ac:dyDescent="0.25"/>
  <sheetData>
    <row r="1" spans="1:2" x14ac:dyDescent="0.25">
      <c r="A1" s="19" t="s">
        <v>452</v>
      </c>
      <c r="B1" s="16" t="s">
        <v>439</v>
      </c>
    </row>
    <row r="2" spans="1:2" x14ac:dyDescent="0.25">
      <c r="A2" s="14" t="s">
        <v>470</v>
      </c>
      <c r="B2" s="18">
        <v>0</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56BF6-6257-4165-80F3-AAC9699C5B56}">
  <sheetPr codeName="Sheet40"/>
  <dimension ref="A1:C6"/>
  <sheetViews>
    <sheetView workbookViewId="0"/>
  </sheetViews>
  <sheetFormatPr defaultRowHeight="15" x14ac:dyDescent="0.25"/>
  <sheetData>
    <row r="1" spans="1:3" x14ac:dyDescent="0.25">
      <c r="A1" s="16" t="s">
        <v>471</v>
      </c>
      <c r="B1" s="16" t="s">
        <v>472</v>
      </c>
      <c r="C1" s="16" t="s">
        <v>473</v>
      </c>
    </row>
    <row r="2" spans="1:3" x14ac:dyDescent="0.25">
      <c r="A2" s="14" t="s">
        <v>474</v>
      </c>
      <c r="B2" s="18">
        <f>parameters!I25</f>
        <v>0</v>
      </c>
      <c r="C2" s="18">
        <f>parameters!I32</f>
        <v>0</v>
      </c>
    </row>
    <row r="3" spans="1:3" x14ac:dyDescent="0.25">
      <c r="A3" s="14" t="s">
        <v>475</v>
      </c>
      <c r="B3" s="18">
        <f>parameters!I26</f>
        <v>0</v>
      </c>
      <c r="C3" s="18">
        <f>parameters!I33</f>
        <v>0</v>
      </c>
    </row>
    <row r="4" spans="1:3" x14ac:dyDescent="0.25">
      <c r="A4" s="14" t="s">
        <v>476</v>
      </c>
      <c r="B4" s="18">
        <f>parameters!I27</f>
        <v>0</v>
      </c>
      <c r="C4" s="18">
        <f>parameters!I34</f>
        <v>0</v>
      </c>
    </row>
    <row r="5" spans="1:3" x14ac:dyDescent="0.25">
      <c r="A5" s="14" t="s">
        <v>477</v>
      </c>
      <c r="B5" s="18">
        <f>parameters!I28</f>
        <v>0</v>
      </c>
      <c r="C5" s="18">
        <f>parameters!I35</f>
        <v>0</v>
      </c>
    </row>
    <row r="6" spans="1:3" x14ac:dyDescent="0.25">
      <c r="A6" s="14" t="s">
        <v>478</v>
      </c>
      <c r="B6" s="18">
        <f>parameters!I29</f>
        <v>0</v>
      </c>
      <c r="C6" s="18">
        <f>parameters!I36</f>
        <v>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cc5b3a92-c3e3-414e-a57d-1345849a400c">
      <Terms xmlns="http://schemas.microsoft.com/office/infopath/2007/PartnerControls"/>
    </lcf76f155ced4ddcb4097134ff3c332f>
    <TaxCatchAll xmlns="3e02667f-0271-471b-bd6e-11a2e16def1d" xsi:nil="true"/>
    <SharedWithUsers xmlns="4a59061f-cbf7-4dd0-93de-b49d5b24379d">
      <UserInfo>
        <DisplayName>Diana Marcela Sanchez Castro</DisplayName>
        <AccountId>61</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49F2B1330B4E0459A65F0E6B32A3870" ma:contentTypeVersion="16" ma:contentTypeDescription="Create a new document." ma:contentTypeScope="" ma:versionID="ed8b773bb42a0536f19266af5f124b67">
  <xsd:schema xmlns:xsd="http://www.w3.org/2001/XMLSchema" xmlns:xs="http://www.w3.org/2001/XMLSchema" xmlns:p="http://schemas.microsoft.com/office/2006/metadata/properties" xmlns:ns2="cc5b3a92-c3e3-414e-a57d-1345849a400c" xmlns:ns3="4a59061f-cbf7-4dd0-93de-b49d5b24379d" xmlns:ns4="3e02667f-0271-471b-bd6e-11a2e16def1d" targetNamespace="http://schemas.microsoft.com/office/2006/metadata/properties" ma:root="true" ma:fieldsID="61d3dad2170f5a0408349a4a8621629c" ns2:_="" ns3:_="" ns4:_="">
    <xsd:import namespace="cc5b3a92-c3e3-414e-a57d-1345849a400c"/>
    <xsd:import namespace="4a59061f-cbf7-4dd0-93de-b49d5b24379d"/>
    <xsd:import namespace="3e02667f-0271-471b-bd6e-11a2e16def1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5b3a92-c3e3-414e-a57d-1345849a40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2a6c10d7-b926-4fc0-945e-3cbf5049f6bd"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a59061f-cbf7-4dd0-93de-b49d5b24379d"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e02667f-0271-471b-bd6e-11a2e16def1d"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b4730550-18f1-42fe-b674-ca8377b8411b}" ma:internalName="TaxCatchAll" ma:showField="CatchAllData" ma:web="4a59061f-cbf7-4dd0-93de-b49d5b24379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7F039C8-D478-4681-A590-155757D3BAB6}">
  <ds:schemaRefs>
    <ds:schemaRef ds:uri="http://schemas.microsoft.com/office/2006/metadata/properties"/>
    <ds:schemaRef ds:uri="http://schemas.microsoft.com/office/infopath/2007/PartnerControls"/>
    <ds:schemaRef ds:uri="cc5b3a92-c3e3-414e-a57d-1345849a400c"/>
    <ds:schemaRef ds:uri="3e02667f-0271-471b-bd6e-11a2e16def1d"/>
    <ds:schemaRef ds:uri="4a59061f-cbf7-4dd0-93de-b49d5b24379d"/>
  </ds:schemaRefs>
</ds:datastoreItem>
</file>

<file path=customXml/itemProps2.xml><?xml version="1.0" encoding="utf-8"?>
<ds:datastoreItem xmlns:ds="http://schemas.openxmlformats.org/officeDocument/2006/customXml" ds:itemID="{05CF135C-72E0-4D5C-ADC2-469D180BD8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5b3a92-c3e3-414e-a57d-1345849a400c"/>
    <ds:schemaRef ds:uri="4a59061f-cbf7-4dd0-93de-b49d5b24379d"/>
    <ds:schemaRef ds:uri="3e02667f-0271-471b-bd6e-11a2e16def1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DC09283-99FE-4427-956A-BE4F4BF5E2B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vt:i4>
      </vt:variant>
    </vt:vector>
  </HeadingPairs>
  <TitlesOfParts>
    <vt:vector size="23" baseType="lpstr">
      <vt:lpstr>Technical Notes</vt:lpstr>
      <vt:lpstr>0. GUIDELINES</vt:lpstr>
      <vt:lpstr>1. GDP</vt:lpstr>
      <vt:lpstr>2.1 LABOR STRUCTURE</vt:lpstr>
      <vt:lpstr>ELASTICITY</vt:lpstr>
      <vt:lpstr>GROWTH RATES</vt:lpstr>
      <vt:lpstr>2.2 LABOR INCOME &amp; PRODUCTIVITY</vt:lpstr>
      <vt:lpstr>3. NON-LABOR INCOME</vt:lpstr>
      <vt:lpstr>4. SUMMARY AND SUBMISSION</vt:lpstr>
      <vt:lpstr>CONTROL </vt:lpstr>
      <vt:lpstr>parameters</vt:lpstr>
      <vt:lpstr>resumen</vt:lpstr>
      <vt:lpstr>POPULATION (hidden)</vt:lpstr>
      <vt:lpstr>input_pop_wdi</vt:lpstr>
      <vt:lpstr>input_setup</vt:lpstr>
      <vt:lpstr>input_gdp </vt:lpstr>
      <vt:lpstr>input_labor</vt:lpstr>
      <vt:lpstr>input_gdp2</vt:lpstr>
      <vt:lpstr>input_nonlabor (2)</vt:lpstr>
      <vt:lpstr>input_informality</vt:lpstr>
      <vt:lpstr>input_pl</vt:lpstr>
      <vt:lpstr>input_population</vt:lpstr>
      <vt:lpstr>'4. SUMMARY AND SUBMISSION'!Print_Area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World Bank</dc:creator>
  <cp:keywords/>
  <dc:description/>
  <cp:lastModifiedBy>Israel Osorio Rodarte</cp:lastModifiedBy>
  <cp:revision/>
  <dcterms:created xsi:type="dcterms:W3CDTF">2021-09-22T20:32:12Z</dcterms:created>
  <dcterms:modified xsi:type="dcterms:W3CDTF">2024-08-16T17:36:56Z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0x010100849F2B1330B4E0459A65F0E6B32A3870</vt:lpwstr>
  </property>
  <property fmtid="{D5CDD505-2E9C-101B-9397-08002B2CF9AE}" pid="3" name="MediaServiceImageTags">
    <vt:lpwstr/>
  </property>
</Properties>
</file>